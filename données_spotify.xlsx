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charts/chartEx5.xml" ContentType="application/vnd.ms-office.chartex+xml"/>
  <Override PartName="/xl/charts/style5.xml" ContentType="application/vnd.ms-office.chartstyle+xml"/>
  <Override PartName="/xl/charts/colors5.xml" ContentType="application/vnd.ms-office.chartcolorstyle+xml"/>
  <Override PartName="/xl/charts/chartEx6.xml" ContentType="application/vnd.ms-office.chartex+xml"/>
  <Override PartName="/xl/charts/style6.xml" ContentType="application/vnd.ms-office.chartstyle+xml"/>
  <Override PartName="/xl/charts/colors6.xml" ContentType="application/vnd.ms-office.chartcolorstyle+xml"/>
  <Override PartName="/xl/charts/chartEx7.xml" ContentType="application/vnd.ms-office.chartex+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charts/chart2.xml" ContentType="application/vnd.openxmlformats-officedocument.drawingml.chart+xml"/>
  <Override PartName="/xl/charts/style9.xml" ContentType="application/vnd.ms-office.chartstyle+xml"/>
  <Override PartName="/xl/charts/colors9.xml" ContentType="application/vnd.ms-office.chartcolorstyle+xml"/>
  <Override PartName="/xl/charts/chart3.xml" ContentType="application/vnd.openxmlformats-officedocument.drawingml.chart+xml"/>
  <Override PartName="/xl/charts/style10.xml" ContentType="application/vnd.ms-office.chartstyle+xml"/>
  <Override PartName="/xl/charts/colors10.xml" ContentType="application/vnd.ms-office.chartcolorstyle+xml"/>
  <Override PartName="/xl/charts/chart4.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charts/chartEx8.xml" ContentType="application/vnd.ms-office.chartex+xml"/>
  <Override PartName="/xl/charts/style12.xml" ContentType="application/vnd.ms-office.chartstyle+xml"/>
  <Override PartName="/xl/charts/colors12.xml" ContentType="application/vnd.ms-office.chartcolorstyle+xml"/>
  <Override PartName="/xl/charts/chartEx9.xml" ContentType="application/vnd.ms-office.chartex+xml"/>
  <Override PartName="/xl/charts/style13.xml" ContentType="application/vnd.ms-office.chartstyle+xml"/>
  <Override PartName="/xl/charts/colors13.xml" ContentType="application/vnd.ms-office.chartcolorstyle+xml"/>
  <Override PartName="/xl/charts/chartEx10.xml" ContentType="application/vnd.ms-office.chartex+xml"/>
  <Override PartName="/xl/charts/style14.xml" ContentType="application/vnd.ms-office.chartstyle+xml"/>
  <Override PartName="/xl/charts/colors14.xml" ContentType="application/vnd.ms-office.chartcolorstyle+xml"/>
  <Override PartName="/xl/charts/chartEx11.xml" ContentType="application/vnd.ms-office.chartex+xml"/>
  <Override PartName="/xl/charts/style15.xml" ContentType="application/vnd.ms-office.chartstyle+xml"/>
  <Override PartName="/xl/charts/colors1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16.xml" ContentType="application/vnd.ms-office.chartstyle+xml"/>
  <Override PartName="/xl/charts/colors16.xml" ContentType="application/vnd.ms-office.chartcolorstyle+xml"/>
  <Override PartName="/xl/charts/chart6.xml" ContentType="application/vnd.openxmlformats-officedocument.drawingml.chart+xml"/>
  <Override PartName="/xl/charts/style17.xml" ContentType="application/vnd.ms-office.chartstyle+xml"/>
  <Override PartName="/xl/charts/colors17.xml" ContentType="application/vnd.ms-office.chartcolorstyle+xml"/>
  <Override PartName="/xl/charts/chart7.xml" ContentType="application/vnd.openxmlformats-officedocument.drawingml.chart+xml"/>
  <Override PartName="/xl/charts/style18.xml" ContentType="application/vnd.ms-office.chartstyle+xml"/>
  <Override PartName="/xl/charts/colors18.xml" ContentType="application/vnd.ms-office.chartcolorstyle+xml"/>
  <Override PartName="/xl/charts/chart8.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8_{EFD08450-AA5B-4034-AF73-F3E600B510E8}" xr6:coauthVersionLast="47" xr6:coauthVersionMax="47" xr10:uidLastSave="{00000000-0000-0000-0000-000000000000}"/>
  <bookViews>
    <workbookView xWindow="-120" yWindow="-120" windowWidth="29040" windowHeight="15720" tabRatio="883" activeTab="7" xr2:uid="{D4C646AE-0DE8-42D4-B29C-8698680B7526}"/>
  </bookViews>
  <sheets>
    <sheet name="Données" sheetId="2" r:id="rId1"/>
    <sheet name="correlation matrice" sheetId="9" state="hidden" r:id="rId2"/>
    <sheet name="Analyse des données numériques" sheetId="5" r:id="rId3"/>
    <sheet name="Analyse données catégorielles" sheetId="6" r:id="rId4"/>
    <sheet name="Questions EDA" sheetId="7" r:id="rId5"/>
    <sheet name="Analyse liaisons variables quan" sheetId="8" r:id="rId6"/>
    <sheet name="Analyse liaisons quali vs quant" sheetId="10" r:id="rId7"/>
    <sheet name="Analyse khi2" sheetId="13" r:id="rId8"/>
    <sheet name="Définition des colonnes" sheetId="3" state="hidden" r:id="rId9"/>
    <sheet name="Questions sur les données" sheetId="4" state="hidden" r:id="rId10"/>
  </sheets>
  <definedNames>
    <definedName name="_xlnm._FilterDatabase" localSheetId="0" hidden="1">Données!$A$1:$U$1557</definedName>
    <definedName name="_xlchart.v1.0" hidden="1">Données!$C$1</definedName>
    <definedName name="_xlchart.v1.1" hidden="1">Données!$C$2:$C$1557</definedName>
    <definedName name="_xlchart.v1.10" hidden="1">Données!$I$1</definedName>
    <definedName name="_xlchart.v1.11" hidden="1">Données!$I$2:$I$1557</definedName>
    <definedName name="_xlchart.v1.12" hidden="1">Données!$N$1</definedName>
    <definedName name="_xlchart.v1.13" hidden="1">Données!$N$2:$N$1557</definedName>
    <definedName name="_xlchart.v1.14" hidden="1">Données!$O$1</definedName>
    <definedName name="_xlchart.v1.15" hidden="1">Données!$O$2:$O$1557</definedName>
    <definedName name="_xlchart.v1.16" hidden="1">Données!$P$1</definedName>
    <definedName name="_xlchart.v1.17" hidden="1">Données!$P$2:$P$1557</definedName>
    <definedName name="_xlchart.v1.18" hidden="1">Données!$Q$1</definedName>
    <definedName name="_xlchart.v1.19" hidden="1">Données!$Q$2:$Q$1557</definedName>
    <definedName name="_xlchart.v1.2" hidden="1">Données!$B$1</definedName>
    <definedName name="_xlchart.v1.20" hidden="1">Données!$R$1</definedName>
    <definedName name="_xlchart.v1.21" hidden="1">Données!$R$2:$R$1557</definedName>
    <definedName name="_xlchart.v1.22" hidden="1">Données!$S$1</definedName>
    <definedName name="_xlchart.v1.23" hidden="1">Données!$S$2:$S$1557</definedName>
    <definedName name="_xlchart.v1.24" hidden="1">Données!$E$2:$E$1557</definedName>
    <definedName name="_xlchart.v1.25" hidden="1">Données!$I$1</definedName>
    <definedName name="_xlchart.v1.26" hidden="1">Données!$I$2:$I$1557</definedName>
    <definedName name="_xlchart.v1.27" hidden="1">Données!$M$2:$M$1557</definedName>
    <definedName name="_xlchart.v1.28" hidden="1">Données!$Q$1</definedName>
    <definedName name="_xlchart.v1.29" hidden="1">Données!$Q$2:$Q$1557</definedName>
    <definedName name="_xlchart.v1.3" hidden="1">Données!$B$2:$B$1557</definedName>
    <definedName name="_xlchart.v1.30" hidden="1">Données!$E$2:$E$1557</definedName>
    <definedName name="_xlchart.v1.31" hidden="1">Données!$P$1</definedName>
    <definedName name="_xlchart.v1.32" hidden="1">Données!$P$2:$P$1557</definedName>
    <definedName name="_xlchart.v1.33" hidden="1">Données!$E$2:$E$1557</definedName>
    <definedName name="_xlchart.v1.34" hidden="1">Données!$G$1</definedName>
    <definedName name="_xlchart.v1.35" hidden="1">Données!$G$2:$G$1557</definedName>
    <definedName name="_xlchart.v1.4" hidden="1">Données!$B$1</definedName>
    <definedName name="_xlchart.v1.5" hidden="1">Données!$B$2:$B$1557</definedName>
    <definedName name="_xlchart.v1.6" hidden="1">Données!$O$1</definedName>
    <definedName name="_xlchart.v1.7" hidden="1">Données!$O$2:$O$1557</definedName>
    <definedName name="_xlchart.v1.8" hidden="1">Données!$O$1</definedName>
    <definedName name="_xlchart.v1.9" hidden="1">Données!$O$2:$O$1557</definedName>
    <definedName name="_xlnm.Criteria" localSheetId="0">Données!$Z$1:$AR$2</definedName>
    <definedName name="_xlnm.Extract" localSheetId="0">Données!$Z$4:$AR$4</definedName>
  </definedNames>
  <calcPr calcId="191029"/>
  <pivotCaches>
    <pivotCache cacheId="0" r:id="rId11"/>
    <pivotCache cacheId="7"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2" i="13" l="1"/>
  <c r="D52" i="13"/>
  <c r="E52" i="13"/>
  <c r="C52" i="13"/>
  <c r="E47" i="13"/>
  <c r="E48" i="13"/>
  <c r="E49" i="13"/>
  <c r="E50" i="13"/>
  <c r="E51" i="13"/>
  <c r="E46" i="13"/>
  <c r="H11" i="13"/>
  <c r="D21" i="13"/>
  <c r="E21" i="13"/>
  <c r="C21" i="13"/>
  <c r="M81" i="10"/>
  <c r="M80" i="10"/>
  <c r="M79" i="10"/>
  <c r="M72" i="10"/>
  <c r="M71" i="10"/>
  <c r="M70" i="10"/>
  <c r="M69" i="10" a="1"/>
  <c r="M69" i="10" s="1"/>
  <c r="M68" i="10" a="1"/>
  <c r="M68" i="10" s="1"/>
  <c r="M54" i="10"/>
  <c r="D51" i="13"/>
  <c r="D50" i="13"/>
  <c r="D49" i="13"/>
  <c r="D48" i="13"/>
  <c r="D47" i="13"/>
  <c r="D46" i="13"/>
  <c r="C51" i="13"/>
  <c r="C50" i="13"/>
  <c r="C49" i="13"/>
  <c r="C48" i="13"/>
  <c r="C47" i="13"/>
  <c r="C46" i="13"/>
  <c r="D44" i="13"/>
  <c r="C44" i="13"/>
  <c r="H10" i="13"/>
  <c r="D20" i="13"/>
  <c r="D19" i="13"/>
  <c r="D18" i="13"/>
  <c r="D17" i="13"/>
  <c r="D16" i="13"/>
  <c r="D15" i="13"/>
  <c r="C20" i="13"/>
  <c r="C19" i="13"/>
  <c r="C18" i="13"/>
  <c r="C17" i="13"/>
  <c r="C16" i="13"/>
  <c r="C15" i="13"/>
  <c r="D11" i="13"/>
  <c r="C11" i="13"/>
  <c r="M82" i="10" l="1"/>
  <c r="M33" i="10" l="1"/>
  <c r="M13" i="10" l="1"/>
  <c r="K6" i="10"/>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3" i="2"/>
  <c r="W2"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E2" i="2" a="1"/>
  <c r="E2" i="2" s="1"/>
  <c r="E3" i="2" a="1"/>
  <c r="E3" i="2" s="1"/>
  <c r="E4" i="2" a="1"/>
  <c r="E4" i="2" s="1"/>
  <c r="E5" i="2" a="1"/>
  <c r="E5" i="2" s="1"/>
  <c r="E6" i="2" a="1"/>
  <c r="E6" i="2" s="1"/>
  <c r="E7" i="2" a="1"/>
  <c r="E7" i="2" s="1"/>
  <c r="E8" i="2" a="1"/>
  <c r="E8" i="2" s="1"/>
  <c r="E9" i="2" a="1"/>
  <c r="E9" i="2" s="1"/>
  <c r="E10" i="2" a="1"/>
  <c r="E10" i="2" s="1"/>
  <c r="E11" i="2" a="1"/>
  <c r="E11" i="2" s="1"/>
  <c r="E12" i="2" a="1"/>
  <c r="E12" i="2" s="1"/>
  <c r="E13" i="2" a="1"/>
  <c r="E13" i="2" s="1"/>
  <c r="E14" i="2" a="1"/>
  <c r="E14" i="2" s="1"/>
  <c r="E15" i="2" a="1"/>
  <c r="E15" i="2" s="1"/>
  <c r="E16" i="2" a="1"/>
  <c r="E16" i="2" s="1"/>
  <c r="E17" i="2" a="1"/>
  <c r="E17" i="2" s="1"/>
  <c r="E18" i="2" a="1"/>
  <c r="E18" i="2" s="1"/>
  <c r="E19" i="2" a="1"/>
  <c r="E19" i="2" s="1"/>
  <c r="E20" i="2" a="1"/>
  <c r="E20" i="2" s="1"/>
  <c r="E21" i="2" a="1"/>
  <c r="E21" i="2" s="1"/>
  <c r="E22" i="2" a="1"/>
  <c r="E22" i="2" s="1"/>
  <c r="E23" i="2" a="1"/>
  <c r="E23" i="2" s="1"/>
  <c r="E24" i="2" a="1"/>
  <c r="E24" i="2" s="1"/>
  <c r="E25" i="2" a="1"/>
  <c r="E25" i="2" s="1"/>
  <c r="E26" i="2" a="1"/>
  <c r="E26" i="2" s="1"/>
  <c r="E27" i="2" a="1"/>
  <c r="E27" i="2" s="1"/>
  <c r="E28" i="2" a="1"/>
  <c r="E28" i="2" s="1"/>
  <c r="E29" i="2" a="1"/>
  <c r="E29" i="2" s="1"/>
  <c r="E30" i="2" a="1"/>
  <c r="E30" i="2" s="1"/>
  <c r="E31" i="2" a="1"/>
  <c r="E31" i="2" s="1"/>
  <c r="E32" i="2" a="1"/>
  <c r="E32" i="2" s="1"/>
  <c r="E33" i="2" a="1"/>
  <c r="E33" i="2" s="1"/>
  <c r="E34" i="2" a="1"/>
  <c r="E34" i="2" s="1"/>
  <c r="E35" i="2" a="1"/>
  <c r="E35" i="2" s="1"/>
  <c r="E36" i="2" a="1"/>
  <c r="E36" i="2" s="1"/>
  <c r="E37" i="2" a="1"/>
  <c r="E37" i="2" s="1"/>
  <c r="E38" i="2" a="1"/>
  <c r="E38" i="2" s="1"/>
  <c r="E39" i="2" a="1"/>
  <c r="E39" i="2" s="1"/>
  <c r="E40" i="2" a="1"/>
  <c r="E40" i="2" s="1"/>
  <c r="E41" i="2" a="1"/>
  <c r="E41" i="2" s="1"/>
  <c r="E42" i="2" a="1"/>
  <c r="E42" i="2" s="1"/>
  <c r="E43" i="2" a="1"/>
  <c r="E43" i="2" s="1"/>
  <c r="E44" i="2" a="1"/>
  <c r="E44" i="2" s="1"/>
  <c r="E45" i="2" a="1"/>
  <c r="E45" i="2" s="1"/>
  <c r="E46" i="2" a="1"/>
  <c r="E46" i="2" s="1"/>
  <c r="E47" i="2" a="1"/>
  <c r="E47" i="2" s="1"/>
  <c r="E48" i="2" a="1"/>
  <c r="E48" i="2" s="1"/>
  <c r="E49" i="2" a="1"/>
  <c r="E49" i="2" s="1"/>
  <c r="E50" i="2" a="1"/>
  <c r="E50" i="2" s="1"/>
  <c r="E51" i="2" a="1"/>
  <c r="E51" i="2" s="1"/>
  <c r="E52" i="2" a="1"/>
  <c r="E52" i="2" s="1"/>
  <c r="E53" i="2" a="1"/>
  <c r="E53" i="2" s="1"/>
  <c r="E54" i="2" a="1"/>
  <c r="E54" i="2" s="1"/>
  <c r="E55" i="2" a="1"/>
  <c r="E55" i="2" s="1"/>
  <c r="E56" i="2" a="1"/>
  <c r="E56" i="2" s="1"/>
  <c r="E57" i="2" a="1"/>
  <c r="E57" i="2" s="1"/>
  <c r="E58" i="2" a="1"/>
  <c r="E58" i="2" s="1"/>
  <c r="E59" i="2" a="1"/>
  <c r="E59" i="2" s="1"/>
  <c r="E60" i="2" a="1"/>
  <c r="E60" i="2" s="1"/>
  <c r="E61" i="2" a="1"/>
  <c r="E61" i="2" s="1"/>
  <c r="E62" i="2" a="1"/>
  <c r="E62" i="2" s="1"/>
  <c r="E63" i="2" a="1"/>
  <c r="E63" i="2" s="1"/>
  <c r="E64" i="2" a="1"/>
  <c r="E64" i="2" s="1"/>
  <c r="E65" i="2" a="1"/>
  <c r="E65" i="2" s="1"/>
  <c r="E66" i="2" a="1"/>
  <c r="E66" i="2" s="1"/>
  <c r="E67" i="2" a="1"/>
  <c r="E67" i="2" s="1"/>
  <c r="E68" i="2" a="1"/>
  <c r="E68" i="2" s="1"/>
  <c r="E69" i="2" a="1"/>
  <c r="E69" i="2" s="1"/>
  <c r="E70" i="2" a="1"/>
  <c r="E70" i="2" s="1"/>
  <c r="E71" i="2" a="1"/>
  <c r="E71" i="2" s="1"/>
  <c r="E72" i="2" a="1"/>
  <c r="E72" i="2" s="1"/>
  <c r="E73" i="2" a="1"/>
  <c r="E73" i="2" s="1"/>
  <c r="E74" i="2" a="1"/>
  <c r="E74" i="2" s="1"/>
  <c r="E75" i="2" a="1"/>
  <c r="E75" i="2" s="1"/>
  <c r="E76" i="2" a="1"/>
  <c r="E76" i="2" s="1"/>
  <c r="E77" i="2" a="1"/>
  <c r="E77" i="2" s="1"/>
  <c r="E78" i="2" a="1"/>
  <c r="E78" i="2" s="1"/>
  <c r="E79" i="2" a="1"/>
  <c r="E79" i="2" s="1"/>
  <c r="E80" i="2" a="1"/>
  <c r="E80" i="2" s="1"/>
  <c r="E81" i="2" a="1"/>
  <c r="E81" i="2" s="1"/>
  <c r="E82" i="2" a="1"/>
  <c r="E82" i="2" s="1"/>
  <c r="E83" i="2" a="1"/>
  <c r="E83" i="2" s="1"/>
  <c r="E84" i="2" a="1"/>
  <c r="E84" i="2" s="1"/>
  <c r="E85" i="2" a="1"/>
  <c r="E85" i="2" s="1"/>
  <c r="E86" i="2" a="1"/>
  <c r="E86" i="2" s="1"/>
  <c r="E87" i="2" a="1"/>
  <c r="E87" i="2" s="1"/>
  <c r="E88" i="2" a="1"/>
  <c r="E88" i="2" s="1"/>
  <c r="E89" i="2" a="1"/>
  <c r="E89" i="2" s="1"/>
  <c r="E90" i="2" a="1"/>
  <c r="E90" i="2" s="1"/>
  <c r="E91" i="2" a="1"/>
  <c r="E91" i="2" s="1"/>
  <c r="E92" i="2" a="1"/>
  <c r="E92" i="2" s="1"/>
  <c r="E93" i="2" a="1"/>
  <c r="E93" i="2" s="1"/>
  <c r="E94" i="2" a="1"/>
  <c r="E94" i="2" s="1"/>
  <c r="E95" i="2" a="1"/>
  <c r="E95" i="2" s="1"/>
  <c r="E96" i="2" a="1"/>
  <c r="E96" i="2" s="1"/>
  <c r="E97" i="2" a="1"/>
  <c r="E97" i="2" s="1"/>
  <c r="E98" i="2" a="1"/>
  <c r="E98" i="2" s="1"/>
  <c r="E99" i="2" a="1"/>
  <c r="E99" i="2" s="1"/>
  <c r="E100" i="2" a="1"/>
  <c r="E100" i="2" s="1"/>
  <c r="E101" i="2" a="1"/>
  <c r="E101" i="2" s="1"/>
  <c r="E102" i="2" a="1"/>
  <c r="E102" i="2" s="1"/>
  <c r="E103" i="2" a="1"/>
  <c r="E103" i="2" s="1"/>
  <c r="E104" i="2" a="1"/>
  <c r="E104" i="2" s="1"/>
  <c r="E105" i="2" a="1"/>
  <c r="E105" i="2" s="1"/>
  <c r="E106" i="2" a="1"/>
  <c r="E106" i="2" s="1"/>
  <c r="E107" i="2" a="1"/>
  <c r="E107" i="2" s="1"/>
  <c r="E108" i="2" a="1"/>
  <c r="E108" i="2" s="1"/>
  <c r="E109" i="2" a="1"/>
  <c r="E109" i="2" s="1"/>
  <c r="E110" i="2" a="1"/>
  <c r="E110" i="2" s="1"/>
  <c r="E111" i="2" a="1"/>
  <c r="E111" i="2" s="1"/>
  <c r="E112" i="2" a="1"/>
  <c r="E112" i="2" s="1"/>
  <c r="E113" i="2" a="1"/>
  <c r="E113" i="2" s="1"/>
  <c r="E114" i="2" a="1"/>
  <c r="E114" i="2" s="1"/>
  <c r="E115" i="2" a="1"/>
  <c r="E115" i="2" s="1"/>
  <c r="E116" i="2" a="1"/>
  <c r="E116" i="2" s="1"/>
  <c r="E117" i="2" a="1"/>
  <c r="E117" i="2" s="1"/>
  <c r="E118" i="2" a="1"/>
  <c r="E118" i="2" s="1"/>
  <c r="E119" i="2" a="1"/>
  <c r="E119" i="2" s="1"/>
  <c r="E120" i="2" a="1"/>
  <c r="E120" i="2" s="1"/>
  <c r="E121" i="2" a="1"/>
  <c r="E121" i="2" s="1"/>
  <c r="E122" i="2" a="1"/>
  <c r="E122" i="2" s="1"/>
  <c r="E123" i="2" a="1"/>
  <c r="E123" i="2" s="1"/>
  <c r="E124" i="2" a="1"/>
  <c r="E124" i="2" s="1"/>
  <c r="E125" i="2" a="1"/>
  <c r="E125" i="2" s="1"/>
  <c r="E126" i="2" a="1"/>
  <c r="E126" i="2" s="1"/>
  <c r="E127" i="2" a="1"/>
  <c r="E127" i="2" s="1"/>
  <c r="E128" i="2" a="1"/>
  <c r="E128" i="2" s="1"/>
  <c r="E129" i="2" a="1"/>
  <c r="E129" i="2" s="1"/>
  <c r="E130" i="2" a="1"/>
  <c r="E130" i="2" s="1"/>
  <c r="E131" i="2" a="1"/>
  <c r="E131" i="2" s="1"/>
  <c r="E132" i="2" a="1"/>
  <c r="E132" i="2" s="1"/>
  <c r="E133" i="2" a="1"/>
  <c r="E133" i="2" s="1"/>
  <c r="E134" i="2" a="1"/>
  <c r="E134" i="2" s="1"/>
  <c r="E135" i="2" a="1"/>
  <c r="E135" i="2" s="1"/>
  <c r="E136" i="2" a="1"/>
  <c r="E136" i="2" s="1"/>
  <c r="E137" i="2" a="1"/>
  <c r="E137" i="2" s="1"/>
  <c r="E138" i="2" a="1"/>
  <c r="E138" i="2" s="1"/>
  <c r="E139" i="2" a="1"/>
  <c r="E139" i="2" s="1"/>
  <c r="E140" i="2" a="1"/>
  <c r="E140" i="2" s="1"/>
  <c r="E141" i="2" a="1"/>
  <c r="E141" i="2" s="1"/>
  <c r="E142" i="2" a="1"/>
  <c r="E142" i="2" s="1"/>
  <c r="E143" i="2" a="1"/>
  <c r="E143" i="2" s="1"/>
  <c r="E144" i="2" a="1"/>
  <c r="E144" i="2" s="1"/>
  <c r="E145" i="2" a="1"/>
  <c r="E145" i="2" s="1"/>
  <c r="E146" i="2" a="1"/>
  <c r="E146" i="2" s="1"/>
  <c r="E147" i="2" a="1"/>
  <c r="E147" i="2" s="1"/>
  <c r="E148" i="2" a="1"/>
  <c r="E148" i="2" s="1"/>
  <c r="E149" i="2" a="1"/>
  <c r="E149" i="2" s="1"/>
  <c r="E150" i="2" a="1"/>
  <c r="E150" i="2" s="1"/>
  <c r="E151" i="2" a="1"/>
  <c r="E151" i="2" s="1"/>
  <c r="E152" i="2" a="1"/>
  <c r="E152" i="2" s="1"/>
  <c r="E153" i="2" a="1"/>
  <c r="E153" i="2" s="1"/>
  <c r="E154" i="2" a="1"/>
  <c r="E154" i="2" s="1"/>
  <c r="E155" i="2" a="1"/>
  <c r="E155" i="2" s="1"/>
  <c r="E156" i="2" a="1"/>
  <c r="E156" i="2" s="1"/>
  <c r="E157" i="2" a="1"/>
  <c r="E157" i="2" s="1"/>
  <c r="E158" i="2" a="1"/>
  <c r="E158" i="2" s="1"/>
  <c r="E159" i="2" a="1"/>
  <c r="E159" i="2" s="1"/>
  <c r="E160" i="2" a="1"/>
  <c r="E160" i="2" s="1"/>
  <c r="E161" i="2" a="1"/>
  <c r="E161" i="2" s="1"/>
  <c r="E162" i="2" a="1"/>
  <c r="E162" i="2" s="1"/>
  <c r="E163" i="2" a="1"/>
  <c r="E163" i="2" s="1"/>
  <c r="E164" i="2" a="1"/>
  <c r="E164" i="2" s="1"/>
  <c r="E165" i="2" a="1"/>
  <c r="E165" i="2" s="1"/>
  <c r="E166" i="2" a="1"/>
  <c r="E166" i="2" s="1"/>
  <c r="E167" i="2" a="1"/>
  <c r="E167" i="2" s="1"/>
  <c r="E168" i="2" a="1"/>
  <c r="E168" i="2" s="1"/>
  <c r="E169" i="2" a="1"/>
  <c r="E169" i="2" s="1"/>
  <c r="E170" i="2" a="1"/>
  <c r="E170" i="2" s="1"/>
  <c r="E171" i="2" a="1"/>
  <c r="E171" i="2" s="1"/>
  <c r="E172" i="2" a="1"/>
  <c r="E172" i="2" s="1"/>
  <c r="E173" i="2" a="1"/>
  <c r="E173" i="2" s="1"/>
  <c r="E174" i="2" a="1"/>
  <c r="E174" i="2" s="1"/>
  <c r="E175" i="2" a="1"/>
  <c r="E175" i="2" s="1"/>
  <c r="E176" i="2" a="1"/>
  <c r="E176" i="2" s="1"/>
  <c r="E177" i="2" a="1"/>
  <c r="E177" i="2" s="1"/>
  <c r="E178" i="2" a="1"/>
  <c r="E178" i="2" s="1"/>
  <c r="E179" i="2" a="1"/>
  <c r="E179" i="2" s="1"/>
  <c r="E180" i="2" a="1"/>
  <c r="E180" i="2" s="1"/>
  <c r="E181" i="2" a="1"/>
  <c r="E181" i="2" s="1"/>
  <c r="E182" i="2" a="1"/>
  <c r="E182" i="2" s="1"/>
  <c r="E183" i="2" a="1"/>
  <c r="E183" i="2" s="1"/>
  <c r="E184" i="2" a="1"/>
  <c r="E184" i="2" s="1"/>
  <c r="E185" i="2" a="1"/>
  <c r="E185" i="2" s="1"/>
  <c r="E186" i="2" a="1"/>
  <c r="E186" i="2" s="1"/>
  <c r="E187" i="2" a="1"/>
  <c r="E187" i="2" s="1"/>
  <c r="E188" i="2" a="1"/>
  <c r="E188" i="2" s="1"/>
  <c r="E189" i="2" a="1"/>
  <c r="E189" i="2" s="1"/>
  <c r="E190" i="2" a="1"/>
  <c r="E190" i="2" s="1"/>
  <c r="E191" i="2" a="1"/>
  <c r="E191" i="2" s="1"/>
  <c r="E192" i="2" a="1"/>
  <c r="E192" i="2" s="1"/>
  <c r="E193" i="2" a="1"/>
  <c r="E193" i="2" s="1"/>
  <c r="E194" i="2" a="1"/>
  <c r="E194" i="2" s="1"/>
  <c r="E195" i="2" a="1"/>
  <c r="E195" i="2" s="1"/>
  <c r="E196" i="2" a="1"/>
  <c r="E196" i="2" s="1"/>
  <c r="E197" i="2" a="1"/>
  <c r="E197" i="2" s="1"/>
  <c r="E198" i="2" a="1"/>
  <c r="E198" i="2" s="1"/>
  <c r="E199" i="2" a="1"/>
  <c r="E199" i="2" s="1"/>
  <c r="E200" i="2" a="1"/>
  <c r="E200" i="2" s="1"/>
  <c r="E201" i="2" a="1"/>
  <c r="E201" i="2" s="1"/>
  <c r="E202" i="2" a="1"/>
  <c r="E202" i="2" s="1"/>
  <c r="E203" i="2" a="1"/>
  <c r="E203" i="2" s="1"/>
  <c r="E204" i="2" a="1"/>
  <c r="E204" i="2" s="1"/>
  <c r="E205" i="2" a="1"/>
  <c r="E205" i="2" s="1"/>
  <c r="E206" i="2" a="1"/>
  <c r="E206" i="2" s="1"/>
  <c r="E207" i="2" a="1"/>
  <c r="E207" i="2" s="1"/>
  <c r="E208" i="2" a="1"/>
  <c r="E208" i="2" s="1"/>
  <c r="E209" i="2" a="1"/>
  <c r="E209" i="2" s="1"/>
  <c r="E210" i="2" a="1"/>
  <c r="E210" i="2" s="1"/>
  <c r="E211" i="2" a="1"/>
  <c r="E211" i="2" s="1"/>
  <c r="E212" i="2" a="1"/>
  <c r="E212" i="2" s="1"/>
  <c r="E213" i="2" a="1"/>
  <c r="E213" i="2" s="1"/>
  <c r="E214" i="2" a="1"/>
  <c r="E214" i="2" s="1"/>
  <c r="E215" i="2" a="1"/>
  <c r="E215" i="2" s="1"/>
  <c r="E216" i="2" a="1"/>
  <c r="E216" i="2" s="1"/>
  <c r="E217" i="2" a="1"/>
  <c r="E217" i="2" s="1"/>
  <c r="E218" i="2" a="1"/>
  <c r="E218" i="2" s="1"/>
  <c r="E219" i="2" a="1"/>
  <c r="E219" i="2" s="1"/>
  <c r="E220" i="2" a="1"/>
  <c r="E220" i="2" s="1"/>
  <c r="E221" i="2" a="1"/>
  <c r="E221" i="2" s="1"/>
  <c r="E222" i="2" a="1"/>
  <c r="E222" i="2" s="1"/>
  <c r="E223" i="2" a="1"/>
  <c r="E223" i="2" s="1"/>
  <c r="E224" i="2" a="1"/>
  <c r="E224" i="2" s="1"/>
  <c r="E225" i="2" a="1"/>
  <c r="E225" i="2" s="1"/>
  <c r="E226" i="2" a="1"/>
  <c r="E226" i="2" s="1"/>
  <c r="E227" i="2" a="1"/>
  <c r="E227" i="2" s="1"/>
  <c r="E228" i="2" a="1"/>
  <c r="E228" i="2" s="1"/>
  <c r="E229" i="2" a="1"/>
  <c r="E229" i="2" s="1"/>
  <c r="E230" i="2" a="1"/>
  <c r="E230" i="2" s="1"/>
  <c r="E231" i="2" a="1"/>
  <c r="E231" i="2" s="1"/>
  <c r="E232" i="2" a="1"/>
  <c r="E232" i="2" s="1"/>
  <c r="E233" i="2" a="1"/>
  <c r="E233" i="2" s="1"/>
  <c r="E234" i="2" a="1"/>
  <c r="E234" i="2" s="1"/>
  <c r="E235" i="2" a="1"/>
  <c r="E235" i="2" s="1"/>
  <c r="E236" i="2" a="1"/>
  <c r="E236" i="2" s="1"/>
  <c r="E237" i="2" a="1"/>
  <c r="E237" i="2" s="1"/>
  <c r="E238" i="2" a="1"/>
  <c r="E238" i="2" s="1"/>
  <c r="E239" i="2" a="1"/>
  <c r="E239" i="2" s="1"/>
  <c r="E240" i="2" a="1"/>
  <c r="E240" i="2" s="1"/>
  <c r="E241" i="2" a="1"/>
  <c r="E241" i="2" s="1"/>
  <c r="E242" i="2" a="1"/>
  <c r="E242" i="2" s="1"/>
  <c r="E243" i="2" a="1"/>
  <c r="E243" i="2" s="1"/>
  <c r="E244" i="2" a="1"/>
  <c r="E244" i="2" s="1"/>
  <c r="E245" i="2" a="1"/>
  <c r="E245" i="2" s="1"/>
  <c r="E246" i="2" a="1"/>
  <c r="E246" i="2" s="1"/>
  <c r="E247" i="2" a="1"/>
  <c r="E247" i="2" s="1"/>
  <c r="E248" i="2" a="1"/>
  <c r="E248" i="2" s="1"/>
  <c r="E249" i="2" a="1"/>
  <c r="E249" i="2" s="1"/>
  <c r="E250" i="2" a="1"/>
  <c r="E250" i="2" s="1"/>
  <c r="E251" i="2" a="1"/>
  <c r="E251" i="2" s="1"/>
  <c r="E252" i="2" a="1"/>
  <c r="E252" i="2" s="1"/>
  <c r="E253" i="2" a="1"/>
  <c r="E253" i="2" s="1"/>
  <c r="E254" i="2" a="1"/>
  <c r="E254" i="2" s="1"/>
  <c r="E255" i="2" a="1"/>
  <c r="E255" i="2" s="1"/>
  <c r="E256" i="2" a="1"/>
  <c r="E256" i="2" s="1"/>
  <c r="E257" i="2" a="1"/>
  <c r="E257" i="2" s="1"/>
  <c r="E258" i="2" a="1"/>
  <c r="E258" i="2" s="1"/>
  <c r="E259" i="2" a="1"/>
  <c r="E259" i="2" s="1"/>
  <c r="E260" i="2" a="1"/>
  <c r="E260" i="2" s="1"/>
  <c r="E261" i="2" a="1"/>
  <c r="E261" i="2" s="1"/>
  <c r="E262" i="2" a="1"/>
  <c r="E262" i="2" s="1"/>
  <c r="E263" i="2" a="1"/>
  <c r="E263" i="2" s="1"/>
  <c r="E264" i="2" a="1"/>
  <c r="E264" i="2" s="1"/>
  <c r="E265" i="2" a="1"/>
  <c r="E265" i="2" s="1"/>
  <c r="E266" i="2" a="1"/>
  <c r="E266" i="2" s="1"/>
  <c r="E267" i="2" a="1"/>
  <c r="E267" i="2" s="1"/>
  <c r="E268" i="2" a="1"/>
  <c r="E268" i="2" s="1"/>
  <c r="E269" i="2" a="1"/>
  <c r="E269" i="2" s="1"/>
  <c r="E270" i="2" a="1"/>
  <c r="E270" i="2" s="1"/>
  <c r="E271" i="2" a="1"/>
  <c r="E271" i="2" s="1"/>
  <c r="E272" i="2" a="1"/>
  <c r="E272" i="2" s="1"/>
  <c r="E273" i="2" a="1"/>
  <c r="E273" i="2" s="1"/>
  <c r="E274" i="2" a="1"/>
  <c r="E274" i="2" s="1"/>
  <c r="E275" i="2" a="1"/>
  <c r="E275" i="2" s="1"/>
  <c r="E276" i="2" a="1"/>
  <c r="E276" i="2" s="1"/>
  <c r="E277" i="2" a="1"/>
  <c r="E277" i="2" s="1"/>
  <c r="E278" i="2" a="1"/>
  <c r="E278" i="2" s="1"/>
  <c r="E279" i="2" a="1"/>
  <c r="E279" i="2" s="1"/>
  <c r="E280" i="2" a="1"/>
  <c r="E280" i="2" s="1"/>
  <c r="E281" i="2" a="1"/>
  <c r="E281" i="2" s="1"/>
  <c r="E282" i="2" a="1"/>
  <c r="E282" i="2" s="1"/>
  <c r="E283" i="2" a="1"/>
  <c r="E283" i="2" s="1"/>
  <c r="E284" i="2" a="1"/>
  <c r="E284" i="2" s="1"/>
  <c r="E285" i="2" a="1"/>
  <c r="E285" i="2" s="1"/>
  <c r="E286" i="2" a="1"/>
  <c r="E286" i="2" s="1"/>
  <c r="E287" i="2" a="1"/>
  <c r="E287" i="2" s="1"/>
  <c r="E288" i="2" a="1"/>
  <c r="E288" i="2" s="1"/>
  <c r="E289" i="2" a="1"/>
  <c r="E289" i="2" s="1"/>
  <c r="E290" i="2" a="1"/>
  <c r="E290" i="2" s="1"/>
  <c r="E291" i="2" a="1"/>
  <c r="E291" i="2" s="1"/>
  <c r="E292" i="2" a="1"/>
  <c r="E292" i="2" s="1"/>
  <c r="E293" i="2" a="1"/>
  <c r="E293" i="2" s="1"/>
  <c r="E294" i="2" a="1"/>
  <c r="E294" i="2" s="1"/>
  <c r="E295" i="2" a="1"/>
  <c r="E295" i="2" s="1"/>
  <c r="E296" i="2" a="1"/>
  <c r="E296" i="2" s="1"/>
  <c r="E297" i="2" a="1"/>
  <c r="E297" i="2" s="1"/>
  <c r="E298" i="2" a="1"/>
  <c r="E298" i="2" s="1"/>
  <c r="E299" i="2" a="1"/>
  <c r="E299" i="2" s="1"/>
  <c r="E300" i="2" a="1"/>
  <c r="E300" i="2" s="1"/>
  <c r="E301" i="2" a="1"/>
  <c r="E301" i="2" s="1"/>
  <c r="E302" i="2" a="1"/>
  <c r="E302" i="2" s="1"/>
  <c r="E303" i="2" a="1"/>
  <c r="E303" i="2" s="1"/>
  <c r="E304" i="2" a="1"/>
  <c r="E304" i="2" s="1"/>
  <c r="E305" i="2" a="1"/>
  <c r="E305" i="2" s="1"/>
  <c r="E306" i="2" a="1"/>
  <c r="E306" i="2" s="1"/>
  <c r="E307" i="2" a="1"/>
  <c r="E307" i="2" s="1"/>
  <c r="E308" i="2" a="1"/>
  <c r="E308" i="2" s="1"/>
  <c r="E309" i="2" a="1"/>
  <c r="E309" i="2" s="1"/>
  <c r="E310" i="2" a="1"/>
  <c r="E310" i="2" s="1"/>
  <c r="E311" i="2" a="1"/>
  <c r="E311" i="2" s="1"/>
  <c r="E312" i="2" a="1"/>
  <c r="E312" i="2" s="1"/>
  <c r="E313" i="2" a="1"/>
  <c r="E313" i="2" s="1"/>
  <c r="E314" i="2" a="1"/>
  <c r="E314" i="2" s="1"/>
  <c r="E315" i="2" a="1"/>
  <c r="E315" i="2" s="1"/>
  <c r="E316" i="2" a="1"/>
  <c r="E316" i="2" s="1"/>
  <c r="E317" i="2" a="1"/>
  <c r="E317" i="2" s="1"/>
  <c r="E318" i="2" a="1"/>
  <c r="E318" i="2" s="1"/>
  <c r="E319" i="2" a="1"/>
  <c r="E319" i="2" s="1"/>
  <c r="E320" i="2" a="1"/>
  <c r="E320" i="2" s="1"/>
  <c r="E321" i="2" a="1"/>
  <c r="E321" i="2" s="1"/>
  <c r="E322" i="2" a="1"/>
  <c r="E322" i="2" s="1"/>
  <c r="E323" i="2" a="1"/>
  <c r="E323" i="2" s="1"/>
  <c r="E324" i="2" a="1"/>
  <c r="E324" i="2" s="1"/>
  <c r="E325" i="2" a="1"/>
  <c r="E325" i="2" s="1"/>
  <c r="E326" i="2" a="1"/>
  <c r="E326" i="2" s="1"/>
  <c r="E327" i="2" a="1"/>
  <c r="E327" i="2" s="1"/>
  <c r="E328" i="2" a="1"/>
  <c r="E328" i="2" s="1"/>
  <c r="E329" i="2" a="1"/>
  <c r="E329" i="2" s="1"/>
  <c r="E330" i="2" a="1"/>
  <c r="E330" i="2" s="1"/>
  <c r="E331" i="2" a="1"/>
  <c r="E331" i="2" s="1"/>
  <c r="E332" i="2" a="1"/>
  <c r="E332" i="2" s="1"/>
  <c r="E333" i="2" a="1"/>
  <c r="E333" i="2" s="1"/>
  <c r="E334" i="2" a="1"/>
  <c r="E334" i="2" s="1"/>
  <c r="E335" i="2" a="1"/>
  <c r="E335" i="2" s="1"/>
  <c r="E336" i="2" a="1"/>
  <c r="E336" i="2" s="1"/>
  <c r="E337" i="2" a="1"/>
  <c r="E337" i="2" s="1"/>
  <c r="E338" i="2" a="1"/>
  <c r="E338" i="2" s="1"/>
  <c r="E339" i="2" a="1"/>
  <c r="E339" i="2" s="1"/>
  <c r="E340" i="2" a="1"/>
  <c r="E340" i="2" s="1"/>
  <c r="E341" i="2" a="1"/>
  <c r="E341" i="2" s="1"/>
  <c r="E342" i="2" a="1"/>
  <c r="E342" i="2" s="1"/>
  <c r="E343" i="2" a="1"/>
  <c r="E343" i="2" s="1"/>
  <c r="E344" i="2" a="1"/>
  <c r="E344" i="2" s="1"/>
  <c r="E345" i="2" a="1"/>
  <c r="E345" i="2" s="1"/>
  <c r="E346" i="2" a="1"/>
  <c r="E346" i="2" s="1"/>
  <c r="E347" i="2" a="1"/>
  <c r="E347" i="2" s="1"/>
  <c r="E348" i="2" a="1"/>
  <c r="E348" i="2" s="1"/>
  <c r="E349" i="2" a="1"/>
  <c r="E349" i="2" s="1"/>
  <c r="E350" i="2" a="1"/>
  <c r="E350" i="2" s="1"/>
  <c r="E351" i="2" a="1"/>
  <c r="E351" i="2" s="1"/>
  <c r="E352" i="2" a="1"/>
  <c r="E352" i="2" s="1"/>
  <c r="E353" i="2" a="1"/>
  <c r="E353" i="2" s="1"/>
  <c r="E354" i="2" a="1"/>
  <c r="E354" i="2" s="1"/>
  <c r="E355" i="2" a="1"/>
  <c r="E355" i="2" s="1"/>
  <c r="E356" i="2" a="1"/>
  <c r="E356" i="2" s="1"/>
  <c r="E357" i="2" a="1"/>
  <c r="E357" i="2" s="1"/>
  <c r="E358" i="2" a="1"/>
  <c r="E358" i="2" s="1"/>
  <c r="E359" i="2" a="1"/>
  <c r="E359" i="2" s="1"/>
  <c r="E360" i="2" a="1"/>
  <c r="E360" i="2" s="1"/>
  <c r="E361" i="2" a="1"/>
  <c r="E361" i="2" s="1"/>
  <c r="E362" i="2" a="1"/>
  <c r="E362" i="2" s="1"/>
  <c r="E363" i="2" a="1"/>
  <c r="E363" i="2" s="1"/>
  <c r="E364" i="2" a="1"/>
  <c r="E364" i="2" s="1"/>
  <c r="E365" i="2" a="1"/>
  <c r="E365" i="2" s="1"/>
  <c r="E366" i="2" a="1"/>
  <c r="E366" i="2" s="1"/>
  <c r="E367" i="2" a="1"/>
  <c r="E367" i="2" s="1"/>
  <c r="E368" i="2" a="1"/>
  <c r="E368" i="2" s="1"/>
  <c r="E369" i="2" a="1"/>
  <c r="E369" i="2" s="1"/>
  <c r="E370" i="2" a="1"/>
  <c r="E370" i="2" s="1"/>
  <c r="E371" i="2" a="1"/>
  <c r="E371" i="2" s="1"/>
  <c r="E372" i="2" a="1"/>
  <c r="E372" i="2" s="1"/>
  <c r="E373" i="2" a="1"/>
  <c r="E373" i="2" s="1"/>
  <c r="E374" i="2" a="1"/>
  <c r="E374" i="2" s="1"/>
  <c r="E375" i="2" a="1"/>
  <c r="E375" i="2" s="1"/>
  <c r="E376" i="2" a="1"/>
  <c r="E376" i="2" s="1"/>
  <c r="E377" i="2" a="1"/>
  <c r="E377" i="2" s="1"/>
  <c r="E378" i="2" a="1"/>
  <c r="E378" i="2" s="1"/>
  <c r="E379" i="2" a="1"/>
  <c r="E379" i="2" s="1"/>
  <c r="E380" i="2" a="1"/>
  <c r="E380" i="2" s="1"/>
  <c r="E381" i="2" a="1"/>
  <c r="E381" i="2" s="1"/>
  <c r="E382" i="2" a="1"/>
  <c r="E382" i="2" s="1"/>
  <c r="E383" i="2" a="1"/>
  <c r="E383" i="2" s="1"/>
  <c r="E384" i="2" a="1"/>
  <c r="E384" i="2" s="1"/>
  <c r="E385" i="2" a="1"/>
  <c r="E385" i="2" s="1"/>
  <c r="E386" i="2" a="1"/>
  <c r="E386" i="2" s="1"/>
  <c r="E387" i="2" a="1"/>
  <c r="E387" i="2" s="1"/>
  <c r="E388" i="2" a="1"/>
  <c r="E388" i="2" s="1"/>
  <c r="E389" i="2" a="1"/>
  <c r="E389" i="2" s="1"/>
  <c r="E390" i="2" a="1"/>
  <c r="E390" i="2" s="1"/>
  <c r="E391" i="2" a="1"/>
  <c r="E391" i="2" s="1"/>
  <c r="E392" i="2" a="1"/>
  <c r="E392" i="2" s="1"/>
  <c r="E393" i="2" a="1"/>
  <c r="E393" i="2" s="1"/>
  <c r="E394" i="2" a="1"/>
  <c r="E394" i="2" s="1"/>
  <c r="E395" i="2" a="1"/>
  <c r="E395" i="2" s="1"/>
  <c r="E396" i="2" a="1"/>
  <c r="E396" i="2" s="1"/>
  <c r="E397" i="2" a="1"/>
  <c r="E397" i="2" s="1"/>
  <c r="E398" i="2" a="1"/>
  <c r="E398" i="2" s="1"/>
  <c r="E399" i="2" a="1"/>
  <c r="E399" i="2" s="1"/>
  <c r="E400" i="2" a="1"/>
  <c r="E400" i="2" s="1"/>
  <c r="E401" i="2" a="1"/>
  <c r="E401" i="2" s="1"/>
  <c r="E402" i="2" a="1"/>
  <c r="E402" i="2" s="1"/>
  <c r="E403" i="2" a="1"/>
  <c r="E403" i="2" s="1"/>
  <c r="E404" i="2" a="1"/>
  <c r="E404" i="2" s="1"/>
  <c r="E405" i="2" a="1"/>
  <c r="E405" i="2" s="1"/>
  <c r="E406" i="2" a="1"/>
  <c r="E406" i="2" s="1"/>
  <c r="E407" i="2" a="1"/>
  <c r="E407" i="2" s="1"/>
  <c r="E408" i="2" a="1"/>
  <c r="E408" i="2" s="1"/>
  <c r="E409" i="2" a="1"/>
  <c r="E409" i="2" s="1"/>
  <c r="E410" i="2" a="1"/>
  <c r="E410" i="2" s="1"/>
  <c r="E411" i="2" a="1"/>
  <c r="E411" i="2" s="1"/>
  <c r="E412" i="2" a="1"/>
  <c r="E412" i="2" s="1"/>
  <c r="E413" i="2" a="1"/>
  <c r="E413" i="2" s="1"/>
  <c r="E414" i="2" a="1"/>
  <c r="E414" i="2" s="1"/>
  <c r="E415" i="2" a="1"/>
  <c r="E415" i="2" s="1"/>
  <c r="E416" i="2" a="1"/>
  <c r="E416" i="2" s="1"/>
  <c r="E417" i="2" a="1"/>
  <c r="E417" i="2" s="1"/>
  <c r="E418" i="2" a="1"/>
  <c r="E418" i="2" s="1"/>
  <c r="E419" i="2" a="1"/>
  <c r="E419" i="2" s="1"/>
  <c r="E420" i="2" a="1"/>
  <c r="E420" i="2" s="1"/>
  <c r="E421" i="2" a="1"/>
  <c r="E421" i="2" s="1"/>
  <c r="E422" i="2" a="1"/>
  <c r="E422" i="2" s="1"/>
  <c r="E423" i="2" a="1"/>
  <c r="E423" i="2" s="1"/>
  <c r="E424" i="2" a="1"/>
  <c r="E424" i="2" s="1"/>
  <c r="E425" i="2" a="1"/>
  <c r="E425" i="2" s="1"/>
  <c r="E426" i="2" a="1"/>
  <c r="E426" i="2" s="1"/>
  <c r="E427" i="2" a="1"/>
  <c r="E427" i="2" s="1"/>
  <c r="E428" i="2" a="1"/>
  <c r="E428" i="2" s="1"/>
  <c r="E429" i="2" a="1"/>
  <c r="E429" i="2" s="1"/>
  <c r="E430" i="2" a="1"/>
  <c r="E430" i="2" s="1"/>
  <c r="E431" i="2" a="1"/>
  <c r="E431" i="2" s="1"/>
  <c r="E432" i="2" a="1"/>
  <c r="E432" i="2" s="1"/>
  <c r="E433" i="2" a="1"/>
  <c r="E433" i="2" s="1"/>
  <c r="E434" i="2" a="1"/>
  <c r="E434" i="2" s="1"/>
  <c r="E435" i="2" a="1"/>
  <c r="E435" i="2" s="1"/>
  <c r="E436" i="2" a="1"/>
  <c r="E436" i="2" s="1"/>
  <c r="E437" i="2" a="1"/>
  <c r="E437" i="2" s="1"/>
  <c r="E438" i="2" a="1"/>
  <c r="E438" i="2" s="1"/>
  <c r="E439" i="2" a="1"/>
  <c r="E439" i="2" s="1"/>
  <c r="E440" i="2" a="1"/>
  <c r="E440" i="2" s="1"/>
  <c r="E441" i="2" a="1"/>
  <c r="E441" i="2" s="1"/>
  <c r="E442" i="2" a="1"/>
  <c r="E442" i="2" s="1"/>
  <c r="E443" i="2" a="1"/>
  <c r="E443" i="2" s="1"/>
  <c r="E444" i="2" a="1"/>
  <c r="E444" i="2" s="1"/>
  <c r="E445" i="2" a="1"/>
  <c r="E445" i="2" s="1"/>
  <c r="E446" i="2" a="1"/>
  <c r="E446" i="2" s="1"/>
  <c r="E447" i="2" a="1"/>
  <c r="E447" i="2" s="1"/>
  <c r="E448" i="2" a="1"/>
  <c r="E448" i="2" s="1"/>
  <c r="E449" i="2" a="1"/>
  <c r="E449" i="2" s="1"/>
  <c r="E450" i="2" a="1"/>
  <c r="E450" i="2" s="1"/>
  <c r="E451" i="2" a="1"/>
  <c r="E451" i="2" s="1"/>
  <c r="E452" i="2" a="1"/>
  <c r="E452" i="2" s="1"/>
  <c r="E453" i="2" a="1"/>
  <c r="E453" i="2" s="1"/>
  <c r="E454" i="2" a="1"/>
  <c r="E454" i="2" s="1"/>
  <c r="E455" i="2" a="1"/>
  <c r="E455" i="2" s="1"/>
  <c r="E456" i="2" a="1"/>
  <c r="E456" i="2" s="1"/>
  <c r="E457" i="2" a="1"/>
  <c r="E457" i="2" s="1"/>
  <c r="E458" i="2" a="1"/>
  <c r="E458" i="2" s="1"/>
  <c r="E459" i="2" a="1"/>
  <c r="E459" i="2" s="1"/>
  <c r="E460" i="2" a="1"/>
  <c r="E460" i="2" s="1"/>
  <c r="E461" i="2" a="1"/>
  <c r="E461" i="2" s="1"/>
  <c r="E462" i="2" a="1"/>
  <c r="E462" i="2" s="1"/>
  <c r="E463" i="2" a="1"/>
  <c r="E463" i="2" s="1"/>
  <c r="E464" i="2" a="1"/>
  <c r="E464" i="2" s="1"/>
  <c r="E465" i="2" a="1"/>
  <c r="E465" i="2" s="1"/>
  <c r="E466" i="2" a="1"/>
  <c r="E466" i="2" s="1"/>
  <c r="E467" i="2" a="1"/>
  <c r="E467" i="2" s="1"/>
  <c r="E468" i="2" a="1"/>
  <c r="E468" i="2" s="1"/>
  <c r="E469" i="2" a="1"/>
  <c r="E469" i="2" s="1"/>
  <c r="E470" i="2" a="1"/>
  <c r="E470" i="2" s="1"/>
  <c r="E471" i="2" a="1"/>
  <c r="E471" i="2" s="1"/>
  <c r="E472" i="2" a="1"/>
  <c r="E472" i="2" s="1"/>
  <c r="E473" i="2" a="1"/>
  <c r="E473" i="2" s="1"/>
  <c r="E474" i="2" a="1"/>
  <c r="E474" i="2" s="1"/>
  <c r="E475" i="2" a="1"/>
  <c r="E475" i="2" s="1"/>
  <c r="E476" i="2" a="1"/>
  <c r="E476" i="2" s="1"/>
  <c r="E477" i="2" a="1"/>
  <c r="E477" i="2" s="1"/>
  <c r="E478" i="2" a="1"/>
  <c r="E478" i="2" s="1"/>
  <c r="E479" i="2" a="1"/>
  <c r="E479" i="2" s="1"/>
  <c r="E480" i="2" a="1"/>
  <c r="E480" i="2" s="1"/>
  <c r="E481" i="2" a="1"/>
  <c r="E481" i="2" s="1"/>
  <c r="E482" i="2" a="1"/>
  <c r="E482" i="2" s="1"/>
  <c r="E483" i="2" a="1"/>
  <c r="E483" i="2" s="1"/>
  <c r="E484" i="2" a="1"/>
  <c r="E484" i="2" s="1"/>
  <c r="E485" i="2" a="1"/>
  <c r="E485" i="2" s="1"/>
  <c r="E486" i="2" a="1"/>
  <c r="E486" i="2" s="1"/>
  <c r="E487" i="2" a="1"/>
  <c r="E487" i="2" s="1"/>
  <c r="E488" i="2" a="1"/>
  <c r="E488" i="2" s="1"/>
  <c r="E489" i="2" a="1"/>
  <c r="E489" i="2" s="1"/>
  <c r="E490" i="2" a="1"/>
  <c r="E490" i="2" s="1"/>
  <c r="E491" i="2" a="1"/>
  <c r="E491" i="2" s="1"/>
  <c r="E492" i="2" a="1"/>
  <c r="E492" i="2" s="1"/>
  <c r="E493" i="2" a="1"/>
  <c r="E493" i="2" s="1"/>
  <c r="E494" i="2" a="1"/>
  <c r="E494" i="2" s="1"/>
  <c r="E495" i="2" a="1"/>
  <c r="E495" i="2" s="1"/>
  <c r="E496" i="2" a="1"/>
  <c r="E496" i="2" s="1"/>
  <c r="E497" i="2" a="1"/>
  <c r="E497" i="2" s="1"/>
  <c r="E498" i="2" a="1"/>
  <c r="E498" i="2" s="1"/>
  <c r="E499" i="2" a="1"/>
  <c r="E499" i="2" s="1"/>
  <c r="E500" i="2" a="1"/>
  <c r="E500" i="2" s="1"/>
  <c r="E501" i="2" a="1"/>
  <c r="E501" i="2" s="1"/>
  <c r="E502" i="2" a="1"/>
  <c r="E502" i="2" s="1"/>
  <c r="E503" i="2" a="1"/>
  <c r="E503" i="2" s="1"/>
  <c r="E504" i="2" a="1"/>
  <c r="E504" i="2" s="1"/>
  <c r="E505" i="2" a="1"/>
  <c r="E505" i="2" s="1"/>
  <c r="E506" i="2" a="1"/>
  <c r="E506" i="2" s="1"/>
  <c r="E507" i="2" a="1"/>
  <c r="E507" i="2" s="1"/>
  <c r="E508" i="2" a="1"/>
  <c r="E508" i="2" s="1"/>
  <c r="E509" i="2" a="1"/>
  <c r="E509" i="2" s="1"/>
  <c r="E510" i="2" a="1"/>
  <c r="E510" i="2" s="1"/>
  <c r="E511" i="2" a="1"/>
  <c r="E511" i="2" s="1"/>
  <c r="E512" i="2" a="1"/>
  <c r="E512" i="2" s="1"/>
  <c r="E513" i="2" a="1"/>
  <c r="E513" i="2" s="1"/>
  <c r="E514" i="2" a="1"/>
  <c r="E514" i="2" s="1"/>
  <c r="E515" i="2" a="1"/>
  <c r="E515" i="2" s="1"/>
  <c r="E516" i="2" a="1"/>
  <c r="E516" i="2" s="1"/>
  <c r="E517" i="2" a="1"/>
  <c r="E517" i="2" s="1"/>
  <c r="E518" i="2" a="1"/>
  <c r="E518" i="2" s="1"/>
  <c r="E519" i="2" a="1"/>
  <c r="E519" i="2" s="1"/>
  <c r="E520" i="2" a="1"/>
  <c r="E520" i="2" s="1"/>
  <c r="E521" i="2" a="1"/>
  <c r="E521" i="2" s="1"/>
  <c r="E522" i="2" a="1"/>
  <c r="E522" i="2" s="1"/>
  <c r="E523" i="2" a="1"/>
  <c r="E523" i="2" s="1"/>
  <c r="E524" i="2" a="1"/>
  <c r="E524" i="2" s="1"/>
  <c r="E525" i="2" a="1"/>
  <c r="E525" i="2" s="1"/>
  <c r="E526" i="2" a="1"/>
  <c r="E526" i="2" s="1"/>
  <c r="E527" i="2" a="1"/>
  <c r="E527" i="2" s="1"/>
  <c r="E528" i="2" a="1"/>
  <c r="E528" i="2" s="1"/>
  <c r="E529" i="2" a="1"/>
  <c r="E529" i="2" s="1"/>
  <c r="E530" i="2" a="1"/>
  <c r="E530" i="2" s="1"/>
  <c r="E531" i="2" a="1"/>
  <c r="E531" i="2" s="1"/>
  <c r="E532" i="2" a="1"/>
  <c r="E532" i="2" s="1"/>
  <c r="E533" i="2" a="1"/>
  <c r="E533" i="2" s="1"/>
  <c r="E534" i="2" a="1"/>
  <c r="E534" i="2" s="1"/>
  <c r="E535" i="2" a="1"/>
  <c r="E535" i="2" s="1"/>
  <c r="E536" i="2" a="1"/>
  <c r="E536" i="2" s="1"/>
  <c r="E537" i="2" a="1"/>
  <c r="E537" i="2" s="1"/>
  <c r="E538" i="2" a="1"/>
  <c r="E538" i="2" s="1"/>
  <c r="E539" i="2" a="1"/>
  <c r="E539" i="2" s="1"/>
  <c r="E540" i="2" a="1"/>
  <c r="E540" i="2" s="1"/>
  <c r="E541" i="2" a="1"/>
  <c r="E541" i="2" s="1"/>
  <c r="E542" i="2" a="1"/>
  <c r="E542" i="2" s="1"/>
  <c r="E543" i="2" a="1"/>
  <c r="E543" i="2" s="1"/>
  <c r="E544" i="2" a="1"/>
  <c r="E544" i="2" s="1"/>
  <c r="E545" i="2" a="1"/>
  <c r="E545" i="2" s="1"/>
  <c r="E546" i="2" a="1"/>
  <c r="E546" i="2" s="1"/>
  <c r="E547" i="2" a="1"/>
  <c r="E547" i="2" s="1"/>
  <c r="E548" i="2" a="1"/>
  <c r="E548" i="2" s="1"/>
  <c r="E549" i="2" a="1"/>
  <c r="E549" i="2" s="1"/>
  <c r="E550" i="2" a="1"/>
  <c r="E550" i="2" s="1"/>
  <c r="E551" i="2" a="1"/>
  <c r="E551" i="2" s="1"/>
  <c r="E552" i="2" a="1"/>
  <c r="E552" i="2" s="1"/>
  <c r="E553" i="2" a="1"/>
  <c r="E553" i="2" s="1"/>
  <c r="E554" i="2" a="1"/>
  <c r="E554" i="2" s="1"/>
  <c r="E555" i="2" a="1"/>
  <c r="E555" i="2" s="1"/>
  <c r="E556" i="2" a="1"/>
  <c r="E556" i="2" s="1"/>
  <c r="E557" i="2" a="1"/>
  <c r="E557" i="2" s="1"/>
  <c r="E558" i="2" a="1"/>
  <c r="E558" i="2" s="1"/>
  <c r="E559" i="2" a="1"/>
  <c r="E559" i="2" s="1"/>
  <c r="E560" i="2" a="1"/>
  <c r="E560" i="2" s="1"/>
  <c r="E561" i="2" a="1"/>
  <c r="E561" i="2" s="1"/>
  <c r="E562" i="2" a="1"/>
  <c r="E562" i="2" s="1"/>
  <c r="E563" i="2" a="1"/>
  <c r="E563" i="2" s="1"/>
  <c r="E564" i="2" a="1"/>
  <c r="E564" i="2" s="1"/>
  <c r="E565" i="2" a="1"/>
  <c r="E565" i="2" s="1"/>
  <c r="E566" i="2" a="1"/>
  <c r="E566" i="2" s="1"/>
  <c r="E567" i="2" a="1"/>
  <c r="E567" i="2" s="1"/>
  <c r="E568" i="2" a="1"/>
  <c r="E568" i="2" s="1"/>
  <c r="E569" i="2" a="1"/>
  <c r="E569" i="2" s="1"/>
  <c r="E570" i="2" a="1"/>
  <c r="E570" i="2" s="1"/>
  <c r="E571" i="2" a="1"/>
  <c r="E571" i="2" s="1"/>
  <c r="E572" i="2" a="1"/>
  <c r="E572" i="2" s="1"/>
  <c r="E573" i="2" a="1"/>
  <c r="E573" i="2" s="1"/>
  <c r="E574" i="2" a="1"/>
  <c r="E574" i="2" s="1"/>
  <c r="E575" i="2" a="1"/>
  <c r="E575" i="2" s="1"/>
  <c r="E576" i="2" a="1"/>
  <c r="E576" i="2" s="1"/>
  <c r="E577" i="2" a="1"/>
  <c r="E577" i="2" s="1"/>
  <c r="E578" i="2" a="1"/>
  <c r="E578" i="2" s="1"/>
  <c r="E579" i="2" a="1"/>
  <c r="E579" i="2" s="1"/>
  <c r="E580" i="2" a="1"/>
  <c r="E580" i="2" s="1"/>
  <c r="E581" i="2" a="1"/>
  <c r="E581" i="2" s="1"/>
  <c r="E582" i="2" a="1"/>
  <c r="E582" i="2" s="1"/>
  <c r="E583" i="2" a="1"/>
  <c r="E583" i="2" s="1"/>
  <c r="E584" i="2" a="1"/>
  <c r="E584" i="2" s="1"/>
  <c r="E585" i="2" a="1"/>
  <c r="E585" i="2" s="1"/>
  <c r="E586" i="2" a="1"/>
  <c r="E586" i="2" s="1"/>
  <c r="E587" i="2" a="1"/>
  <c r="E587" i="2" s="1"/>
  <c r="E588" i="2" a="1"/>
  <c r="E588" i="2" s="1"/>
  <c r="E589" i="2" a="1"/>
  <c r="E589" i="2" s="1"/>
  <c r="E590" i="2" a="1"/>
  <c r="E590" i="2" s="1"/>
  <c r="E591" i="2" a="1"/>
  <c r="E591" i="2" s="1"/>
  <c r="E592" i="2" a="1"/>
  <c r="E592" i="2" s="1"/>
  <c r="E593" i="2" a="1"/>
  <c r="E593" i="2" s="1"/>
  <c r="E594" i="2" a="1"/>
  <c r="E594" i="2" s="1"/>
  <c r="E595" i="2" a="1"/>
  <c r="E595" i="2" s="1"/>
  <c r="E596" i="2" a="1"/>
  <c r="E596" i="2" s="1"/>
  <c r="E597" i="2" a="1"/>
  <c r="E597" i="2" s="1"/>
  <c r="E598" i="2" a="1"/>
  <c r="E598" i="2" s="1"/>
  <c r="E599" i="2" a="1"/>
  <c r="E599" i="2" s="1"/>
  <c r="E600" i="2" a="1"/>
  <c r="E600" i="2" s="1"/>
  <c r="E601" i="2" a="1"/>
  <c r="E601" i="2" s="1"/>
  <c r="E602" i="2" a="1"/>
  <c r="E602" i="2" s="1"/>
  <c r="E603" i="2" a="1"/>
  <c r="E603" i="2" s="1"/>
  <c r="E604" i="2" a="1"/>
  <c r="E604" i="2" s="1"/>
  <c r="E605" i="2" a="1"/>
  <c r="E605" i="2" s="1"/>
  <c r="E606" i="2" a="1"/>
  <c r="E606" i="2" s="1"/>
  <c r="E607" i="2" a="1"/>
  <c r="E607" i="2" s="1"/>
  <c r="E608" i="2" a="1"/>
  <c r="E608" i="2" s="1"/>
  <c r="E609" i="2" a="1"/>
  <c r="E609" i="2" s="1"/>
  <c r="E610" i="2" a="1"/>
  <c r="E610" i="2" s="1"/>
  <c r="E611" i="2" a="1"/>
  <c r="E611" i="2" s="1"/>
  <c r="E612" i="2" a="1"/>
  <c r="E612" i="2" s="1"/>
  <c r="E613" i="2" a="1"/>
  <c r="E613" i="2" s="1"/>
  <c r="E614" i="2" a="1"/>
  <c r="E614" i="2" s="1"/>
  <c r="E615" i="2" a="1"/>
  <c r="E615" i="2" s="1"/>
  <c r="E616" i="2" a="1"/>
  <c r="E616" i="2" s="1"/>
  <c r="E617" i="2" a="1"/>
  <c r="E617" i="2" s="1"/>
  <c r="E618" i="2" a="1"/>
  <c r="E618" i="2" s="1"/>
  <c r="E619" i="2" a="1"/>
  <c r="E619" i="2" s="1"/>
  <c r="E620" i="2" a="1"/>
  <c r="E620" i="2" s="1"/>
  <c r="E621" i="2" a="1"/>
  <c r="E621" i="2" s="1"/>
  <c r="E622" i="2" a="1"/>
  <c r="E622" i="2" s="1"/>
  <c r="E623" i="2" a="1"/>
  <c r="E623" i="2" s="1"/>
  <c r="E624" i="2" a="1"/>
  <c r="E624" i="2" s="1"/>
  <c r="E625" i="2" a="1"/>
  <c r="E625" i="2" s="1"/>
  <c r="E626" i="2" a="1"/>
  <c r="E626" i="2" s="1"/>
  <c r="E627" i="2" a="1"/>
  <c r="E627" i="2" s="1"/>
  <c r="E628" i="2" a="1"/>
  <c r="E628" i="2" s="1"/>
  <c r="E629" i="2" a="1"/>
  <c r="E629" i="2" s="1"/>
  <c r="E630" i="2" a="1"/>
  <c r="E630" i="2" s="1"/>
  <c r="E631" i="2" a="1"/>
  <c r="E631" i="2" s="1"/>
  <c r="E632" i="2" a="1"/>
  <c r="E632" i="2" s="1"/>
  <c r="E633" i="2" a="1"/>
  <c r="E633" i="2" s="1"/>
  <c r="E634" i="2" a="1"/>
  <c r="E634" i="2" s="1"/>
  <c r="E635" i="2" a="1"/>
  <c r="E635" i="2" s="1"/>
  <c r="E636" i="2" a="1"/>
  <c r="E636" i="2" s="1"/>
  <c r="E637" i="2" a="1"/>
  <c r="E637" i="2" s="1"/>
  <c r="E638" i="2" a="1"/>
  <c r="E638" i="2" s="1"/>
  <c r="E639" i="2" a="1"/>
  <c r="E639" i="2" s="1"/>
  <c r="E640" i="2" a="1"/>
  <c r="E640" i="2" s="1"/>
  <c r="E641" i="2" a="1"/>
  <c r="E641" i="2" s="1"/>
  <c r="E642" i="2" a="1"/>
  <c r="E642" i="2" s="1"/>
  <c r="E643" i="2" a="1"/>
  <c r="E643" i="2" s="1"/>
  <c r="E644" i="2" a="1"/>
  <c r="E644" i="2" s="1"/>
  <c r="E645" i="2" a="1"/>
  <c r="E645" i="2" s="1"/>
  <c r="E646" i="2" a="1"/>
  <c r="E646" i="2" s="1"/>
  <c r="E647" i="2" a="1"/>
  <c r="E647" i="2" s="1"/>
  <c r="E648" i="2" a="1"/>
  <c r="E648" i="2" s="1"/>
  <c r="E649" i="2" a="1"/>
  <c r="E649" i="2" s="1"/>
  <c r="E650" i="2" a="1"/>
  <c r="E650" i="2" s="1"/>
  <c r="E651" i="2" a="1"/>
  <c r="E651" i="2" s="1"/>
  <c r="E652" i="2" a="1"/>
  <c r="E652" i="2" s="1"/>
  <c r="E653" i="2" a="1"/>
  <c r="E653" i="2" s="1"/>
  <c r="E654" i="2" a="1"/>
  <c r="E654" i="2" s="1"/>
  <c r="E655" i="2" a="1"/>
  <c r="E655" i="2" s="1"/>
  <c r="E656" i="2" a="1"/>
  <c r="E656" i="2" s="1"/>
  <c r="E657" i="2" a="1"/>
  <c r="E657" i="2" s="1"/>
  <c r="E658" i="2" a="1"/>
  <c r="E658" i="2" s="1"/>
  <c r="E659" i="2" a="1"/>
  <c r="E659" i="2" s="1"/>
  <c r="E660" i="2" a="1"/>
  <c r="E660" i="2" s="1"/>
  <c r="E661" i="2" a="1"/>
  <c r="E661" i="2" s="1"/>
  <c r="E662" i="2" a="1"/>
  <c r="E662" i="2" s="1"/>
  <c r="E663" i="2" a="1"/>
  <c r="E663" i="2" s="1"/>
  <c r="E664" i="2" a="1"/>
  <c r="E664" i="2" s="1"/>
  <c r="E665" i="2" a="1"/>
  <c r="E665" i="2" s="1"/>
  <c r="E666" i="2" a="1"/>
  <c r="E666" i="2" s="1"/>
  <c r="E667" i="2" a="1"/>
  <c r="E667" i="2" s="1"/>
  <c r="E668" i="2" a="1"/>
  <c r="E668" i="2" s="1"/>
  <c r="E669" i="2" a="1"/>
  <c r="E669" i="2" s="1"/>
  <c r="E670" i="2" a="1"/>
  <c r="E670" i="2" s="1"/>
  <c r="E671" i="2" a="1"/>
  <c r="E671" i="2" s="1"/>
  <c r="E672" i="2" a="1"/>
  <c r="E672" i="2" s="1"/>
  <c r="E673" i="2" a="1"/>
  <c r="E673" i="2" s="1"/>
  <c r="E674" i="2" a="1"/>
  <c r="E674" i="2" s="1"/>
  <c r="E675" i="2" a="1"/>
  <c r="E675" i="2" s="1"/>
  <c r="E676" i="2" a="1"/>
  <c r="E676" i="2" s="1"/>
  <c r="E677" i="2" a="1"/>
  <c r="E677" i="2" s="1"/>
  <c r="E678" i="2" a="1"/>
  <c r="E678" i="2" s="1"/>
  <c r="E679" i="2" a="1"/>
  <c r="E679" i="2" s="1"/>
  <c r="E680" i="2" a="1"/>
  <c r="E680" i="2" s="1"/>
  <c r="E681" i="2" a="1"/>
  <c r="E681" i="2" s="1"/>
  <c r="E682" i="2" a="1"/>
  <c r="E682" i="2" s="1"/>
  <c r="E683" i="2" a="1"/>
  <c r="E683" i="2" s="1"/>
  <c r="E684" i="2" a="1"/>
  <c r="E684" i="2" s="1"/>
  <c r="E685" i="2" a="1"/>
  <c r="E685" i="2" s="1"/>
  <c r="E686" i="2" a="1"/>
  <c r="E686" i="2" s="1"/>
  <c r="E687" i="2" a="1"/>
  <c r="E687" i="2" s="1"/>
  <c r="E688" i="2" a="1"/>
  <c r="E688" i="2" s="1"/>
  <c r="E689" i="2" a="1"/>
  <c r="E689" i="2" s="1"/>
  <c r="E690" i="2" a="1"/>
  <c r="E690" i="2" s="1"/>
  <c r="E691" i="2" a="1"/>
  <c r="E691" i="2" s="1"/>
  <c r="E692" i="2" a="1"/>
  <c r="E692" i="2" s="1"/>
  <c r="E693" i="2" a="1"/>
  <c r="E693" i="2" s="1"/>
  <c r="E694" i="2" a="1"/>
  <c r="E694" i="2" s="1"/>
  <c r="E695" i="2" a="1"/>
  <c r="E695" i="2" s="1"/>
  <c r="E696" i="2" a="1"/>
  <c r="E696" i="2" s="1"/>
  <c r="E697" i="2" a="1"/>
  <c r="E697" i="2" s="1"/>
  <c r="E698" i="2" a="1"/>
  <c r="E698" i="2" s="1"/>
  <c r="E699" i="2" a="1"/>
  <c r="E699" i="2" s="1"/>
  <c r="E700" i="2" a="1"/>
  <c r="E700" i="2" s="1"/>
  <c r="E701" i="2" a="1"/>
  <c r="E701" i="2" s="1"/>
  <c r="E702" i="2" a="1"/>
  <c r="E702" i="2" s="1"/>
  <c r="E703" i="2" a="1"/>
  <c r="E703" i="2" s="1"/>
  <c r="E704" i="2" a="1"/>
  <c r="E704" i="2" s="1"/>
  <c r="E705" i="2" a="1"/>
  <c r="E705" i="2" s="1"/>
  <c r="E706" i="2" a="1"/>
  <c r="E706" i="2" s="1"/>
  <c r="E707" i="2" a="1"/>
  <c r="E707" i="2" s="1"/>
  <c r="E708" i="2" a="1"/>
  <c r="E708" i="2" s="1"/>
  <c r="E709" i="2" a="1"/>
  <c r="E709" i="2" s="1"/>
  <c r="E710" i="2" a="1"/>
  <c r="E710" i="2" s="1"/>
  <c r="E711" i="2" a="1"/>
  <c r="E711" i="2" s="1"/>
  <c r="E712" i="2" a="1"/>
  <c r="E712" i="2" s="1"/>
  <c r="E713" i="2" a="1"/>
  <c r="E713" i="2" s="1"/>
  <c r="E714" i="2" a="1"/>
  <c r="E714" i="2" s="1"/>
  <c r="E715" i="2" a="1"/>
  <c r="E715" i="2" s="1"/>
  <c r="E716" i="2" a="1"/>
  <c r="E716" i="2" s="1"/>
  <c r="E717" i="2" a="1"/>
  <c r="E717" i="2" s="1"/>
  <c r="E718" i="2" a="1"/>
  <c r="E718" i="2" s="1"/>
  <c r="E719" i="2" a="1"/>
  <c r="E719" i="2" s="1"/>
  <c r="E720" i="2" a="1"/>
  <c r="E720" i="2" s="1"/>
  <c r="E721" i="2" a="1"/>
  <c r="E721" i="2" s="1"/>
  <c r="E722" i="2" a="1"/>
  <c r="E722" i="2" s="1"/>
  <c r="E723" i="2" a="1"/>
  <c r="E723" i="2" s="1"/>
  <c r="E724" i="2" a="1"/>
  <c r="E724" i="2" s="1"/>
  <c r="E725" i="2" a="1"/>
  <c r="E725" i="2" s="1"/>
  <c r="E726" i="2" a="1"/>
  <c r="E726" i="2" s="1"/>
  <c r="E727" i="2" a="1"/>
  <c r="E727" i="2" s="1"/>
  <c r="E728" i="2" a="1"/>
  <c r="E728" i="2" s="1"/>
  <c r="E729" i="2" a="1"/>
  <c r="E729" i="2" s="1"/>
  <c r="E730" i="2" a="1"/>
  <c r="E730" i="2" s="1"/>
  <c r="E731" i="2" a="1"/>
  <c r="E731" i="2" s="1"/>
  <c r="E732" i="2" a="1"/>
  <c r="E732" i="2" s="1"/>
  <c r="E733" i="2" a="1"/>
  <c r="E733" i="2" s="1"/>
  <c r="E734" i="2" a="1"/>
  <c r="E734" i="2" s="1"/>
  <c r="E735" i="2" a="1"/>
  <c r="E735" i="2" s="1"/>
  <c r="E736" i="2" a="1"/>
  <c r="E736" i="2" s="1"/>
  <c r="E737" i="2" a="1"/>
  <c r="E737" i="2" s="1"/>
  <c r="E738" i="2" a="1"/>
  <c r="E738" i="2" s="1"/>
  <c r="E739" i="2" a="1"/>
  <c r="E739" i="2" s="1"/>
  <c r="E740" i="2" a="1"/>
  <c r="E740" i="2" s="1"/>
  <c r="E741" i="2" a="1"/>
  <c r="E741" i="2" s="1"/>
  <c r="E742" i="2" a="1"/>
  <c r="E742" i="2" s="1"/>
  <c r="E743" i="2" a="1"/>
  <c r="E743" i="2" s="1"/>
  <c r="E744" i="2" a="1"/>
  <c r="E744" i="2" s="1"/>
  <c r="E745" i="2" a="1"/>
  <c r="E745" i="2" s="1"/>
  <c r="E746" i="2" a="1"/>
  <c r="E746" i="2" s="1"/>
  <c r="E747" i="2" a="1"/>
  <c r="E747" i="2" s="1"/>
  <c r="E748" i="2" a="1"/>
  <c r="E748" i="2" s="1"/>
  <c r="E749" i="2" a="1"/>
  <c r="E749" i="2" s="1"/>
  <c r="E750" i="2" a="1"/>
  <c r="E750" i="2" s="1"/>
  <c r="E751" i="2" a="1"/>
  <c r="E751" i="2" s="1"/>
  <c r="E752" i="2" a="1"/>
  <c r="E752" i="2" s="1"/>
  <c r="E753" i="2" a="1"/>
  <c r="E753" i="2" s="1"/>
  <c r="E754" i="2" a="1"/>
  <c r="E754" i="2" s="1"/>
  <c r="E755" i="2" a="1"/>
  <c r="E755" i="2" s="1"/>
  <c r="E756" i="2" a="1"/>
  <c r="E756" i="2" s="1"/>
  <c r="E757" i="2" a="1"/>
  <c r="E757" i="2" s="1"/>
  <c r="E758" i="2" a="1"/>
  <c r="E758" i="2" s="1"/>
  <c r="E759" i="2" a="1"/>
  <c r="E759" i="2" s="1"/>
  <c r="E760" i="2" a="1"/>
  <c r="E760" i="2" s="1"/>
  <c r="E761" i="2" a="1"/>
  <c r="E761" i="2" s="1"/>
  <c r="E762" i="2" a="1"/>
  <c r="E762" i="2" s="1"/>
  <c r="E763" i="2" a="1"/>
  <c r="E763" i="2" s="1"/>
  <c r="E764" i="2" a="1"/>
  <c r="E764" i="2" s="1"/>
  <c r="E765" i="2" a="1"/>
  <c r="E765" i="2" s="1"/>
  <c r="E766" i="2" a="1"/>
  <c r="E766" i="2" s="1"/>
  <c r="E767" i="2" a="1"/>
  <c r="E767" i="2" s="1"/>
  <c r="E768" i="2" a="1"/>
  <c r="E768" i="2" s="1"/>
  <c r="E769" i="2" a="1"/>
  <c r="E769" i="2" s="1"/>
  <c r="E770" i="2" a="1"/>
  <c r="E770" i="2" s="1"/>
  <c r="E771" i="2" a="1"/>
  <c r="E771" i="2" s="1"/>
  <c r="E772" i="2" a="1"/>
  <c r="E772" i="2" s="1"/>
  <c r="E773" i="2" a="1"/>
  <c r="E773" i="2" s="1"/>
  <c r="E774" i="2" a="1"/>
  <c r="E774" i="2" s="1"/>
  <c r="E775" i="2" a="1"/>
  <c r="E775" i="2" s="1"/>
  <c r="E776" i="2" a="1"/>
  <c r="E776" i="2" s="1"/>
  <c r="E777" i="2" a="1"/>
  <c r="E777" i="2" s="1"/>
  <c r="E778" i="2" a="1"/>
  <c r="E778" i="2" s="1"/>
  <c r="E779" i="2" a="1"/>
  <c r="E779" i="2" s="1"/>
  <c r="E780" i="2" a="1"/>
  <c r="E780" i="2" s="1"/>
  <c r="E781" i="2" a="1"/>
  <c r="E781" i="2" s="1"/>
  <c r="E782" i="2" a="1"/>
  <c r="E782" i="2" s="1"/>
  <c r="E783" i="2" a="1"/>
  <c r="E783" i="2" s="1"/>
  <c r="E784" i="2" a="1"/>
  <c r="E784" i="2" s="1"/>
  <c r="E785" i="2" a="1"/>
  <c r="E785" i="2" s="1"/>
  <c r="E786" i="2" a="1"/>
  <c r="E786" i="2" s="1"/>
  <c r="E787" i="2" a="1"/>
  <c r="E787" i="2" s="1"/>
  <c r="E788" i="2" a="1"/>
  <c r="E788" i="2" s="1"/>
  <c r="E789" i="2" a="1"/>
  <c r="E789" i="2" s="1"/>
  <c r="E790" i="2" a="1"/>
  <c r="E790" i="2" s="1"/>
  <c r="E791" i="2" a="1"/>
  <c r="E791" i="2" s="1"/>
  <c r="E792" i="2" a="1"/>
  <c r="E792" i="2" s="1"/>
  <c r="E793" i="2" a="1"/>
  <c r="E793" i="2" s="1"/>
  <c r="E794" i="2" a="1"/>
  <c r="E794" i="2" s="1"/>
  <c r="E795" i="2" a="1"/>
  <c r="E795" i="2" s="1"/>
  <c r="E796" i="2" a="1"/>
  <c r="E796" i="2" s="1"/>
  <c r="E797" i="2" a="1"/>
  <c r="E797" i="2" s="1"/>
  <c r="E798" i="2" a="1"/>
  <c r="E798" i="2" s="1"/>
  <c r="E799" i="2" a="1"/>
  <c r="E799" i="2" s="1"/>
  <c r="E800" i="2" a="1"/>
  <c r="E800" i="2" s="1"/>
  <c r="E801" i="2" a="1"/>
  <c r="E801" i="2" s="1"/>
  <c r="E802" i="2" a="1"/>
  <c r="E802" i="2" s="1"/>
  <c r="E803" i="2" a="1"/>
  <c r="E803" i="2" s="1"/>
  <c r="E804" i="2" a="1"/>
  <c r="E804" i="2" s="1"/>
  <c r="E805" i="2" a="1"/>
  <c r="E805" i="2" s="1"/>
  <c r="E806" i="2" a="1"/>
  <c r="E806" i="2" s="1"/>
  <c r="E807" i="2" a="1"/>
  <c r="E807" i="2" s="1"/>
  <c r="E808" i="2" a="1"/>
  <c r="E808" i="2" s="1"/>
  <c r="E809" i="2" a="1"/>
  <c r="E809" i="2" s="1"/>
  <c r="E810" i="2" a="1"/>
  <c r="E810" i="2" s="1"/>
  <c r="E811" i="2" a="1"/>
  <c r="E811" i="2" s="1"/>
  <c r="E812" i="2" a="1"/>
  <c r="E812" i="2" s="1"/>
  <c r="E813" i="2" a="1"/>
  <c r="E813" i="2" s="1"/>
  <c r="E814" i="2" a="1"/>
  <c r="E814" i="2" s="1"/>
  <c r="E815" i="2" a="1"/>
  <c r="E815" i="2" s="1"/>
  <c r="E816" i="2" a="1"/>
  <c r="E816" i="2" s="1"/>
  <c r="E817" i="2" a="1"/>
  <c r="E817" i="2" s="1"/>
  <c r="E818" i="2" a="1"/>
  <c r="E818" i="2" s="1"/>
  <c r="E819" i="2" a="1"/>
  <c r="E819" i="2" s="1"/>
  <c r="E820" i="2" a="1"/>
  <c r="E820" i="2" s="1"/>
  <c r="E821" i="2" a="1"/>
  <c r="E821" i="2" s="1"/>
  <c r="E822" i="2" a="1"/>
  <c r="E822" i="2" s="1"/>
  <c r="E823" i="2" a="1"/>
  <c r="E823" i="2" s="1"/>
  <c r="E824" i="2" a="1"/>
  <c r="E824" i="2" s="1"/>
  <c r="E825" i="2" a="1"/>
  <c r="E825" i="2" s="1"/>
  <c r="E826" i="2" a="1"/>
  <c r="E826" i="2" s="1"/>
  <c r="E827" i="2" a="1"/>
  <c r="E827" i="2" s="1"/>
  <c r="E828" i="2" a="1"/>
  <c r="E828" i="2" s="1"/>
  <c r="E829" i="2" a="1"/>
  <c r="E829" i="2" s="1"/>
  <c r="E830" i="2" a="1"/>
  <c r="E830" i="2" s="1"/>
  <c r="E831" i="2" a="1"/>
  <c r="E831" i="2" s="1"/>
  <c r="E832" i="2" a="1"/>
  <c r="E832" i="2" s="1"/>
  <c r="E833" i="2" a="1"/>
  <c r="E833" i="2" s="1"/>
  <c r="E834" i="2" a="1"/>
  <c r="E834" i="2" s="1"/>
  <c r="E835" i="2" a="1"/>
  <c r="E835" i="2" s="1"/>
  <c r="E836" i="2" a="1"/>
  <c r="E836" i="2" s="1"/>
  <c r="E837" i="2" a="1"/>
  <c r="E837" i="2" s="1"/>
  <c r="E838" i="2" a="1"/>
  <c r="E838" i="2" s="1"/>
  <c r="E839" i="2" a="1"/>
  <c r="E839" i="2" s="1"/>
  <c r="E840" i="2" a="1"/>
  <c r="E840" i="2" s="1"/>
  <c r="E841" i="2" a="1"/>
  <c r="E841" i="2" s="1"/>
  <c r="E842" i="2" a="1"/>
  <c r="E842" i="2" s="1"/>
  <c r="E843" i="2" a="1"/>
  <c r="E843" i="2" s="1"/>
  <c r="E844" i="2" a="1"/>
  <c r="E844" i="2" s="1"/>
  <c r="E845" i="2" a="1"/>
  <c r="E845" i="2" s="1"/>
  <c r="E846" i="2" a="1"/>
  <c r="E846" i="2" s="1"/>
  <c r="E847" i="2" a="1"/>
  <c r="E847" i="2" s="1"/>
  <c r="E848" i="2" a="1"/>
  <c r="E848" i="2" s="1"/>
  <c r="E849" i="2" a="1"/>
  <c r="E849" i="2" s="1"/>
  <c r="E850" i="2" a="1"/>
  <c r="E850" i="2" s="1"/>
  <c r="E851" i="2" a="1"/>
  <c r="E851" i="2" s="1"/>
  <c r="E852" i="2" a="1"/>
  <c r="E852" i="2" s="1"/>
  <c r="E853" i="2" a="1"/>
  <c r="E853" i="2" s="1"/>
  <c r="E854" i="2" a="1"/>
  <c r="E854" i="2" s="1"/>
  <c r="E855" i="2" a="1"/>
  <c r="E855" i="2" s="1"/>
  <c r="E856" i="2" a="1"/>
  <c r="E856" i="2" s="1"/>
  <c r="E857" i="2" a="1"/>
  <c r="E857" i="2" s="1"/>
  <c r="E858" i="2" a="1"/>
  <c r="E858" i="2" s="1"/>
  <c r="E859" i="2" a="1"/>
  <c r="E859" i="2" s="1"/>
  <c r="E860" i="2" a="1"/>
  <c r="E860" i="2" s="1"/>
  <c r="E861" i="2" a="1"/>
  <c r="E861" i="2" s="1"/>
  <c r="E862" i="2" a="1"/>
  <c r="E862" i="2" s="1"/>
  <c r="E863" i="2" a="1"/>
  <c r="E863" i="2" s="1"/>
  <c r="E864" i="2" a="1"/>
  <c r="E864" i="2" s="1"/>
  <c r="E865" i="2" a="1"/>
  <c r="E865" i="2" s="1"/>
  <c r="E866" i="2" a="1"/>
  <c r="E866" i="2" s="1"/>
  <c r="E867" i="2" a="1"/>
  <c r="E867" i="2" s="1"/>
  <c r="E868" i="2" a="1"/>
  <c r="E868" i="2" s="1"/>
  <c r="E869" i="2" a="1"/>
  <c r="E869" i="2" s="1"/>
  <c r="E870" i="2" a="1"/>
  <c r="E870" i="2" s="1"/>
  <c r="E871" i="2" a="1"/>
  <c r="E871" i="2" s="1"/>
  <c r="E872" i="2" a="1"/>
  <c r="E872" i="2" s="1"/>
  <c r="E873" i="2" a="1"/>
  <c r="E873" i="2" s="1"/>
  <c r="E874" i="2" a="1"/>
  <c r="E874" i="2" s="1"/>
  <c r="E875" i="2" a="1"/>
  <c r="E875" i="2" s="1"/>
  <c r="E876" i="2" a="1"/>
  <c r="E876" i="2" s="1"/>
  <c r="E877" i="2" a="1"/>
  <c r="E877" i="2" s="1"/>
  <c r="E878" i="2" a="1"/>
  <c r="E878" i="2" s="1"/>
  <c r="E879" i="2" a="1"/>
  <c r="E879" i="2" s="1"/>
  <c r="E880" i="2" a="1"/>
  <c r="E880" i="2" s="1"/>
  <c r="E881" i="2" a="1"/>
  <c r="E881" i="2" s="1"/>
  <c r="E882" i="2" a="1"/>
  <c r="E882" i="2" s="1"/>
  <c r="E883" i="2" a="1"/>
  <c r="E883" i="2" s="1"/>
  <c r="E884" i="2" a="1"/>
  <c r="E884" i="2" s="1"/>
  <c r="E885" i="2" a="1"/>
  <c r="E885" i="2" s="1"/>
  <c r="E886" i="2" a="1"/>
  <c r="E886" i="2" s="1"/>
  <c r="E887" i="2" a="1"/>
  <c r="E887" i="2" s="1"/>
  <c r="E888" i="2" a="1"/>
  <c r="E888" i="2" s="1"/>
  <c r="E889" i="2" a="1"/>
  <c r="E889" i="2" s="1"/>
  <c r="E890" i="2" a="1"/>
  <c r="E890" i="2" s="1"/>
  <c r="E891" i="2" a="1"/>
  <c r="E891" i="2" s="1"/>
  <c r="E892" i="2" a="1"/>
  <c r="E892" i="2" s="1"/>
  <c r="E893" i="2" a="1"/>
  <c r="E893" i="2" s="1"/>
  <c r="E894" i="2" a="1"/>
  <c r="E894" i="2" s="1"/>
  <c r="E895" i="2" a="1"/>
  <c r="E895" i="2" s="1"/>
  <c r="E896" i="2" a="1"/>
  <c r="E896" i="2" s="1"/>
  <c r="E897" i="2" a="1"/>
  <c r="E897" i="2" s="1"/>
  <c r="E898" i="2" a="1"/>
  <c r="E898" i="2" s="1"/>
  <c r="E899" i="2" a="1"/>
  <c r="E899" i="2" s="1"/>
  <c r="E900" i="2" a="1"/>
  <c r="E900" i="2" s="1"/>
  <c r="E901" i="2" a="1"/>
  <c r="E901" i="2" s="1"/>
  <c r="E902" i="2" a="1"/>
  <c r="E902" i="2" s="1"/>
  <c r="E903" i="2" a="1"/>
  <c r="E903" i="2" s="1"/>
  <c r="E904" i="2" a="1"/>
  <c r="E904" i="2" s="1"/>
  <c r="E905" i="2" a="1"/>
  <c r="E905" i="2" s="1"/>
  <c r="E906" i="2" a="1"/>
  <c r="E906" i="2" s="1"/>
  <c r="E907" i="2" a="1"/>
  <c r="E907" i="2" s="1"/>
  <c r="E908" i="2" a="1"/>
  <c r="E908" i="2" s="1"/>
  <c r="E909" i="2" a="1"/>
  <c r="E909" i="2" s="1"/>
  <c r="E910" i="2" a="1"/>
  <c r="E910" i="2" s="1"/>
  <c r="E911" i="2" a="1"/>
  <c r="E911" i="2" s="1"/>
  <c r="E912" i="2" a="1"/>
  <c r="E912" i="2" s="1"/>
  <c r="E913" i="2" a="1"/>
  <c r="E913" i="2" s="1"/>
  <c r="E914" i="2" a="1"/>
  <c r="E914" i="2" s="1"/>
  <c r="E915" i="2" a="1"/>
  <c r="E915" i="2" s="1"/>
  <c r="E916" i="2" a="1"/>
  <c r="E916" i="2" s="1"/>
  <c r="E917" i="2" a="1"/>
  <c r="E917" i="2" s="1"/>
  <c r="E918" i="2" a="1"/>
  <c r="E918" i="2" s="1"/>
  <c r="E919" i="2" a="1"/>
  <c r="E919" i="2" s="1"/>
  <c r="E920" i="2" a="1"/>
  <c r="E920" i="2" s="1"/>
  <c r="E921" i="2" a="1"/>
  <c r="E921" i="2" s="1"/>
  <c r="E922" i="2" a="1"/>
  <c r="E922" i="2" s="1"/>
  <c r="E923" i="2" a="1"/>
  <c r="E923" i="2" s="1"/>
  <c r="E924" i="2" a="1"/>
  <c r="E924" i="2" s="1"/>
  <c r="E925" i="2" a="1"/>
  <c r="E925" i="2" s="1"/>
  <c r="E926" i="2" a="1"/>
  <c r="E926" i="2" s="1"/>
  <c r="E927" i="2" a="1"/>
  <c r="E927" i="2" s="1"/>
  <c r="E928" i="2" a="1"/>
  <c r="E928" i="2" s="1"/>
  <c r="E929" i="2" a="1"/>
  <c r="E929" i="2" s="1"/>
  <c r="E930" i="2" a="1"/>
  <c r="E930" i="2" s="1"/>
  <c r="E931" i="2" a="1"/>
  <c r="E931" i="2" s="1"/>
  <c r="E932" i="2" a="1"/>
  <c r="E932" i="2" s="1"/>
  <c r="E933" i="2" a="1"/>
  <c r="E933" i="2" s="1"/>
  <c r="E934" i="2" a="1"/>
  <c r="E934" i="2" s="1"/>
  <c r="E935" i="2" a="1"/>
  <c r="E935" i="2" s="1"/>
  <c r="E936" i="2" a="1"/>
  <c r="E936" i="2" s="1"/>
  <c r="E937" i="2" a="1"/>
  <c r="E937" i="2" s="1"/>
  <c r="E938" i="2" a="1"/>
  <c r="E938" i="2" s="1"/>
  <c r="E939" i="2" a="1"/>
  <c r="E939" i="2" s="1"/>
  <c r="E940" i="2" a="1"/>
  <c r="E940" i="2" s="1"/>
  <c r="E941" i="2" a="1"/>
  <c r="E941" i="2" s="1"/>
  <c r="E942" i="2" a="1"/>
  <c r="E942" i="2" s="1"/>
  <c r="E943" i="2" a="1"/>
  <c r="E943" i="2" s="1"/>
  <c r="E944" i="2" a="1"/>
  <c r="E944" i="2" s="1"/>
  <c r="E945" i="2" a="1"/>
  <c r="E945" i="2" s="1"/>
  <c r="E946" i="2" a="1"/>
  <c r="E946" i="2" s="1"/>
  <c r="E947" i="2" a="1"/>
  <c r="E947" i="2" s="1"/>
  <c r="E948" i="2" a="1"/>
  <c r="E948" i="2" s="1"/>
  <c r="E949" i="2" a="1"/>
  <c r="E949" i="2" s="1"/>
  <c r="E950" i="2" a="1"/>
  <c r="E950" i="2" s="1"/>
  <c r="E951" i="2" a="1"/>
  <c r="E951" i="2" s="1"/>
  <c r="E952" i="2" a="1"/>
  <c r="E952" i="2" s="1"/>
  <c r="E953" i="2" a="1"/>
  <c r="E953" i="2" s="1"/>
  <c r="E954" i="2" a="1"/>
  <c r="E954" i="2" s="1"/>
  <c r="E955" i="2" a="1"/>
  <c r="E955" i="2" s="1"/>
  <c r="E956" i="2" a="1"/>
  <c r="E956" i="2" s="1"/>
  <c r="E957" i="2" a="1"/>
  <c r="E957" i="2" s="1"/>
  <c r="E958" i="2" a="1"/>
  <c r="E958" i="2" s="1"/>
  <c r="E959" i="2" a="1"/>
  <c r="E959" i="2" s="1"/>
  <c r="E960" i="2" a="1"/>
  <c r="E960" i="2" s="1"/>
  <c r="E961" i="2" a="1"/>
  <c r="E961" i="2" s="1"/>
  <c r="E962" i="2" a="1"/>
  <c r="E962" i="2" s="1"/>
  <c r="E963" i="2" a="1"/>
  <c r="E963" i="2" s="1"/>
  <c r="E964" i="2" a="1"/>
  <c r="E964" i="2" s="1"/>
  <c r="E965" i="2" a="1"/>
  <c r="E965" i="2" s="1"/>
  <c r="E966" i="2" a="1"/>
  <c r="E966" i="2" s="1"/>
  <c r="E967" i="2" a="1"/>
  <c r="E967" i="2" s="1"/>
  <c r="E968" i="2" a="1"/>
  <c r="E968" i="2" s="1"/>
  <c r="E969" i="2" a="1"/>
  <c r="E969" i="2" s="1"/>
  <c r="E970" i="2" a="1"/>
  <c r="E970" i="2" s="1"/>
  <c r="E971" i="2" a="1"/>
  <c r="E971" i="2" s="1"/>
  <c r="E972" i="2" a="1"/>
  <c r="E972" i="2" s="1"/>
  <c r="E973" i="2" a="1"/>
  <c r="E973" i="2" s="1"/>
  <c r="E974" i="2" a="1"/>
  <c r="E974" i="2" s="1"/>
  <c r="E975" i="2" a="1"/>
  <c r="E975" i="2" s="1"/>
  <c r="E976" i="2" a="1"/>
  <c r="E976" i="2" s="1"/>
  <c r="E977" i="2" a="1"/>
  <c r="E977" i="2" s="1"/>
  <c r="E978" i="2" a="1"/>
  <c r="E978" i="2" s="1"/>
  <c r="E979" i="2" a="1"/>
  <c r="E979" i="2" s="1"/>
  <c r="E980" i="2" a="1"/>
  <c r="E980" i="2" s="1"/>
  <c r="E981" i="2" a="1"/>
  <c r="E981" i="2" s="1"/>
  <c r="E982" i="2" a="1"/>
  <c r="E982" i="2" s="1"/>
  <c r="E983" i="2" a="1"/>
  <c r="E983" i="2" s="1"/>
  <c r="E984" i="2" a="1"/>
  <c r="E984" i="2" s="1"/>
  <c r="E985" i="2" a="1"/>
  <c r="E985" i="2" s="1"/>
  <c r="E986" i="2" a="1"/>
  <c r="E986" i="2" s="1"/>
  <c r="E987" i="2" a="1"/>
  <c r="E987" i="2" s="1"/>
  <c r="E988" i="2" a="1"/>
  <c r="E988" i="2" s="1"/>
  <c r="E989" i="2" a="1"/>
  <c r="E989" i="2" s="1"/>
  <c r="E990" i="2" a="1"/>
  <c r="E990" i="2" s="1"/>
  <c r="E991" i="2" a="1"/>
  <c r="E991" i="2" s="1"/>
  <c r="E992" i="2" a="1"/>
  <c r="E992" i="2" s="1"/>
  <c r="E993" i="2" a="1"/>
  <c r="E993" i="2" s="1"/>
  <c r="E994" i="2" a="1"/>
  <c r="E994" i="2" s="1"/>
  <c r="E995" i="2" a="1"/>
  <c r="E995" i="2" s="1"/>
  <c r="E996" i="2" a="1"/>
  <c r="E996" i="2" s="1"/>
  <c r="E997" i="2" a="1"/>
  <c r="E997" i="2" s="1"/>
  <c r="E998" i="2" a="1"/>
  <c r="E998" i="2" s="1"/>
  <c r="E999" i="2" a="1"/>
  <c r="E999" i="2" s="1"/>
  <c r="E1000" i="2" a="1"/>
  <c r="E1000" i="2" s="1"/>
  <c r="E1001" i="2" a="1"/>
  <c r="E1001" i="2" s="1"/>
  <c r="E1002" i="2" a="1"/>
  <c r="E1002" i="2" s="1"/>
  <c r="E1003" i="2" a="1"/>
  <c r="E1003" i="2" s="1"/>
  <c r="E1004" i="2" a="1"/>
  <c r="E1004" i="2" s="1"/>
  <c r="E1005" i="2" a="1"/>
  <c r="E1005" i="2" s="1"/>
  <c r="E1006" i="2" a="1"/>
  <c r="E1006" i="2" s="1"/>
  <c r="E1007" i="2" a="1"/>
  <c r="E1007" i="2" s="1"/>
  <c r="E1008" i="2" a="1"/>
  <c r="E1008" i="2" s="1"/>
  <c r="E1009" i="2" a="1"/>
  <c r="E1009" i="2" s="1"/>
  <c r="E1010" i="2" a="1"/>
  <c r="E1010" i="2" s="1"/>
  <c r="E1011" i="2" a="1"/>
  <c r="E1011" i="2" s="1"/>
  <c r="E1012" i="2" a="1"/>
  <c r="E1012" i="2" s="1"/>
  <c r="E1013" i="2" a="1"/>
  <c r="E1013" i="2" s="1"/>
  <c r="E1014" i="2" a="1"/>
  <c r="E1014" i="2" s="1"/>
  <c r="E1015" i="2" a="1"/>
  <c r="E1015" i="2" s="1"/>
  <c r="E1016" i="2" a="1"/>
  <c r="E1016" i="2" s="1"/>
  <c r="E1017" i="2" a="1"/>
  <c r="E1017" i="2" s="1"/>
  <c r="E1018" i="2" a="1"/>
  <c r="E1018" i="2" s="1"/>
  <c r="E1019" i="2" a="1"/>
  <c r="E1019" i="2" s="1"/>
  <c r="E1020" i="2" a="1"/>
  <c r="E1020" i="2" s="1"/>
  <c r="E1021" i="2" a="1"/>
  <c r="E1021" i="2" s="1"/>
  <c r="E1022" i="2" a="1"/>
  <c r="E1022" i="2" s="1"/>
  <c r="E1023" i="2" a="1"/>
  <c r="E1023" i="2" s="1"/>
  <c r="E1024" i="2" a="1"/>
  <c r="E1024" i="2" s="1"/>
  <c r="E1025" i="2" a="1"/>
  <c r="E1025" i="2" s="1"/>
  <c r="E1026" i="2" a="1"/>
  <c r="E1026" i="2" s="1"/>
  <c r="E1027" i="2" a="1"/>
  <c r="E1027" i="2" s="1"/>
  <c r="E1028" i="2" a="1"/>
  <c r="E1028" i="2" s="1"/>
  <c r="E1029" i="2" a="1"/>
  <c r="E1029" i="2" s="1"/>
  <c r="E1030" i="2" a="1"/>
  <c r="E1030" i="2" s="1"/>
  <c r="E1031" i="2" a="1"/>
  <c r="E1031" i="2" s="1"/>
  <c r="E1032" i="2" a="1"/>
  <c r="E1032" i="2" s="1"/>
  <c r="E1033" i="2" a="1"/>
  <c r="E1033" i="2" s="1"/>
  <c r="E1034" i="2" a="1"/>
  <c r="E1034" i="2" s="1"/>
  <c r="E1035" i="2" a="1"/>
  <c r="E1035" i="2" s="1"/>
  <c r="E1036" i="2" a="1"/>
  <c r="E1036" i="2" s="1"/>
  <c r="E1037" i="2" a="1"/>
  <c r="E1037" i="2" s="1"/>
  <c r="E1038" i="2" a="1"/>
  <c r="E1038" i="2" s="1"/>
  <c r="E1039" i="2" a="1"/>
  <c r="E1039" i="2" s="1"/>
  <c r="E1040" i="2" a="1"/>
  <c r="E1040" i="2" s="1"/>
  <c r="E1041" i="2" a="1"/>
  <c r="E1041" i="2" s="1"/>
  <c r="E1042" i="2" a="1"/>
  <c r="E1042" i="2" s="1"/>
  <c r="E1043" i="2" a="1"/>
  <c r="E1043" i="2" s="1"/>
  <c r="E1044" i="2" a="1"/>
  <c r="E1044" i="2" s="1"/>
  <c r="E1045" i="2" a="1"/>
  <c r="E1045" i="2" s="1"/>
  <c r="E1046" i="2" a="1"/>
  <c r="E1046" i="2" s="1"/>
  <c r="E1047" i="2" a="1"/>
  <c r="E1047" i="2" s="1"/>
  <c r="E1048" i="2" a="1"/>
  <c r="E1048" i="2" s="1"/>
  <c r="E1049" i="2" a="1"/>
  <c r="E1049" i="2" s="1"/>
  <c r="E1050" i="2" a="1"/>
  <c r="E1050" i="2" s="1"/>
  <c r="E1051" i="2" a="1"/>
  <c r="E1051" i="2" s="1"/>
  <c r="E1052" i="2" a="1"/>
  <c r="E1052" i="2" s="1"/>
  <c r="E1053" i="2" a="1"/>
  <c r="E1053" i="2" s="1"/>
  <c r="E1054" i="2" a="1"/>
  <c r="E1054" i="2" s="1"/>
  <c r="E1055" i="2" a="1"/>
  <c r="E1055" i="2" s="1"/>
  <c r="E1056" i="2" a="1"/>
  <c r="E1056" i="2" s="1"/>
  <c r="E1057" i="2" a="1"/>
  <c r="E1057" i="2" s="1"/>
  <c r="E1058" i="2" a="1"/>
  <c r="E1058" i="2" s="1"/>
  <c r="E1059" i="2" a="1"/>
  <c r="E1059" i="2" s="1"/>
  <c r="E1060" i="2" a="1"/>
  <c r="E1060" i="2" s="1"/>
  <c r="E1061" i="2" a="1"/>
  <c r="E1061" i="2" s="1"/>
  <c r="E1062" i="2" a="1"/>
  <c r="E1062" i="2" s="1"/>
  <c r="E1063" i="2" a="1"/>
  <c r="E1063" i="2" s="1"/>
  <c r="E1064" i="2" a="1"/>
  <c r="E1064" i="2" s="1"/>
  <c r="E1065" i="2" a="1"/>
  <c r="E1065" i="2" s="1"/>
  <c r="E1066" i="2" a="1"/>
  <c r="E1066" i="2" s="1"/>
  <c r="E1067" i="2" a="1"/>
  <c r="E1067" i="2" s="1"/>
  <c r="E1068" i="2" a="1"/>
  <c r="E1068" i="2" s="1"/>
  <c r="E1069" i="2" a="1"/>
  <c r="E1069" i="2" s="1"/>
  <c r="E1070" i="2" a="1"/>
  <c r="E1070" i="2" s="1"/>
  <c r="E1071" i="2" a="1"/>
  <c r="E1071" i="2" s="1"/>
  <c r="E1072" i="2" a="1"/>
  <c r="E1072" i="2" s="1"/>
  <c r="E1073" i="2" a="1"/>
  <c r="E1073" i="2" s="1"/>
  <c r="E1074" i="2" a="1"/>
  <c r="E1074" i="2" s="1"/>
  <c r="E1075" i="2" a="1"/>
  <c r="E1075" i="2" s="1"/>
  <c r="E1076" i="2" a="1"/>
  <c r="E1076" i="2" s="1"/>
  <c r="E1077" i="2" a="1"/>
  <c r="E1077" i="2" s="1"/>
  <c r="E1078" i="2" a="1"/>
  <c r="E1078" i="2" s="1"/>
  <c r="E1079" i="2" a="1"/>
  <c r="E1079" i="2" s="1"/>
  <c r="E1080" i="2" a="1"/>
  <c r="E1080" i="2" s="1"/>
  <c r="E1081" i="2" a="1"/>
  <c r="E1081" i="2" s="1"/>
  <c r="E1082" i="2" a="1"/>
  <c r="E1082" i="2" s="1"/>
  <c r="E1083" i="2" a="1"/>
  <c r="E1083" i="2" s="1"/>
  <c r="E1084" i="2" a="1"/>
  <c r="E1084" i="2" s="1"/>
  <c r="E1085" i="2" a="1"/>
  <c r="E1085" i="2" s="1"/>
  <c r="E1086" i="2" a="1"/>
  <c r="E1086" i="2" s="1"/>
  <c r="E1087" i="2" a="1"/>
  <c r="E1087" i="2" s="1"/>
  <c r="E1088" i="2" a="1"/>
  <c r="E1088" i="2" s="1"/>
  <c r="E1089" i="2" a="1"/>
  <c r="E1089" i="2" s="1"/>
  <c r="E1090" i="2" a="1"/>
  <c r="E1090" i="2" s="1"/>
  <c r="E1091" i="2" a="1"/>
  <c r="E1091" i="2" s="1"/>
  <c r="E1092" i="2" a="1"/>
  <c r="E1092" i="2" s="1"/>
  <c r="E1093" i="2" a="1"/>
  <c r="E1093" i="2" s="1"/>
  <c r="E1094" i="2" a="1"/>
  <c r="E1094" i="2" s="1"/>
  <c r="E1095" i="2" a="1"/>
  <c r="E1095" i="2" s="1"/>
  <c r="E1096" i="2" a="1"/>
  <c r="E1096" i="2" s="1"/>
  <c r="E1097" i="2" a="1"/>
  <c r="E1097" i="2" s="1"/>
  <c r="E1098" i="2" a="1"/>
  <c r="E1098" i="2" s="1"/>
  <c r="E1099" i="2" a="1"/>
  <c r="E1099" i="2" s="1"/>
  <c r="E1100" i="2" a="1"/>
  <c r="E1100" i="2" s="1"/>
  <c r="E1101" i="2" a="1"/>
  <c r="E1101" i="2" s="1"/>
  <c r="E1102" i="2" a="1"/>
  <c r="E1102" i="2" s="1"/>
  <c r="E1103" i="2" a="1"/>
  <c r="E1103" i="2" s="1"/>
  <c r="E1104" i="2" a="1"/>
  <c r="E1104" i="2" s="1"/>
  <c r="E1105" i="2" a="1"/>
  <c r="E1105" i="2" s="1"/>
  <c r="E1106" i="2" a="1"/>
  <c r="E1106" i="2" s="1"/>
  <c r="E1107" i="2" a="1"/>
  <c r="E1107" i="2" s="1"/>
  <c r="E1108" i="2" a="1"/>
  <c r="E1108" i="2" s="1"/>
  <c r="E1109" i="2" a="1"/>
  <c r="E1109" i="2" s="1"/>
  <c r="E1110" i="2" a="1"/>
  <c r="E1110" i="2" s="1"/>
  <c r="E1111" i="2" a="1"/>
  <c r="E1111" i="2" s="1"/>
  <c r="E1112" i="2" a="1"/>
  <c r="E1112" i="2" s="1"/>
  <c r="E1113" i="2" a="1"/>
  <c r="E1113" i="2" s="1"/>
  <c r="E1114" i="2" a="1"/>
  <c r="E1114" i="2" s="1"/>
  <c r="E1115" i="2" a="1"/>
  <c r="E1115" i="2" s="1"/>
  <c r="E1116" i="2" a="1"/>
  <c r="E1116" i="2" s="1"/>
  <c r="E1117" i="2" a="1"/>
  <c r="E1117" i="2" s="1"/>
  <c r="E1118" i="2" a="1"/>
  <c r="E1118" i="2" s="1"/>
  <c r="E1119" i="2" a="1"/>
  <c r="E1119" i="2" s="1"/>
  <c r="E1120" i="2" a="1"/>
  <c r="E1120" i="2" s="1"/>
  <c r="E1121" i="2" a="1"/>
  <c r="E1121" i="2" s="1"/>
  <c r="E1122" i="2" a="1"/>
  <c r="E1122" i="2" s="1"/>
  <c r="E1123" i="2" a="1"/>
  <c r="E1123" i="2" s="1"/>
  <c r="E1124" i="2" a="1"/>
  <c r="E1124" i="2" s="1"/>
  <c r="E1125" i="2" a="1"/>
  <c r="E1125" i="2" s="1"/>
  <c r="E1126" i="2" a="1"/>
  <c r="E1126" i="2" s="1"/>
  <c r="E1127" i="2" a="1"/>
  <c r="E1127" i="2" s="1"/>
  <c r="E1128" i="2" a="1"/>
  <c r="E1128" i="2" s="1"/>
  <c r="E1129" i="2" a="1"/>
  <c r="E1129" i="2" s="1"/>
  <c r="E1130" i="2" a="1"/>
  <c r="E1130" i="2" s="1"/>
  <c r="E1131" i="2" a="1"/>
  <c r="E1131" i="2" s="1"/>
  <c r="E1132" i="2" a="1"/>
  <c r="E1132" i="2" s="1"/>
  <c r="E1133" i="2" a="1"/>
  <c r="E1133" i="2" s="1"/>
  <c r="E1134" i="2" a="1"/>
  <c r="E1134" i="2" s="1"/>
  <c r="E1135" i="2" a="1"/>
  <c r="E1135" i="2" s="1"/>
  <c r="E1136" i="2" a="1"/>
  <c r="E1136" i="2" s="1"/>
  <c r="E1137" i="2" a="1"/>
  <c r="E1137" i="2" s="1"/>
  <c r="E1138" i="2" a="1"/>
  <c r="E1138" i="2" s="1"/>
  <c r="E1139" i="2" a="1"/>
  <c r="E1139" i="2" s="1"/>
  <c r="E1140" i="2" a="1"/>
  <c r="E1140" i="2" s="1"/>
  <c r="E1141" i="2" a="1"/>
  <c r="E1141" i="2" s="1"/>
  <c r="E1142" i="2" a="1"/>
  <c r="E1142" i="2" s="1"/>
  <c r="E1143" i="2" a="1"/>
  <c r="E1143" i="2" s="1"/>
  <c r="E1144" i="2" a="1"/>
  <c r="E1144" i="2" s="1"/>
  <c r="E1145" i="2" a="1"/>
  <c r="E1145" i="2" s="1"/>
  <c r="E1146" i="2" a="1"/>
  <c r="E1146" i="2" s="1"/>
  <c r="E1147" i="2" a="1"/>
  <c r="E1147" i="2" s="1"/>
  <c r="E1148" i="2" a="1"/>
  <c r="E1148" i="2" s="1"/>
  <c r="E1149" i="2" a="1"/>
  <c r="E1149" i="2" s="1"/>
  <c r="E1150" i="2" a="1"/>
  <c r="E1150" i="2" s="1"/>
  <c r="E1151" i="2" a="1"/>
  <c r="E1151" i="2" s="1"/>
  <c r="E1152" i="2" a="1"/>
  <c r="E1152" i="2" s="1"/>
  <c r="E1153" i="2" a="1"/>
  <c r="E1153" i="2" s="1"/>
  <c r="E1154" i="2" a="1"/>
  <c r="E1154" i="2" s="1"/>
  <c r="E1155" i="2" a="1"/>
  <c r="E1155" i="2" s="1"/>
  <c r="E1156" i="2" a="1"/>
  <c r="E1156" i="2" s="1"/>
  <c r="E1157" i="2" a="1"/>
  <c r="E1157" i="2" s="1"/>
  <c r="E1158" i="2" a="1"/>
  <c r="E1158" i="2" s="1"/>
  <c r="E1159" i="2" a="1"/>
  <c r="E1159" i="2" s="1"/>
  <c r="E1160" i="2" a="1"/>
  <c r="E1160" i="2" s="1"/>
  <c r="E1161" i="2" a="1"/>
  <c r="E1161" i="2" s="1"/>
  <c r="E1162" i="2" a="1"/>
  <c r="E1162" i="2" s="1"/>
  <c r="E1163" i="2" a="1"/>
  <c r="E1163" i="2" s="1"/>
  <c r="E1164" i="2" a="1"/>
  <c r="E1164" i="2" s="1"/>
  <c r="E1165" i="2" a="1"/>
  <c r="E1165" i="2" s="1"/>
  <c r="E1166" i="2" a="1"/>
  <c r="E1166" i="2" s="1"/>
  <c r="E1167" i="2" a="1"/>
  <c r="E1167" i="2" s="1"/>
  <c r="E1168" i="2" a="1"/>
  <c r="E1168" i="2" s="1"/>
  <c r="E1169" i="2" a="1"/>
  <c r="E1169" i="2" s="1"/>
  <c r="E1170" i="2" a="1"/>
  <c r="E1170" i="2" s="1"/>
  <c r="E1171" i="2" a="1"/>
  <c r="E1171" i="2" s="1"/>
  <c r="E1172" i="2" a="1"/>
  <c r="E1172" i="2" s="1"/>
  <c r="E1173" i="2" a="1"/>
  <c r="E1173" i="2" s="1"/>
  <c r="E1174" i="2" a="1"/>
  <c r="E1174" i="2" s="1"/>
  <c r="E1175" i="2" a="1"/>
  <c r="E1175" i="2" s="1"/>
  <c r="E1176" i="2" a="1"/>
  <c r="E1176" i="2" s="1"/>
  <c r="E1177" i="2" a="1"/>
  <c r="E1177" i="2" s="1"/>
  <c r="E1178" i="2" a="1"/>
  <c r="E1178" i="2" s="1"/>
  <c r="E1179" i="2" a="1"/>
  <c r="E1179" i="2" s="1"/>
  <c r="E1180" i="2" a="1"/>
  <c r="E1180" i="2" s="1"/>
  <c r="E1181" i="2" a="1"/>
  <c r="E1181" i="2" s="1"/>
  <c r="E1182" i="2" a="1"/>
  <c r="E1182" i="2" s="1"/>
  <c r="E1183" i="2" a="1"/>
  <c r="E1183" i="2" s="1"/>
  <c r="E1184" i="2" a="1"/>
  <c r="E1184" i="2" s="1"/>
  <c r="E1185" i="2" a="1"/>
  <c r="E1185" i="2" s="1"/>
  <c r="E1186" i="2" a="1"/>
  <c r="E1186" i="2" s="1"/>
  <c r="E1187" i="2" a="1"/>
  <c r="E1187" i="2" s="1"/>
  <c r="E1188" i="2" a="1"/>
  <c r="E1188" i="2" s="1"/>
  <c r="E1189" i="2" a="1"/>
  <c r="E1189" i="2" s="1"/>
  <c r="E1190" i="2" a="1"/>
  <c r="E1190" i="2" s="1"/>
  <c r="E1191" i="2" a="1"/>
  <c r="E1191" i="2" s="1"/>
  <c r="E1192" i="2" a="1"/>
  <c r="E1192" i="2" s="1"/>
  <c r="E1193" i="2" a="1"/>
  <c r="E1193" i="2" s="1"/>
  <c r="E1194" i="2" a="1"/>
  <c r="E1194" i="2" s="1"/>
  <c r="E1195" i="2" a="1"/>
  <c r="E1195" i="2" s="1"/>
  <c r="E1196" i="2" a="1"/>
  <c r="E1196" i="2" s="1"/>
  <c r="E1197" i="2" a="1"/>
  <c r="E1197" i="2" s="1"/>
  <c r="E1198" i="2" a="1"/>
  <c r="E1198" i="2" s="1"/>
  <c r="E1199" i="2" a="1"/>
  <c r="E1199" i="2" s="1"/>
  <c r="E1200" i="2" a="1"/>
  <c r="E1200" i="2" s="1"/>
  <c r="E1201" i="2" a="1"/>
  <c r="E1201" i="2" s="1"/>
  <c r="E1202" i="2" a="1"/>
  <c r="E1202" i="2" s="1"/>
  <c r="E1203" i="2" a="1"/>
  <c r="E1203" i="2" s="1"/>
  <c r="E1204" i="2" a="1"/>
  <c r="E1204" i="2" s="1"/>
  <c r="E1205" i="2" a="1"/>
  <c r="E1205" i="2" s="1"/>
  <c r="E1206" i="2" a="1"/>
  <c r="E1206" i="2" s="1"/>
  <c r="E1207" i="2" a="1"/>
  <c r="E1207" i="2" s="1"/>
  <c r="E1208" i="2" a="1"/>
  <c r="E1208" i="2" s="1"/>
  <c r="E1209" i="2" a="1"/>
  <c r="E1209" i="2" s="1"/>
  <c r="E1210" i="2" a="1"/>
  <c r="E1210" i="2" s="1"/>
  <c r="E1211" i="2" a="1"/>
  <c r="E1211" i="2" s="1"/>
  <c r="E1212" i="2" a="1"/>
  <c r="E1212" i="2" s="1"/>
  <c r="E1213" i="2" a="1"/>
  <c r="E1213" i="2" s="1"/>
  <c r="E1214" i="2" a="1"/>
  <c r="E1214" i="2" s="1"/>
  <c r="E1215" i="2" a="1"/>
  <c r="E1215" i="2" s="1"/>
  <c r="E1216" i="2" a="1"/>
  <c r="E1216" i="2" s="1"/>
  <c r="E1217" i="2" a="1"/>
  <c r="E1217" i="2" s="1"/>
  <c r="E1218" i="2" a="1"/>
  <c r="E1218" i="2" s="1"/>
  <c r="E1219" i="2" a="1"/>
  <c r="E1219" i="2" s="1"/>
  <c r="E1220" i="2" a="1"/>
  <c r="E1220" i="2" s="1"/>
  <c r="E1221" i="2" a="1"/>
  <c r="E1221" i="2" s="1"/>
  <c r="E1222" i="2" a="1"/>
  <c r="E1222" i="2" s="1"/>
  <c r="E1223" i="2" a="1"/>
  <c r="E1223" i="2" s="1"/>
  <c r="E1224" i="2" a="1"/>
  <c r="E1224" i="2" s="1"/>
  <c r="E1225" i="2" a="1"/>
  <c r="E1225" i="2" s="1"/>
  <c r="E1226" i="2" a="1"/>
  <c r="E1226" i="2" s="1"/>
  <c r="E1227" i="2" a="1"/>
  <c r="E1227" i="2" s="1"/>
  <c r="E1228" i="2" a="1"/>
  <c r="E1228" i="2" s="1"/>
  <c r="E1229" i="2" a="1"/>
  <c r="E1229" i="2" s="1"/>
  <c r="E1230" i="2" a="1"/>
  <c r="E1230" i="2" s="1"/>
  <c r="E1231" i="2" a="1"/>
  <c r="E1231" i="2" s="1"/>
  <c r="E1232" i="2" a="1"/>
  <c r="E1232" i="2" s="1"/>
  <c r="E1233" i="2" a="1"/>
  <c r="E1233" i="2" s="1"/>
  <c r="E1234" i="2" a="1"/>
  <c r="E1234" i="2" s="1"/>
  <c r="E1235" i="2" a="1"/>
  <c r="E1235" i="2" s="1"/>
  <c r="E1236" i="2" a="1"/>
  <c r="E1236" i="2" s="1"/>
  <c r="E1237" i="2" a="1"/>
  <c r="E1237" i="2" s="1"/>
  <c r="E1238" i="2" a="1"/>
  <c r="E1238" i="2" s="1"/>
  <c r="E1239" i="2" a="1"/>
  <c r="E1239" i="2" s="1"/>
  <c r="E1240" i="2" a="1"/>
  <c r="E1240" i="2" s="1"/>
  <c r="E1241" i="2" a="1"/>
  <c r="E1241" i="2" s="1"/>
  <c r="E1242" i="2" a="1"/>
  <c r="E1242" i="2" s="1"/>
  <c r="E1243" i="2" a="1"/>
  <c r="E1243" i="2" s="1"/>
  <c r="E1244" i="2" a="1"/>
  <c r="E1244" i="2" s="1"/>
  <c r="E1245" i="2" a="1"/>
  <c r="E1245" i="2" s="1"/>
  <c r="E1246" i="2" a="1"/>
  <c r="E1246" i="2" s="1"/>
  <c r="E1247" i="2" a="1"/>
  <c r="E1247" i="2" s="1"/>
  <c r="E1248" i="2" a="1"/>
  <c r="E1248" i="2" s="1"/>
  <c r="E1249" i="2" a="1"/>
  <c r="E1249" i="2" s="1"/>
  <c r="E1250" i="2" a="1"/>
  <c r="E1250" i="2" s="1"/>
  <c r="E1251" i="2" a="1"/>
  <c r="E1251" i="2" s="1"/>
  <c r="E1252" i="2" a="1"/>
  <c r="E1252" i="2" s="1"/>
  <c r="E1253" i="2" a="1"/>
  <c r="E1253" i="2" s="1"/>
  <c r="E1254" i="2" a="1"/>
  <c r="E1254" i="2" s="1"/>
  <c r="E1255" i="2" a="1"/>
  <c r="E1255" i="2" s="1"/>
  <c r="E1256" i="2" a="1"/>
  <c r="E1256" i="2" s="1"/>
  <c r="E1257" i="2" a="1"/>
  <c r="E1257" i="2" s="1"/>
  <c r="E1258" i="2" a="1"/>
  <c r="E1258" i="2" s="1"/>
  <c r="E1259" i="2" a="1"/>
  <c r="E1259" i="2" s="1"/>
  <c r="E1260" i="2" a="1"/>
  <c r="E1260" i="2" s="1"/>
  <c r="E1261" i="2" a="1"/>
  <c r="E1261" i="2" s="1"/>
  <c r="E1262" i="2" a="1"/>
  <c r="E1262" i="2" s="1"/>
  <c r="E1263" i="2" a="1"/>
  <c r="E1263" i="2" s="1"/>
  <c r="E1264" i="2" a="1"/>
  <c r="E1264" i="2" s="1"/>
  <c r="E1265" i="2" a="1"/>
  <c r="E1265" i="2" s="1"/>
  <c r="E1266" i="2" a="1"/>
  <c r="E1266" i="2" s="1"/>
  <c r="E1267" i="2" a="1"/>
  <c r="E1267" i="2" s="1"/>
  <c r="E1268" i="2" a="1"/>
  <c r="E1268" i="2" s="1"/>
  <c r="E1269" i="2" a="1"/>
  <c r="E1269" i="2" s="1"/>
  <c r="E1270" i="2" a="1"/>
  <c r="E1270" i="2" s="1"/>
  <c r="E1271" i="2" a="1"/>
  <c r="E1271" i="2" s="1"/>
  <c r="E1272" i="2" a="1"/>
  <c r="E1272" i="2" s="1"/>
  <c r="E1273" i="2" a="1"/>
  <c r="E1273" i="2" s="1"/>
  <c r="E1274" i="2" a="1"/>
  <c r="E1274" i="2" s="1"/>
  <c r="E1275" i="2" a="1"/>
  <c r="E1275" i="2" s="1"/>
  <c r="E1276" i="2" a="1"/>
  <c r="E1276" i="2" s="1"/>
  <c r="E1277" i="2" a="1"/>
  <c r="E1277" i="2" s="1"/>
  <c r="E1278" i="2" a="1"/>
  <c r="E1278" i="2" s="1"/>
  <c r="E1279" i="2" a="1"/>
  <c r="E1279" i="2" s="1"/>
  <c r="E1280" i="2" a="1"/>
  <c r="E1280" i="2" s="1"/>
  <c r="E1281" i="2" a="1"/>
  <c r="E1281" i="2" s="1"/>
  <c r="E1282" i="2" a="1"/>
  <c r="E1282" i="2" s="1"/>
  <c r="E1283" i="2" a="1"/>
  <c r="E1283" i="2" s="1"/>
  <c r="E1284" i="2" a="1"/>
  <c r="E1284" i="2" s="1"/>
  <c r="E1285" i="2" a="1"/>
  <c r="E1285" i="2" s="1"/>
  <c r="E1286" i="2" a="1"/>
  <c r="E1286" i="2" s="1"/>
  <c r="E1287" i="2" a="1"/>
  <c r="E1287" i="2" s="1"/>
  <c r="E1288" i="2" a="1"/>
  <c r="E1288" i="2" s="1"/>
  <c r="E1289" i="2" a="1"/>
  <c r="E1289" i="2" s="1"/>
  <c r="E1290" i="2" a="1"/>
  <c r="E1290" i="2" s="1"/>
  <c r="E1291" i="2" a="1"/>
  <c r="E1291" i="2" s="1"/>
  <c r="E1292" i="2" a="1"/>
  <c r="E1292" i="2" s="1"/>
  <c r="E1293" i="2" a="1"/>
  <c r="E1293" i="2" s="1"/>
  <c r="E1294" i="2" a="1"/>
  <c r="E1294" i="2" s="1"/>
  <c r="E1295" i="2" a="1"/>
  <c r="E1295" i="2" s="1"/>
  <c r="E1296" i="2" a="1"/>
  <c r="E1296" i="2" s="1"/>
  <c r="E1297" i="2" a="1"/>
  <c r="E1297" i="2" s="1"/>
  <c r="E1298" i="2" a="1"/>
  <c r="E1298" i="2" s="1"/>
  <c r="E1299" i="2" a="1"/>
  <c r="E1299" i="2" s="1"/>
  <c r="E1300" i="2" a="1"/>
  <c r="E1300" i="2" s="1"/>
  <c r="E1301" i="2" a="1"/>
  <c r="E1301" i="2" s="1"/>
  <c r="E1302" i="2" a="1"/>
  <c r="E1302" i="2" s="1"/>
  <c r="E1303" i="2" a="1"/>
  <c r="E1303" i="2" s="1"/>
  <c r="E1304" i="2" a="1"/>
  <c r="E1304" i="2" s="1"/>
  <c r="E1305" i="2" a="1"/>
  <c r="E1305" i="2" s="1"/>
  <c r="E1306" i="2" a="1"/>
  <c r="E1306" i="2" s="1"/>
  <c r="E1307" i="2" a="1"/>
  <c r="E1307" i="2" s="1"/>
  <c r="E1308" i="2" a="1"/>
  <c r="E1308" i="2" s="1"/>
  <c r="E1309" i="2" a="1"/>
  <c r="E1309" i="2" s="1"/>
  <c r="E1310" i="2" a="1"/>
  <c r="E1310" i="2" s="1"/>
  <c r="E1311" i="2" a="1"/>
  <c r="E1311" i="2" s="1"/>
  <c r="E1312" i="2" a="1"/>
  <c r="E1312" i="2" s="1"/>
  <c r="E1313" i="2" a="1"/>
  <c r="E1313" i="2" s="1"/>
  <c r="E1314" i="2" a="1"/>
  <c r="E1314" i="2" s="1"/>
  <c r="E1315" i="2" a="1"/>
  <c r="E1315" i="2" s="1"/>
  <c r="E1316" i="2" a="1"/>
  <c r="E1316" i="2" s="1"/>
  <c r="E1317" i="2" a="1"/>
  <c r="E1317" i="2" s="1"/>
  <c r="E1318" i="2" a="1"/>
  <c r="E1318" i="2" s="1"/>
  <c r="E1319" i="2" a="1"/>
  <c r="E1319" i="2" s="1"/>
  <c r="E1320" i="2" a="1"/>
  <c r="E1320" i="2" s="1"/>
  <c r="E1321" i="2" a="1"/>
  <c r="E1321" i="2" s="1"/>
  <c r="E1322" i="2" a="1"/>
  <c r="E1322" i="2" s="1"/>
  <c r="E1323" i="2" a="1"/>
  <c r="E1323" i="2" s="1"/>
  <c r="E1324" i="2" a="1"/>
  <c r="E1324" i="2" s="1"/>
  <c r="E1325" i="2" a="1"/>
  <c r="E1325" i="2" s="1"/>
  <c r="E1326" i="2" a="1"/>
  <c r="E1326" i="2" s="1"/>
  <c r="E1327" i="2" a="1"/>
  <c r="E1327" i="2" s="1"/>
  <c r="E1328" i="2" a="1"/>
  <c r="E1328" i="2" s="1"/>
  <c r="E1329" i="2" a="1"/>
  <c r="E1329" i="2" s="1"/>
  <c r="E1330" i="2" a="1"/>
  <c r="E1330" i="2" s="1"/>
  <c r="E1331" i="2" a="1"/>
  <c r="E1331" i="2" s="1"/>
  <c r="E1332" i="2" a="1"/>
  <c r="E1332" i="2" s="1"/>
  <c r="E1333" i="2" a="1"/>
  <c r="E1333" i="2" s="1"/>
  <c r="E1334" i="2" a="1"/>
  <c r="E1334" i="2" s="1"/>
  <c r="E1335" i="2" a="1"/>
  <c r="E1335" i="2" s="1"/>
  <c r="E1336" i="2" a="1"/>
  <c r="E1336" i="2" s="1"/>
  <c r="E1337" i="2" a="1"/>
  <c r="E1337" i="2" s="1"/>
  <c r="E1338" i="2" a="1"/>
  <c r="E1338" i="2" s="1"/>
  <c r="E1339" i="2" a="1"/>
  <c r="E1339" i="2" s="1"/>
  <c r="E1340" i="2" a="1"/>
  <c r="E1340" i="2" s="1"/>
  <c r="E1341" i="2" a="1"/>
  <c r="E1341" i="2" s="1"/>
  <c r="E1342" i="2" a="1"/>
  <c r="E1342" i="2" s="1"/>
  <c r="E1343" i="2" a="1"/>
  <c r="E1343" i="2" s="1"/>
  <c r="E1344" i="2" a="1"/>
  <c r="E1344" i="2" s="1"/>
  <c r="E1345" i="2" a="1"/>
  <c r="E1345" i="2" s="1"/>
  <c r="E1346" i="2" a="1"/>
  <c r="E1346" i="2" s="1"/>
  <c r="E1347" i="2" a="1"/>
  <c r="E1347" i="2" s="1"/>
  <c r="E1348" i="2" a="1"/>
  <c r="E1348" i="2" s="1"/>
  <c r="E1349" i="2" a="1"/>
  <c r="E1349" i="2" s="1"/>
  <c r="E1350" i="2" a="1"/>
  <c r="E1350" i="2" s="1"/>
  <c r="E1351" i="2" a="1"/>
  <c r="E1351" i="2" s="1"/>
  <c r="E1352" i="2" a="1"/>
  <c r="E1352" i="2" s="1"/>
  <c r="E1353" i="2" a="1"/>
  <c r="E1353" i="2" s="1"/>
  <c r="E1354" i="2" a="1"/>
  <c r="E1354" i="2" s="1"/>
  <c r="E1355" i="2" a="1"/>
  <c r="E1355" i="2" s="1"/>
  <c r="E1356" i="2" a="1"/>
  <c r="E1356" i="2" s="1"/>
  <c r="E1357" i="2" a="1"/>
  <c r="E1357" i="2" s="1"/>
  <c r="E1358" i="2" a="1"/>
  <c r="E1358" i="2" s="1"/>
  <c r="E1359" i="2" a="1"/>
  <c r="E1359" i="2" s="1"/>
  <c r="E1360" i="2" a="1"/>
  <c r="E1360" i="2" s="1"/>
  <c r="E1361" i="2" a="1"/>
  <c r="E1361" i="2" s="1"/>
  <c r="E1362" i="2" a="1"/>
  <c r="E1362" i="2" s="1"/>
  <c r="E1363" i="2" a="1"/>
  <c r="E1363" i="2" s="1"/>
  <c r="E1364" i="2" a="1"/>
  <c r="E1364" i="2" s="1"/>
  <c r="E1365" i="2" a="1"/>
  <c r="E1365" i="2" s="1"/>
  <c r="E1366" i="2" a="1"/>
  <c r="E1366" i="2" s="1"/>
  <c r="E1367" i="2" a="1"/>
  <c r="E1367" i="2" s="1"/>
  <c r="E1368" i="2" a="1"/>
  <c r="E1368" i="2" s="1"/>
  <c r="E1369" i="2" a="1"/>
  <c r="E1369" i="2" s="1"/>
  <c r="E1370" i="2" a="1"/>
  <c r="E1370" i="2" s="1"/>
  <c r="E1371" i="2" a="1"/>
  <c r="E1371" i="2" s="1"/>
  <c r="E1372" i="2" a="1"/>
  <c r="E1372" i="2" s="1"/>
  <c r="E1373" i="2" a="1"/>
  <c r="E1373" i="2" s="1"/>
  <c r="E1374" i="2" a="1"/>
  <c r="E1374" i="2" s="1"/>
  <c r="E1375" i="2" a="1"/>
  <c r="E1375" i="2" s="1"/>
  <c r="E1376" i="2" a="1"/>
  <c r="E1376" i="2" s="1"/>
  <c r="E1377" i="2" a="1"/>
  <c r="E1377" i="2" s="1"/>
  <c r="E1378" i="2" a="1"/>
  <c r="E1378" i="2" s="1"/>
  <c r="E1379" i="2" a="1"/>
  <c r="E1379" i="2" s="1"/>
  <c r="E1380" i="2" a="1"/>
  <c r="E1380" i="2" s="1"/>
  <c r="E1381" i="2" a="1"/>
  <c r="E1381" i="2" s="1"/>
  <c r="E1382" i="2" a="1"/>
  <c r="E1382" i="2" s="1"/>
  <c r="E1383" i="2" a="1"/>
  <c r="E1383" i="2" s="1"/>
  <c r="E1384" i="2" a="1"/>
  <c r="E1384" i="2" s="1"/>
  <c r="E1385" i="2" a="1"/>
  <c r="E1385" i="2" s="1"/>
  <c r="E1386" i="2" a="1"/>
  <c r="E1386" i="2" s="1"/>
  <c r="E1387" i="2" a="1"/>
  <c r="E1387" i="2" s="1"/>
  <c r="E1388" i="2" a="1"/>
  <c r="E1388" i="2" s="1"/>
  <c r="E1389" i="2" a="1"/>
  <c r="E1389" i="2" s="1"/>
  <c r="E1390" i="2" a="1"/>
  <c r="E1390" i="2" s="1"/>
  <c r="E1391" i="2" a="1"/>
  <c r="E1391" i="2" s="1"/>
  <c r="E1392" i="2" a="1"/>
  <c r="E1392" i="2" s="1"/>
  <c r="E1393" i="2" a="1"/>
  <c r="E1393" i="2" s="1"/>
  <c r="E1394" i="2" a="1"/>
  <c r="E1394" i="2" s="1"/>
  <c r="E1395" i="2" a="1"/>
  <c r="E1395" i="2" s="1"/>
  <c r="E1396" i="2" a="1"/>
  <c r="E1396" i="2" s="1"/>
  <c r="E1397" i="2" a="1"/>
  <c r="E1397" i="2" s="1"/>
  <c r="E1398" i="2" a="1"/>
  <c r="E1398" i="2" s="1"/>
  <c r="E1399" i="2" a="1"/>
  <c r="E1399" i="2" s="1"/>
  <c r="E1400" i="2" a="1"/>
  <c r="E1400" i="2" s="1"/>
  <c r="E1401" i="2" a="1"/>
  <c r="E1401" i="2" s="1"/>
  <c r="E1402" i="2" a="1"/>
  <c r="E1402" i="2" s="1"/>
  <c r="E1403" i="2" a="1"/>
  <c r="E1403" i="2" s="1"/>
  <c r="E1404" i="2" a="1"/>
  <c r="E1404" i="2" s="1"/>
  <c r="E1405" i="2" a="1"/>
  <c r="E1405" i="2" s="1"/>
  <c r="E1406" i="2" a="1"/>
  <c r="E1406" i="2" s="1"/>
  <c r="E1407" i="2" a="1"/>
  <c r="E1407" i="2" s="1"/>
  <c r="E1408" i="2" a="1"/>
  <c r="E1408" i="2" s="1"/>
  <c r="E1409" i="2" a="1"/>
  <c r="E1409" i="2" s="1"/>
  <c r="E1410" i="2" a="1"/>
  <c r="E1410" i="2" s="1"/>
  <c r="E1411" i="2" a="1"/>
  <c r="E1411" i="2" s="1"/>
  <c r="E1412" i="2" a="1"/>
  <c r="E1412" i="2" s="1"/>
  <c r="E1413" i="2" a="1"/>
  <c r="E1413" i="2" s="1"/>
  <c r="E1414" i="2" a="1"/>
  <c r="E1414" i="2" s="1"/>
  <c r="E1415" i="2" a="1"/>
  <c r="E1415" i="2" s="1"/>
  <c r="E1416" i="2" a="1"/>
  <c r="E1416" i="2" s="1"/>
  <c r="E1417" i="2" a="1"/>
  <c r="E1417" i="2" s="1"/>
  <c r="E1418" i="2" a="1"/>
  <c r="E1418" i="2" s="1"/>
  <c r="E1419" i="2" a="1"/>
  <c r="E1419" i="2" s="1"/>
  <c r="E1420" i="2" a="1"/>
  <c r="E1420" i="2" s="1"/>
  <c r="E1421" i="2" a="1"/>
  <c r="E1421" i="2" s="1"/>
  <c r="E1422" i="2" a="1"/>
  <c r="E1422" i="2" s="1"/>
  <c r="E1423" i="2" a="1"/>
  <c r="E1423" i="2" s="1"/>
  <c r="E1424" i="2" a="1"/>
  <c r="E1424" i="2" s="1"/>
  <c r="E1425" i="2" a="1"/>
  <c r="E1425" i="2" s="1"/>
  <c r="E1426" i="2" a="1"/>
  <c r="E1426" i="2" s="1"/>
  <c r="E1427" i="2" a="1"/>
  <c r="E1427" i="2" s="1"/>
  <c r="E1428" i="2" a="1"/>
  <c r="E1428" i="2" s="1"/>
  <c r="E1429" i="2" a="1"/>
  <c r="E1429" i="2" s="1"/>
  <c r="E1430" i="2" a="1"/>
  <c r="E1430" i="2" s="1"/>
  <c r="E1431" i="2" a="1"/>
  <c r="E1431" i="2" s="1"/>
  <c r="E1432" i="2" a="1"/>
  <c r="E1432" i="2" s="1"/>
  <c r="E1433" i="2" a="1"/>
  <c r="E1433" i="2" s="1"/>
  <c r="E1434" i="2" a="1"/>
  <c r="E1434" i="2" s="1"/>
  <c r="E1435" i="2" a="1"/>
  <c r="E1435" i="2" s="1"/>
  <c r="E1436" i="2" a="1"/>
  <c r="E1436" i="2" s="1"/>
  <c r="E1437" i="2" a="1"/>
  <c r="E1437" i="2" s="1"/>
  <c r="E1438" i="2" a="1"/>
  <c r="E1438" i="2" s="1"/>
  <c r="E1439" i="2" a="1"/>
  <c r="E1439" i="2" s="1"/>
  <c r="E1440" i="2" a="1"/>
  <c r="E1440" i="2" s="1"/>
  <c r="E1441" i="2" a="1"/>
  <c r="E1441" i="2" s="1"/>
  <c r="E1442" i="2" a="1"/>
  <c r="E1442" i="2" s="1"/>
  <c r="E1443" i="2" a="1"/>
  <c r="E1443" i="2" s="1"/>
  <c r="E1444" i="2" a="1"/>
  <c r="E1444" i="2" s="1"/>
  <c r="E1445" i="2" a="1"/>
  <c r="E1445" i="2" s="1"/>
  <c r="E1446" i="2" a="1"/>
  <c r="E1446" i="2" s="1"/>
  <c r="E1447" i="2" a="1"/>
  <c r="E1447" i="2" s="1"/>
  <c r="E1448" i="2" a="1"/>
  <c r="E1448" i="2" s="1"/>
  <c r="E1449" i="2" a="1"/>
  <c r="E1449" i="2" s="1"/>
  <c r="E1450" i="2" a="1"/>
  <c r="E1450" i="2" s="1"/>
  <c r="E1451" i="2" a="1"/>
  <c r="E1451" i="2" s="1"/>
  <c r="E1452" i="2" a="1"/>
  <c r="E1452" i="2" s="1"/>
  <c r="E1453" i="2" a="1"/>
  <c r="E1453" i="2" s="1"/>
  <c r="E1454" i="2" a="1"/>
  <c r="E1454" i="2" s="1"/>
  <c r="E1455" i="2" a="1"/>
  <c r="E1455" i="2" s="1"/>
  <c r="E1456" i="2" a="1"/>
  <c r="E1456" i="2" s="1"/>
  <c r="E1457" i="2" a="1"/>
  <c r="E1457" i="2" s="1"/>
  <c r="E1458" i="2" a="1"/>
  <c r="E1458" i="2" s="1"/>
  <c r="E1459" i="2" a="1"/>
  <c r="E1459" i="2" s="1"/>
  <c r="E1460" i="2" a="1"/>
  <c r="E1460" i="2" s="1"/>
  <c r="E1461" i="2" a="1"/>
  <c r="E1461" i="2" s="1"/>
  <c r="E1462" i="2" a="1"/>
  <c r="E1462" i="2" s="1"/>
  <c r="E1463" i="2" a="1"/>
  <c r="E1463" i="2" s="1"/>
  <c r="E1464" i="2" a="1"/>
  <c r="E1464" i="2" s="1"/>
  <c r="E1465" i="2" a="1"/>
  <c r="E1465" i="2" s="1"/>
  <c r="E1466" i="2" a="1"/>
  <c r="E1466" i="2" s="1"/>
  <c r="E1467" i="2" a="1"/>
  <c r="E1467" i="2" s="1"/>
  <c r="E1468" i="2" a="1"/>
  <c r="E1468" i="2" s="1"/>
  <c r="E1469" i="2" a="1"/>
  <c r="E1469" i="2" s="1"/>
  <c r="E1470" i="2" a="1"/>
  <c r="E1470" i="2" s="1"/>
  <c r="E1471" i="2" a="1"/>
  <c r="E1471" i="2" s="1"/>
  <c r="E1472" i="2" a="1"/>
  <c r="E1472" i="2" s="1"/>
  <c r="E1473" i="2" a="1"/>
  <c r="E1473" i="2" s="1"/>
  <c r="E1474" i="2" a="1"/>
  <c r="E1474" i="2" s="1"/>
  <c r="E1475" i="2" a="1"/>
  <c r="E1475" i="2" s="1"/>
  <c r="E1476" i="2" a="1"/>
  <c r="E1476" i="2" s="1"/>
  <c r="E1477" i="2" a="1"/>
  <c r="E1477" i="2" s="1"/>
  <c r="E1478" i="2" a="1"/>
  <c r="E1478" i="2" s="1"/>
  <c r="E1479" i="2" a="1"/>
  <c r="E1479" i="2" s="1"/>
  <c r="E1480" i="2" a="1"/>
  <c r="E1480" i="2" s="1"/>
  <c r="E1481" i="2" a="1"/>
  <c r="E1481" i="2" s="1"/>
  <c r="E1482" i="2" a="1"/>
  <c r="E1482" i="2" s="1"/>
  <c r="E1483" i="2" a="1"/>
  <c r="E1483" i="2" s="1"/>
  <c r="E1484" i="2" a="1"/>
  <c r="E1484" i="2" s="1"/>
  <c r="E1485" i="2" a="1"/>
  <c r="E1485" i="2" s="1"/>
  <c r="E1486" i="2" a="1"/>
  <c r="E1486" i="2" s="1"/>
  <c r="E1487" i="2" a="1"/>
  <c r="E1487" i="2" s="1"/>
  <c r="E1488" i="2" a="1"/>
  <c r="E1488" i="2" s="1"/>
  <c r="E1489" i="2" a="1"/>
  <c r="E1489" i="2" s="1"/>
  <c r="E1490" i="2" a="1"/>
  <c r="E1490" i="2" s="1"/>
  <c r="E1491" i="2" a="1"/>
  <c r="E1491" i="2" s="1"/>
  <c r="E1492" i="2" a="1"/>
  <c r="E1492" i="2" s="1"/>
  <c r="E1493" i="2" a="1"/>
  <c r="E1493" i="2" s="1"/>
  <c r="E1494" i="2" a="1"/>
  <c r="E1494" i="2" s="1"/>
  <c r="E1495" i="2" a="1"/>
  <c r="E1495" i="2" s="1"/>
  <c r="E1496" i="2" a="1"/>
  <c r="E1496" i="2" s="1"/>
  <c r="E1497" i="2" a="1"/>
  <c r="E1497" i="2" s="1"/>
  <c r="E1498" i="2" a="1"/>
  <c r="E1498" i="2" s="1"/>
  <c r="E1499" i="2" a="1"/>
  <c r="E1499" i="2" s="1"/>
  <c r="E1500" i="2" a="1"/>
  <c r="E1500" i="2" s="1"/>
  <c r="E1501" i="2" a="1"/>
  <c r="E1501" i="2" s="1"/>
  <c r="E1502" i="2" a="1"/>
  <c r="E1502" i="2" s="1"/>
  <c r="E1503" i="2" a="1"/>
  <c r="E1503" i="2" s="1"/>
  <c r="E1504" i="2" a="1"/>
  <c r="E1504" i="2" s="1"/>
  <c r="E1505" i="2" a="1"/>
  <c r="E1505" i="2" s="1"/>
  <c r="E1506" i="2" a="1"/>
  <c r="E1506" i="2" s="1"/>
  <c r="E1507" i="2" a="1"/>
  <c r="E1507" i="2" s="1"/>
  <c r="E1508" i="2" a="1"/>
  <c r="E1508" i="2" s="1"/>
  <c r="E1509" i="2" a="1"/>
  <c r="E1509" i="2" s="1"/>
  <c r="E1510" i="2" a="1"/>
  <c r="E1510" i="2" s="1"/>
  <c r="E1511" i="2" a="1"/>
  <c r="E1511" i="2" s="1"/>
  <c r="E1512" i="2" a="1"/>
  <c r="E1512" i="2" s="1"/>
  <c r="E1513" i="2" a="1"/>
  <c r="E1513" i="2" s="1"/>
  <c r="E1514" i="2" a="1"/>
  <c r="E1514" i="2" s="1"/>
  <c r="E1515" i="2" a="1"/>
  <c r="E1515" i="2" s="1"/>
  <c r="E1516" i="2" a="1"/>
  <c r="E1516" i="2" s="1"/>
  <c r="E1517" i="2" a="1"/>
  <c r="E1517" i="2" s="1"/>
  <c r="E1518" i="2" a="1"/>
  <c r="E1518" i="2" s="1"/>
  <c r="E1519" i="2" a="1"/>
  <c r="E1519" i="2" s="1"/>
  <c r="E1520" i="2" a="1"/>
  <c r="E1520" i="2" s="1"/>
  <c r="E1521" i="2" a="1"/>
  <c r="E1521" i="2" s="1"/>
  <c r="E1522" i="2" a="1"/>
  <c r="E1522" i="2" s="1"/>
  <c r="E1523" i="2" a="1"/>
  <c r="E1523" i="2" s="1"/>
  <c r="E1524" i="2" a="1"/>
  <c r="E1524" i="2" s="1"/>
  <c r="E1525" i="2" a="1"/>
  <c r="E1525" i="2" s="1"/>
  <c r="E1526" i="2" a="1"/>
  <c r="E1526" i="2" s="1"/>
  <c r="E1527" i="2" a="1"/>
  <c r="E1527" i="2" s="1"/>
  <c r="E1528" i="2" a="1"/>
  <c r="E1528" i="2" s="1"/>
  <c r="E1529" i="2" a="1"/>
  <c r="E1529" i="2" s="1"/>
  <c r="E1530" i="2" a="1"/>
  <c r="E1530" i="2" s="1"/>
  <c r="E1531" i="2" a="1"/>
  <c r="E1531" i="2" s="1"/>
  <c r="E1532" i="2" a="1"/>
  <c r="E1532" i="2" s="1"/>
  <c r="E1533" i="2" a="1"/>
  <c r="E1533" i="2" s="1"/>
  <c r="E1534" i="2" a="1"/>
  <c r="E1534" i="2" s="1"/>
  <c r="E1535" i="2" a="1"/>
  <c r="E1535" i="2" s="1"/>
  <c r="E1536" i="2" a="1"/>
  <c r="E1536" i="2" s="1"/>
  <c r="E1537" i="2" a="1"/>
  <c r="E1537" i="2" s="1"/>
  <c r="E1538" i="2" a="1"/>
  <c r="E1538" i="2" s="1"/>
  <c r="E1539" i="2" a="1"/>
  <c r="E1539" i="2" s="1"/>
  <c r="E1540" i="2" a="1"/>
  <c r="E1540" i="2" s="1"/>
  <c r="E1541" i="2" a="1"/>
  <c r="E1541" i="2" s="1"/>
  <c r="E1542" i="2" a="1"/>
  <c r="E1542" i="2" s="1"/>
  <c r="E1543" i="2" a="1"/>
  <c r="E1543" i="2" s="1"/>
  <c r="E1544" i="2" a="1"/>
  <c r="E1544" i="2" s="1"/>
  <c r="E1545" i="2" a="1"/>
  <c r="E1545" i="2" s="1"/>
  <c r="E1546" i="2" a="1"/>
  <c r="E1546" i="2" s="1"/>
  <c r="E1547" i="2" a="1"/>
  <c r="E1547" i="2" s="1"/>
  <c r="E1548" i="2" a="1"/>
  <c r="E1548" i="2" s="1"/>
  <c r="E1549" i="2" a="1"/>
  <c r="E1549" i="2" s="1"/>
  <c r="E1550" i="2" a="1"/>
  <c r="E1550" i="2" s="1"/>
  <c r="E1551" i="2" a="1"/>
  <c r="E1551" i="2" s="1"/>
  <c r="E1552" i="2" a="1"/>
  <c r="E1552" i="2" s="1"/>
  <c r="E1553" i="2" a="1"/>
  <c r="E1553" i="2" s="1"/>
  <c r="E1554" i="2" a="1"/>
  <c r="E1554" i="2" s="1"/>
  <c r="E1555" i="2" a="1"/>
  <c r="E1555" i="2" s="1"/>
  <c r="E1556" i="2" a="1"/>
  <c r="E1556" i="2" s="1"/>
  <c r="E1557" i="2" a="1"/>
  <c r="E1557" i="2" s="1"/>
  <c r="M53" i="8"/>
  <c r="M52" i="8"/>
  <c r="M33" i="8"/>
  <c r="M32" i="8"/>
  <c r="M14" i="8"/>
  <c r="M13" i="8"/>
  <c r="L47" i="10" l="1" a="1"/>
  <c r="L47" i="10" s="1"/>
  <c r="M47" i="10" s="1" a="1"/>
  <c r="M47" i="10" s="1"/>
  <c r="L26" i="10" a="1"/>
  <c r="L26" i="10" s="1"/>
  <c r="M26" i="10" s="1" a="1"/>
  <c r="M26" i="10" s="1"/>
  <c r="L6" i="10" a="1"/>
  <c r="M48" i="10" l="1" a="1"/>
  <c r="M48" i="10" s="1"/>
  <c r="M53" i="10" s="1"/>
  <c r="M49" i="10" a="1"/>
  <c r="M49" i="10" s="1"/>
  <c r="M52" i="10" a="1"/>
  <c r="M52" i="10" s="1"/>
  <c r="M51" i="10" a="1"/>
  <c r="M51" i="10" s="1"/>
  <c r="M50" i="10" a="1"/>
  <c r="M50" i="10" s="1"/>
  <c r="M28" i="10" a="1"/>
  <c r="M28" i="10" s="1"/>
  <c r="M31" i="10" a="1"/>
  <c r="M31" i="10" s="1"/>
  <c r="M30" i="10" a="1"/>
  <c r="M30" i="10" s="1"/>
  <c r="M29" i="10" a="1"/>
  <c r="M29" i="10" s="1"/>
  <c r="M27" i="10" a="1"/>
  <c r="M27" i="10" s="1"/>
  <c r="L6" i="10"/>
  <c r="M6" i="10" s="1" a="1"/>
  <c r="M6" i="10" s="1"/>
  <c r="M7" i="10" a="1"/>
  <c r="M7" i="10" s="1"/>
  <c r="M8" i="10" a="1"/>
  <c r="M8" i="10" s="1"/>
  <c r="M9" i="10" a="1"/>
  <c r="M9" i="10" s="1"/>
  <c r="M11" i="10" a="1"/>
  <c r="M11" i="10" s="1"/>
  <c r="M10" i="10" a="1"/>
  <c r="M10" i="10" s="1"/>
  <c r="D15" i="6"/>
  <c r="D14" i="6"/>
  <c r="D16" i="6" s="1"/>
  <c r="D5" i="6"/>
  <c r="D6" i="6" s="1"/>
  <c r="M61" i="10" l="1"/>
  <c r="M55" i="10"/>
  <c r="M32" i="10"/>
  <c r="M34" i="10" s="1"/>
  <c r="M12" i="10"/>
  <c r="M20" i="10" s="1"/>
  <c r="J144" i="5"/>
  <c r="M146" i="5"/>
  <c r="M145" i="5"/>
  <c r="M144" i="5"/>
  <c r="J146" i="5"/>
  <c r="J145" i="5"/>
  <c r="G144" i="5"/>
  <c r="G145" i="5" s="1"/>
  <c r="C145" i="5"/>
  <c r="C144" i="5"/>
  <c r="C146" i="5" s="1"/>
  <c r="H138" i="5"/>
  <c r="H137" i="5"/>
  <c r="H136" i="5"/>
  <c r="D138" i="5"/>
  <c r="D137" i="5"/>
  <c r="D136" i="5"/>
  <c r="D81" i="5"/>
  <c r="D82" i="5"/>
  <c r="D79" i="5"/>
  <c r="D78" i="5"/>
  <c r="D58" i="5"/>
  <c r="D57" i="5"/>
  <c r="D56" i="5"/>
  <c r="D55" i="5"/>
  <c r="C35" i="5"/>
  <c r="C14" i="5"/>
  <c r="C15" i="5"/>
  <c r="C24" i="5"/>
  <c r="C25" i="5" s="1"/>
  <c r="C6" i="5"/>
  <c r="C5" i="5"/>
  <c r="M60" i="10" l="1"/>
  <c r="M62" i="10" s="1"/>
  <c r="M59" i="10"/>
  <c r="M40" i="10"/>
  <c r="M39" i="10"/>
  <c r="M38" i="10"/>
  <c r="M14" i="10"/>
  <c r="M19" i="10" s="1"/>
  <c r="M21" i="10" s="1"/>
  <c r="C7" i="5"/>
  <c r="M41" i="10" l="1"/>
  <c r="M18"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<sst xmlns="http://schemas.openxmlformats.org/spreadsheetml/2006/main" count="5391" uniqueCount="2592">
  <si>
    <t>Index</t>
  </si>
  <si>
    <t>Positivité</t>
  </si>
  <si>
    <t>Beggin'</t>
  </si>
  <si>
    <t>Måneskin</t>
  </si>
  <si>
    <t>indie rock italiano</t>
  </si>
  <si>
    <t>STAY (with Justin Bieber)</t>
  </si>
  <si>
    <t>The Kid LAROI</t>
  </si>
  <si>
    <t>australian hip hop</t>
  </si>
  <si>
    <t>good 4 u</t>
  </si>
  <si>
    <t>Olivia Rodrigo</t>
  </si>
  <si>
    <t>pop</t>
  </si>
  <si>
    <t>Bad Habits</t>
  </si>
  <si>
    <t>Ed Sheeran</t>
  </si>
  <si>
    <t>INDUSTRY BABY (feat. Jack Harlow)</t>
  </si>
  <si>
    <t>Lil Nas X</t>
  </si>
  <si>
    <t>lgbtq+ hip hop</t>
  </si>
  <si>
    <t>MONTERO (Call Me By Your Name)</t>
  </si>
  <si>
    <t>Kiss Me More (feat. SZA)</t>
  </si>
  <si>
    <t>Doja Cat</t>
  </si>
  <si>
    <t>dance pop</t>
  </si>
  <si>
    <t>Todo De Ti</t>
  </si>
  <si>
    <t>Rauw Alejandro</t>
  </si>
  <si>
    <t>puerto rican pop</t>
  </si>
  <si>
    <t>Yonaguni</t>
  </si>
  <si>
    <t>Bad Bunny</t>
  </si>
  <si>
    <t>latin</t>
  </si>
  <si>
    <t>I WANNA BE YOUR SLAVE</t>
  </si>
  <si>
    <t>Levitating (feat. DaBaby)</t>
  </si>
  <si>
    <t>Dua Lipa</t>
  </si>
  <si>
    <t>Qué Más Pues?</t>
  </si>
  <si>
    <t>J Balvin, Maria Becerra</t>
  </si>
  <si>
    <t>Permission to Dance</t>
  </si>
  <si>
    <t>BTS</t>
  </si>
  <si>
    <t>k-pop</t>
  </si>
  <si>
    <t>Peaches (feat. Daniel Caesar &amp; Giveon)</t>
  </si>
  <si>
    <t>Justin Bieber</t>
  </si>
  <si>
    <t>canadian pop</t>
  </si>
  <si>
    <t>Butter</t>
  </si>
  <si>
    <t>traitor</t>
  </si>
  <si>
    <t>deja vu</t>
  </si>
  <si>
    <t>Save Your Tears (with Ariana Grande) (Remix)</t>
  </si>
  <si>
    <t>The Weeknd</t>
  </si>
  <si>
    <t>canadian contemporary r&amp;b</t>
  </si>
  <si>
    <t>AM Remix</t>
  </si>
  <si>
    <t>Nio Garcia, J Balvin, Bad Bunny</t>
  </si>
  <si>
    <t>Need To Know</t>
  </si>
  <si>
    <t>Volando - Remix</t>
  </si>
  <si>
    <t>Mora, Bad Bunny, Sech</t>
  </si>
  <si>
    <t>reggaeton</t>
  </si>
  <si>
    <t>Ain't Shit</t>
  </si>
  <si>
    <t>drivers license</t>
  </si>
  <si>
    <t>Heat Waves</t>
  </si>
  <si>
    <t>Glass Animals</t>
  </si>
  <si>
    <t>gauze pop</t>
  </si>
  <si>
    <t>Blinding Lights</t>
  </si>
  <si>
    <t>happier</t>
  </si>
  <si>
    <t>Pepas</t>
  </si>
  <si>
    <t>Farruko</t>
  </si>
  <si>
    <t>Motley Crew</t>
  </si>
  <si>
    <t>Post Malone</t>
  </si>
  <si>
    <t>dfw rap</t>
  </si>
  <si>
    <t>Friday (feat. Mufasa &amp; Hypeman) - Dopamine Re-Edit</t>
  </si>
  <si>
    <t>Riton, Nightcrawlers</t>
  </si>
  <si>
    <t>Astronaut In The Ocean</t>
  </si>
  <si>
    <t>Masked Wolf</t>
  </si>
  <si>
    <t>Leave The Door Open</t>
  </si>
  <si>
    <t>Bruno Mars, Anderson .Paak, Silk Sonic</t>
  </si>
  <si>
    <t>Don't Go Yet</t>
  </si>
  <si>
    <t>Camila Cabello</t>
  </si>
  <si>
    <t>favorite crime</t>
  </si>
  <si>
    <t>Pareja Del Año</t>
  </si>
  <si>
    <t>Sebastian Yatra, Myke Towers</t>
  </si>
  <si>
    <t>colombian pop</t>
  </si>
  <si>
    <t>Watermelon Sugar</t>
  </si>
  <si>
    <t>Harry Styles</t>
  </si>
  <si>
    <t>NOT SOBER (feat. Polo G &amp; Stunna Gambino)</t>
  </si>
  <si>
    <t xml:space="preserve"> </t>
  </si>
  <si>
    <t>RAPSTAR</t>
  </si>
  <si>
    <t>Polo G</t>
  </si>
  <si>
    <t>chicago rap</t>
  </si>
  <si>
    <t>You Right</t>
  </si>
  <si>
    <t>Doja Cat, The Weeknd</t>
  </si>
  <si>
    <t>911 - Remix</t>
  </si>
  <si>
    <t>Sech, Jhay Cortez</t>
  </si>
  <si>
    <t>DÁKITI</t>
  </si>
  <si>
    <t>Bad Bunny, Jhay Cortez</t>
  </si>
  <si>
    <t>Miénteme</t>
  </si>
  <si>
    <t>TINI, Maria Becerra</t>
  </si>
  <si>
    <t>latin pop</t>
  </si>
  <si>
    <t>jealousy, jealousy</t>
  </si>
  <si>
    <t>Poblado - Remix</t>
  </si>
  <si>
    <t>J Balvin, KAROL G, Nicky Jam, Crissin, Totoy El Frio, Natan &amp; Shander</t>
  </si>
  <si>
    <t>Dynamite</t>
  </si>
  <si>
    <t>The Business</t>
  </si>
  <si>
    <t>Tiësto</t>
  </si>
  <si>
    <t>big room</t>
  </si>
  <si>
    <t>Heartbreak Anthem (with David Guetta &amp; Little Mix)</t>
  </si>
  <si>
    <t>Galantis</t>
  </si>
  <si>
    <t>Mood (feat. iann dior)</t>
  </si>
  <si>
    <t>24kGoldn</t>
  </si>
  <si>
    <t>cali rap</t>
  </si>
  <si>
    <t>Entre Nosotros</t>
  </si>
  <si>
    <t>Tiago PZK, LIT killah</t>
  </si>
  <si>
    <t>trap argentino</t>
  </si>
  <si>
    <t>Fiel - Remix</t>
  </si>
  <si>
    <t>Wisin, Jhay Cortez, Anuel AA, Los Legendarios, Myke Towers</t>
  </si>
  <si>
    <t>Build a Bitch</t>
  </si>
  <si>
    <t>Bella Poarch</t>
  </si>
  <si>
    <t>Nicky Jam: Bzrp Music Sessions, Vol. 41</t>
  </si>
  <si>
    <t>Bizarrap, Nicky Jam</t>
  </si>
  <si>
    <t>argentine hip hop</t>
  </si>
  <si>
    <t>Tiroteo - Remix</t>
  </si>
  <si>
    <t>Marc Seguí, Rauw Alejandro, Pol Granch</t>
  </si>
  <si>
    <t>NDA</t>
  </si>
  <si>
    <t>Billie Eilish</t>
  </si>
  <si>
    <t>electropop</t>
  </si>
  <si>
    <t>Rasputin</t>
  </si>
  <si>
    <t>Majestic, Boney M.</t>
  </si>
  <si>
    <t>house</t>
  </si>
  <si>
    <t>Leave Before You Love Me (with Jonas Brothers)</t>
  </si>
  <si>
    <t>Marshmello</t>
  </si>
  <si>
    <t>brostep</t>
  </si>
  <si>
    <t>Freaks</t>
  </si>
  <si>
    <t>Surf Curse</t>
  </si>
  <si>
    <t>dreamo</t>
  </si>
  <si>
    <t>Meu Pedaço de Pecado</t>
  </si>
  <si>
    <t>João Gomes</t>
  </si>
  <si>
    <t>2/Catorce</t>
  </si>
  <si>
    <t>Rauw Alejandro, Mr. Naisgai</t>
  </si>
  <si>
    <t>Beautiful Mistakes (feat. Megan Thee Stallion)</t>
  </si>
  <si>
    <t>Maroon 5</t>
  </si>
  <si>
    <t>Run</t>
  </si>
  <si>
    <t>OneRepublic</t>
  </si>
  <si>
    <t>Thot Shit</t>
  </si>
  <si>
    <t>Megan Thee Stallion</t>
  </si>
  <si>
    <t>houston rap</t>
  </si>
  <si>
    <t>Your Love (9PM)</t>
  </si>
  <si>
    <t>ATB, Topic, A7S</t>
  </si>
  <si>
    <t>german dance</t>
  </si>
  <si>
    <t>brutal</t>
  </si>
  <si>
    <t>Save Your Tears</t>
  </si>
  <si>
    <t>Heartbreak Anniversary</t>
  </si>
  <si>
    <t>Giveon</t>
  </si>
  <si>
    <t>Don't Start Now</t>
  </si>
  <si>
    <t>Dinero</t>
  </si>
  <si>
    <t>Trinidad Cardona</t>
  </si>
  <si>
    <t>Sweater Weather</t>
  </si>
  <si>
    <t>The Neighbourhood</t>
  </si>
  <si>
    <t>modern alternative rock</t>
  </si>
  <si>
    <t>Sobrio</t>
  </si>
  <si>
    <t>Maluma</t>
  </si>
  <si>
    <t>Someone You Loved</t>
  </si>
  <si>
    <t>Lewis Capaldi</t>
  </si>
  <si>
    <t>Over The Top (feat. Drake)</t>
  </si>
  <si>
    <t>Smiley</t>
  </si>
  <si>
    <t>canadian hip hop</t>
  </si>
  <si>
    <t>2055</t>
  </si>
  <si>
    <t>Sleepy Hallow</t>
  </si>
  <si>
    <t>brooklyn drill</t>
  </si>
  <si>
    <t>EL MAKINON</t>
  </si>
  <si>
    <t>KAROL G, Mariah Angeliq</t>
  </si>
  <si>
    <t>Loco</t>
  </si>
  <si>
    <t>Justin Quiles, Chimbala, Zion &amp; Lennox</t>
  </si>
  <si>
    <t>Love Tonight - Edit</t>
  </si>
  <si>
    <t>Shouse</t>
  </si>
  <si>
    <t>aussietronica</t>
  </si>
  <si>
    <t>ZITTI E BUONI</t>
  </si>
  <si>
    <t>telepatía</t>
  </si>
  <si>
    <t>Kali Uchis</t>
  </si>
  <si>
    <t>Botella Tras Botella</t>
  </si>
  <si>
    <t>Gera MX, Christian Nodal</t>
  </si>
  <si>
    <t>mexican hip hop</t>
  </si>
  <si>
    <t>Fiel</t>
  </si>
  <si>
    <t>Los Legendarios, Wisin, Jhay Cortez</t>
  </si>
  <si>
    <t>Dance Monkey</t>
  </si>
  <si>
    <t>Tones And I</t>
  </si>
  <si>
    <t>australian pop</t>
  </si>
  <si>
    <t>WITHOUT YOU</t>
  </si>
  <si>
    <t>Wants and Needs (feat. Lil Baby)</t>
  </si>
  <si>
    <t>Drake</t>
  </si>
  <si>
    <t>Bezos I</t>
  </si>
  <si>
    <t>Bo Burnham</t>
  </si>
  <si>
    <t>comic</t>
  </si>
  <si>
    <t>Love Again</t>
  </si>
  <si>
    <t>Goosebumps - Remix</t>
  </si>
  <si>
    <t>Travis Scott, HVME</t>
  </si>
  <si>
    <t>rap</t>
  </si>
  <si>
    <t>Head &amp; Heart (feat. MNEK)</t>
  </si>
  <si>
    <t>Joel Corry</t>
  </si>
  <si>
    <t>BED</t>
  </si>
  <si>
    <t>Joel Corry, RAYE, David Guetta</t>
  </si>
  <si>
    <t>Iko Iko (My Bestie)</t>
  </si>
  <si>
    <t>Justin Wellington, Small Jam</t>
  </si>
  <si>
    <t>melanesian pop</t>
  </si>
  <si>
    <t>Better Believe</t>
  </si>
  <si>
    <t>Belly, The Weeknd, Young Thug</t>
  </si>
  <si>
    <t>Arcade</t>
  </si>
  <si>
    <t>Duncan Laurence</t>
  </si>
  <si>
    <t>dutch pop</t>
  </si>
  <si>
    <t>512</t>
  </si>
  <si>
    <t>Mora, Jhay Cortez</t>
  </si>
  <si>
    <t>positions</t>
  </si>
  <si>
    <t>Ariana Grande</t>
  </si>
  <si>
    <t>Circles</t>
  </si>
  <si>
    <t>Blaues Licht</t>
  </si>
  <si>
    <t>RAF Camora, Bonez MC</t>
  </si>
  <si>
    <t>german hip hop</t>
  </si>
  <si>
    <t>Ram Pam Pam</t>
  </si>
  <si>
    <t>Natti Natasha, Becky G</t>
  </si>
  <si>
    <t>In Da Getto</t>
  </si>
  <si>
    <t>J Balvin, Skrillex</t>
  </si>
  <si>
    <t>Woman</t>
  </si>
  <si>
    <t>t r a n s p a r e n t s o u l feat. Travis Barker</t>
  </si>
  <si>
    <t>WILLOW</t>
  </si>
  <si>
    <t>afrofuturism</t>
  </si>
  <si>
    <t>Clash (feat. Stormzy)</t>
  </si>
  <si>
    <t>Dave</t>
  </si>
  <si>
    <t>uk hip hop</t>
  </si>
  <si>
    <t>Before You Go</t>
  </si>
  <si>
    <t>Levitating</t>
  </si>
  <si>
    <t>Reckless</t>
  </si>
  <si>
    <t>Madison Beer</t>
  </si>
  <si>
    <t>alt z</t>
  </si>
  <si>
    <t>No Me Conocen (Remix) [con DUKI, Rei &amp; Tiago PZK]</t>
  </si>
  <si>
    <t>BANDIDO</t>
  </si>
  <si>
    <t>Believer</t>
  </si>
  <si>
    <t>Imagine Dragons</t>
  </si>
  <si>
    <t>modern rock</t>
  </si>
  <si>
    <t>Lemonade (feat. Gunna, Don Toliver &amp; NAV)</t>
  </si>
  <si>
    <t>Internet Money</t>
  </si>
  <si>
    <t>pop rap</t>
  </si>
  <si>
    <t>Talking to the Moon</t>
  </si>
  <si>
    <t>Bruno Mars</t>
  </si>
  <si>
    <t>Roses - Imanbek Remix</t>
  </si>
  <si>
    <t>SAINt JHN</t>
  </si>
  <si>
    <t>melodic rap</t>
  </si>
  <si>
    <t>Sal y Perrea</t>
  </si>
  <si>
    <t>Sech</t>
  </si>
  <si>
    <t>Fulanito</t>
  </si>
  <si>
    <t>Becky G, El Alfa</t>
  </si>
  <si>
    <t>París</t>
  </si>
  <si>
    <t>Ingratax</t>
  </si>
  <si>
    <t>lovely (with Khalid)</t>
  </si>
  <si>
    <t>Sunflower - Spider-Man: Into the Spider-Verse</t>
  </si>
  <si>
    <t>Post Malone, Swae Lee</t>
  </si>
  <si>
    <t>double take</t>
  </si>
  <si>
    <t>dhruv</t>
  </si>
  <si>
    <t>chill r&amp;b</t>
  </si>
  <si>
    <t>Streets</t>
  </si>
  <si>
    <t>By Your Side (feat. Tom Grennan)</t>
  </si>
  <si>
    <t>Calvin Harris</t>
  </si>
  <si>
    <t>MORENA</t>
  </si>
  <si>
    <t>Luan Santana</t>
  </si>
  <si>
    <t>sertanejo</t>
  </si>
  <si>
    <t>Shape of You</t>
  </si>
  <si>
    <t>Señorita</t>
  </si>
  <si>
    <t>Shawn Mendes, Camila Cabello</t>
  </si>
  <si>
    <t>Hold On</t>
  </si>
  <si>
    <t>Perfect</t>
  </si>
  <si>
    <t>2:50 Remix</t>
  </si>
  <si>
    <t>MYA, TINI, Duki</t>
  </si>
  <si>
    <t>LA NOCHE DE ANOCHE</t>
  </si>
  <si>
    <t>Bad Bunny, ROSALÍA</t>
  </si>
  <si>
    <t>ROCKSTAR (feat. Roddy Ricch)</t>
  </si>
  <si>
    <t>DaBaby</t>
  </si>
  <si>
    <t>north carolina hip hop</t>
  </si>
  <si>
    <t>Heather</t>
  </si>
  <si>
    <t>Conan Gray</t>
  </si>
  <si>
    <t>you broke me first</t>
  </si>
  <si>
    <t>Tate McRae</t>
  </si>
  <si>
    <t>The Nights</t>
  </si>
  <si>
    <t>Avicii</t>
  </si>
  <si>
    <t>Riptide</t>
  </si>
  <si>
    <t>Vance Joy</t>
  </si>
  <si>
    <t>folk-pop</t>
  </si>
  <si>
    <t>Smells Like Teen Spirit</t>
  </si>
  <si>
    <t>Nirvana</t>
  </si>
  <si>
    <t>grunge</t>
  </si>
  <si>
    <t>enough for you</t>
  </si>
  <si>
    <t>Daddy Issues</t>
  </si>
  <si>
    <t>Aquelas Coisas</t>
  </si>
  <si>
    <t>Miss The Rage (feat. Playboi Carti)</t>
  </si>
  <si>
    <t>Trippie Redd</t>
  </si>
  <si>
    <t>Memories</t>
  </si>
  <si>
    <t>Another Love</t>
  </si>
  <si>
    <t>Tom Odell</t>
  </si>
  <si>
    <t>Here's Your Perfect</t>
  </si>
  <si>
    <t>Jamie Miller</t>
  </si>
  <si>
    <t>pop soul</t>
  </si>
  <si>
    <t>Take Me To Church</t>
  </si>
  <si>
    <t>Hozier</t>
  </si>
  <si>
    <t>irish singer-songwriter</t>
  </si>
  <si>
    <t>Little Bit of Love</t>
  </si>
  <si>
    <t>Tom Grennan</t>
  </si>
  <si>
    <t>Ficha Limpa</t>
  </si>
  <si>
    <t>Gusttavo Lima</t>
  </si>
  <si>
    <t>Up</t>
  </si>
  <si>
    <t>Cardi B</t>
  </si>
  <si>
    <t>Hawái</t>
  </si>
  <si>
    <t>New Normal</t>
  </si>
  <si>
    <t>Khalid</t>
  </si>
  <si>
    <t>Bohemian Rhapsody - Remastered 2011</t>
  </si>
  <si>
    <t>Queen</t>
  </si>
  <si>
    <t>classic rock</t>
  </si>
  <si>
    <t>Bandido</t>
  </si>
  <si>
    <t>Myke Towers, Juhn</t>
  </si>
  <si>
    <t>trap latino</t>
  </si>
  <si>
    <t>Paradise (feat. Dermot Kennedy)</t>
  </si>
  <si>
    <t>MEDUZA</t>
  </si>
  <si>
    <t>goosebumps</t>
  </si>
  <si>
    <t>Travis Scott</t>
  </si>
  <si>
    <t>Wasted Love (feat. Lagique)</t>
  </si>
  <si>
    <t>Ofenbach</t>
  </si>
  <si>
    <t>edm</t>
  </si>
  <si>
    <t>KESI - Remix</t>
  </si>
  <si>
    <t>Camilo, Shawn Mendes</t>
  </si>
  <si>
    <t>Shallow</t>
  </si>
  <si>
    <t>Lady Gaga, Bradley Cooper</t>
  </si>
  <si>
    <t>Tell Em</t>
  </si>
  <si>
    <t>Cochise, $NOT</t>
  </si>
  <si>
    <t>plugg</t>
  </si>
  <si>
    <t>Não, Não Vou</t>
  </si>
  <si>
    <t>Mari Fernandez</t>
  </si>
  <si>
    <t>Counting Stars</t>
  </si>
  <si>
    <t>Yellow</t>
  </si>
  <si>
    <t>Coldplay</t>
  </si>
  <si>
    <t>permanent wave</t>
  </si>
  <si>
    <t>Como Si No Importara</t>
  </si>
  <si>
    <t>Emilia, Duki</t>
  </si>
  <si>
    <t>Se For Amor</t>
  </si>
  <si>
    <t>João Gomes, Vitor Fernandes</t>
  </si>
  <si>
    <t>Wake Me Up</t>
  </si>
  <si>
    <t>Baby Me Atende</t>
  </si>
  <si>
    <t>Matheus Fernandes, Dilsinho</t>
  </si>
  <si>
    <t>forro</t>
  </si>
  <si>
    <t>Ramenez la coupe à la maison</t>
  </si>
  <si>
    <t>Vegedream</t>
  </si>
  <si>
    <t>What You Know Bout Love</t>
  </si>
  <si>
    <t>Pop Smoke</t>
  </si>
  <si>
    <t>Runaway</t>
  </si>
  <si>
    <t>AURORA</t>
  </si>
  <si>
    <t>art pop</t>
  </si>
  <si>
    <t>Red Light Green Light</t>
  </si>
  <si>
    <t>Ball If I Want To</t>
  </si>
  <si>
    <t>Lucid Dreams</t>
  </si>
  <si>
    <t>Juice WRLD</t>
  </si>
  <si>
    <t>Calling My Phone</t>
  </si>
  <si>
    <t>Lil Tjay, 6LACK</t>
  </si>
  <si>
    <t>34+35</t>
  </si>
  <si>
    <t>bad guy</t>
  </si>
  <si>
    <t>Cover Me In Sunshine</t>
  </si>
  <si>
    <t>P!nk, Willow Sage Hart</t>
  </si>
  <si>
    <t>For The Night (feat. Lil Baby &amp; DaBaby)</t>
  </si>
  <si>
    <t>1 step forward, 3 steps back</t>
  </si>
  <si>
    <t>WAP (feat. Megan Thee Stallion)</t>
  </si>
  <si>
    <t>Mr. Brightside</t>
  </si>
  <si>
    <t>The Killers</t>
  </si>
  <si>
    <t>dance rock</t>
  </si>
  <si>
    <t>Every Breath You Take</t>
  </si>
  <si>
    <t>The Police</t>
  </si>
  <si>
    <t>album rock</t>
  </si>
  <si>
    <t>Dreams - 2004 Remaster</t>
  </si>
  <si>
    <t>Fleetwood Mac</t>
  </si>
  <si>
    <t>Say You Won't Let Go</t>
  </si>
  <si>
    <t>James Arthur</t>
  </si>
  <si>
    <t>Wild Side (feat. Cardi B)</t>
  </si>
  <si>
    <t>Normani</t>
  </si>
  <si>
    <t>Bout A Million (feat. 42 Dugg &amp; 21 Savage)</t>
  </si>
  <si>
    <t>Demeanor (feat. Dua Lipa)</t>
  </si>
  <si>
    <t>death bed (coffee for your head)</t>
  </si>
  <si>
    <t>Powfu, beabadoobee</t>
  </si>
  <si>
    <t>sad rap</t>
  </si>
  <si>
    <t>Our Song</t>
  </si>
  <si>
    <t>Anne-Marie, Niall Horan</t>
  </si>
  <si>
    <t>Another One Bites The Dust - Remastered 2011</t>
  </si>
  <si>
    <t>One Dance</t>
  </si>
  <si>
    <t>Drake, WizKid, Kyla</t>
  </si>
  <si>
    <t>Adore You</t>
  </si>
  <si>
    <t>As the World Caves In</t>
  </si>
  <si>
    <t>Sarah Cothran</t>
  </si>
  <si>
    <t>Fancy Like</t>
  </si>
  <si>
    <t>Walker Hayes</t>
  </si>
  <si>
    <t>contemporary country</t>
  </si>
  <si>
    <t>Cúrame</t>
  </si>
  <si>
    <t>All of Me</t>
  </si>
  <si>
    <t>John Legend</t>
  </si>
  <si>
    <t>neo soul</t>
  </si>
  <si>
    <t>Martin &amp; Gina</t>
  </si>
  <si>
    <t>Dior</t>
  </si>
  <si>
    <t>Best Friend (feat. Doja Cat)</t>
  </si>
  <si>
    <t>Saweetie</t>
  </si>
  <si>
    <t>The Hills</t>
  </si>
  <si>
    <t>Good Days</t>
  </si>
  <si>
    <t>SZA</t>
  </si>
  <si>
    <t>Kiss My (Uh Oh)</t>
  </si>
  <si>
    <t>Anne-Marie, Little Mix</t>
  </si>
  <si>
    <t>De Museo</t>
  </si>
  <si>
    <t>7 rings</t>
  </si>
  <si>
    <t>Chosen (feat. Ty Dolla $ign)</t>
  </si>
  <si>
    <t>Blxst, Tyga</t>
  </si>
  <si>
    <t>Não Nasceu pra Namorar</t>
  </si>
  <si>
    <t>MC Zaquin, MC Rick</t>
  </si>
  <si>
    <t>funk bh</t>
  </si>
  <si>
    <t>Breaking Me</t>
  </si>
  <si>
    <t>Topic, A7S</t>
  </si>
  <si>
    <t>penhasco.</t>
  </si>
  <si>
    <t>Luísa Sonza</t>
  </si>
  <si>
    <t>funk carioca</t>
  </si>
  <si>
    <t>Late At Night</t>
  </si>
  <si>
    <t>Roddy Ricch</t>
  </si>
  <si>
    <t>Verdansk</t>
  </si>
  <si>
    <t>The Real Slim Shady</t>
  </si>
  <si>
    <t>Eminem</t>
  </si>
  <si>
    <t>detroit hip hop</t>
  </si>
  <si>
    <t>Tell The Vision (feat. Kanye West &amp; Pusha T)</t>
  </si>
  <si>
    <t>Woo Baby (feat. Chris Brown)</t>
  </si>
  <si>
    <t>Holy Smokes</t>
  </si>
  <si>
    <t>Trippie Redd, Lil Uzi Vert</t>
  </si>
  <si>
    <t>More Time</t>
  </si>
  <si>
    <t>Coupe</t>
  </si>
  <si>
    <t>Holiday</t>
  </si>
  <si>
    <t>KSI</t>
  </si>
  <si>
    <t>Manslaughter (feat. Rick Ross &amp; The-Dream)</t>
  </si>
  <si>
    <t>Genius (feat. Lil Tjay &amp; Swae Lee)</t>
  </si>
  <si>
    <t>WUSYANAME (feat. Youngboy Never Broke Again &amp; Ty Dolla $ign)</t>
  </si>
  <si>
    <t>Tyler, The Creator</t>
  </si>
  <si>
    <t>hip hop</t>
  </si>
  <si>
    <t>Sommergewitter</t>
  </si>
  <si>
    <t>Pashanim</t>
  </si>
  <si>
    <t>german alternative rap</t>
  </si>
  <si>
    <t>Body (Remix) [feat. ArrDee, E1 (3x3), ZT (3x3), Bugzy Malone, Buni, Fivio Foreign &amp; Darkoo]</t>
  </si>
  <si>
    <t>Tion Wayne, Russ Millions</t>
  </si>
  <si>
    <t>london rap</t>
  </si>
  <si>
    <t>Brush Em (feat. Rah Swish)</t>
  </si>
  <si>
    <t>AM</t>
  </si>
  <si>
    <t>Nio Garcia, Flow La Movie</t>
  </si>
  <si>
    <t>MI FAI IMPAZZIRE</t>
  </si>
  <si>
    <t>BLANCO, Sfera Ebbasta</t>
  </si>
  <si>
    <t>italian hip hop</t>
  </si>
  <si>
    <t>Ride It</t>
  </si>
  <si>
    <t>Regard</t>
  </si>
  <si>
    <t>Lost Cause</t>
  </si>
  <si>
    <t>Shot in the Dark</t>
  </si>
  <si>
    <t>John Mayer</t>
  </si>
  <si>
    <t>neo mellow</t>
  </si>
  <si>
    <t>Wrecked</t>
  </si>
  <si>
    <t>Bipolar</t>
  </si>
  <si>
    <t>Mc Davi, Mc Pedrinho, Mc Don Juan</t>
  </si>
  <si>
    <t>His &amp; Hers (feat. Don Toliver, Lil Uzi Vert &amp; Gunna)</t>
  </si>
  <si>
    <t>Follow You</t>
  </si>
  <si>
    <t>We're Good</t>
  </si>
  <si>
    <t>Life Goes On</t>
  </si>
  <si>
    <t>911</t>
  </si>
  <si>
    <t>Baila Conmigo (with Rauw Alejandro)</t>
  </si>
  <si>
    <t>Selena Gomez</t>
  </si>
  <si>
    <t>The Jackie (with J. Cole &amp; Lil Tjay)</t>
  </si>
  <si>
    <t>Bas</t>
  </si>
  <si>
    <t>hope ur ok</t>
  </si>
  <si>
    <t>Faz Amor Comigo Só Hoje - Ao Vivo</t>
  </si>
  <si>
    <t>Israel &amp; Rodolffo, Wesley Safadão</t>
  </si>
  <si>
    <t>Alcohol-Free</t>
  </si>
  <si>
    <t>TWICE</t>
  </si>
  <si>
    <t>WHOLE LOTTA MONEY (feat. Nicki Minaj) - Remix</t>
  </si>
  <si>
    <t>BIA</t>
  </si>
  <si>
    <t>escape room</t>
  </si>
  <si>
    <t>Memory</t>
  </si>
  <si>
    <t>Kane Brown, blackbear</t>
  </si>
  <si>
    <t>Me Fije</t>
  </si>
  <si>
    <t>Alex Rose, Rauw Alejandro</t>
  </si>
  <si>
    <t>Volta Bebê, Volta Neném</t>
  </si>
  <si>
    <t>Dj Guuga, DJ Ivis</t>
  </si>
  <si>
    <t>Aloha</t>
  </si>
  <si>
    <t>Maluma, Beéle, Rauw Alejandro, Mambo Kingz, DJ Luian, Darell</t>
  </si>
  <si>
    <t>Sexo Virtual</t>
  </si>
  <si>
    <t>Closer</t>
  </si>
  <si>
    <t>The Chainsmokers, Halsey</t>
  </si>
  <si>
    <t>Wonderwall - Remastered</t>
  </si>
  <si>
    <t>Oasis</t>
  </si>
  <si>
    <t>beatlesque</t>
  </si>
  <si>
    <t>Wasting Time ( feat. Drake )</t>
  </si>
  <si>
    <t>Brent Faiyaz</t>
  </si>
  <si>
    <t>dmv rap</t>
  </si>
  <si>
    <t>I Don't Do Drugs (feat. Ariana Grande)</t>
  </si>
  <si>
    <t>Renegade (feat. Taylor Swift)</t>
  </si>
  <si>
    <t>Big Red Machine</t>
  </si>
  <si>
    <t>eau claire indie</t>
  </si>
  <si>
    <t>JUGGERNAUT (feat. Lil Uzi Vert &amp; Pharrell Williams)</t>
  </si>
  <si>
    <t>All Eyes On Me</t>
  </si>
  <si>
    <t>EVERY CHANCE I GET (feat. Lil Baby &amp; Lil Durk)</t>
  </si>
  <si>
    <t>DJ Khaled</t>
  </si>
  <si>
    <t>Dick (feat. Doja Cat)</t>
  </si>
  <si>
    <t>StarBoi3</t>
  </si>
  <si>
    <t>Solar Power</t>
  </si>
  <si>
    <t>Lorde</t>
  </si>
  <si>
    <t>Your Power</t>
  </si>
  <si>
    <t>Lieben wir</t>
  </si>
  <si>
    <t>Shirin David</t>
  </si>
  <si>
    <t>frauenrap</t>
  </si>
  <si>
    <t>Whoopty</t>
  </si>
  <si>
    <t>CJ</t>
  </si>
  <si>
    <t>nyc rap</t>
  </si>
  <si>
    <t>Batom de Cereja - Ao Vivo</t>
  </si>
  <si>
    <t>Israel &amp; Rodolffo</t>
  </si>
  <si>
    <t>Prisoner (feat. Dua Lipa)</t>
  </si>
  <si>
    <t>Miley Cyrus</t>
  </si>
  <si>
    <t>Stereo Hearts (feat. Adam Levine)</t>
  </si>
  <si>
    <t>Gym Class Heroes</t>
  </si>
  <si>
    <t>Reloj</t>
  </si>
  <si>
    <t>Rauw Alejandro, Anuel AA</t>
  </si>
  <si>
    <t>malibu</t>
  </si>
  <si>
    <t>sangiovanni</t>
  </si>
  <si>
    <t>Eladio Carrion: Bzrp Music Sessions, Vol. 40</t>
  </si>
  <si>
    <t>Bizarrap, Eladio Carrion</t>
  </si>
  <si>
    <t>Do I Wanna Know?</t>
  </si>
  <si>
    <t>Arctic Monkeys</t>
  </si>
  <si>
    <t>garage rock</t>
  </si>
  <si>
    <t>LUMBERJACK</t>
  </si>
  <si>
    <t>LEMONHEAD (feat. 42 Dugg)</t>
  </si>
  <si>
    <t>HOT WIND BLOWS (feat. Lil Wayne)</t>
  </si>
  <si>
    <t>CORSO</t>
  </si>
  <si>
    <t>SWEET / I THOUGHT YOU WANTED TO DANCE (feat. Brent Faiyaz &amp; Fana Hues)</t>
  </si>
  <si>
    <t>SIR BAUDELAIRE (feat. DJ Drama)</t>
  </si>
  <si>
    <t>MASSA</t>
  </si>
  <si>
    <t>RUNITUP (feat. Teezo Touchdown)</t>
  </si>
  <si>
    <t>MANIFESTO (feat. Domo Genesis)</t>
  </si>
  <si>
    <t>Get Into It (Yuh)</t>
  </si>
  <si>
    <t>WILSHIRE</t>
  </si>
  <si>
    <t>RISE! (feat. DAISY WORLD)</t>
  </si>
  <si>
    <t>Naked</t>
  </si>
  <si>
    <t>Having Our Way (feat. Drake)</t>
  </si>
  <si>
    <t>Migos</t>
  </si>
  <si>
    <t>atl hip hop</t>
  </si>
  <si>
    <t>Payday (feat. Young Thug)</t>
  </si>
  <si>
    <t>Been Like This</t>
  </si>
  <si>
    <t>MILLE (feat. Orietta Berti)</t>
  </si>
  <si>
    <t>Fedez, Achille Lauro</t>
  </si>
  <si>
    <t>italian adult pop</t>
  </si>
  <si>
    <t>UN DIA (ONE DAY) (Feat. Tainy)</t>
  </si>
  <si>
    <t>J Balvin, Dua Lipa, Bad Bunny</t>
  </si>
  <si>
    <t>Savage Love (Laxed - Siren Beat)</t>
  </si>
  <si>
    <t>Jawsh 685, Jason Derulo</t>
  </si>
  <si>
    <t>nz pop</t>
  </si>
  <si>
    <t>Poblado</t>
  </si>
  <si>
    <t>Crissin, Totoy El Frio, Natan &amp; Shander</t>
  </si>
  <si>
    <t>Hecha Pa' Mi</t>
  </si>
  <si>
    <t>Boza</t>
  </si>
  <si>
    <t>working</t>
  </si>
  <si>
    <t>Tate McRae, Khalid</t>
  </si>
  <si>
    <t>Petrouchka (feat. PLK)</t>
  </si>
  <si>
    <t>Soso Maness</t>
  </si>
  <si>
    <t>francoton</t>
  </si>
  <si>
    <t>p r i d e . i s . t h e . d e v i l (with Lil Baby)</t>
  </si>
  <si>
    <t>J. Cole</t>
  </si>
  <si>
    <t>conscious hip hop</t>
  </si>
  <si>
    <t>m y . l i f e (with 21 Savage &amp; Morray)</t>
  </si>
  <si>
    <t>Jocelyn Flores</t>
  </si>
  <si>
    <t>XXXTENTACION</t>
  </si>
  <si>
    <t>emo rap</t>
  </si>
  <si>
    <t>No Return (with The Kid LAROI &amp; Lil Durk)</t>
  </si>
  <si>
    <t>The Box</t>
  </si>
  <si>
    <t>Wellerman - Sea Shanty / 220 KID x Billen Ted Remix</t>
  </si>
  <si>
    <t>Nathan Evans</t>
  </si>
  <si>
    <t>Can't Hold Us - feat. Ray Dalton</t>
  </si>
  <si>
    <t>Macklemore &amp; Ryan Lewis</t>
  </si>
  <si>
    <t>Anyone</t>
  </si>
  <si>
    <t>my ex's best friend (with blackbear)</t>
  </si>
  <si>
    <t>Machine Gun Kelly</t>
  </si>
  <si>
    <t>ohio hip hop</t>
  </si>
  <si>
    <t>Just the Way You Are</t>
  </si>
  <si>
    <t>HIGHEST IN THE ROOM</t>
  </si>
  <si>
    <t>Break My Heart</t>
  </si>
  <si>
    <t>Laugh Now Cry Later (feat. Lil Durk)</t>
  </si>
  <si>
    <t>We Are The People (feat. Bono &amp; The Edge) - Official UEFA EURO 2020 Song</t>
  </si>
  <si>
    <t>Martin Garrix</t>
  </si>
  <si>
    <t>Ella No Es Tuya - Remix</t>
  </si>
  <si>
    <t>Rochy RD, Myke Towers, Nicki Nicole</t>
  </si>
  <si>
    <t>dembow</t>
  </si>
  <si>
    <t>In the End</t>
  </si>
  <si>
    <t>Linkin Park</t>
  </si>
  <si>
    <t>alternative metal</t>
  </si>
  <si>
    <t>No Role Modelz</t>
  </si>
  <si>
    <t>SICKO MODE</t>
  </si>
  <si>
    <t>Something Just Like This</t>
  </si>
  <si>
    <t>The Chainsmokers, Coldplay</t>
  </si>
  <si>
    <t>You</t>
  </si>
  <si>
    <t>Regard, Troye Sivan, Tate McRae</t>
  </si>
  <si>
    <t>Straightenin</t>
  </si>
  <si>
    <t>GANG GANG (with Lil Wayne)</t>
  </si>
  <si>
    <t>Black Hearted</t>
  </si>
  <si>
    <t>Lost</t>
  </si>
  <si>
    <t>Avalanche</t>
  </si>
  <si>
    <t>My Head &amp; My Heart</t>
  </si>
  <si>
    <t>Ava Max</t>
  </si>
  <si>
    <t>Malibu (feat. Polo G)</t>
  </si>
  <si>
    <t>GIRL LIKE ME</t>
  </si>
  <si>
    <t>Black Eyed Peas, Shakira</t>
  </si>
  <si>
    <t>Clueless (with Pop Smoke &amp; Fivio Foreign)</t>
  </si>
  <si>
    <t>Modern Day</t>
  </si>
  <si>
    <t>Therefore I Am</t>
  </si>
  <si>
    <t>TE MUDASTE</t>
  </si>
  <si>
    <t>Tipo Gin - Ao Vivo</t>
  </si>
  <si>
    <t>MC Kevin o Chris</t>
  </si>
  <si>
    <t>funk 150 bpm</t>
  </si>
  <si>
    <t>Higher Power</t>
  </si>
  <si>
    <t>SUN GOES DOWN</t>
  </si>
  <si>
    <t>Painting Pictures</t>
  </si>
  <si>
    <t>Rain On Me (with Ariana Grande)</t>
  </si>
  <si>
    <t>Lady Gaga</t>
  </si>
  <si>
    <t>Hats Off (feat. Travis Scott)</t>
  </si>
  <si>
    <t>Lil Baby, Lil Durk</t>
  </si>
  <si>
    <t>Last Train Home</t>
  </si>
  <si>
    <t>Voice of the Heroes</t>
  </si>
  <si>
    <t>0X1=LOVESONG (I Know I Love you)</t>
  </si>
  <si>
    <t>TOMORROW X TOGETHER, Seori</t>
  </si>
  <si>
    <t>a m a r i</t>
  </si>
  <si>
    <t>NEVER LEFT</t>
  </si>
  <si>
    <t>Lil Tecca</t>
  </si>
  <si>
    <t>Solid (feat. Drake)</t>
  </si>
  <si>
    <t>Young Stoner Life, Young Thug, Gunna</t>
  </si>
  <si>
    <t>La Nota</t>
  </si>
  <si>
    <t>Manuel Turizo, Rauw Alejandro, Myke Towers</t>
  </si>
  <si>
    <t>Golden</t>
  </si>
  <si>
    <t>CORALINE</t>
  </si>
  <si>
    <t>BICHOTA</t>
  </si>
  <si>
    <t>KAROL G</t>
  </si>
  <si>
    <t>Slumber Party (feat. Princess Nokia)</t>
  </si>
  <si>
    <t>Ashnikko</t>
  </si>
  <si>
    <t>Killer (feat. Jack Harlow &amp; Cordae) - Remix</t>
  </si>
  <si>
    <t>Liberdade (Quando o Grave Bate Forte)</t>
  </si>
  <si>
    <t>Alok, Mc Don Juan, Dj GBR</t>
  </si>
  <si>
    <t>electro house</t>
  </si>
  <si>
    <t>All Girls Are The Same</t>
  </si>
  <si>
    <t>734</t>
  </si>
  <si>
    <t>Boy With Luv (feat. Halsey)</t>
  </si>
  <si>
    <t>Disco Arranhado - Funk Remix</t>
  </si>
  <si>
    <t>Malu, DJ Lucas Beat</t>
  </si>
  <si>
    <t>Godzilla (feat. Juice WRLD)</t>
  </si>
  <si>
    <t>Blueberry Faygo</t>
  </si>
  <si>
    <t>Lil Mosey</t>
  </si>
  <si>
    <t>Somebody That I Used To Know</t>
  </si>
  <si>
    <t>Gotye, Kimbra</t>
  </si>
  <si>
    <t>Holy (feat. Chance The Rapper)</t>
  </si>
  <si>
    <t>Vida Louca</t>
  </si>
  <si>
    <t>Mc Poze do Rodo, Neo Beats, Mainstreet</t>
  </si>
  <si>
    <t>i n t e r l u d e</t>
  </si>
  <si>
    <t>Butter (Instrumental)</t>
  </si>
  <si>
    <t>Film out</t>
  </si>
  <si>
    <t>Voilà</t>
  </si>
  <si>
    <t>Barbara Pravi</t>
  </si>
  <si>
    <t>eurovision</t>
  </si>
  <si>
    <t>Shy Away</t>
  </si>
  <si>
    <t>Twenty One Pilots</t>
  </si>
  <si>
    <t>Saturday</t>
  </si>
  <si>
    <t>9 5 . s o u t h</t>
  </si>
  <si>
    <t>Seeing Green (with Drake &amp; Lil Wayne)</t>
  </si>
  <si>
    <t>Nicki Minaj</t>
  </si>
  <si>
    <t>Dark Side</t>
  </si>
  <si>
    <t>Blind Channel</t>
  </si>
  <si>
    <t>SHUM</t>
  </si>
  <si>
    <t>Go_A</t>
  </si>
  <si>
    <t>In the morning</t>
  </si>
  <si>
    <t>ITZY</t>
  </si>
  <si>
    <t>k-pop girl group</t>
  </si>
  <si>
    <t>l e t . g o . m y . h a n d (with Bas &amp; 6LACK)</t>
  </si>
  <si>
    <t>What’s Next</t>
  </si>
  <si>
    <t>Ramen &amp; OJ</t>
  </si>
  <si>
    <t>Joyner Lucas, Lil Baby</t>
  </si>
  <si>
    <t>boston hip hop</t>
  </si>
  <si>
    <t>Cloud 9</t>
  </si>
  <si>
    <t>Beach Bunny</t>
  </si>
  <si>
    <t>bubblegrunge</t>
  </si>
  <si>
    <t>Tout l'univers</t>
  </si>
  <si>
    <t>Gjon's Tears</t>
  </si>
  <si>
    <t>Headshot (feat. Polo G &amp; Fivio Foreign)</t>
  </si>
  <si>
    <t>Lil Tjay</t>
  </si>
  <si>
    <t>Mask</t>
  </si>
  <si>
    <t>Dream</t>
  </si>
  <si>
    <t>dream smp</t>
  </si>
  <si>
    <t>10 Years</t>
  </si>
  <si>
    <t>Daði Freyr</t>
  </si>
  <si>
    <t>icelandic pop</t>
  </si>
  <si>
    <t>Choker</t>
  </si>
  <si>
    <t>a p p l y i n g . p r e s s u r e</t>
  </si>
  <si>
    <t>1 0 0 . m i l ‘ (with Bas)</t>
  </si>
  <si>
    <t>p u n c h i n ‘ . t h e . c l o c k</t>
  </si>
  <si>
    <t>t h e . c l i m b . b a c k</t>
  </si>
  <si>
    <t>h u n g e r . o n . h i l l s i d e (with Bas)</t>
  </si>
  <si>
    <t>c l o s e</t>
  </si>
  <si>
    <t>WITHOUT YOU (with Miley Cyrus)</t>
  </si>
  <si>
    <t>Snow Tha Product: Bzrp Music Sessions, Vol. 39</t>
  </si>
  <si>
    <t>Bizarrap, Snow Tha Product</t>
  </si>
  <si>
    <t>Travesuras - Remix</t>
  </si>
  <si>
    <t>Nio Garcia, Casper Magico, Ozuna, Wisin &amp; Yandel, Myke Towers, Flow La Movie</t>
  </si>
  <si>
    <t>Bubblegum Bitch</t>
  </si>
  <si>
    <t>MARINA</t>
  </si>
  <si>
    <t>Falling</t>
  </si>
  <si>
    <t>Explícito</t>
  </si>
  <si>
    <t>Myke Towers</t>
  </si>
  <si>
    <t>No Te Enamores - Remix</t>
  </si>
  <si>
    <t>Milly, Farruko, Nio Garcia, Jay Wheeler, Amenazzy</t>
  </si>
  <si>
    <t>PROBLEMA</t>
  </si>
  <si>
    <t>Daddy Yankee</t>
  </si>
  <si>
    <t>Lonely (with benny blanco)</t>
  </si>
  <si>
    <t>Cupid's Chokehold / Breakfast in America</t>
  </si>
  <si>
    <t>If the World Was Ending - feat. Julia Michaels</t>
  </si>
  <si>
    <t>JP Saxe</t>
  </si>
  <si>
    <t>I DID IT (feat. Post Malone, Megan Thee Stallion, Lil Baby &amp; DaBaby)</t>
  </si>
  <si>
    <t>Body</t>
  </si>
  <si>
    <t>Russ Millions, Tion Wayne</t>
  </si>
  <si>
    <t>everything i wanted</t>
  </si>
  <si>
    <t>What You Need</t>
  </si>
  <si>
    <t>Don Toliver</t>
  </si>
  <si>
    <t>L-Gante: Bzrp Music Sessions, Vol.38</t>
  </si>
  <si>
    <t>Bizarrap, L-Gante</t>
  </si>
  <si>
    <t>HOLIDAY</t>
  </si>
  <si>
    <t>At My Worst</t>
  </si>
  <si>
    <t>Pink Sweat$</t>
  </si>
  <si>
    <t>bedroom soul</t>
  </si>
  <si>
    <t>Life Is Good (feat. Drake)</t>
  </si>
  <si>
    <t>Future</t>
  </si>
  <si>
    <t>Extasy</t>
  </si>
  <si>
    <t>187 Strassenbande, Bonez MC, Frauenarzt</t>
  </si>
  <si>
    <t>Wishing Well</t>
  </si>
  <si>
    <t>Fan de Tus Fotos</t>
  </si>
  <si>
    <t>Nicky Jam, Romeo Santos</t>
  </si>
  <si>
    <t>Tapão Na Raba</t>
  </si>
  <si>
    <t>Raí Saia Rodada</t>
  </si>
  <si>
    <t>Machu Picchu</t>
  </si>
  <si>
    <t>Camilo, Evaluna Montaner</t>
  </si>
  <si>
    <t>Come &amp; Go (with Marshmello)</t>
  </si>
  <si>
    <t>Robbery</t>
  </si>
  <si>
    <t>Paradigmas</t>
  </si>
  <si>
    <t>Jorge &amp; Mateus</t>
  </si>
  <si>
    <t>SugarCrash!</t>
  </si>
  <si>
    <t>ElyOtto</t>
  </si>
  <si>
    <t>weirdcore</t>
  </si>
  <si>
    <t>durag activity (with Travis Scott)</t>
  </si>
  <si>
    <t>Baby Keem</t>
  </si>
  <si>
    <t>love race (feat. Kellin Quinn)</t>
  </si>
  <si>
    <t>POPSTAR (feat. Drake)</t>
  </si>
  <si>
    <t>LET IT GO (feat. Justin Bieber &amp; 21 Savage)</t>
  </si>
  <si>
    <t>Girl From Rio</t>
  </si>
  <si>
    <t>Anitta</t>
  </si>
  <si>
    <t>On The Ground</t>
  </si>
  <si>
    <t>ROSÉ</t>
  </si>
  <si>
    <t>Mr. Perfectly Fine (Taylor’s Version) (From The Vault)</t>
  </si>
  <si>
    <t>Taylor Swift</t>
  </si>
  <si>
    <t>when the party's over</t>
  </si>
  <si>
    <t>Otra Noche Sin Ti</t>
  </si>
  <si>
    <t>J Balvin, Khalid</t>
  </si>
  <si>
    <t>Met Him Last Night (feat. Ariana Grande)</t>
  </si>
  <si>
    <t>Demi Lovato</t>
  </si>
  <si>
    <t>Back In Blood (feat. Lil Durk)</t>
  </si>
  <si>
    <t>Pooh Shiesty</t>
  </si>
  <si>
    <t>memphis hip hop</t>
  </si>
  <si>
    <t>Run It Up (feat. Offset &amp; Moneybagg Yo)</t>
  </si>
  <si>
    <t>Mi Niña</t>
  </si>
  <si>
    <t>Wisin, Myke Towers, Los Legendarios</t>
  </si>
  <si>
    <t>As I Am (feat. Khalid)</t>
  </si>
  <si>
    <t>Come Through (feat. Chris Brown)</t>
  </si>
  <si>
    <t>H.E.R.</t>
  </si>
  <si>
    <t>alternative r&amp;b</t>
  </si>
  <si>
    <t>Goosebumps</t>
  </si>
  <si>
    <t>HVME</t>
  </si>
  <si>
    <t>Put Your Records On</t>
  </si>
  <si>
    <t>Ritt Momney</t>
  </si>
  <si>
    <t>bedroom pop</t>
  </si>
  <si>
    <t>Facas - Ao Vivo</t>
  </si>
  <si>
    <t>Diego &amp; Victor Hugo, Bruno &amp; Marrone</t>
  </si>
  <si>
    <t>Train Wreck</t>
  </si>
  <si>
    <t>Monster (Shawn Mendes &amp; Justin Bieber)</t>
  </si>
  <si>
    <t>Shawn Mendes</t>
  </si>
  <si>
    <t>In Your Eyes</t>
  </si>
  <si>
    <t>SAD!</t>
  </si>
  <si>
    <t>Good Without</t>
  </si>
  <si>
    <t>Mimi Webb</t>
  </si>
  <si>
    <t>hot girl bummer</t>
  </si>
  <si>
    <t>blackbear</t>
  </si>
  <si>
    <t>When I Was Your Man</t>
  </si>
  <si>
    <t>LOCATION</t>
  </si>
  <si>
    <t>KAROL G, Anuel AA, J Balvin</t>
  </si>
  <si>
    <t>Stressed Out</t>
  </si>
  <si>
    <t>Ski</t>
  </si>
  <si>
    <t>Diamonds Dancing (feat. Travis Scott)</t>
  </si>
  <si>
    <t>Love Story (Taylor’s Version)</t>
  </si>
  <si>
    <t>Ele É Ele, Eu Sou Eu</t>
  </si>
  <si>
    <t>Wesley Safadão, Os Barões Da Pisadinha</t>
  </si>
  <si>
    <t>Quero Ver é Me Esquecer (feat. Jorge) - Ao Vivo</t>
  </si>
  <si>
    <t>Os Barões Da Pisadinha</t>
  </si>
  <si>
    <t>willow</t>
  </si>
  <si>
    <t>Why'd You Only Call Me When You're High?</t>
  </si>
  <si>
    <t>Afterglow</t>
  </si>
  <si>
    <t>LA CANCIÓN</t>
  </si>
  <si>
    <t>J Balvin, Bad Bunny</t>
  </si>
  <si>
    <t>You Belong With Me (Taylor’s Version)</t>
  </si>
  <si>
    <t>Fearless (Taylor’s Version)</t>
  </si>
  <si>
    <t>X Gon' Give It To Ya</t>
  </si>
  <si>
    <t>DMX</t>
  </si>
  <si>
    <t>east coast hip hop</t>
  </si>
  <si>
    <t>Fifteen (Taylor’s Version)</t>
  </si>
  <si>
    <t>The Way I Loved You (Taylor’s Version)</t>
  </si>
  <si>
    <t>You All Over Me (feat. Maren Morris) (Taylor’s Version) (From The Vault)</t>
  </si>
  <si>
    <t>Hey Stephen (Taylor’s Version)</t>
  </si>
  <si>
    <t>White Horse (Taylor’s Version)</t>
  </si>
  <si>
    <t>Forever &amp; Always (Taylor’s Version)</t>
  </si>
  <si>
    <t>Breathe (feat. Colbie Caillat) (Taylor’s Version)</t>
  </si>
  <si>
    <t>Ruff Ryders' Anthem</t>
  </si>
  <si>
    <t>That’s When (feat. Keith Urban) (Taylor’s Version) (From The Vault)</t>
  </si>
  <si>
    <t>Tell Me Why (Taylor’s Version)</t>
  </si>
  <si>
    <t>You’re Not Sorry (Taylor’s Version)</t>
  </si>
  <si>
    <t>Chica Ideal</t>
  </si>
  <si>
    <t>Sebastian Yatra, Guaynaa</t>
  </si>
  <si>
    <t>Relación - Remix</t>
  </si>
  <si>
    <t>Sech, Daddy Yankee, J Balvin, ROSALÍA, Farruko</t>
  </si>
  <si>
    <t>Don’t You (Taylor’s Version) (From The Vault)</t>
  </si>
  <si>
    <t>We Were Happy (Taylor’s Version) (From The Vault)</t>
  </si>
  <si>
    <t>WACHA</t>
  </si>
  <si>
    <t>KHEA, Duki</t>
  </si>
  <si>
    <t>Dancing With The Devil</t>
  </si>
  <si>
    <t>Gone</t>
  </si>
  <si>
    <t>What Other People Say</t>
  </si>
  <si>
    <t>Sam Fischer, Demi Lovato</t>
  </si>
  <si>
    <t>Hello (feat. A Boogie Wit da Hoodie)</t>
  </si>
  <si>
    <t>Hasta Abajo</t>
  </si>
  <si>
    <t>Kevin Roldan, Bryant Myers, Lyanno</t>
  </si>
  <si>
    <t>Take You Dancing</t>
  </si>
  <si>
    <t>Jason Derulo</t>
  </si>
  <si>
    <t>Unstable (feat. The Kid LAROI)</t>
  </si>
  <si>
    <t>Stuck with U (with Justin Bieber)</t>
  </si>
  <si>
    <t>Hayloft</t>
  </si>
  <si>
    <t>Mother Mother</t>
  </si>
  <si>
    <t>indie pop</t>
  </si>
  <si>
    <t>Esquema Preferido (feat. Tarcísio do Acordeon)</t>
  </si>
  <si>
    <t>DJ Ivis</t>
  </si>
  <si>
    <t>piseiro</t>
  </si>
  <si>
    <t>Además de Mí - Remix</t>
  </si>
  <si>
    <t>Rusherking, KHEA, Duki, Maria Becerra, LIT killah, Tiago PZK</t>
  </si>
  <si>
    <t>Payphone</t>
  </si>
  <si>
    <t>Maroon 5, Wiz Khalifa</t>
  </si>
  <si>
    <t>Ghost</t>
  </si>
  <si>
    <t>Off My Face</t>
  </si>
  <si>
    <t>Whats Poppin (feat. DaBaby, Tory Lanez &amp; Lil Wayne) [Remix] - Bonus Track</t>
  </si>
  <si>
    <t>Jack Harlow</t>
  </si>
  <si>
    <t>deep underground hip hop</t>
  </si>
  <si>
    <t>Take on Me</t>
  </si>
  <si>
    <t>a-ha</t>
  </si>
  <si>
    <t>new romantic</t>
  </si>
  <si>
    <t>BEBÉ</t>
  </si>
  <si>
    <t>Camilo, El Alfa</t>
  </si>
  <si>
    <t>Richer (feat. Polo G)</t>
  </si>
  <si>
    <t>Rod Wave</t>
  </si>
  <si>
    <t>Tu Veneno</t>
  </si>
  <si>
    <t>J Balvin</t>
  </si>
  <si>
    <t>Deserve You</t>
  </si>
  <si>
    <t>2 Much</t>
  </si>
  <si>
    <t>Tusa</t>
  </si>
  <si>
    <t>KAROL G, Nicki Minaj</t>
  </si>
  <si>
    <t>Una Locura</t>
  </si>
  <si>
    <t>Ozuna, J Balvin, Chencho Corleone</t>
  </si>
  <si>
    <t>Loved By You (feat. Burna Boy)</t>
  </si>
  <si>
    <t>Girls Like Us</t>
  </si>
  <si>
    <t>Zoe Wees</t>
  </si>
  <si>
    <t>german pop</t>
  </si>
  <si>
    <t>Lemon Pepper Freestyle (feat. Rick Ross)</t>
  </si>
  <si>
    <t>Esquema Preferido</t>
  </si>
  <si>
    <t>DJ Ivis, Tarcísio do Acordeon</t>
  </si>
  <si>
    <t>Love Not War (The Tampa Beat)</t>
  </si>
  <si>
    <t>Jason Derulo, Nuka</t>
  </si>
  <si>
    <t>Die For You (feat. Dominic Fike)</t>
  </si>
  <si>
    <t>Starboy</t>
  </si>
  <si>
    <t>The Weeknd, Daft Punk</t>
  </si>
  <si>
    <t>La Tóxica</t>
  </si>
  <si>
    <t>Coração Na Cama - Ao Vivo</t>
  </si>
  <si>
    <t>Hugo &amp; Guilherme</t>
  </si>
  <si>
    <t>sertanejo pop</t>
  </si>
  <si>
    <t>Love You Different (feat. BEAM)</t>
  </si>
  <si>
    <t>Somebody</t>
  </si>
  <si>
    <t>White Dress</t>
  </si>
  <si>
    <t>Lana Del Rey</t>
  </si>
  <si>
    <t>Polvo</t>
  </si>
  <si>
    <t>Nicky Jam, Myke Towers</t>
  </si>
  <si>
    <t>Chemtrails Over The Country Club</t>
  </si>
  <si>
    <t>Parce (feat. Justin Quiles)</t>
  </si>
  <si>
    <t>Maluma, Lenny Tavárez</t>
  </si>
  <si>
    <t>Ropa Cara</t>
  </si>
  <si>
    <t>Camilo</t>
  </si>
  <si>
    <t>Vida de Rico</t>
  </si>
  <si>
    <t>Devil Eyes</t>
  </si>
  <si>
    <t>Hippie Sabotage</t>
  </si>
  <si>
    <t>Ponte Pa' Mi</t>
  </si>
  <si>
    <t>Justin Quiles</t>
  </si>
  <si>
    <t>Dámelo To’ (feat. Myke Towers)</t>
  </si>
  <si>
    <t>Patience (feat. YUNGBLUD &amp; Polo G)</t>
  </si>
  <si>
    <t>Selfish Love (with Selena Gomez)</t>
  </si>
  <si>
    <t>DJ Snake</t>
  </si>
  <si>
    <t>Snowman</t>
  </si>
  <si>
    <t>Sia</t>
  </si>
  <si>
    <t>australian dance</t>
  </si>
  <si>
    <t>DAYWALKER! (feat. CORPSE)</t>
  </si>
  <si>
    <t>La Curiosidad</t>
  </si>
  <si>
    <t>Jay Wheeler, DJ Nelson, Myke Towers</t>
  </si>
  <si>
    <t>All We Got (feat. KIDDO)</t>
  </si>
  <si>
    <t>Robin Schulz</t>
  </si>
  <si>
    <t>Say So</t>
  </si>
  <si>
    <t>Hope</t>
  </si>
  <si>
    <t>The Less I Know The Better</t>
  </si>
  <si>
    <t>Tame Impala</t>
  </si>
  <si>
    <t>australian psych</t>
  </si>
  <si>
    <t>I Feel It Coming</t>
  </si>
  <si>
    <t>Mood Swings (feat. Lil Tjay)</t>
  </si>
  <si>
    <t>Someone To You</t>
  </si>
  <si>
    <t>BANNERS</t>
  </si>
  <si>
    <t>indie cafe pop</t>
  </si>
  <si>
    <t>To the Bone</t>
  </si>
  <si>
    <t>Pamungkas</t>
  </si>
  <si>
    <t>indonesian pop</t>
  </si>
  <si>
    <t>How You Like That</t>
  </si>
  <si>
    <t>BLACKPINK</t>
  </si>
  <si>
    <t>LOST</t>
  </si>
  <si>
    <t>NF, Hopsin</t>
  </si>
  <si>
    <t>VOCE</t>
  </si>
  <si>
    <t>Madame</t>
  </si>
  <si>
    <t>AP - Music from the film Boogie</t>
  </si>
  <si>
    <t>Life's A Mess II (with Clever &amp; Post Malone)</t>
  </si>
  <si>
    <t>CHIAMAMI PER NOME</t>
  </si>
  <si>
    <t>Francesca Michielin, Fedez</t>
  </si>
  <si>
    <t>Antes</t>
  </si>
  <si>
    <t>Anuel AA, Ozuna</t>
  </si>
  <si>
    <t>Mona Lisa</t>
  </si>
  <si>
    <t>Booba, JSX</t>
  </si>
  <si>
    <t>french hip hop</t>
  </si>
  <si>
    <t>Real As It Gets (feat. EST Gee)</t>
  </si>
  <si>
    <t>Lil Baby</t>
  </si>
  <si>
    <t>Se Te Nota (with Guaynaa)</t>
  </si>
  <si>
    <t>Lele Pons</t>
  </si>
  <si>
    <t>Head Shoulders Knees &amp; Toes (feat. Norma Jean Martine)</t>
  </si>
  <si>
    <t>Ofenbach, Quarterhead</t>
  </si>
  <si>
    <t>Star Shopping</t>
  </si>
  <si>
    <t>Lil Peep</t>
  </si>
  <si>
    <t>Electric Love</t>
  </si>
  <si>
    <t>BØRNS</t>
  </si>
  <si>
    <t>Maniac</t>
  </si>
  <si>
    <t>Only Wanna Be With You - Pokémon 25 Version</t>
  </si>
  <si>
    <t>test drive</t>
  </si>
  <si>
    <t>Tú Me Dejaste De Querer</t>
  </si>
  <si>
    <t>C. Tangana, Niño de Elche, La Húngara</t>
  </si>
  <si>
    <t>urbano espanol</t>
  </si>
  <si>
    <t>SO DONE</t>
  </si>
  <si>
    <t>Jeans</t>
  </si>
  <si>
    <t>ROXANNE</t>
  </si>
  <si>
    <t>Arizona Zervas</t>
  </si>
  <si>
    <t>rockstar (feat. 21 Savage)</t>
  </si>
  <si>
    <t>Párteme La Cara</t>
  </si>
  <si>
    <t>C. Tangana, Ed Maverick</t>
  </si>
  <si>
    <t>Without Me</t>
  </si>
  <si>
    <t>Halsey</t>
  </si>
  <si>
    <t>BOOKER T</t>
  </si>
  <si>
    <t>Intentions (feat. Quavo)</t>
  </si>
  <si>
    <t>Sofia</t>
  </si>
  <si>
    <t>Clairo</t>
  </si>
  <si>
    <t>Photograph</t>
  </si>
  <si>
    <t>34+35 Remix (feat. Doja Cat, Megan Thee Stallion) - Remix</t>
  </si>
  <si>
    <t>Madonna</t>
  </si>
  <si>
    <t>Bausa, Apache 207</t>
  </si>
  <si>
    <t>CLOUDS</t>
  </si>
  <si>
    <t>NF</t>
  </si>
  <si>
    <t>Wonder</t>
  </si>
  <si>
    <t>Skin</t>
  </si>
  <si>
    <t>Sabrina Carpenter</t>
  </si>
  <si>
    <t>Tyler Herro</t>
  </si>
  <si>
    <t>Remember That Night?</t>
  </si>
  <si>
    <t>Sara Kays</t>
  </si>
  <si>
    <t>Lifestyle (feat. Adam Levine)</t>
  </si>
  <si>
    <t>Jason Derulo, Maroon 5</t>
  </si>
  <si>
    <t>Fly Away</t>
  </si>
  <si>
    <t>Despeinada</t>
  </si>
  <si>
    <t>Ozuna, Camilo</t>
  </si>
  <si>
    <t>motive (with Doja Cat)</t>
  </si>
  <si>
    <t>I Don't Care (with Justin Bieber)</t>
  </si>
  <si>
    <t>Ay, DiOs Mío!</t>
  </si>
  <si>
    <t>Nathy Peluso: Bzrp Music Sessions, Vol. 36</t>
  </si>
  <si>
    <t>Bizarrap, Nathy Peluso</t>
  </si>
  <si>
    <t>Hawái - Remix</t>
  </si>
  <si>
    <t>Maluma, The Weeknd</t>
  </si>
  <si>
    <t>Tattoo - Remix with Camilo</t>
  </si>
  <si>
    <t>Meia Noite (Você tem meu Whatsapp)</t>
  </si>
  <si>
    <t>Tarcísio do Acordeon</t>
  </si>
  <si>
    <t>Moonlight</t>
  </si>
  <si>
    <t>Thinking out Loud</t>
  </si>
  <si>
    <t>Toosie Slide</t>
  </si>
  <si>
    <t>Earned It (Fifty Shades Of Grey)</t>
  </si>
  <si>
    <t>ily (i love you baby) (feat. Emilee)</t>
  </si>
  <si>
    <t>Surf Mesa</t>
  </si>
  <si>
    <t>tropical house</t>
  </si>
  <si>
    <t>Wonderwall</t>
  </si>
  <si>
    <t>Everybody Dies In Their Nightmares</t>
  </si>
  <si>
    <t>Bad Boy (with Young Thug)</t>
  </si>
  <si>
    <t>Lo Vas A Olvidar (with ROSALÍA)</t>
  </si>
  <si>
    <t>Floating Through Space</t>
  </si>
  <si>
    <t>Sia, David Guetta</t>
  </si>
  <si>
    <t>Can't Feel My Face</t>
  </si>
  <si>
    <t>You (with Marshmello &amp; Vance Joy)</t>
  </si>
  <si>
    <t>benny blanco</t>
  </si>
  <si>
    <t>Call Out My Name</t>
  </si>
  <si>
    <t>Midnight Sky</t>
  </si>
  <si>
    <t>Pressure (feat. Tove Lo)</t>
  </si>
  <si>
    <t>Can You Feel My Heart</t>
  </si>
  <si>
    <t>Bring Me The Horizon</t>
  </si>
  <si>
    <t>melodic metalcore</t>
  </si>
  <si>
    <t>Agua de Jamaica</t>
  </si>
  <si>
    <t>Mds</t>
  </si>
  <si>
    <t>Kawe, Mc Lele JP</t>
  </si>
  <si>
    <t>brazilian hip hop</t>
  </si>
  <si>
    <t>Heartless</t>
  </si>
  <si>
    <t>pov</t>
  </si>
  <si>
    <t>Be Alright</t>
  </si>
  <si>
    <t>Dean Lewis</t>
  </si>
  <si>
    <t>Cry Baby (feat. DaBaby)</t>
  </si>
  <si>
    <t>Mi Cuarto</t>
  </si>
  <si>
    <t>Jerry Di</t>
  </si>
  <si>
    <t>cubaton</t>
  </si>
  <si>
    <t>Ohne Dich</t>
  </si>
  <si>
    <t>KASIMIR1441, badmómzjay, WILDBWOYS</t>
  </si>
  <si>
    <t>Gravity (feat. Tyler, The Creator)</t>
  </si>
  <si>
    <t>Brent Faiyaz, DJ Dahi</t>
  </si>
  <si>
    <t>Vibez</t>
  </si>
  <si>
    <t>ZAYN</t>
  </si>
  <si>
    <t>All I Want - From "High School Musical: The Musical: The Series"</t>
  </si>
  <si>
    <t>Daisy</t>
  </si>
  <si>
    <t>Wasted On You</t>
  </si>
  <si>
    <t>Morgan Wallen</t>
  </si>
  <si>
    <t>La Jeepeta - Remix</t>
  </si>
  <si>
    <t>Nio Garcia, Anuel AA, Myke Towers, Brray, Juanka</t>
  </si>
  <si>
    <t>Los Dioses</t>
  </si>
  <si>
    <t>Si Me Tomo Una Cerveza</t>
  </si>
  <si>
    <t>Migrantes, Alico</t>
  </si>
  <si>
    <t>cumbia pop</t>
  </si>
  <si>
    <t>Somebody’s Problem</t>
  </si>
  <si>
    <t>De Una Vez</t>
  </si>
  <si>
    <t>Way Out (feat. Big Sean)</t>
  </si>
  <si>
    <t>Diamonds</t>
  </si>
  <si>
    <t>Sam Smith</t>
  </si>
  <si>
    <t>Dancing in My Room</t>
  </si>
  <si>
    <t>347aidan</t>
  </si>
  <si>
    <t>De Cora &lt;3</t>
  </si>
  <si>
    <t>Rauw Alejandro, J Balvin</t>
  </si>
  <si>
    <t>champagne problems</t>
  </si>
  <si>
    <t>Go Crazy</t>
  </si>
  <si>
    <t>Chris Brown, Young Thug</t>
  </si>
  <si>
    <t>Reminds Me Of You</t>
  </si>
  <si>
    <t>Juice WRLD, The Kid LAROI</t>
  </si>
  <si>
    <t>Don't Play</t>
  </si>
  <si>
    <t>Anne-Marie, KSI, Digital Farm Animals</t>
  </si>
  <si>
    <t>MODO TURBO</t>
  </si>
  <si>
    <t>Luísa Sonza, Pabllo Vittar, Anitta</t>
  </si>
  <si>
    <t>Buss It</t>
  </si>
  <si>
    <t>Erica Banks</t>
  </si>
  <si>
    <t>trap queen</t>
  </si>
  <si>
    <t>Kings &amp; Queens</t>
  </si>
  <si>
    <t>Lovesick Girls</t>
  </si>
  <si>
    <t>Caramelo</t>
  </si>
  <si>
    <t>Ozuna</t>
  </si>
  <si>
    <t>Deep End</t>
  </si>
  <si>
    <t>Fousheé</t>
  </si>
  <si>
    <t>Sand In My Boots</t>
  </si>
  <si>
    <t>865</t>
  </si>
  <si>
    <t>7 Summers</t>
  </si>
  <si>
    <t>HACIENDO QUE ME AMAS</t>
  </si>
  <si>
    <t>La Luz</t>
  </si>
  <si>
    <t>Sech, J Balvin</t>
  </si>
  <si>
    <t>The Woo (feat. 50 Cent &amp; Roddy Ricch)</t>
  </si>
  <si>
    <t>More Than My Hometown</t>
  </si>
  <si>
    <t>Warning</t>
  </si>
  <si>
    <t>Recairei - Ao Vivo</t>
  </si>
  <si>
    <t>Ice Cream (with Selena Gomez)</t>
  </si>
  <si>
    <t>Be Kind (with Halsey)</t>
  </si>
  <si>
    <t>Fever</t>
  </si>
  <si>
    <t>Dua Lipa, Angèle</t>
  </si>
  <si>
    <t>Angst</t>
  </si>
  <si>
    <t>Apache 207</t>
  </si>
  <si>
    <t>no body, no crime (feat. HAIM)</t>
  </si>
  <si>
    <t>Sunday Best</t>
  </si>
  <si>
    <t>Surfaces</t>
  </si>
  <si>
    <t>Amor ou o Litrão</t>
  </si>
  <si>
    <t>Petter Ferraz, Menor Nico</t>
  </si>
  <si>
    <t>Happier</t>
  </si>
  <si>
    <t>Marshmello, Bastille</t>
  </si>
  <si>
    <t>Don't Stop Me Now - Remastered 2011</t>
  </si>
  <si>
    <t>Azul</t>
  </si>
  <si>
    <t>Basta Você Me Ligar - Ao Vivo</t>
  </si>
  <si>
    <t>Os Barões Da Pisadinha, Xand Avião</t>
  </si>
  <si>
    <t>Tequila Shots</t>
  </si>
  <si>
    <t>Kid Cudi</t>
  </si>
  <si>
    <t>Lose Control</t>
  </si>
  <si>
    <t>MEDUZA, Becky Hill, Goodboys</t>
  </si>
  <si>
    <t>I CAN'T STOP ME</t>
  </si>
  <si>
    <t>E-GIRLS ARE RUINING MY LIFE!</t>
  </si>
  <si>
    <t>CORPSE, Savage Ga$p</t>
  </si>
  <si>
    <t>All I Want for Christmas Is You</t>
  </si>
  <si>
    <t>Mariah Carey</t>
  </si>
  <si>
    <t>Last Christmas</t>
  </si>
  <si>
    <t>Wham!</t>
  </si>
  <si>
    <t>disco</t>
  </si>
  <si>
    <t>Santa Tell Me</t>
  </si>
  <si>
    <t>Rockin' Around The Christmas Tree</t>
  </si>
  <si>
    <t>Brenda Lee</t>
  </si>
  <si>
    <t>adult standards</t>
  </si>
  <si>
    <t>Jingle Bell Rock</t>
  </si>
  <si>
    <t>Bobby Helms</t>
  </si>
  <si>
    <t>It's Beginning to Look a Lot like Christmas</t>
  </si>
  <si>
    <t>Michael Bublé</t>
  </si>
  <si>
    <t>It's the Most Wonderful Time of the Year</t>
  </si>
  <si>
    <t>Andy Williams</t>
  </si>
  <si>
    <t>Underneath the Tree</t>
  </si>
  <si>
    <t>Kelly Clarkson</t>
  </si>
  <si>
    <t>Feliz Navidad</t>
  </si>
  <si>
    <t>José Feliciano</t>
  </si>
  <si>
    <t>Let It Snow! Let It Snow! Let It Snow!</t>
  </si>
  <si>
    <t>Dean Martin</t>
  </si>
  <si>
    <t>Let It Snow! Let It Snow! Let It Snow! (with The B. Swanson Quartet)</t>
  </si>
  <si>
    <t>Frank Sinatra</t>
  </si>
  <si>
    <t>Mistletoe</t>
  </si>
  <si>
    <t>Sleigh Ride</t>
  </si>
  <si>
    <t>The Ronettes</t>
  </si>
  <si>
    <t>Do They Know It's Christmas? - 1984 Version</t>
  </si>
  <si>
    <t>Band Aid</t>
  </si>
  <si>
    <t>musical advocacy</t>
  </si>
  <si>
    <t>Wonderful Christmastime - Edited Version / Remastered 2011</t>
  </si>
  <si>
    <t>Paul McCartney</t>
  </si>
  <si>
    <t>Holly Jolly Christmas</t>
  </si>
  <si>
    <t>Happy Xmas (War Is Over) - Remastered 2010</t>
  </si>
  <si>
    <t>John Lennon, Yoko Ono</t>
  </si>
  <si>
    <t>Driving Home for Christmas - 2019 Remaster</t>
  </si>
  <si>
    <t>Chris Rea</t>
  </si>
  <si>
    <t>The Christmas Song (Merry Christmas To You)</t>
  </si>
  <si>
    <t>Nat King Cole</t>
  </si>
  <si>
    <t>White Christmas</t>
  </si>
  <si>
    <t>Bing Crosby, Ken Darby Singers, John Scott Trotter &amp; His Orchestra</t>
  </si>
  <si>
    <t>Slay3r</t>
  </si>
  <si>
    <t>Playboi Carti</t>
  </si>
  <si>
    <t>A Holly Jolly Christmas - Single Version</t>
  </si>
  <si>
    <t>Burl Ives</t>
  </si>
  <si>
    <t>Fairytale of New York (feat. Kirsty MacColl)</t>
  </si>
  <si>
    <t>The Pogues</t>
  </si>
  <si>
    <t>celtic</t>
  </si>
  <si>
    <t>Merry Christmas Everyone</t>
  </si>
  <si>
    <t>Shakin' Stevens</t>
  </si>
  <si>
    <t>classic uk pop</t>
  </si>
  <si>
    <t>Blue Christmas</t>
  </si>
  <si>
    <t>Elvis Presley</t>
  </si>
  <si>
    <t>rock-and-roll</t>
  </si>
  <si>
    <t>Run Rudolph Run - Single Version</t>
  </si>
  <si>
    <t>Chuck Berry</t>
  </si>
  <si>
    <t>Santa Claus Is Coming To Town</t>
  </si>
  <si>
    <t>The Jackson 5</t>
  </si>
  <si>
    <t>Santa Baby</t>
  </si>
  <si>
    <t>Kylie Minogue</t>
  </si>
  <si>
    <t>It's Beginning to Look a Lot Like Christmas (with Mitchell Ayres &amp; His Orchestra)</t>
  </si>
  <si>
    <t>Perry Como, The Fontane Sisters</t>
  </si>
  <si>
    <t>Christmas (Baby Please Come Home)</t>
  </si>
  <si>
    <t>Darlene Love</t>
  </si>
  <si>
    <t>Step Into Christmas</t>
  </si>
  <si>
    <t>Elton John</t>
  </si>
  <si>
    <t>glam rock</t>
  </si>
  <si>
    <t>Show Out (with Skepta &amp; Pop Smoke)</t>
  </si>
  <si>
    <t>Investe Em Mim</t>
  </si>
  <si>
    <t>Jonas Esticado</t>
  </si>
  <si>
    <t>Lance Individual</t>
  </si>
  <si>
    <t>Jingle Bell Rock - Daryl's Version</t>
  </si>
  <si>
    <t>Daryl Hall &amp; John Oates</t>
  </si>
  <si>
    <t>Thank God It's Christmas - Non-Album Single</t>
  </si>
  <si>
    <t>Christmas Lights</t>
  </si>
  <si>
    <t>Have Yourself A Merry Little Christmas</t>
  </si>
  <si>
    <t>Santa's Coming for Us</t>
  </si>
  <si>
    <t>My Only Wish (This Year)</t>
  </si>
  <si>
    <t>Britney Spears</t>
  </si>
  <si>
    <t>Baby, It's Cold Outside (feat. Meghan Trainor)</t>
  </si>
  <si>
    <t>Brett Eldredge</t>
  </si>
  <si>
    <t>Like It's Christmas</t>
  </si>
  <si>
    <t>Jonas Brothers</t>
  </si>
  <si>
    <t>boy band</t>
  </si>
  <si>
    <t>Christmas Without You</t>
  </si>
  <si>
    <t>You Make It Feel Like Christmas (feat. Blake Shelton)</t>
  </si>
  <si>
    <t>Gwen Stefani</t>
  </si>
  <si>
    <t>Gnat</t>
  </si>
  <si>
    <t>Joy To The World</t>
  </si>
  <si>
    <t>Santa Claus Is Coming to Town</t>
  </si>
  <si>
    <t>Baby It's Cold Outside (duet with Michael Bublé)</t>
  </si>
  <si>
    <t>Idina Menzel</t>
  </si>
  <si>
    <t>hollywood</t>
  </si>
  <si>
    <t>‘tis the damn season</t>
  </si>
  <si>
    <t>I Saw Mommy Kissing Santa Claus</t>
  </si>
  <si>
    <t>motown</t>
  </si>
  <si>
    <t>Santa Baby (with Henri René &amp; His Orchestra)</t>
  </si>
  <si>
    <t>Eartha Kitt, Henri Rene &amp; His Orchestra</t>
  </si>
  <si>
    <t>Carol of the Bells</t>
  </si>
  <si>
    <t>Mykola Dmytrovych Leontovych, John Williams</t>
  </si>
  <si>
    <t>soundtrack</t>
  </si>
  <si>
    <t>gold rush</t>
  </si>
  <si>
    <t>What Christmas Means To Me</t>
  </si>
  <si>
    <t>Stevie Wonder</t>
  </si>
  <si>
    <t>The Christmas Song (Shawn Mendes &amp; Camila Cabello)</t>
  </si>
  <si>
    <t>Baby, It's Cold Outside</t>
  </si>
  <si>
    <t>Santa Claus Is Comin' to Town - Live at C.W. Post College, Greenvale, NY - December 1975</t>
  </si>
  <si>
    <t>Bruce Springsteen</t>
  </si>
  <si>
    <t>One More Sleep</t>
  </si>
  <si>
    <t>Leona Lewis</t>
  </si>
  <si>
    <t>british soul</t>
  </si>
  <si>
    <t>Little Saint Nick - 1991 Remix</t>
  </si>
  <si>
    <t>The Beach Boys</t>
  </si>
  <si>
    <t>Naughty List (with Dixie)</t>
  </si>
  <si>
    <t>Liam Payne</t>
  </si>
  <si>
    <t>I'll Be Home</t>
  </si>
  <si>
    <t>Meghan Trainor</t>
  </si>
  <si>
    <t>Rudolph The Red-Nosed Reindeer</t>
  </si>
  <si>
    <t>Mistletoe And Holly - Remastered 1999</t>
  </si>
  <si>
    <t>Jingle Bells - Remastered 1999</t>
  </si>
  <si>
    <t>Oh Santa! (feat. Ariana Grande &amp; Jennifer Hudson)</t>
  </si>
  <si>
    <t>Do You Hear What I Hear? - Remastered 2006</t>
  </si>
  <si>
    <t>Bing Crosby</t>
  </si>
  <si>
    <t>Hallelujah</t>
  </si>
  <si>
    <t>Pentatonix</t>
  </si>
  <si>
    <t>a cappella</t>
  </si>
  <si>
    <t>This Christmas</t>
  </si>
  <si>
    <t>Donny Hathaway</t>
  </si>
  <si>
    <t>chicago soul</t>
  </si>
  <si>
    <t>Winter Wonderland</t>
  </si>
  <si>
    <t>Tony Bennett</t>
  </si>
  <si>
    <t>Christmas Tree Farm</t>
  </si>
  <si>
    <t>Cozy Little Christmas</t>
  </si>
  <si>
    <t>Katy Perry</t>
  </si>
  <si>
    <t>Merry Christmas, Happy Holidays</t>
  </si>
  <si>
    <t>*NSYNC</t>
  </si>
  <si>
    <t>tolerate it</t>
  </si>
  <si>
    <t>Please Come Home for Christmas - 2013 Remaster</t>
  </si>
  <si>
    <t>Eagles</t>
  </si>
  <si>
    <t>My Kind Of Present</t>
  </si>
  <si>
    <t>happiness</t>
  </si>
  <si>
    <t>ivy</t>
  </si>
  <si>
    <t>dorothea</t>
  </si>
  <si>
    <t>coney island (feat. The National)</t>
  </si>
  <si>
    <t>evermore (feat. Bon Iver)</t>
  </si>
  <si>
    <t>long story short</t>
  </si>
  <si>
    <t>cowboy like me</t>
  </si>
  <si>
    <t>marjorie</t>
  </si>
  <si>
    <t>closure</t>
  </si>
  <si>
    <t>She Knows This</t>
  </si>
  <si>
    <t>Another Day</t>
  </si>
  <si>
    <t>Solo Dolo, Pt. III</t>
  </si>
  <si>
    <t>Dive</t>
  </si>
  <si>
    <t>Heaven On Earth</t>
  </si>
  <si>
    <t>Sad People</t>
  </si>
  <si>
    <t>Damaged</t>
  </si>
  <si>
    <t>YO VISTO ASÍ</t>
  </si>
  <si>
    <t>Beautiful Trip</t>
  </si>
  <si>
    <t>The Void</t>
  </si>
  <si>
    <t>cardigan</t>
  </si>
  <si>
    <t>Real Shit (with benny blanco)</t>
  </si>
  <si>
    <t>Teach Me How To Love</t>
  </si>
  <si>
    <t>Blinding Lights (with ROSALÍA) - Remix</t>
  </si>
  <si>
    <t>WHATS POPPIN (feat. DaBaby, Tory Lanez &amp; Lil Wayne) - Remix</t>
  </si>
  <si>
    <t>Tory Lanez, Jack Harlow</t>
  </si>
  <si>
    <t>TE DESEO LO MEJOR</t>
  </si>
  <si>
    <t>Errbody</t>
  </si>
  <si>
    <t>Angels Like You</t>
  </si>
  <si>
    <t>Blue &amp; Grey</t>
  </si>
  <si>
    <t>Mad at Disney</t>
  </si>
  <si>
    <t>salem ilese</t>
  </si>
  <si>
    <t>Safaera</t>
  </si>
  <si>
    <t>Bad Bunny, Jowell &amp; Randy, Ñengo Flow</t>
  </si>
  <si>
    <t>LA DROGA</t>
  </si>
  <si>
    <t>GO (feat. Juice WRLD)</t>
  </si>
  <si>
    <t>Jenny (I Wanna Ruin Our Friendship)</t>
  </si>
  <si>
    <t>Studio Killers</t>
  </si>
  <si>
    <t>Mood (Remix) feat. Justin Bieber, J Balvin &amp; iann dior</t>
  </si>
  <si>
    <t>HOY COBRÉ</t>
  </si>
  <si>
    <t>MALDITA POBREZA</t>
  </si>
  <si>
    <t>EL MUNDO ES MÍO</t>
  </si>
  <si>
    <t>ANTES QUE SE ACABE</t>
  </si>
  <si>
    <t>SORRY PAPI</t>
  </si>
  <si>
    <t>Bad Bunny, ABRA</t>
  </si>
  <si>
    <t>120</t>
  </si>
  <si>
    <t>TRELLAS</t>
  </si>
  <si>
    <t>Wonderful Christmastime [Edited Version] - Remastered 2011 / Edited Version</t>
  </si>
  <si>
    <t>Fly To My Room</t>
  </si>
  <si>
    <t>Telepathy</t>
  </si>
  <si>
    <t>Dis-ease</t>
  </si>
  <si>
    <t>Stay</t>
  </si>
  <si>
    <t>Heart Of Glass (Live from the iHeart Festival)</t>
  </si>
  <si>
    <t>CANTARES DE NAVIDAD</t>
  </si>
  <si>
    <t>Trio Vegabajeño</t>
  </si>
  <si>
    <t>Plastic Hearts</t>
  </si>
  <si>
    <t>CÓMO SE SIENTE - Remix</t>
  </si>
  <si>
    <t>Jhay Cortez, Bad Bunny</t>
  </si>
  <si>
    <t>Skit</t>
  </si>
  <si>
    <t>Baby (with J Balvin)</t>
  </si>
  <si>
    <t>Sfera Ebbasta</t>
  </si>
  <si>
    <t>Tick Tock (feat. 24kGoldn)</t>
  </si>
  <si>
    <t>Clean Bandit, Mabel</t>
  </si>
  <si>
    <t>Dime Cómo Quieres</t>
  </si>
  <si>
    <t>Christian Nodal, Ángela Aguilar</t>
  </si>
  <si>
    <t>mariachi</t>
  </si>
  <si>
    <t>Tik Tok (feat. Marracash &amp; Guè Pequeno)</t>
  </si>
  <si>
    <t>Jerusalema (feat. Nomcebo Zikode)</t>
  </si>
  <si>
    <t>Master KG</t>
  </si>
  <si>
    <t>south african house</t>
  </si>
  <si>
    <t>Agua (with J Balvin) - Music From "Sponge On The Run" Movie</t>
  </si>
  <si>
    <t>Tainy</t>
  </si>
  <si>
    <t>Abracadabra (feat. Future)</t>
  </si>
  <si>
    <t>Djadja (feat. Maluma) - Remix</t>
  </si>
  <si>
    <t>Aya Nakamura</t>
  </si>
  <si>
    <t>basshall</t>
  </si>
  <si>
    <t>ALWAYS DO</t>
  </si>
  <si>
    <t>Smile (with The Weeknd)</t>
  </si>
  <si>
    <t>Pretty Savage</t>
  </si>
  <si>
    <t>Savage Love (Laxed – Siren Beat) [BTS Remix]</t>
  </si>
  <si>
    <t>Mirrors</t>
  </si>
  <si>
    <t>Justin Timberlake</t>
  </si>
  <si>
    <t>Hollywood (feat. Diplo)</t>
  </si>
  <si>
    <t>Runnin</t>
  </si>
  <si>
    <t>21 Savage, Metro Boomin</t>
  </si>
  <si>
    <t>Are You Bored Yet? (feat. Clairo)</t>
  </si>
  <si>
    <t>Wallows</t>
  </si>
  <si>
    <t>10,000 Hours (with Justin Bieber)</t>
  </si>
  <si>
    <t>Dan + Shay</t>
  </si>
  <si>
    <t>You Got It</t>
  </si>
  <si>
    <t>Vedo</t>
  </si>
  <si>
    <t>pop r&amp;b</t>
  </si>
  <si>
    <t>Quiéreme Mientras Se Pueda</t>
  </si>
  <si>
    <t>Manuel Turizo</t>
  </si>
  <si>
    <t>Party Girl</t>
  </si>
  <si>
    <t>StaySolidRocky</t>
  </si>
  <si>
    <t>Drankin N Smokin</t>
  </si>
  <si>
    <t>Future, Lil Uzi Vert</t>
  </si>
  <si>
    <t>Be Like That - feat. Swae Lee &amp; Khalid</t>
  </si>
  <si>
    <t>Kane Brown</t>
  </si>
  <si>
    <t>MORE</t>
  </si>
  <si>
    <t>K/DA, Madison Beer, (G)I-DLE, Lexie Liu, Jaira Burns, Seraphine, League of Legends</t>
  </si>
  <si>
    <t>Enchule</t>
  </si>
  <si>
    <t>Stripes Like Burberry</t>
  </si>
  <si>
    <t>Papi Chulo</t>
  </si>
  <si>
    <t>Octavian, Skepta</t>
  </si>
  <si>
    <t>afroswing</t>
  </si>
  <si>
    <t>off the table (with The Weeknd)</t>
  </si>
  <si>
    <t>Spicy (feat. Post Malone)</t>
  </si>
  <si>
    <t>Ty Dolla $ign</t>
  </si>
  <si>
    <t>Sweet Melody</t>
  </si>
  <si>
    <t>Little Mix</t>
  </si>
  <si>
    <t>Blueberry Eyes (feat. SUGA of BTS)</t>
  </si>
  <si>
    <t>MAX</t>
  </si>
  <si>
    <t>That’s It</t>
  </si>
  <si>
    <t>Promiscuous</t>
  </si>
  <si>
    <t>Nelly Furtado, Timbaland</t>
  </si>
  <si>
    <t>canadian latin</t>
  </si>
  <si>
    <t>GREECE (feat. Drake)</t>
  </si>
  <si>
    <t>just like magic</t>
  </si>
  <si>
    <t>Still Don't Know My Name</t>
  </si>
  <si>
    <t>Labrinth</t>
  </si>
  <si>
    <t>indie poptimism</t>
  </si>
  <si>
    <t>Hasta Que Dios Diga</t>
  </si>
  <si>
    <t>Anuel AA, Bad Bunny</t>
  </si>
  <si>
    <t>Get You The Moon (feat. Snøw)</t>
  </si>
  <si>
    <t>Kina</t>
  </si>
  <si>
    <t>Moonwalking in Calabasas (feat. Blueface) - Remix</t>
  </si>
  <si>
    <t>DDG</t>
  </si>
  <si>
    <t>Forever After All</t>
  </si>
  <si>
    <t>Luke Combs</t>
  </si>
  <si>
    <t>Lean (feat. Towy, Osquel, Beltito &amp; Sammy &amp; Falsetto)</t>
  </si>
  <si>
    <t>Super Yei, Jone Quest</t>
  </si>
  <si>
    <t>SLOW DANCING IN THE DARK</t>
  </si>
  <si>
    <t>Joji</t>
  </si>
  <si>
    <t>Don Don</t>
  </si>
  <si>
    <t>Daddy Yankee, Anuel AA, Kendo Kaponi</t>
  </si>
  <si>
    <t>my future</t>
  </si>
  <si>
    <t>Nada</t>
  </si>
  <si>
    <t>Cali Y El Dandee, Danna Paola</t>
  </si>
  <si>
    <t>champeta</t>
  </si>
  <si>
    <t>safety net (feat. Ty Dolla $ign)</t>
  </si>
  <si>
    <t>shut up</t>
  </si>
  <si>
    <t>nasty</t>
  </si>
  <si>
    <t>TRAGIC (feat. Youngboy Never Broke Again &amp; Internet Money)</t>
  </si>
  <si>
    <t>Ayer Me Llamó Mi Ex (feat. Lenny Santos)</t>
  </si>
  <si>
    <t>KHEA</t>
  </si>
  <si>
    <t>Madrid (feat. Myke Towers)</t>
  </si>
  <si>
    <t>Caramelo - Remix</t>
  </si>
  <si>
    <t>Ozuna, KAROL G, Myke Towers</t>
  </si>
  <si>
    <t>Mr. Right Now (feat. Drake)</t>
  </si>
  <si>
    <t>Got It On Me</t>
  </si>
  <si>
    <t>my hair</t>
  </si>
  <si>
    <t>obvious</t>
  </si>
  <si>
    <t>Beautiful People (feat. Khalid)</t>
  </si>
  <si>
    <t>Favorito</t>
  </si>
  <si>
    <t>After Party</t>
  </si>
  <si>
    <t>Rojo</t>
  </si>
  <si>
    <t>six thirty</t>
  </si>
  <si>
    <t>love language</t>
  </si>
  <si>
    <t>west side</t>
  </si>
  <si>
    <t>Thriller</t>
  </si>
  <si>
    <t>Michael Jackson</t>
  </si>
  <si>
    <t>Dancing With A Stranger (with Normani)</t>
  </si>
  <si>
    <t>Angeklagt</t>
  </si>
  <si>
    <t>Bonez MC</t>
  </si>
  <si>
    <t>Kids Again</t>
  </si>
  <si>
    <t>Highway to Hell</t>
  </si>
  <si>
    <t>AC/DC</t>
  </si>
  <si>
    <t>australian rock</t>
  </si>
  <si>
    <t>Me Gusta (with Cardi B &amp; Myke Towers)</t>
  </si>
  <si>
    <t>24 (feat. Lil Baby)</t>
  </si>
  <si>
    <t>Money Man</t>
  </si>
  <si>
    <t>Relación</t>
  </si>
  <si>
    <t>FRANCHISE (feat. Young Thug &amp; M.I.A.)</t>
  </si>
  <si>
    <t>Bet You Wanna (feat. Cardi B)</t>
  </si>
  <si>
    <t>Wolves (feat. Post Malone)</t>
  </si>
  <si>
    <t>Big Sean</t>
  </si>
  <si>
    <t>thank u, next</t>
  </si>
  <si>
    <t>MAMACITA</t>
  </si>
  <si>
    <t>Black Eyed Peas, Ozuna, J. Rey Soul</t>
  </si>
  <si>
    <t>Fake</t>
  </si>
  <si>
    <t>Lauv, Conan Gray</t>
  </si>
  <si>
    <t>OK Not To Be OK</t>
  </si>
  <si>
    <t>Marshmello, Demi Lovato</t>
  </si>
  <si>
    <t>THE SCOTTS</t>
  </si>
  <si>
    <t>THE SCOTTS, Travis Scott, Kid Cudi</t>
  </si>
  <si>
    <t>Mamichula - con Nicki Nicole</t>
  </si>
  <si>
    <t>Trueno, Bizarrap, Taiu, TATOOL</t>
  </si>
  <si>
    <t>Let Her Go</t>
  </si>
  <si>
    <t>Passenger</t>
  </si>
  <si>
    <t>Play Date</t>
  </si>
  <si>
    <t>Melanie Martinez</t>
  </si>
  <si>
    <t>Lose Somebody</t>
  </si>
  <si>
    <t>Kygo, OneRepublic</t>
  </si>
  <si>
    <t>Someone Like You</t>
  </si>
  <si>
    <t>Adele</t>
  </si>
  <si>
    <t>It's You</t>
  </si>
  <si>
    <t>Ali Gatie</t>
  </si>
  <si>
    <t>Stunnin' (feat. Harm Franklin)</t>
  </si>
  <si>
    <t>Curtis Waters</t>
  </si>
  <si>
    <t>Love To Hate Me</t>
  </si>
  <si>
    <t>Hate The Way (feat. blackbear)</t>
  </si>
  <si>
    <t>G-Eazy</t>
  </si>
  <si>
    <t>Bande organisée</t>
  </si>
  <si>
    <t>13 Organisé, SCH, Kofs, Jul, Naps, Soso Maness, Elams, Solda, Houari</t>
  </si>
  <si>
    <t>Crazy Over You</t>
  </si>
  <si>
    <t>Baby, I'm Jealous (feat. Doja Cat)</t>
  </si>
  <si>
    <t>Bebe Rexha</t>
  </si>
  <si>
    <t>TKN (feat. Travis Scott)</t>
  </si>
  <si>
    <t>ROSALÍA</t>
  </si>
  <si>
    <t>r&amp;b en espanol</t>
  </si>
  <si>
    <t>El Mismo Aire - con Pablo Alborán</t>
  </si>
  <si>
    <t>Yo Perreo Sola</t>
  </si>
  <si>
    <t>Let Me Love You Like A Woman</t>
  </si>
  <si>
    <t>DOLLAZ ON MY HEAD (feat. Young Thug)</t>
  </si>
  <si>
    <t>Gunna</t>
  </si>
  <si>
    <t>Elegí (feat. Dímelo Flow)</t>
  </si>
  <si>
    <t>Rauw Alejandro, Dalex, Lenny Tavárez</t>
  </si>
  <si>
    <t>July</t>
  </si>
  <si>
    <t>Noah Cyrus</t>
  </si>
  <si>
    <t>Bruises</t>
  </si>
  <si>
    <t>You Never Know</t>
  </si>
  <si>
    <t>Supalonely</t>
  </si>
  <si>
    <t>BENEE, Gus Dapperton</t>
  </si>
  <si>
    <t>Glock In My Lap</t>
  </si>
  <si>
    <t>Better</t>
  </si>
  <si>
    <t>forget me too (feat. Halsey)</t>
  </si>
  <si>
    <t>Oh Juliana</t>
  </si>
  <si>
    <t>Niack</t>
  </si>
  <si>
    <t>PORFA Remix ( Feat. Maluma, Nicky Jam, Sech) - Remix</t>
  </si>
  <si>
    <t>Feid, J Balvin, Justin Quiles</t>
  </si>
  <si>
    <t>No Guidance (feat. Drake)</t>
  </si>
  <si>
    <t>Chris Brown</t>
  </si>
  <si>
    <t>Rich Nigga Shit (feat. Young Thug)</t>
  </si>
  <si>
    <t>Many Men</t>
  </si>
  <si>
    <t>Slidin</t>
  </si>
  <si>
    <t>Outta Time (feat. Drake)</t>
  </si>
  <si>
    <t>Bryson Tiller</t>
  </si>
  <si>
    <t>kentucky hip hop</t>
  </si>
  <si>
    <t>My Dawg</t>
  </si>
  <si>
    <t>Snitches &amp; Rats (feat. Young Nudy)</t>
  </si>
  <si>
    <t>Brand New Draco</t>
  </si>
  <si>
    <t>Lemonade (Feat. Roddy Ricch &amp; Don Toliver) [Remix]</t>
  </si>
  <si>
    <t>Your Man</t>
  </si>
  <si>
    <t>No Opp Left Behind</t>
  </si>
  <si>
    <t>Lets Link</t>
  </si>
  <si>
    <t>WhoHeem</t>
  </si>
  <si>
    <t>viral rap</t>
  </si>
  <si>
    <t>RIP Luv</t>
  </si>
  <si>
    <t>Steppin On Niggas</t>
  </si>
  <si>
    <t>Gimme Love</t>
  </si>
  <si>
    <t>Ew</t>
  </si>
  <si>
    <t>Daylight</t>
  </si>
  <si>
    <t>Joji, Diplo</t>
  </si>
  <si>
    <t>Epidemic</t>
  </si>
  <si>
    <t>bloody valentine</t>
  </si>
  <si>
    <t>MODUS</t>
  </si>
  <si>
    <t>Tick Tock</t>
  </si>
  <si>
    <t>Sanctuary</t>
  </si>
  <si>
    <t>feel something</t>
  </si>
  <si>
    <t>Bea Miller</t>
  </si>
  <si>
    <t>Tap In</t>
  </si>
  <si>
    <t>Pretty Boy (feat. Lil Yachty)</t>
  </si>
  <si>
    <t>Afterthought</t>
  </si>
  <si>
    <t>Joji, BENEE</t>
  </si>
  <si>
    <t>+Linda</t>
  </si>
  <si>
    <t>Dalex</t>
  </si>
  <si>
    <t>Over Now (with The Weeknd)</t>
  </si>
  <si>
    <t>Hate The Other Side (with Marshmello &amp; The Kid Laroi)</t>
  </si>
  <si>
    <t>Juice WRLD, Polo G</t>
  </si>
  <si>
    <t>drunk face</t>
  </si>
  <si>
    <t>Tak Tiki Tak</t>
  </si>
  <si>
    <t>Harry Nach</t>
  </si>
  <si>
    <t>trap chileno</t>
  </si>
  <si>
    <t>WHATS POPPIN</t>
  </si>
  <si>
    <t>Money Trees</t>
  </si>
  <si>
    <t>Kendrick Lamar, Jay Rock</t>
  </si>
  <si>
    <t>Blastoff (feat. Juice Wrld &amp; Trippie Redd)</t>
  </si>
  <si>
    <t>Internet Money, Diplo</t>
  </si>
  <si>
    <t>September</t>
  </si>
  <si>
    <t>Earth, Wind &amp; Fire</t>
  </si>
  <si>
    <t>Secrets</t>
  </si>
  <si>
    <t>Regard, RAYE</t>
  </si>
  <si>
    <t>21</t>
  </si>
  <si>
    <t>BXL ZOO</t>
  </si>
  <si>
    <t>Damso, Hamza</t>
  </si>
  <si>
    <t>belgian hip hop</t>
  </si>
  <si>
    <t>DEUX TOILES DE MER</t>
  </si>
  <si>
    <t>Damso</t>
  </si>
  <si>
    <t>exile (feat. Bon Iver)</t>
  </si>
  <si>
    <t>Righteous</t>
  </si>
  <si>
    <t>Conversations</t>
  </si>
  <si>
    <t>Dolly (with Lil Uzi Vert)</t>
  </si>
  <si>
    <t>Chicago Freestyle (feat. Giveon)</t>
  </si>
  <si>
    <t>GOOBA</t>
  </si>
  <si>
    <t>6ix9ine</t>
  </si>
  <si>
    <t>Physical</t>
  </si>
  <si>
    <t>Hot Stuff</t>
  </si>
  <si>
    <t>Kygo, Donna Summer</t>
  </si>
  <si>
    <t>Who's Laughing Now</t>
  </si>
  <si>
    <t>Sweet but Psycho</t>
  </si>
  <si>
    <t>Del Mar</t>
  </si>
  <si>
    <t>Ozuna, Doja Cat, Sia</t>
  </si>
  <si>
    <t>Hit Different</t>
  </si>
  <si>
    <t>SZA, The Neptunes, Pharrell Williams, Ty Dolla $ign</t>
  </si>
  <si>
    <t>Nobody's Love</t>
  </si>
  <si>
    <t>Máquina do Tempo</t>
  </si>
  <si>
    <t>Matuê</t>
  </si>
  <si>
    <t>r&amp;b brasileiro</t>
  </si>
  <si>
    <t>Fuckst mich nur ab</t>
  </si>
  <si>
    <t>Jangueo</t>
  </si>
  <si>
    <t>Alex Rose, Rafa Pabön</t>
  </si>
  <si>
    <t>We Paid (feat. 42 Dugg)</t>
  </si>
  <si>
    <t>Ihr Hobby</t>
  </si>
  <si>
    <t>Bonez MC, Maxwell</t>
  </si>
  <si>
    <t>When I Look At You</t>
  </si>
  <si>
    <t>Boss Bitch</t>
  </si>
  <si>
    <t>Ain't It Different (feat. AJ Tracey &amp; Stormzy)</t>
  </si>
  <si>
    <t>Headie One</t>
  </si>
  <si>
    <t>Some Say - Felix Jaehn Remix</t>
  </si>
  <si>
    <t>Nea</t>
  </si>
  <si>
    <t>scandipop</t>
  </si>
  <si>
    <t>Savage Remix (feat. Beyoncé)</t>
  </si>
  <si>
    <t>Beyoncé, Megan Thee Stallion</t>
  </si>
  <si>
    <t>Lithuania (feat. Travis Scott)</t>
  </si>
  <si>
    <t>Tap In (feat. Post Malone, DaBaby &amp; Jack Harlow)</t>
  </si>
  <si>
    <t>Not Shy</t>
  </si>
  <si>
    <t>The Plan - From the Motion Picture "TENET"</t>
  </si>
  <si>
    <t>ADMV</t>
  </si>
  <si>
    <t>Alane</t>
  </si>
  <si>
    <t>Robin Schulz, Wes</t>
  </si>
  <si>
    <t>THE BADDEST</t>
  </si>
  <si>
    <t>K/DA, (G)I-DLE, Wolftyla, Bea Miller, League of Legends</t>
  </si>
  <si>
    <t>Desce Pro Play (PA PA PA)</t>
  </si>
  <si>
    <t>Mc Zaac, Anitta, Tyga</t>
  </si>
  <si>
    <t>Mariposa</t>
  </si>
  <si>
    <t>Peach Tree Rascals</t>
  </si>
  <si>
    <t>the 1</t>
  </si>
  <si>
    <t>RITMO (Bad Boys For Life)</t>
  </si>
  <si>
    <t>Black Eyed Peas, J Balvin</t>
  </si>
  <si>
    <t>Unterwegs</t>
  </si>
  <si>
    <t>KitschKrieg, Jamule, SFR</t>
  </si>
  <si>
    <t>What's Love Got to Do with It</t>
  </si>
  <si>
    <t>Kygo, Tina Turner</t>
  </si>
  <si>
    <t>Cry About It Later</t>
  </si>
  <si>
    <t>Banana (feat. Shaggy) - DJ FLe - Minisiren Remix</t>
  </si>
  <si>
    <t>Conkarah</t>
  </si>
  <si>
    <t>jawaiian</t>
  </si>
  <si>
    <t>Gifted (feat. Roddy Ricch)</t>
  </si>
  <si>
    <t>Cordae</t>
  </si>
  <si>
    <t>OUT WEST (feat. Young Thug)</t>
  </si>
  <si>
    <t>JACKBOYS, Travis Scott</t>
  </si>
  <si>
    <t>Anaranjado</t>
  </si>
  <si>
    <t>Jowell &amp; Randy, J Balvin</t>
  </si>
  <si>
    <t>Reggaetonera</t>
  </si>
  <si>
    <t>Anuel AA</t>
  </si>
  <si>
    <t>Sour Candy (with BLACKPINK)</t>
  </si>
  <si>
    <t>Rags2Riches 2 (feat. Lil Baby)</t>
  </si>
  <si>
    <t>florida rap</t>
  </si>
  <si>
    <t>Bandit (with YoungBoy Never Broke Again)</t>
  </si>
  <si>
    <t>PAM</t>
  </si>
  <si>
    <t>Justin Quiles, Daddy Yankee, El Alfa</t>
  </si>
  <si>
    <t>Lemonade</t>
  </si>
  <si>
    <t>Internet Money, Gunna, Don Toliver, NAV</t>
  </si>
  <si>
    <t>Frühstück in Paris</t>
  </si>
  <si>
    <t>Capital Bra, Cro</t>
  </si>
  <si>
    <t>ON</t>
  </si>
  <si>
    <t>My Oasis (feat. Burna Boy)</t>
  </si>
  <si>
    <t>Life's A Mess (feat. Halsey)</t>
  </si>
  <si>
    <t>PORFA</t>
  </si>
  <si>
    <t>Feid, Justin Quiles</t>
  </si>
  <si>
    <t>2012</t>
  </si>
  <si>
    <t>Bausa, Juju</t>
  </si>
  <si>
    <t>august</t>
  </si>
  <si>
    <t>if i were u (with Lauv)</t>
  </si>
  <si>
    <t>Ballin' (with Roddy Ricch)</t>
  </si>
  <si>
    <t>Mustard</t>
  </si>
  <si>
    <t>Stay Gold</t>
  </si>
  <si>
    <t>I'm Yours</t>
  </si>
  <si>
    <t>Jason Mraz</t>
  </si>
  <si>
    <t>acoustic pop</t>
  </si>
  <si>
    <t>Youngblood</t>
  </si>
  <si>
    <t>5 Seconds of Summer</t>
  </si>
  <si>
    <t>the last great american dynasty</t>
  </si>
  <si>
    <t>Levitating (feat. Madonna and Missy Elliott) [The Blessed Madonna Remix]</t>
  </si>
  <si>
    <t>my tears ricochet</t>
  </si>
  <si>
    <t>Rags2Riches (feat. ATR Son Son)</t>
  </si>
  <si>
    <t>Flex (feat. Juice WRLD)</t>
  </si>
  <si>
    <t>Rover (feat. DTG)</t>
  </si>
  <si>
    <t>S1mba</t>
  </si>
  <si>
    <t>Only You Freestyle</t>
  </si>
  <si>
    <t>Headie One, Drake</t>
  </si>
  <si>
    <t>Hallucinate</t>
  </si>
  <si>
    <t>El Efecto</t>
  </si>
  <si>
    <t>Rauw Alejandro, Chencho Corleone</t>
  </si>
  <si>
    <t>Coño</t>
  </si>
  <si>
    <t>Jason Derulo, Puri, Jhorrmountain</t>
  </si>
  <si>
    <t>Jolie nana</t>
  </si>
  <si>
    <t>Lovefool</t>
  </si>
  <si>
    <t>twocolors</t>
  </si>
  <si>
    <t>invisible string</t>
  </si>
  <si>
    <t>Higher Love</t>
  </si>
  <si>
    <t>Kygo, Whitney Houston</t>
  </si>
  <si>
    <t>Como Llora</t>
  </si>
  <si>
    <t>Juanfran</t>
  </si>
  <si>
    <t>dominican pop</t>
  </si>
  <si>
    <t>Walk Em Down (feat. Roddy Ricch)</t>
  </si>
  <si>
    <t>NLE Choppa</t>
  </si>
  <si>
    <t>Wow.</t>
  </si>
  <si>
    <t>mirrorball</t>
  </si>
  <si>
    <t>seven</t>
  </si>
  <si>
    <t>this is me trying</t>
  </si>
  <si>
    <t>betty</t>
  </si>
  <si>
    <t>BLIND (feat. Young Thug)</t>
  </si>
  <si>
    <t>illicit affairs</t>
  </si>
  <si>
    <t>Freak</t>
  </si>
  <si>
    <t>PUNANI</t>
  </si>
  <si>
    <t>Bläulich</t>
  </si>
  <si>
    <t>Never Let Me Down</t>
  </si>
  <si>
    <t>VIZE, Tom Gregory</t>
  </si>
  <si>
    <t>Savage</t>
  </si>
  <si>
    <t>mad woman</t>
  </si>
  <si>
    <t>epiphany</t>
  </si>
  <si>
    <t>peace</t>
  </si>
  <si>
    <t>Move Ya Hips (feat. Nicki Minaj &amp; MadeinTYO)</t>
  </si>
  <si>
    <t>A$AP Ferg</t>
  </si>
  <si>
    <t>Sie ruft</t>
  </si>
  <si>
    <t>Tilidin Weg</t>
  </si>
  <si>
    <t>Over Your Head</t>
  </si>
  <si>
    <t>hoax</t>
  </si>
  <si>
    <t>Blood On My Jeans</t>
  </si>
  <si>
    <t>Narrow Road (feat. Lil Baby)</t>
  </si>
  <si>
    <t>Amarillo</t>
  </si>
  <si>
    <t>Singapur</t>
  </si>
  <si>
    <t>El Alfa, Chael Produciendo</t>
  </si>
  <si>
    <t>Tattoo</t>
  </si>
  <si>
    <t>Ego Death (feat. Kanye West, FKA twigs &amp; Skrillex)</t>
  </si>
  <si>
    <t>Morado</t>
  </si>
  <si>
    <t>ocean eyes</t>
  </si>
  <si>
    <t>Lion King On Ice</t>
  </si>
  <si>
    <t>Andere Welt</t>
  </si>
  <si>
    <t>Capital Bra, Clueso, KC Rebell</t>
  </si>
  <si>
    <t>TELL ME WHY</t>
  </si>
  <si>
    <t>Stay High</t>
  </si>
  <si>
    <t>What Makes You Beautiful</t>
  </si>
  <si>
    <t>One Direction</t>
  </si>
  <si>
    <t>Shit Changed</t>
  </si>
  <si>
    <t>Ufo361, Sonus030</t>
  </si>
  <si>
    <t>german cloud rap</t>
  </si>
  <si>
    <t>Tell Me U Luv Me (with Trippie Redd)</t>
  </si>
  <si>
    <t>Bad Energy</t>
  </si>
  <si>
    <t>Titanic</t>
  </si>
  <si>
    <t>Skechers</t>
  </si>
  <si>
    <t>DripReport</t>
  </si>
  <si>
    <t>The Bigger Picture</t>
  </si>
  <si>
    <t>Story of My Life</t>
  </si>
  <si>
    <t>Hit My Line</t>
  </si>
  <si>
    <t>Logic</t>
  </si>
  <si>
    <t>Party Girl (Remix)</t>
  </si>
  <si>
    <t>StaySolidRocky, Lil Uzi Vert</t>
  </si>
  <si>
    <t>Up Up And Away</t>
  </si>
  <si>
    <t>Man Of The Year</t>
  </si>
  <si>
    <t>Fighting Demons</t>
  </si>
  <si>
    <t>Can't Die</t>
  </si>
  <si>
    <t>Screw Juice</t>
  </si>
  <si>
    <t>Past Life (with Selena Gomez)</t>
  </si>
  <si>
    <t>Trevor Daniel</t>
  </si>
  <si>
    <t>I Want It</t>
  </si>
  <si>
    <t>Ransom</t>
  </si>
  <si>
    <t>Diosa</t>
  </si>
  <si>
    <t>Never Know (feat. SHIRIN DAVID)</t>
  </si>
  <si>
    <t>Luciano</t>
  </si>
  <si>
    <t>german drill</t>
  </si>
  <si>
    <t>La Difícil</t>
  </si>
  <si>
    <t>TROLLZ (with Nicki Minaj)</t>
  </si>
  <si>
    <t>Old Town Road - Remix</t>
  </si>
  <si>
    <t>Lil Nas X, Billy Ray Cyrus</t>
  </si>
  <si>
    <t>The Adventures of Moon Man &amp; Slim Shady (with Eminem)</t>
  </si>
  <si>
    <t>China</t>
  </si>
  <si>
    <t>Anuel AA, Daddy Yankee, KAROL G, Ozuna, J Balvin</t>
  </si>
  <si>
    <t>Hola - Remix</t>
  </si>
  <si>
    <t>Dalex, Lenny Tavárez, Chencho Corleone, Juhn, Dímelo Flow</t>
  </si>
  <si>
    <t>Ignorantes</t>
  </si>
  <si>
    <t>Bad Bunny, Sech</t>
  </si>
  <si>
    <t>Yummy</t>
  </si>
  <si>
    <t>High Fashion (feat. Mustard)</t>
  </si>
  <si>
    <t>Like That (feat. Gucci Mane)</t>
  </si>
  <si>
    <t>Goodbyes (feat. Young Thug)</t>
  </si>
  <si>
    <t>BOP</t>
  </si>
  <si>
    <t>Sigues Con El</t>
  </si>
  <si>
    <t>Dímelo Flow, Arcangel, Sech</t>
  </si>
  <si>
    <t>Anxiety - Intro</t>
  </si>
  <si>
    <t>Juice WRLD Speaks From Heaven - Outro</t>
  </si>
  <si>
    <t>The Man, The Myth, The Legend - Interlude</t>
  </si>
  <si>
    <t>Tiefschwarz (feat. Samra)</t>
  </si>
  <si>
    <t>Kontra K</t>
  </si>
  <si>
    <t>christlicher rap</t>
  </si>
  <si>
    <t>Wash Us In The Blood</t>
  </si>
  <si>
    <t>Kanye West, Travis Scott</t>
  </si>
  <si>
    <t>Gangstas</t>
  </si>
  <si>
    <t>Monster</t>
  </si>
  <si>
    <t>Red Velvet - IRENE &amp; SEULGI</t>
  </si>
  <si>
    <t>YAYA</t>
  </si>
  <si>
    <t>Narcos</t>
  </si>
  <si>
    <t>This City</t>
  </si>
  <si>
    <t>Sam Fischer</t>
  </si>
  <si>
    <t>Make It Rain (feat. Rowdy Rebel)</t>
  </si>
  <si>
    <t>Lalala</t>
  </si>
  <si>
    <t>Y2K, bbno$</t>
  </si>
  <si>
    <t>Something Special</t>
  </si>
  <si>
    <t>Aim For The Moon (feat. Quavo)</t>
  </si>
  <si>
    <t>44 BullDog</t>
  </si>
  <si>
    <t>Creature (feat. Swae Lee)</t>
  </si>
  <si>
    <t>Yea Yea</t>
  </si>
  <si>
    <t>Enjoy Yourself (feat. Karol G)</t>
  </si>
  <si>
    <t>Bad Bitch From Tokyo (Intro)</t>
  </si>
  <si>
    <t>Snitching (feat. Quavo &amp; Future)</t>
  </si>
  <si>
    <t>West Coast Shit (feat. Tyga &amp; Quavo)</t>
  </si>
  <si>
    <t>Deep End Freestyle</t>
  </si>
  <si>
    <t>Sleepy Hallow, Fousheé</t>
  </si>
  <si>
    <t>Tommy Lee (feat. Post Malone)</t>
  </si>
  <si>
    <t>Tyla Yaweh</t>
  </si>
  <si>
    <t>Tunnel Vision (Outro)</t>
  </si>
  <si>
    <t>Si Veo a Tu Mamá</t>
  </si>
  <si>
    <t>Prospect (ft. Lil Baby)</t>
  </si>
  <si>
    <t>iann dior</t>
  </si>
  <si>
    <t>No Me Conoce - Remix</t>
  </si>
  <si>
    <t>Jhay Cortez, J Balvin, Bad Bunny</t>
  </si>
  <si>
    <t>El Manual</t>
  </si>
  <si>
    <t>Thunder</t>
  </si>
  <si>
    <t>El Efecto - Remix</t>
  </si>
  <si>
    <t>Rauw Alejandro, Chencho Corleone, KEVVO, Bryant Myers, Lyanno, Dalex</t>
  </si>
  <si>
    <t>Better Now</t>
  </si>
  <si>
    <t>Don't Stop Believin'</t>
  </si>
  <si>
    <t>Journey</t>
  </si>
  <si>
    <t>BLACK PARADE</t>
  </si>
  <si>
    <t>Beyoncé</t>
  </si>
  <si>
    <t>XXL</t>
  </si>
  <si>
    <t>Miksu / Macloud, Summer Cem, Luciano, Jamule</t>
  </si>
  <si>
    <t>Salt</t>
  </si>
  <si>
    <t>Daisies</t>
  </si>
  <si>
    <t>Emotionally Scarred</t>
  </si>
  <si>
    <t>Myron</t>
  </si>
  <si>
    <t>Lil Uzi Vert</t>
  </si>
  <si>
    <t>MORE &amp; MORE</t>
  </si>
  <si>
    <t>Girls in the Hood</t>
  </si>
  <si>
    <t>Parasite Eve</t>
  </si>
  <si>
    <t>Sucker</t>
  </si>
  <si>
    <t>I Like Me Better</t>
  </si>
  <si>
    <t>Lauv</t>
  </si>
  <si>
    <t>High Hopes</t>
  </si>
  <si>
    <t>Panic! At The Disco</t>
  </si>
  <si>
    <t>Money In The Grave (Drake ft. Rick Ross)</t>
  </si>
  <si>
    <t>Say So (feat. Nicki Minaj)</t>
  </si>
  <si>
    <t>Karaoke</t>
  </si>
  <si>
    <t>Boomdabash, Alessandra Amoroso</t>
  </si>
  <si>
    <t>Know Your Worth</t>
  </si>
  <si>
    <t>Khalid, Disclosure</t>
  </si>
  <si>
    <t>No Idea</t>
  </si>
  <si>
    <t>Airwaves</t>
  </si>
  <si>
    <t>Kill This Love</t>
  </si>
  <si>
    <t>Lights Up</t>
  </si>
  <si>
    <t>Lose You To Love Me</t>
  </si>
  <si>
    <t>Girls Like You (feat. Cardi B)</t>
  </si>
  <si>
    <t>PA' ROMPERLA</t>
  </si>
  <si>
    <t>Bad Bunny, Don Omar</t>
  </si>
  <si>
    <t>VACATION</t>
  </si>
  <si>
    <t>Tyga</t>
  </si>
  <si>
    <t>Big Body Benz</t>
  </si>
  <si>
    <t>Ich weiß nicht mal wie sie heißt</t>
  </si>
  <si>
    <t>Capital Bra, Bozza</t>
  </si>
  <si>
    <t>Fútbol &amp; Rumba (feat. Enrique Iglesias)</t>
  </si>
  <si>
    <t>Bleed</t>
  </si>
  <si>
    <t>A Boogie Wit da Hoodie</t>
  </si>
  <si>
    <t>Snow On Tha Bluff</t>
  </si>
  <si>
    <t>Djomb - Bien ou quoi</t>
  </si>
  <si>
    <t>Bosh</t>
  </si>
  <si>
    <t>In Your Eyes (feat. Alida)</t>
  </si>
  <si>
    <t>Alida, Robin Schulz</t>
  </si>
  <si>
    <t>Stupid Love</t>
  </si>
  <si>
    <t>Shotta Flow 5</t>
  </si>
  <si>
    <t>IDK You Yet</t>
  </si>
  <si>
    <t>Alexander 23</t>
  </si>
  <si>
    <t>Piece Of Your Heart</t>
  </si>
  <si>
    <t>MEDUZA, Goodboys</t>
  </si>
  <si>
    <t>Na Raba Toma Tapão</t>
  </si>
  <si>
    <t>La Santa</t>
  </si>
  <si>
    <t>Bad Bunny, Daddy Yankee</t>
  </si>
  <si>
    <t>Make You Mine</t>
  </si>
  <si>
    <t>PUBLIC</t>
  </si>
  <si>
    <t>indie rockism</t>
  </si>
  <si>
    <t>ROCKSTAR (feat. Roddy Ricch) - BLM REMIX</t>
  </si>
  <si>
    <t>Make It Rain</t>
  </si>
  <si>
    <t>Pop Smoke, Rowdy Rebel</t>
  </si>
  <si>
    <t>M' Manc (con Geolier &amp; Sfera Ebbasta)</t>
  </si>
  <si>
    <t>Shablo</t>
  </si>
  <si>
    <t>Emotions 2.0</t>
  </si>
  <si>
    <t>Ufo361, CÉLINE</t>
  </si>
  <si>
    <t>P2</t>
  </si>
  <si>
    <t>Selfish</t>
  </si>
  <si>
    <t>Surrender</t>
  </si>
  <si>
    <t>Natalie Taylor</t>
  </si>
  <si>
    <t>Turks (with Gunna &amp; ft. Travis Scott)</t>
  </si>
  <si>
    <t>NAV</t>
  </si>
  <si>
    <t>BYE ME FUI</t>
  </si>
  <si>
    <t>Vete</t>
  </si>
  <si>
    <t>Like It Is</t>
  </si>
  <si>
    <t>Kygo, Zara Larsson, Tyga</t>
  </si>
  <si>
    <t>My Oh My (feat. DaBaby)</t>
  </si>
  <si>
    <t>Let Me Down Slowly</t>
  </si>
  <si>
    <t>Alec Benjamin</t>
  </si>
  <si>
    <t>BELIEVE IT</t>
  </si>
  <si>
    <t>PARTYNEXTDOOR, Rihanna</t>
  </si>
  <si>
    <t>Boot</t>
  </si>
  <si>
    <t>Riot</t>
  </si>
  <si>
    <t>VALLA NEIN (feat. Luciano)</t>
  </si>
  <si>
    <t>KC Rebell, Summer Cem</t>
  </si>
  <si>
    <t>I’m Ready (with Demi Lovato)</t>
  </si>
  <si>
    <t>This Is America</t>
  </si>
  <si>
    <t>Childish Gambino</t>
  </si>
  <si>
    <t>Fantasias</t>
  </si>
  <si>
    <t>Rauw Alejandro, Farruko</t>
  </si>
  <si>
    <t>BAD CON NICKY</t>
  </si>
  <si>
    <t>Bad Bunny, Nicky Jam</t>
  </si>
  <si>
    <t>If I Can't Have You</t>
  </si>
  <si>
    <t>What A Man Gotta Do</t>
  </si>
  <si>
    <t>Callaita</t>
  </si>
  <si>
    <t>Bad Bunny, Tainy</t>
  </si>
  <si>
    <t>Solitaires (feat. Travis Scott)</t>
  </si>
  <si>
    <t>XO Tour Llif3</t>
  </si>
  <si>
    <t>changes</t>
  </si>
  <si>
    <t>Suicidal (Remix) [feat. Juice WRLD]</t>
  </si>
  <si>
    <t>YNW Melly</t>
  </si>
  <si>
    <t>Level of Concern</t>
  </si>
  <si>
    <t>Alice</t>
  </si>
  <si>
    <t>Free Woman</t>
  </si>
  <si>
    <t>Fun Tonight</t>
  </si>
  <si>
    <t>Sine From Above (with Elton John)</t>
  </si>
  <si>
    <t>Enigma</t>
  </si>
  <si>
    <t>Replay</t>
  </si>
  <si>
    <t>Plastic Doll</t>
  </si>
  <si>
    <t>Chromatica II</t>
  </si>
  <si>
    <t>Babylon</t>
  </si>
  <si>
    <t>Chromatica I</t>
  </si>
  <si>
    <t>1000 Doves</t>
  </si>
  <si>
    <t>Broken Glass</t>
  </si>
  <si>
    <t>Kygo, Kim Petras</t>
  </si>
  <si>
    <t>In meinem Benz</t>
  </si>
  <si>
    <t>AK AUSSERKONTROLLE, Bonez MC</t>
  </si>
  <si>
    <t>FLY</t>
  </si>
  <si>
    <t>SKRR</t>
  </si>
  <si>
    <t>KALIM, Ufo361</t>
  </si>
  <si>
    <t>T.D (Lil Yachty &amp; Tierra Whack feat. A$AP Rocky &amp; Tyler, The Creator)</t>
  </si>
  <si>
    <t>Lil Yachty</t>
  </si>
  <si>
    <t>Oprah's Bank Account (Lil Yachty &amp; DaBaby feat. Drake)</t>
  </si>
  <si>
    <t>Roadrunner</t>
  </si>
  <si>
    <t>Freedom</t>
  </si>
  <si>
    <t>Kygo, Zak Abel</t>
  </si>
  <si>
    <t>Fame</t>
  </si>
  <si>
    <t>Daechwita</t>
  </si>
  <si>
    <t>Agust D</t>
  </si>
  <si>
    <t>k-rap</t>
  </si>
  <si>
    <t>COOLER THAN A BITCH (feat. Roddy Ricch)</t>
  </si>
  <si>
    <t>In Your Eyes (with Doja Cat) - Remix</t>
  </si>
  <si>
    <t>WUNNA</t>
  </si>
  <si>
    <t>Komm Komm</t>
  </si>
  <si>
    <t>Capital Bra</t>
  </si>
  <si>
    <t>TOP FLOOR (feat. Travis Scott)</t>
  </si>
  <si>
    <t>Goodbyes (Feat. Young Thug)</t>
  </si>
  <si>
    <t>CANCIÓN CON YANDEL</t>
  </si>
  <si>
    <t>Yandel, Bad Bunny</t>
  </si>
  <si>
    <t>X (with KAROL G)</t>
  </si>
  <si>
    <t>MÁS DE UNA CITA</t>
  </si>
  <si>
    <t>Bad Bunny, Zion &amp; Lennox</t>
  </si>
  <si>
    <t>Together</t>
  </si>
  <si>
    <t>eight(Prod.&amp;Feat. SUGA of BTS)</t>
  </si>
  <si>
    <t>IU</t>
  </si>
  <si>
    <t>You should be sad</t>
  </si>
  <si>
    <t>CITY OF ANGELS</t>
  </si>
  <si>
    <t>Astronomia</t>
  </si>
  <si>
    <t>Vicetone, Tony Igy</t>
  </si>
  <si>
    <t>After Hours</t>
  </si>
  <si>
    <t>BUTTERFLY EFFECT</t>
  </si>
  <si>
    <t>Never Seen the Rain</t>
  </si>
  <si>
    <t>Sigues Con El - Remix</t>
  </si>
  <si>
    <t>Arcangel, Sech, Romeo Santos</t>
  </si>
  <si>
    <t>ANGELS &amp; DEMONS</t>
  </si>
  <si>
    <t>jxdn</t>
  </si>
  <si>
    <t>Confía</t>
  </si>
  <si>
    <t>Sech, Daddy Yankee</t>
  </si>
  <si>
    <t>Muévelo</t>
  </si>
  <si>
    <t>Nicky Jam, Daddy Yankee</t>
  </si>
  <si>
    <t>All Bad (feat. Lil Uzi Vert)</t>
  </si>
  <si>
    <t>Pain 1993 (with Playboi Carti)</t>
  </si>
  <si>
    <t>Trillionaire (feat. Youngboy Never Broke Again)</t>
  </si>
  <si>
    <t>Go Stupid</t>
  </si>
  <si>
    <t>Polo G, Stunna 4 Vegas, NLE Choppa, Mike WiLL Made-It</t>
  </si>
  <si>
    <t>A Gente Fez Amor - Ao Vivo</t>
  </si>
  <si>
    <t>Racks 2 Skinny</t>
  </si>
  <si>
    <t>Be Something (feat. Lil Baby)</t>
  </si>
  <si>
    <t>BENDICIONES</t>
  </si>
  <si>
    <t>PTSD</t>
  </si>
  <si>
    <t>G Herbo, Juice WRLD, Lil Uzi Vert, Chance the Rapper</t>
  </si>
  <si>
    <t>chicago drill</t>
  </si>
  <si>
    <t>Excitement</t>
  </si>
  <si>
    <t>Trippie Redd, PARTYNEXTDOOR</t>
  </si>
  <si>
    <t>Can We Kiss Forever?</t>
  </si>
  <si>
    <t>Kina, Adriana Proenza</t>
  </si>
  <si>
    <t>SI ELLA SALE</t>
  </si>
  <si>
    <t>RONCA FREESTYLE</t>
  </si>
  <si>
    <t>Zoo York (feat. Fivio Foreign &amp; Pop Smoke)</t>
  </si>
  <si>
    <t>EN CASITA</t>
  </si>
  <si>
    <t>Bad Bunny, Gabriela</t>
  </si>
  <si>
    <t>Qué Maldición</t>
  </si>
  <si>
    <t>Banda MS de Sergio Lizárraga, Snoop Dogg</t>
  </si>
  <si>
    <t>banda</t>
  </si>
  <si>
    <t>Nicht verdient</t>
  </si>
  <si>
    <t>Capital Bra, Loredana</t>
  </si>
  <si>
    <t>A Tu Merced</t>
  </si>
  <si>
    <t>Demons (feat. Fivio Foreign &amp; Sosa Geek)</t>
  </si>
  <si>
    <t>Moral of the Story</t>
  </si>
  <si>
    <t>Ashe</t>
  </si>
  <si>
    <t>Can I</t>
  </si>
  <si>
    <t>Kehlani</t>
  </si>
  <si>
    <t>STARGAZING</t>
  </si>
  <si>
    <t>Eastside (with Halsey &amp; Khalid)</t>
  </si>
  <si>
    <t>Suicidal</t>
  </si>
  <si>
    <t>How Do You Sleep?</t>
  </si>
  <si>
    <t>No Time To Die</t>
  </si>
  <si>
    <t>D4L</t>
  </si>
  <si>
    <t>Future, Drake, Young Thug</t>
  </si>
  <si>
    <t>Time Flies</t>
  </si>
  <si>
    <t>Desires (with Future)</t>
  </si>
  <si>
    <t>Not You Too (feat. Chris Brown)</t>
  </si>
  <si>
    <t>Landed</t>
  </si>
  <si>
    <t>When To Say When</t>
  </si>
  <si>
    <t>Deep Pockets</t>
  </si>
  <si>
    <t>War</t>
  </si>
  <si>
    <t>From Florida With Love</t>
  </si>
  <si>
    <t>Losses</t>
  </si>
  <si>
    <t>Turks (feat. Travis Scott)</t>
  </si>
  <si>
    <t>NAV, Gunna</t>
  </si>
  <si>
    <t>Boyfriend</t>
  </si>
  <si>
    <t>What If I Told You That I Love You</t>
  </si>
  <si>
    <t>Emotions</t>
  </si>
  <si>
    <t>Ufo361</t>
  </si>
  <si>
    <t>FIND MY WAY</t>
  </si>
  <si>
    <t>Keii</t>
  </si>
  <si>
    <t>God's Plan</t>
  </si>
  <si>
    <t>Por Primera Vez</t>
  </si>
  <si>
    <t>@ MEH</t>
  </si>
  <si>
    <t>Broke In A Minute</t>
  </si>
  <si>
    <t>Tory Lanez</t>
  </si>
  <si>
    <t>Fantasias - Remix</t>
  </si>
  <si>
    <t>Rauw Alejandro, Anuel AA, Natti Natasha, Farruko, Lunay</t>
  </si>
  <si>
    <t>SUGAR</t>
  </si>
  <si>
    <t>BROCKHAMPTON</t>
  </si>
  <si>
    <t>90-60-111</t>
  </si>
  <si>
    <t>YOSEMITE</t>
  </si>
  <si>
    <t>Houdini (feat. Swarmz &amp; Tion Wayne)</t>
  </si>
  <si>
    <t>Sasuke</t>
  </si>
  <si>
    <t>Me Gusta</t>
  </si>
  <si>
    <t>Shakira, Anuel AA</t>
  </si>
  <si>
    <t>If You’re Too Shy (Let Me Know) - Edit</t>
  </si>
  <si>
    <t>The 1975</t>
  </si>
  <si>
    <t>Alone, Pt. II</t>
  </si>
  <si>
    <t>Alan Walker, Ava Max</t>
  </si>
  <si>
    <t>Tutu</t>
  </si>
  <si>
    <t>Camilo, Pedro Capó</t>
  </si>
  <si>
    <t>Hate Me (with Juice WRLD)</t>
  </si>
  <si>
    <t>Ellie Goulding</t>
  </si>
  <si>
    <t>Still Be Friends (feat. Tory Lanez &amp; Tyga)</t>
  </si>
  <si>
    <t>Blanco</t>
  </si>
  <si>
    <t>PICK UP (feat. Quavo)</t>
  </si>
  <si>
    <t>JUMP (feat. YoungBoy Never Broke Again)</t>
  </si>
  <si>
    <t>LIGHTSKIN SH*T (feat. Future &amp; jetsonmade)</t>
  </si>
  <si>
    <t>That Way - Bonus Track</t>
  </si>
  <si>
    <t>No Me Ame</t>
  </si>
  <si>
    <t>Rvssian, Anuel AA, Juice WRLD</t>
  </si>
  <si>
    <t>I'll Wait</t>
  </si>
  <si>
    <t>Kygo, Sasha Alex Sloan</t>
  </si>
  <si>
    <t>Oprah’s Bank Account (Lil Yachty &amp; DaBaby feat. Drake)</t>
  </si>
  <si>
    <t>BLAME IT ON BABY</t>
  </si>
  <si>
    <t>Follow</t>
  </si>
  <si>
    <t>KAROL G, Anuel AA</t>
  </si>
  <si>
    <t>3 Nights</t>
  </si>
  <si>
    <t>Dominic Fike</t>
  </si>
  <si>
    <t>alternative pop rock</t>
  </si>
  <si>
    <t>The Take (feat. Chris Brown)</t>
  </si>
  <si>
    <t>Stupid Again</t>
  </si>
  <si>
    <t>Shotz Fired</t>
  </si>
  <si>
    <t>BaeBae</t>
  </si>
  <si>
    <t>Samra</t>
  </si>
  <si>
    <t>To Die For</t>
  </si>
  <si>
    <t>WANNABE</t>
  </si>
  <si>
    <t>Takeaway</t>
  </si>
  <si>
    <t>The Chainsmokers, ILLENIUM, Lennon Stella</t>
  </si>
  <si>
    <t>Heart On Ice</t>
  </si>
  <si>
    <t>La Cama - Remix</t>
  </si>
  <si>
    <t>Lunay, Myke Towers, Ozuna, Chencho Corleone, Rauw Alejandro</t>
  </si>
  <si>
    <t>Go Stupid (feat. NLE Choppa &amp; Mike WiLL Made-It)</t>
  </si>
  <si>
    <t>Polo G, Stunna 4 Vegas</t>
  </si>
  <si>
    <t>Cradles</t>
  </si>
  <si>
    <t>Sub Urban</t>
  </si>
  <si>
    <t>modern indie pop</t>
  </si>
  <si>
    <t>Good as Hell (feat. Ariana Grande)</t>
  </si>
  <si>
    <t>Lizzo</t>
  </si>
  <si>
    <t>Forever (feat. Post Malone &amp; Clever)</t>
  </si>
  <si>
    <t>I Love Me</t>
  </si>
  <si>
    <t>Old Me</t>
  </si>
  <si>
    <t>Pero Ya No</t>
  </si>
  <si>
    <t>Hardest To Love</t>
  </si>
  <si>
    <t>BRABA</t>
  </si>
  <si>
    <t>Woah</t>
  </si>
  <si>
    <t>Pretty Please</t>
  </si>
  <si>
    <t>I.F.L.Y.</t>
  </si>
  <si>
    <t>Bazzi</t>
  </si>
  <si>
    <t>Cool</t>
  </si>
  <si>
    <t>Future Nostalgia</t>
  </si>
  <si>
    <t>Good In Bed</t>
  </si>
  <si>
    <t>Scared To Live</t>
  </si>
  <si>
    <t>Alone Again</t>
  </si>
  <si>
    <t>Boys Will Be Boys</t>
  </si>
  <si>
    <t>Auto Blu</t>
  </si>
  <si>
    <t>Shiva, Eiffel 65</t>
  </si>
  <si>
    <t>Du bist mein</t>
  </si>
  <si>
    <t>Zuna, Loredana, SRNO</t>
  </si>
  <si>
    <t>albanian hip hop</t>
  </si>
  <si>
    <t>Too Late</t>
  </si>
  <si>
    <t>Wildflower</t>
  </si>
  <si>
    <t>Faith</t>
  </si>
  <si>
    <t>Snowchild</t>
  </si>
  <si>
    <t>Escape From LA</t>
  </si>
  <si>
    <t>Allein sein</t>
  </si>
  <si>
    <t>Bichiyal</t>
  </si>
  <si>
    <t>Bad Bunny, Yaviah</t>
  </si>
  <si>
    <t>Medusa</t>
  </si>
  <si>
    <t>Jhay Cortez, Anuel AA, J Balvin</t>
  </si>
  <si>
    <t>Break Up Song</t>
  </si>
  <si>
    <t>Teeth</t>
  </si>
  <si>
    <t>Repeat After Me (Interlude)</t>
  </si>
  <si>
    <t>Until I Bleed Out</t>
  </si>
  <si>
    <t>Rosa</t>
  </si>
  <si>
    <t>Gris</t>
  </si>
  <si>
    <t>Negro</t>
  </si>
  <si>
    <t>Verde</t>
  </si>
  <si>
    <t>J Balvin, Sky Rompiendo</t>
  </si>
  <si>
    <t>Baby Pluto</t>
  </si>
  <si>
    <t>Lo Mein</t>
  </si>
  <si>
    <t>No Judgement</t>
  </si>
  <si>
    <t>Niall Horan</t>
  </si>
  <si>
    <t>Futsal Shuffle 2020 - Bonus Track</t>
  </si>
  <si>
    <t>Arcoíris</t>
  </si>
  <si>
    <t>J Balvin, Mr Eazi</t>
  </si>
  <si>
    <t>TOES (feat. Lil Baby &amp; Moneybagg Yo)</t>
  </si>
  <si>
    <t>Feel Me</t>
  </si>
  <si>
    <t>H &lt;3 T E L</t>
  </si>
  <si>
    <t>Dardan, Monet192</t>
  </si>
  <si>
    <t>25/8</t>
  </si>
  <si>
    <t>Se Me Olvidó</t>
  </si>
  <si>
    <t>Christian Nodal</t>
  </si>
  <si>
    <t>B.S. (feat. H.E.R.)</t>
  </si>
  <si>
    <t>Jhené Aiko</t>
  </si>
  <si>
    <t>Soliá</t>
  </si>
  <si>
    <t>Está Cabrón Ser Yo</t>
  </si>
  <si>
    <t>Bad Bunny, Anuel AA</t>
  </si>
  <si>
    <t>Bean (Kobe) [feat. Chief Keef]</t>
  </si>
  <si>
    <t>Yessirskiii</t>
  </si>
  <si>
    <t>Lil Uzi Vert, 21 Savage</t>
  </si>
  <si>
    <t>Cardigan</t>
  </si>
  <si>
    <t>Silly Watch</t>
  </si>
  <si>
    <t>Hablamos Mañana</t>
  </si>
  <si>
    <t>Bad Bunny, Duki, Pablo Chill-E</t>
  </si>
  <si>
    <t>Lotus</t>
  </si>
  <si>
    <t>Lettre à une femme</t>
  </si>
  <si>
    <t>Ninho</t>
  </si>
  <si>
    <t>Que Malo</t>
  </si>
  <si>
    <t>Bad Bunny, Ñengo Flow</t>
  </si>
  <si>
    <t>Leaders (feat. NAV)</t>
  </si>
  <si>
    <t>Strawberry Peels (feat. Young Thug &amp; Gunna)</t>
  </si>
  <si>
    <t>La Zona</t>
  </si>
  <si>
    <t>Wassup (feat. Future)</t>
  </si>
  <si>
    <t>Una Vez</t>
  </si>
  <si>
    <t>Bad Bunny, Mora</t>
  </si>
  <si>
    <t>Moon Relate</t>
  </si>
  <si>
    <t>Black And White</t>
  </si>
  <si>
    <t>The Other Side (from Trolls World Tour)</t>
  </si>
  <si>
    <t>SZA, Justin Timberlake</t>
  </si>
  <si>
    <t>Whine Up</t>
  </si>
  <si>
    <t>Nicky Jam, Anuel AA</t>
  </si>
  <si>
    <t>Ayy Macarena</t>
  </si>
  <si>
    <t>Trap This Way (This Way)</t>
  </si>
  <si>
    <t>Who (feat. BTS)</t>
  </si>
  <si>
    <t>Homecoming</t>
  </si>
  <si>
    <t>Got The Guap (feat. Young Thug)</t>
  </si>
  <si>
    <t>Prices</t>
  </si>
  <si>
    <t>I Can Show You</t>
  </si>
  <si>
    <t>I'm Sorry</t>
  </si>
  <si>
    <t>Black Swan</t>
  </si>
  <si>
    <t>Bad Child</t>
  </si>
  <si>
    <t>Adicto (with Anuel AA &amp; Ozuna)</t>
  </si>
  <si>
    <t>&lt;3</t>
  </si>
  <si>
    <t>Bad Girls, Good Vibes</t>
  </si>
  <si>
    <t>Liberdade Provisória - Ao Vivo</t>
  </si>
  <si>
    <t>Henrique &amp; Juliano</t>
  </si>
  <si>
    <t>POP</t>
  </si>
  <si>
    <t>Celebration Station</t>
  </si>
  <si>
    <t>Bigger Than Life</t>
  </si>
  <si>
    <t>Venetia</t>
  </si>
  <si>
    <t>You Better Move</t>
  </si>
  <si>
    <t>Chrome Heart Tags</t>
  </si>
  <si>
    <t>Bust Me</t>
  </si>
  <si>
    <t>René</t>
  </si>
  <si>
    <t>Residente</t>
  </si>
  <si>
    <t>venezuelan hip hop</t>
  </si>
  <si>
    <t>Secure The Bag</t>
  </si>
  <si>
    <t>Urgency (feat. Syd)</t>
  </si>
  <si>
    <t>ON (Feat. Sia)</t>
  </si>
  <si>
    <t>P FKN R</t>
  </si>
  <si>
    <t>Bad Bunny, Kendo Kaponi, Arcangel</t>
  </si>
  <si>
    <t>Modern Loneliness</t>
  </si>
  <si>
    <t>Heatin Up (feat. Gunna)</t>
  </si>
  <si>
    <t>SKYBOX</t>
  </si>
  <si>
    <t>Young &amp; Alive</t>
  </si>
  <si>
    <t>i'm so tired...</t>
  </si>
  <si>
    <t>Lauv, Troye Sivan</t>
  </si>
  <si>
    <t>Numbers (feat. Roddy Ricch, Gunna and London On Da Track)</t>
  </si>
  <si>
    <t>Girl</t>
  </si>
  <si>
    <t>Puesto Pa' Guerrial</t>
  </si>
  <si>
    <t>Bad Bunny, Myke Towers</t>
  </si>
  <si>
    <t>Definitivamente</t>
  </si>
  <si>
    <t>Daddy Yankee, Sech</t>
  </si>
  <si>
    <t>South of the Border (feat. Camila Cabello &amp; Cardi B)</t>
  </si>
  <si>
    <t>I Fall Apart</t>
  </si>
  <si>
    <t>fuck, i'm lonely (with Anne-Marie)</t>
  </si>
  <si>
    <t>Aventura</t>
  </si>
  <si>
    <t>Lunay, Ozuna, Anuel AA</t>
  </si>
  <si>
    <t>Rare</t>
  </si>
  <si>
    <t>VIBEZ</t>
  </si>
  <si>
    <t>Mean It</t>
  </si>
  <si>
    <t>Lauv, LANY</t>
  </si>
  <si>
    <t>That Way</t>
  </si>
  <si>
    <t>Live Off My Closet (feat. Future)</t>
  </si>
  <si>
    <t>Commercial (feat. Lil Uzi Vert)</t>
  </si>
  <si>
    <t>Sum 2 Prove</t>
  </si>
  <si>
    <t>Filter</t>
  </si>
  <si>
    <t>Matrix</t>
  </si>
  <si>
    <t>Bellaquita - Remix</t>
  </si>
  <si>
    <t>Dalex, Lenny Tavárez, Anitta, Natti Natasha, Farruko, Justin Quiles</t>
  </si>
  <si>
    <t>Infeliz</t>
  </si>
  <si>
    <t>Arcangel, Bad Bunny</t>
  </si>
  <si>
    <t>Que Tire Pa Lante</t>
  </si>
  <si>
    <t>Futsal Shuffle 2020</t>
  </si>
  <si>
    <t>GOODMORNINGTOKYO!</t>
  </si>
  <si>
    <t>TOKYO’S REVENGE</t>
  </si>
  <si>
    <t>meme rap</t>
  </si>
  <si>
    <t>Own It (feat. Ed Sheeran &amp; Burna Boy)</t>
  </si>
  <si>
    <t>Stormzy</t>
  </si>
  <si>
    <t>grime</t>
  </si>
  <si>
    <t>Life Is Good (feat. Drake, DaBaby &amp; Lil Baby) - Remix</t>
  </si>
  <si>
    <t>My Time</t>
  </si>
  <si>
    <t>100k Cash</t>
  </si>
  <si>
    <t>Capital Bra, Samra</t>
  </si>
  <si>
    <t>Drown (feat. Clinton Kane)</t>
  </si>
  <si>
    <t>me &amp; ur ghost</t>
  </si>
  <si>
    <t>QUE PRETENDES</t>
  </si>
  <si>
    <t>You Need To Calm Down</t>
  </si>
  <si>
    <t>Quizas</t>
  </si>
  <si>
    <t>Rich Music LTD, Sech, Dalex, Justin Quiles, Lenny Tavárez, Feid, Wisin, Zion</t>
  </si>
  <si>
    <t>Soltera - Remix</t>
  </si>
  <si>
    <t>Lunay, Daddy Yankee, Bad Bunny</t>
  </si>
  <si>
    <t>Trampoline (with ZAYN)</t>
  </si>
  <si>
    <t>SHAED</t>
  </si>
  <si>
    <t>Truth Hurts</t>
  </si>
  <si>
    <t>bury a friend</t>
  </si>
  <si>
    <t>Louder than bombs</t>
  </si>
  <si>
    <t>UGH!</t>
  </si>
  <si>
    <t>00:00 (Zero O’Clock)</t>
  </si>
  <si>
    <t>Friends</t>
  </si>
  <si>
    <t>We are Bulletproof : the Eternal</t>
  </si>
  <si>
    <t>Inner Child</t>
  </si>
  <si>
    <t>Moon</t>
  </si>
  <si>
    <t>Outro : Ego</t>
  </si>
  <si>
    <t>Interlude : Shadow</t>
  </si>
  <si>
    <t>Respect</t>
  </si>
  <si>
    <t>Tudo Ok</t>
  </si>
  <si>
    <t>Thiaguinho MT, Mila, JS o Mão de Ouro</t>
  </si>
  <si>
    <t>brega funk</t>
  </si>
  <si>
    <t>Perreo en La Luna</t>
  </si>
  <si>
    <t>Rich Music LTD, Sech, Dalex, Justin Quiles, Lenny Tavárez, Feid</t>
  </si>
  <si>
    <t>Lose Yourself - From "8 Mile" Soundtrack</t>
  </si>
  <si>
    <t>all the good girls go to hell</t>
  </si>
  <si>
    <t>SENTADÃO</t>
  </si>
  <si>
    <t>PEDRO SAMPAIO, Felipe Original, JS o Mão de Ouro</t>
  </si>
  <si>
    <t>Lottery (Renegade)</t>
  </si>
  <si>
    <t>K CAMP</t>
  </si>
  <si>
    <t>Si Te Vas</t>
  </si>
  <si>
    <t>Sech, Ozuna</t>
  </si>
  <si>
    <t>Que Calor (with J Balvin &amp; El Alfa)</t>
  </si>
  <si>
    <t>Major Lazer, Diplo</t>
  </si>
  <si>
    <t>Rich Rich</t>
  </si>
  <si>
    <t>Indeciso</t>
  </si>
  <si>
    <t>Reik, J Balvin, Lalo Ebratt</t>
  </si>
  <si>
    <t>i love you</t>
  </si>
  <si>
    <t>Mejor</t>
  </si>
  <si>
    <t>Dalex, Sech</t>
  </si>
  <si>
    <t>Give No Fxk</t>
  </si>
  <si>
    <t>Migos, Travis Scott, Young Thug</t>
  </si>
  <si>
    <t>Come Around Me</t>
  </si>
  <si>
    <t>Habitual</t>
  </si>
  <si>
    <t>All Around Me</t>
  </si>
  <si>
    <t>Get Me (feat. Kehlani)</t>
  </si>
  <si>
    <t>Second Emotion (feat. Travis Scott)</t>
  </si>
  <si>
    <t>Running Over (feat. Lil Dicky)</t>
  </si>
  <si>
    <t>Available</t>
  </si>
  <si>
    <t>Breathe Deeper</t>
  </si>
  <si>
    <t>Changes</t>
  </si>
  <si>
    <t>Confirmation</t>
  </si>
  <si>
    <t>Mios mit Bars</t>
  </si>
  <si>
    <t>E.T.A.</t>
  </si>
  <si>
    <t>Borderline</t>
  </si>
  <si>
    <t>Take It Out On Me</t>
  </si>
  <si>
    <t>No Shame</t>
  </si>
  <si>
    <t>Might Not Give Up (feat. Young Thug)</t>
  </si>
  <si>
    <t>That's What Love Is</t>
  </si>
  <si>
    <t>Forever Yours - Avicii Tribute</t>
  </si>
  <si>
    <t>Kygo, Sandro Cavazza</t>
  </si>
  <si>
    <t>Baby</t>
  </si>
  <si>
    <t>Joker Bra, VIZE</t>
  </si>
  <si>
    <t>One More Year</t>
  </si>
  <si>
    <t>Good News</t>
  </si>
  <si>
    <t>Mac Miller</t>
  </si>
  <si>
    <t>wish you were gay</t>
  </si>
  <si>
    <t>Only The Young - Featured in Miss Americana</t>
  </si>
  <si>
    <t>Lost In Yesterday</t>
  </si>
  <si>
    <t>At Least For Now</t>
  </si>
  <si>
    <t>you should see me in a crown</t>
  </si>
  <si>
    <t>Too Good At Goodbyes</t>
  </si>
  <si>
    <t>Intentions</t>
  </si>
  <si>
    <t>Justin Bieber, Quavo</t>
  </si>
  <si>
    <t>Yikes</t>
  </si>
  <si>
    <t>Yellow Hearts</t>
  </si>
  <si>
    <t>Ant Saunders</t>
  </si>
  <si>
    <t>Birthday</t>
  </si>
  <si>
    <t>Anne-Marie</t>
  </si>
  <si>
    <t>HIGHEST IN THE ROOM (feat. ROSALÍA &amp; Lil Baby) - REMIX</t>
  </si>
  <si>
    <t>Good as Hell (feat. Ariana Grande) - Remix</t>
  </si>
  <si>
    <t>I Do It (ft. Big Sean, Lil Baby)</t>
  </si>
  <si>
    <t>Lil Wayne</t>
  </si>
  <si>
    <t>Get Me</t>
  </si>
  <si>
    <t>Justin Bieber, Kehlani</t>
  </si>
  <si>
    <t>Yo x Ti, Tu x Mi</t>
  </si>
  <si>
    <t>ROSALÍA, Ozuna</t>
  </si>
  <si>
    <t>DJ No Pare (feat. Zion, Dalex, Lenny Tavárez) - Remix</t>
  </si>
  <si>
    <t>Justin Quiles, Natti Natasha, Farruko</t>
  </si>
  <si>
    <t>EARFQUAKE</t>
  </si>
  <si>
    <t>Pa' Olvidarme De Ella</t>
  </si>
  <si>
    <t>Piso 21, Christian Nodal</t>
  </si>
  <si>
    <t>Loco Contigo (feat. J. Balvin &amp; Tyga)</t>
  </si>
  <si>
    <t>DJ Snake, J Balvin</t>
  </si>
  <si>
    <t>Psycho</t>
  </si>
  <si>
    <t>Red Velvet</t>
  </si>
  <si>
    <t>Suge</t>
  </si>
  <si>
    <t>Con Altura</t>
  </si>
  <si>
    <t>ROSALÍA, J Balvin, El Guincho</t>
  </si>
  <si>
    <t>Only Human</t>
  </si>
  <si>
    <t>Eleven</t>
  </si>
  <si>
    <t>Talk (feat. Disclosure)</t>
  </si>
  <si>
    <t>Hot (Remix) [feat. Gunna and Travis Scott]</t>
  </si>
  <si>
    <t>Travis Scott, Young Thug</t>
  </si>
  <si>
    <t>Weiss</t>
  </si>
  <si>
    <t>Con Calma</t>
  </si>
  <si>
    <t>Daddy Yankee, Snow</t>
  </si>
  <si>
    <t>MIDDLE CHILD</t>
  </si>
  <si>
    <t>Otro Trago - Remix</t>
  </si>
  <si>
    <t>Sech, Ozuna, Anuel AA, Darell, Nicky Jam</t>
  </si>
  <si>
    <t>FML</t>
  </si>
  <si>
    <t>King Of My City</t>
  </si>
  <si>
    <t>Those Kinda Nights (feat. Ed Sheeran)</t>
  </si>
  <si>
    <t>Mon Ami</t>
  </si>
  <si>
    <t>Break My Stride</t>
  </si>
  <si>
    <t>Matthew Wilder</t>
  </si>
  <si>
    <t>new wave pop</t>
  </si>
  <si>
    <t>Kein Wort</t>
  </si>
  <si>
    <t>Juju, Loredana, Miksu / Macloud</t>
  </si>
  <si>
    <t>Graveyard</t>
  </si>
  <si>
    <t>Wake Up Call (feat. Trippie Redd)</t>
  </si>
  <si>
    <t>Turn Me On (feat. Vula)</t>
  </si>
  <si>
    <t>Riton, Oliver Heldens</t>
  </si>
  <si>
    <t>Hips Don't Lie (feat. Wyclef Jean)</t>
  </si>
  <si>
    <t>Shakira</t>
  </si>
  <si>
    <t>Liar</t>
  </si>
  <si>
    <t>Going Bad (feat. Drake)</t>
  </si>
  <si>
    <t>Meek Mill</t>
  </si>
  <si>
    <t>ME! (feat. Brendon Urie of Panic! At The Disco)</t>
  </si>
  <si>
    <t>Panini</t>
  </si>
  <si>
    <t>idontwannabeyouanymore</t>
  </si>
  <si>
    <t>The London (feat. J. Cole &amp; Travis Scott)</t>
  </si>
  <si>
    <t>J. Cole, Young Thug</t>
  </si>
  <si>
    <t>223's (feat. 9lokknine)</t>
  </si>
  <si>
    <t>Darkness</t>
  </si>
  <si>
    <t>You Gon’ Learn (feat. Royce Da 5'9" &amp; White Gold)</t>
  </si>
  <si>
    <t>Blue World</t>
  </si>
  <si>
    <t>Liberdade Provisória</t>
  </si>
  <si>
    <t>Unaccommodating (feat. Young M.A)</t>
  </si>
  <si>
    <t>Donuts</t>
  </si>
  <si>
    <t>Gzuz</t>
  </si>
  <si>
    <t>deep german hip hop</t>
  </si>
  <si>
    <t>Leaving Heaven (feat. Skylar Grey)</t>
  </si>
  <si>
    <t>Zu Ende</t>
  </si>
  <si>
    <t>Samra, ELIF</t>
  </si>
  <si>
    <t>B.I.T.C.H.</t>
  </si>
  <si>
    <t>Look At Her Now</t>
  </si>
  <si>
    <t>Bi Sonraki Hayatımda Gel</t>
  </si>
  <si>
    <t>Murda, Ezhel</t>
  </si>
  <si>
    <t>Legends</t>
  </si>
  <si>
    <t>11 PM</t>
  </si>
  <si>
    <t>Post Malone (feat. RANI)</t>
  </si>
  <si>
    <t>Sam Feldt</t>
  </si>
  <si>
    <t>In Too Deep</t>
  </si>
  <si>
    <t>Premonition - Intro</t>
  </si>
  <si>
    <t>I Can See</t>
  </si>
  <si>
    <t>Hand Me Downs</t>
  </si>
  <si>
    <t>No Regrets (feat. Don Toliver)</t>
  </si>
  <si>
    <t>Complicated</t>
  </si>
  <si>
    <t>Lock It Up (feat. Anderson .Paak)</t>
  </si>
  <si>
    <t>Marsh</t>
  </si>
  <si>
    <t>Stepdad</t>
  </si>
  <si>
    <t>Yah Yah (feat. Royce Da 5'9", Black Thought, Q-Tip &amp; Denaun)</t>
  </si>
  <si>
    <t>Never Love Again</t>
  </si>
  <si>
    <t>Woods</t>
  </si>
  <si>
    <t>Farewell</t>
  </si>
  <si>
    <t>Everybody</t>
  </si>
  <si>
    <t>Alfred - Interlude</t>
  </si>
  <si>
    <t>Little Engine</t>
  </si>
  <si>
    <t>I Will (feat. KXNG Crooked, Royce Da 5'9" &amp; Joell Ortiz)</t>
  </si>
  <si>
    <t>Still Learning</t>
  </si>
  <si>
    <t>Surf</t>
  </si>
  <si>
    <t>That's On Me</t>
  </si>
  <si>
    <t>Once A Day</t>
  </si>
  <si>
    <t>Big Drip</t>
  </si>
  <si>
    <t>Ufo361, Future</t>
  </si>
  <si>
    <t>Hands</t>
  </si>
  <si>
    <t>Dans l'espace (feat. Heuss l'Enfoiré)</t>
  </si>
  <si>
    <t>Gambi</t>
  </si>
  <si>
    <t>Blanche</t>
  </si>
  <si>
    <t>Maes, Booba</t>
  </si>
  <si>
    <t>Vulnerable</t>
  </si>
  <si>
    <t>Dance Again</t>
  </si>
  <si>
    <t>Ring</t>
  </si>
  <si>
    <t>Crowded Room (feat. 6LACK)</t>
  </si>
  <si>
    <t>People You Know</t>
  </si>
  <si>
    <t>Up All Night</t>
  </si>
  <si>
    <t>Nice To Meet Ya</t>
  </si>
  <si>
    <t>Into the Unknown</t>
  </si>
  <si>
    <t>Idina Menzel, AURORA</t>
  </si>
  <si>
    <t>Let Me Get Me</t>
  </si>
  <si>
    <t>A Sweeter Place (feat. Kid Cudi)</t>
  </si>
  <si>
    <t>Stuck In A Dream (feat. Gunna)</t>
  </si>
  <si>
    <t>Take What You Want (feat. Ozzy Osbourne &amp; Travis Scott)</t>
  </si>
  <si>
    <t>Tip Toe (feat. A Boogie Wit da Hoodie)</t>
  </si>
  <si>
    <t>Start Wit Me (feat. Gunna)</t>
  </si>
  <si>
    <t>Diamonds (with Normani)</t>
  </si>
  <si>
    <t>Don't Call Me Up</t>
  </si>
  <si>
    <t>Mabel</t>
  </si>
  <si>
    <t>Death</t>
  </si>
  <si>
    <t>Trippie Redd, DaBaby</t>
  </si>
  <si>
    <t>Calma - Remix</t>
  </si>
  <si>
    <t>Pedro Capó, Farruko</t>
  </si>
  <si>
    <t>Cut You Off</t>
  </si>
  <si>
    <t>Kinda Crazy</t>
  </si>
  <si>
    <t>2002</t>
  </si>
  <si>
    <t>Taki Taki (feat. Selena Gomez, Ozuna &amp; Cardi B)</t>
  </si>
  <si>
    <t>Family</t>
  </si>
  <si>
    <t>The Chainsmokers, Kygo</t>
  </si>
  <si>
    <t>GANG GANG</t>
  </si>
  <si>
    <t>JACKBOYS, Sheck Wes</t>
  </si>
  <si>
    <t>Had Enough (feat. Quavo &amp; Offset)</t>
  </si>
  <si>
    <t>WHAT TO DO? (feat. Don Toliver)</t>
  </si>
  <si>
    <t>Writing on the Wall (feat. Post Malone, Cardi B &amp; Rvssian)</t>
  </si>
  <si>
    <t>French Montana</t>
  </si>
  <si>
    <t>gangster rap</t>
  </si>
  <si>
    <t>VALENTINO</t>
  </si>
  <si>
    <t>fuck, i'm lonely (with Anne-Marie) - from “13 Reasons Why: Season 3”</t>
  </si>
  <si>
    <t>Roller</t>
  </si>
  <si>
    <t>Never Really Over</t>
  </si>
  <si>
    <t>One Kiss (with Dua Lipa)</t>
  </si>
  <si>
    <t>Fantasía</t>
  </si>
  <si>
    <t>Trampoline</t>
  </si>
  <si>
    <t>SHAED, ZAYN</t>
  </si>
  <si>
    <t>GATTI</t>
  </si>
  <si>
    <t>JACKBOYS, Pop Smoke, Travis Scott</t>
  </si>
  <si>
    <t>Candy</t>
  </si>
  <si>
    <t>JACKBOYS</t>
  </si>
  <si>
    <t>Combatchy (feat. MC Rebecca)</t>
  </si>
  <si>
    <t>Anitta, Lexa, Luísa Sonza</t>
  </si>
  <si>
    <t>Old Town Road</t>
  </si>
  <si>
    <t>Let Me Know (I Wonder Why Freestyle)</t>
  </si>
  <si>
    <t>Ne reviens pas</t>
  </si>
  <si>
    <t>Gradur, Heuss L'enfoiré</t>
  </si>
  <si>
    <t>New Rules</t>
  </si>
  <si>
    <t>Cheirosa - Ao Vivo</t>
  </si>
  <si>
    <t>Havana (feat. Young Thug)</t>
  </si>
  <si>
    <t>Surtada - Remix Brega Funk</t>
  </si>
  <si>
    <t>Dadá Boladão, Tati Zaqui, OIK</t>
  </si>
  <si>
    <t>Lover (Remix) [feat. Shawn Mendes]</t>
  </si>
  <si>
    <r>
      <rPr>
        <b/>
        <sz val="11"/>
        <color theme="1"/>
        <rFont val="Calibri"/>
        <family val="2"/>
        <scheme val="minor"/>
      </rPr>
      <t>Position la plus élevée dans les charts</t>
    </r>
    <r>
      <rPr>
        <sz val="11"/>
        <color theme="1"/>
        <rFont val="Calibri"/>
        <family val="2"/>
        <scheme val="minor"/>
      </rPr>
      <t xml:space="preserve"> : La position la plus élevée de la chanson dans le Top 200 Weekly Global Charts de Spotify en 2020 et 2021.
</t>
    </r>
    <r>
      <rPr>
        <b/>
        <sz val="11"/>
        <color theme="1"/>
        <rFont val="Calibri"/>
        <family val="2"/>
        <scheme val="minor"/>
      </rPr>
      <t>Nombre d'apparitions dans les charts</t>
    </r>
    <r>
      <rPr>
        <sz val="11"/>
        <color theme="1"/>
        <rFont val="Calibri"/>
        <family val="2"/>
        <scheme val="minor"/>
      </rPr>
      <t xml:space="preserve"> : Le nombre de fois où la chanson a figuré dans le Top 200 hebdomadaire mondial de Spotify en 2020 et 2021.
</t>
    </r>
    <r>
      <rPr>
        <b/>
        <sz val="11"/>
        <color theme="1"/>
        <rFont val="Calibri"/>
        <family val="2"/>
        <scheme val="minor"/>
      </rPr>
      <t>Semaine du plus haut classement</t>
    </r>
    <r>
      <rPr>
        <sz val="11"/>
        <color theme="1"/>
        <rFont val="Calibri"/>
        <family val="2"/>
        <scheme val="minor"/>
      </rPr>
      <t xml:space="preserve"> : La semaine où la chanson a eu la position la plus élevée dans le Spotify Top 200 Weekly Global Charts en 2020 &amp; 2021.
</t>
    </r>
    <r>
      <rPr>
        <b/>
        <sz val="11"/>
        <color theme="1"/>
        <rFont val="Calibri"/>
        <family val="2"/>
        <scheme val="minor"/>
      </rPr>
      <t xml:space="preserve">Chanson </t>
    </r>
    <r>
      <rPr>
        <sz val="11"/>
        <color theme="1"/>
        <rFont val="Calibri"/>
        <family val="2"/>
        <scheme val="minor"/>
      </rPr>
      <t xml:space="preserve">: Nom de la chanson qui a figuré dans le Top 200 du classement mondial hebdomadaire de Spotify en 2020 et 2021.
</t>
    </r>
    <r>
      <rPr>
        <b/>
        <sz val="11"/>
        <color theme="1"/>
        <rFont val="Calibri"/>
        <family val="2"/>
        <scheme val="minor"/>
      </rPr>
      <t>Ecoutes</t>
    </r>
    <r>
      <rPr>
        <sz val="11"/>
        <color theme="1"/>
        <rFont val="Calibri"/>
        <family val="2"/>
        <scheme val="minor"/>
      </rPr>
      <t xml:space="preserve"> : Le nombre approximatif de streams de la chanson.
</t>
    </r>
    <r>
      <rPr>
        <b/>
        <sz val="11"/>
        <color theme="1"/>
        <rFont val="Calibri"/>
        <family val="2"/>
        <scheme val="minor"/>
      </rPr>
      <t>Artiste</t>
    </r>
    <r>
      <rPr>
        <sz val="11"/>
        <color theme="1"/>
        <rFont val="Calibri"/>
        <family val="2"/>
        <scheme val="minor"/>
      </rPr>
      <t xml:space="preserve"> : L'artiste/les artistes principaux impliqués dans la création de la chanson.
</t>
    </r>
    <r>
      <rPr>
        <b/>
        <sz val="11"/>
        <color theme="1"/>
        <rFont val="Calibri"/>
        <family val="2"/>
        <scheme val="minor"/>
      </rPr>
      <t xml:space="preserve">Followers </t>
    </r>
    <r>
      <rPr>
        <sz val="11"/>
        <color theme="1"/>
        <rFont val="Calibri"/>
        <family val="2"/>
        <scheme val="minor"/>
      </rPr>
      <t xml:space="preserve">: Le nombre de followers de l'artiste principal sur Spotify.
</t>
    </r>
    <r>
      <rPr>
        <b/>
        <sz val="11"/>
        <color theme="1"/>
        <rFont val="Calibri"/>
        <family val="2"/>
        <scheme val="minor"/>
      </rPr>
      <t xml:space="preserve">Genre principal </t>
    </r>
    <r>
      <rPr>
        <sz val="11"/>
        <color theme="1"/>
        <rFont val="Calibri"/>
        <family val="2"/>
        <scheme val="minor"/>
      </rPr>
      <t xml:space="preserve">: Les genres auxquels la chanson appartient.
</t>
    </r>
    <r>
      <rPr>
        <b/>
        <sz val="11"/>
        <color theme="1"/>
        <rFont val="Calibri"/>
        <family val="2"/>
        <scheme val="minor"/>
      </rPr>
      <t>Date de sortie</t>
    </r>
    <r>
      <rPr>
        <sz val="11"/>
        <color theme="1"/>
        <rFont val="Calibri"/>
        <family val="2"/>
        <scheme val="minor"/>
      </rPr>
      <t xml:space="preserve"> : La date initiale de sortie de la chanson.
</t>
    </r>
    <r>
      <rPr>
        <b/>
        <sz val="11"/>
        <color theme="1"/>
        <rFont val="Calibri"/>
        <family val="2"/>
        <scheme val="minor"/>
      </rPr>
      <t>Popularité</t>
    </r>
    <r>
      <rPr>
        <sz val="11"/>
        <color theme="1"/>
        <rFont val="Calibri"/>
        <family val="2"/>
        <scheme val="minor"/>
      </rPr>
      <t xml:space="preserve"> : La popularité du titre. La valeur sera comprise entre 0 et 100, 100 étant la valeur la plus populaire.
</t>
    </r>
    <r>
      <rPr>
        <b/>
        <sz val="11"/>
        <color theme="1"/>
        <rFont val="Calibri"/>
        <family val="2"/>
        <scheme val="minor"/>
      </rPr>
      <t>Dansabilité</t>
    </r>
    <r>
      <rPr>
        <sz val="11"/>
        <color theme="1"/>
        <rFont val="Calibri"/>
        <family val="2"/>
        <scheme val="minor"/>
      </rPr>
      <t xml:space="preserve"> : La Danceability décrit dans quelle mesure un titre est adapté à la danse en se basant sur une combinaison d'éléments musicaux, notamment le tempo, la stabilité du rythme, la force du battement et la régularité générale. Une valeur de 0,0 est la moins dansante et 1,0 est la plus dansante.
</t>
    </r>
    <r>
      <rPr>
        <b/>
        <sz val="11"/>
        <color theme="1"/>
        <rFont val="Calibri"/>
        <family val="2"/>
        <scheme val="minor"/>
      </rPr>
      <t xml:space="preserve">Acousticité </t>
    </r>
    <r>
      <rPr>
        <sz val="11"/>
        <color theme="1"/>
        <rFont val="Calibri"/>
        <family val="2"/>
        <scheme val="minor"/>
      </rPr>
      <t xml:space="preserve">: Une mesure de 0,0 à 1,0 indiquant si le morceau est acoustique.
</t>
    </r>
    <r>
      <rPr>
        <b/>
        <sz val="11"/>
        <color theme="1"/>
        <rFont val="Calibri"/>
        <family val="2"/>
        <scheme val="minor"/>
      </rPr>
      <t>Energie</t>
    </r>
    <r>
      <rPr>
        <sz val="11"/>
        <color theme="1"/>
        <rFont val="Calibri"/>
        <family val="2"/>
        <scheme val="minor"/>
      </rPr>
      <t xml:space="preserve"> : L'énergie est une mesure de 0,0 à 1,0 et représente une mesure perceptive de l'intensité et de l'activité. En général, les pistes énergiques sont rapides, fortes et bruyantes.
</t>
    </r>
    <r>
      <rPr>
        <b/>
        <sz val="11"/>
        <color theme="1"/>
        <rFont val="Calibri"/>
        <family val="2"/>
        <scheme val="minor"/>
      </rPr>
      <t>Concert</t>
    </r>
    <r>
      <rPr>
        <sz val="11"/>
        <color theme="1"/>
        <rFont val="Calibri"/>
        <family val="2"/>
        <scheme val="minor"/>
      </rPr>
      <t xml:space="preserve"> : Détecte la présence d'un public dans l'enregistrement. Des valeurs plus élevées représentent une probabilité accrue que la piste ait été jouée en direct.
</t>
    </r>
    <r>
      <rPr>
        <b/>
        <sz val="11"/>
        <color theme="1"/>
        <rFont val="Calibri"/>
        <family val="2"/>
        <scheme val="minor"/>
      </rPr>
      <t>Intensité</t>
    </r>
    <r>
      <rPr>
        <sz val="11"/>
        <color theme="1"/>
        <rFont val="Calibri"/>
        <family val="2"/>
        <scheme val="minor"/>
      </rPr>
      <t xml:space="preserve"> : L'intensité sonore globale d'une piste en décibels (dB). La moyenne des valeurs d'intensité sonore est calculée sur l'ensemble de la piste. Les valeurs sont généralement comprises entre -60 et 0 db.
</t>
    </r>
    <r>
      <rPr>
        <b/>
        <sz val="11"/>
        <color theme="1"/>
        <rFont val="Calibri"/>
        <family val="2"/>
        <scheme val="minor"/>
      </rPr>
      <t>Paroles</t>
    </r>
    <r>
      <rPr>
        <sz val="11"/>
        <color theme="1"/>
        <rFont val="Calibri"/>
        <family val="2"/>
        <scheme val="minor"/>
      </rPr>
      <t xml:space="preserve"> : La qualité vocale détecte la présence de mots parlés dans une piste. Plus l'enregistrement est exclusivement vocal (par exemple, talk-show, livre audio, poésie), plus la valeur de l'attribut est proche de 1,0.
</t>
    </r>
    <r>
      <rPr>
        <b/>
        <sz val="11"/>
        <color theme="1"/>
        <rFont val="Calibri"/>
        <family val="2"/>
        <scheme val="minor"/>
      </rPr>
      <t>Positivité</t>
    </r>
    <r>
      <rPr>
        <sz val="11"/>
        <color theme="1"/>
        <rFont val="Calibri"/>
        <family val="2"/>
        <scheme val="minor"/>
      </rPr>
      <t xml:space="preserve"> : Une mesure de 0,0 à 1,0 décrivant la positivité musicale véhiculée par une piste. Les pistes à haute valence ont un son plus positif (par exemple, heureux, gai, euphorique), tandis que les pistes à faible valence ont un son plus négatif (par exemple, triste, déprimé, en colère).</t>
    </r>
  </si>
  <si>
    <r>
      <rPr>
        <b/>
        <sz val="13"/>
        <color theme="1"/>
        <rFont val="Calibri"/>
        <family val="2"/>
        <scheme val="minor"/>
      </rPr>
      <t>Liste des questions à creuser</t>
    </r>
    <r>
      <rPr>
        <sz val="11"/>
        <color theme="1"/>
        <rFont val="Calibri"/>
        <family val="2"/>
        <scheme val="minor"/>
      </rPr>
      <t xml:space="preserve">
	- Sur quelle période a été fait l'extract ?
	- Qu'appelle-t-on écoutes ? Une écoute est comptabilisé si on écoute 100% de la chanson ? Au moins 50% ?
	- Le nombre de followers est à la date de l'export ou a la date de sortie de la chanson ? Ou autre ?
	- Comment est calculé la popularité ?
	- Comment fonctionne la note donnée aux critères de la musique ?
- Intensité : plus la valeur est haute et plus l'intensité est forte, c'est bien ça ?
- ...</t>
    </r>
  </si>
  <si>
    <t>Position la plus élevée dans les charts</t>
  </si>
  <si>
    <t>Nombre d'apparitions dans les charts</t>
  </si>
  <si>
    <t>Semaine du plus haut classement</t>
  </si>
  <si>
    <t>Chanson</t>
  </si>
  <si>
    <t>Ecoutes</t>
  </si>
  <si>
    <t>Artiste</t>
  </si>
  <si>
    <t>Followers</t>
  </si>
  <si>
    <t>Genre principal</t>
  </si>
  <si>
    <t>Date de sortie</t>
  </si>
  <si>
    <t>Popularité</t>
  </si>
  <si>
    <t>Dansabilité</t>
  </si>
  <si>
    <t>Energie</t>
  </si>
  <si>
    <t>Paroles</t>
  </si>
  <si>
    <t>Acousticité</t>
  </si>
  <si>
    <t>Concert</t>
  </si>
  <si>
    <t>Intensité</t>
  </si>
  <si>
    <t>Durée(ms)</t>
  </si>
  <si>
    <t>Toutes les colonnes à la fois</t>
  </si>
  <si>
    <t>Nombre d'échantillons</t>
  </si>
  <si>
    <t>Somme</t>
  </si>
  <si>
    <t>Maximum</t>
  </si>
  <si>
    <t>Minimum</t>
  </si>
  <si>
    <t>Plage</t>
  </si>
  <si>
    <t>Coefficient d'asymétrie</t>
  </si>
  <si>
    <t>Kurstosis (Coefficient d'aplatissement)</t>
  </si>
  <si>
    <t>Variance de l'échantillon</t>
  </si>
  <si>
    <t>Écart-type</t>
  </si>
  <si>
    <t>Mode</t>
  </si>
  <si>
    <t>Médiane</t>
  </si>
  <si>
    <t>Erreur-type</t>
  </si>
  <si>
    <t>Moyenne</t>
  </si>
  <si>
    <t>Statistique descriptive avec le toolkit</t>
  </si>
  <si>
    <t>coefficient d'asymétrie</t>
  </si>
  <si>
    <t>Etendue</t>
  </si>
  <si>
    <t>Kustosis</t>
  </si>
  <si>
    <t>pourcentage valeurs</t>
  </si>
  <si>
    <t>Ecart type</t>
  </si>
  <si>
    <t>Nombre valeur vides</t>
  </si>
  <si>
    <t>Synthèse sur la position la plus élevée dans les charts</t>
  </si>
  <si>
    <t>Analyse distribution acousticité</t>
  </si>
  <si>
    <t>Analyse distribution dansabilité</t>
  </si>
  <si>
    <t>Enseignements :</t>
  </si>
  <si>
    <t>Est-ce qu'il semble y avoir une prédominance d'autres facteurs dans ce top ?</t>
  </si>
  <si>
    <t>Analyse de la forme d'une distribution</t>
  </si>
  <si>
    <t>Quartile 3</t>
  </si>
  <si>
    <t>Quartile 1</t>
  </si>
  <si>
    <t>Est-ce que les personnes écoutent surtout de la musique pour se motiver (energie haute) ?</t>
  </si>
  <si>
    <t>Les quartiles</t>
  </si>
  <si>
    <t>Médiane des followers</t>
  </si>
  <si>
    <t xml:space="preserve">
Quel est le nombre moyen de followers par chanson ?
Quel est le nombre de followers qui séparent en 2 groupes égaux les chansons (médiane) ?</t>
  </si>
  <si>
    <t>La moyenne et la médiane</t>
  </si>
  <si>
    <t xml:space="preserve">classement le plus présent </t>
  </si>
  <si>
    <t>Dans quelle position de trouvaient majoritairement les chansons dans le top chart 200 ? (mode)</t>
  </si>
  <si>
    <t>Le mode</t>
  </si>
  <si>
    <t>Quel est le pourcentage de musiques sans nombre de followers ? (valable pour les données quantitatives et les données qualitatives)</t>
  </si>
  <si>
    <t>Le nombre de valeurs vides</t>
  </si>
  <si>
    <t>Sur quelle période s'étalent les données ?</t>
  </si>
  <si>
    <t>Quelles sont les valeurs maximales et minimales d'écoutes ?</t>
  </si>
  <si>
    <t>Les valeurs extrèmes et l'étendue</t>
  </si>
  <si>
    <t xml:space="preserve"> - La musique la plus écoutée est quasiment à 50M de streams  
 - La différence entre la musique la plus écoutée et la derniere est un rapport de 1 à 10</t>
  </si>
  <si>
    <t>- Les données semblent s'étaler de Décembre 2019 à Juillet 2021</t>
  </si>
  <si>
    <t>- Moins de 1% des valeurs sont manquante pour la colonne des Followers</t>
  </si>
  <si>
    <t>-  Dans le Top 200, la valeur la plus récurrente est la position 1, ce qui est logique car on est sur un jeu de donnée representant les TOP.
  On remarque cependant une longue traine sur l'ensemble des valeurs possibles.
  Question donc, pourquoi une musique qui ce trouve à la position 141 ce trouve dans le top ?
  =&gt; Hypothèse : Cela veut potentiellement dire que certaines chansons n'ont pas "explosés" sur une seule semaine mais sont restées populaire sur plusieurs semaines, les hissant dans le top des chansons.</t>
  </si>
  <si>
    <t>- on voit que la moyenne est très impactée par des valeurs extrèmes, alors que la mediane ne subit pas ce type de déformation.
- La valeur maximale est 7 fois supérieur à la valeur médiane</t>
  </si>
  <si>
    <t xml:space="preserve"> - Les musiques sont plutôt avec une Energie haute dans l'ensemble.
Le premier quartile reste au dessus de 0,5
Attention, nous n'avons pour l'instant pas lié l'énergie avec la volumétrie de d'écoute ou de followers.
Ca sera une information à confirmer.</t>
  </si>
  <si>
    <t>- On remarque tout de suite les critères dansabilité et energie qui on fortement la même distribution, plutôt sur des valeurs fortes.
Paroles est un critère dont il faudra se méfier.
Les valeurs fortes correspondent d'avantage à des podcasts qui ne figurent pas ce classement.
Accousticité et la positivité sont des critères très disparates, qui occupent toute la hauteur du spectre.
Au niveau des concert, la question que la chanson soit live ne semble pas plébisité par les utilisateurs. Il faut garder en tête que c'est potentiellement un problème de représentation.</t>
  </si>
  <si>
    <t>Total général</t>
  </si>
  <si>
    <t>Il y a énormément de disparité entre les genres en terme de volume de chansons.
Les 10 premiers genres représentent plus de la moitée des chansons.
A noter qu'on retrouve des sous-genres sur certaines thématiques (pop, rap, hip hop)</t>
  </si>
  <si>
    <t>Nombre de Genre principal</t>
  </si>
  <si>
    <t>Étiquettes de lignes</t>
  </si>
  <si>
    <t>Quels sont les genres de musique les plus représentés</t>
  </si>
  <si>
    <t>Répartition des valeurs</t>
  </si>
  <si>
    <t>Nombre de chansons par genre</t>
  </si>
  <si>
    <t>Il existe un nombre très important de genres, ce qui empécherait de faire des analyses "simples" par genre.
Il est probablement que la réparation par genre ne soit pas uniforme et certains soient plus représentés que d'autre.</t>
  </si>
  <si>
    <t>Nombre total de valeurs</t>
  </si>
  <si>
    <t>Nombre de valeurs différentes</t>
  </si>
  <si>
    <t>Combien de genres différents sont-ils présents dans le classement :</t>
  </si>
  <si>
    <t>Le nombre de valeurs différentes</t>
  </si>
  <si>
    <t>Il n'y que 5% des chansons qui n'ont pas de style attitré, rendant cette information fiable.</t>
  </si>
  <si>
    <t>Quel est le pourcentage de musiques sans genre attitré ? (valable pour les données quantitatives et les données qualitatives)</t>
  </si>
  <si>
    <t>Quels critères semblent influencer les écoutes ?</t>
  </si>
  <si>
    <t>Est-ce le cas avec la popularité ?</t>
  </si>
  <si>
    <t>Est-ce que les musiques avec le plus d'écoutes sont celles avec le plus de followers ?</t>
  </si>
  <si>
    <t>Quelle la musique sortie en 2020 la plus écoutée ?</t>
  </si>
  <si>
    <t>Quel est l'artiste avec les plus de followers ? Quelles sont les chansons présentes de lui dans ce classement ?</t>
  </si>
  <si>
    <t xml:space="preserve">Est-ce qu'il y a eu des chansons sorties avant la sortie de ce classement ? </t>
  </si>
  <si>
    <t>Quels sont les autres style de hip hop ?</t>
  </si>
  <si>
    <t>Qu'est ce donc que "ohio hip hop" ?</t>
  </si>
  <si>
    <t>Réponse</t>
  </si>
  <si>
    <t>Questions</t>
  </si>
  <si>
    <t>Cela correspond à un seul artiste. Cela voudrai dire que des rassemblements de genres sont possibles.</t>
  </si>
  <si>
    <t>Beaucoup de ses genres sont associés à des villes ou à des pays</t>
  </si>
  <si>
    <t>Il y a effectivement des musiques bien antérieures au classement. Cela concerne des "classiques" et des musiques liées à noel.</t>
  </si>
  <si>
    <t>l'artiste avec le plus de followers est Ed Sheeran, avec 9 chansons dans le classement.</t>
  </si>
  <si>
    <t>C'est une musique de Justin Bieber. 
On remarque que la majorité des chansons en tête de classement sont des musiques pop</t>
  </si>
  <si>
    <t>Il ne semble pas y avoir de lien évident entre le nombre de followers et le nombre d'écoutes. A confirmer avec un test statistique.</t>
  </si>
  <si>
    <t>Il semble y avoir un lien entre la popularité et le nombre d'écoutes. A confirmer avec un test statistique</t>
  </si>
  <si>
    <t>Il n'y a pas de lien évident entre les critères et la popularité et les écoutes. A confirmer avec un test statistique</t>
  </si>
  <si>
    <t>&gt;0,5</t>
  </si>
  <si>
    <t>coef. de correlation</t>
  </si>
  <si>
    <t xml:space="preserve">covariance : </t>
  </si>
  <si>
    <t>Matrice de corrélation</t>
  </si>
  <si>
    <t>Relation entre l'intensité et l'énergie</t>
  </si>
  <si>
    <t>Relation entre la dansabilité et la positivité</t>
  </si>
  <si>
    <t>Relation entre la popularité et le nombre d'écoutes</t>
  </si>
  <si>
    <t>Colonne1</t>
  </si>
  <si>
    <t>La corrélation entre les 2 variables est faible.
L'intuition de départ était biaisée car on observait des valeurs extrèmes.
Le nombre d'écoute n'est pas un indicateur fiable pour expliquer la popularité</t>
  </si>
  <si>
    <t xml:space="preserve"> - Corrélation un peu plus forte malgré une grande disparité
- Les musiques dansantes ont tendance à être plus positive mais cela n'est pas une regle absolue.
- Si HypeFM reste dans la logique GoodVibes, la dansabilité reste quand même un critère à ne pas rejeter pour sélectionner les futures titres.</t>
  </si>
  <si>
    <t>- Corrélation plus forte, l'indicateur d'intensité semble bien lié à celle de l'énergie.
- Connaître l'intensité d'une chanson peut nous donner une indication sur l'énergie et ainsi selectionner ce type de morceau</t>
  </si>
  <si>
    <t>Genre</t>
  </si>
  <si>
    <t>Année de sortie</t>
  </si>
  <si>
    <t>popularité forte</t>
  </si>
  <si>
    <t>Energie Forte</t>
  </si>
  <si>
    <t>Rapport de corrélation</t>
  </si>
  <si>
    <t>CSE INTER</t>
  </si>
  <si>
    <t>CSE TOTAL</t>
  </si>
  <si>
    <t>Somme des carrés des écarts</t>
  </si>
  <si>
    <t>Exercice  : Analyse de l'énergie par rapport à l'acousticité</t>
  </si>
  <si>
    <t>CSE INTRA</t>
  </si>
  <si>
    <t>Exercice  : Analyse du volume d'écoutes par genre de musique</t>
  </si>
  <si>
    <t>Analyse des followers par genre de musique</t>
  </si>
  <si>
    <t>Analyse du volume de paroles par genre de musique</t>
  </si>
  <si>
    <t>Moyenne global</t>
  </si>
  <si>
    <t>Anova</t>
  </si>
  <si>
    <t>Msinter</t>
  </si>
  <si>
    <t>Msintra</t>
  </si>
  <si>
    <t>anova (F)</t>
  </si>
  <si>
    <t>- Corrélation faible entre 2 valeurs (superposition des distributions et grande disparité dans les valeurs).
- On note quand même le hip hop et le rap avec des distributions plus larges et plus hautes que les autres.
- l'ANOVA indique que les genres influencent réellement la variable “parole”, mais la force de cette influence reste faible</t>
  </si>
  <si>
    <t>FORTE</t>
  </si>
  <si>
    <t>FAIBLE</t>
  </si>
  <si>
    <t>- l'influence du genre de musique sur le nombre de follower est peu importante, avec le rock, le rap, la country et les autres type tr_s prohe dans le comportement mais avec le genre pop qui surpasse les autres types et le hip hop est très en dessous des autres type</t>
  </si>
  <si>
    <t>- Corrélation inéxistante, le fait d'avoir des valeurs aussi extrèmes empèche toute corrélation évidente à constater.</t>
  </si>
  <si>
    <t>- Il ne faut surtout pas sous-estimer les chansons acoustiques comme donnant de l'énergie à la personne qui en écoute</t>
  </si>
  <si>
    <t>Analyse du nombre de chansons en fonction de la popularité et des genres</t>
  </si>
  <si>
    <t>Exercice : Analyse du nombre de chansons en fonction de l'energie donnée et des genres</t>
  </si>
  <si>
    <t>AUTRE</t>
  </si>
  <si>
    <t>COUNTRY</t>
  </si>
  <si>
    <t>HIP HOP</t>
  </si>
  <si>
    <t>RAP</t>
  </si>
  <si>
    <t>ROCK</t>
  </si>
  <si>
    <t>Étiquettes de colonnes</t>
  </si>
  <si>
    <t>Nombre de Chanson</t>
  </si>
  <si>
    <t>CHI 2</t>
  </si>
  <si>
    <t>pvalue</t>
  </si>
  <si>
    <t>total</t>
  </si>
  <si>
    <t>L'influence du genre de musique sur l'énergie d'un morceau est nettement marqué.
On retrouve par exemple une proportion plus importante de chansons à faible popularité dans le genre HIP HOP et le RAP.
D'après les résultats, les genres de musiques les moins risqués, sont la pop et le rock.</t>
  </si>
  <si>
    <t>L'influence du genre de musique sur l'énergie d'un morceau est nettement marqué.
Etonnament, le rap donne le moins d'énergie.
Le rock et les autres styles sont ceux qui donnent le plus d'énergie.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</si>
</sst>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
    <numFmt numFmtId="190" formatCode="0.0000000000"/>
  </numFmts>
  <fonts count="10" x14ac:knownFonts="1">
    <font>
      <sz val="11"/>
      <color theme="1"/>
      <name val="Calibri"/>
      <family val="2"/>
      <scheme val="minor"/>
    </font>
    <font>
      <b/>
      <sz val="11"/>
      <color theme="1"/>
      <name val="Calibri"/>
      <family val="2"/>
      <scheme val="minor"/>
    </font>
    <font>
      <b/>
      <sz val="13"/>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1"/>
      <color theme="0"/>
      <name val="Helvetica"/>
    </font>
    <font>
      <i/>
      <sz val="11"/>
      <color theme="1"/>
      <name val="Calibri"/>
      <family val="2"/>
      <scheme val="minor"/>
    </font>
    <font>
      <sz val="11"/>
      <name val="Calibri"/>
      <family val="2"/>
      <scheme val="minor"/>
    </font>
    <font>
      <sz val="11"/>
      <color theme="4"/>
      <name val="Calibri"/>
      <family val="2"/>
      <scheme val="minor"/>
    </font>
  </fonts>
  <fills count="8">
    <fill>
      <patternFill patternType="none"/>
    </fill>
    <fill>
      <patternFill patternType="gray125"/>
    </fill>
    <fill>
      <patternFill patternType="solid">
        <fgColor theme="4"/>
        <bgColor theme="4"/>
      </patternFill>
    </fill>
    <fill>
      <patternFill patternType="solid">
        <fgColor theme="4"/>
        <bgColor indexed="64"/>
      </patternFill>
    </fill>
    <fill>
      <patternFill patternType="solid">
        <fgColor theme="4" tint="0.39997558519241921"/>
        <bgColor indexed="64"/>
      </patternFill>
    </fill>
    <fill>
      <patternFill patternType="solid">
        <fgColor theme="9"/>
        <bgColor indexed="64"/>
      </patternFill>
    </fill>
    <fill>
      <patternFill patternType="solid">
        <fgColor theme="0"/>
        <bgColor indexed="64"/>
      </patternFill>
    </fill>
    <fill>
      <patternFill patternType="solid">
        <fgColor theme="4" tint="0.79998168889431442"/>
        <bgColor theme="4" tint="0.79998168889431442"/>
      </patternFill>
    </fill>
  </fills>
  <borders count="16">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theme="4"/>
      </right>
      <top style="thin">
        <color theme="4"/>
      </top>
      <bottom style="thin">
        <color theme="4"/>
      </bottom>
      <diagonal/>
    </border>
    <border>
      <left style="thin">
        <color theme="4"/>
      </left>
      <right/>
      <top style="thin">
        <color theme="4"/>
      </top>
      <bottom style="thin">
        <color theme="4"/>
      </bottom>
      <diagonal/>
    </border>
    <border>
      <left/>
      <right style="thin">
        <color theme="4"/>
      </right>
      <top style="thin">
        <color theme="4"/>
      </top>
      <bottom/>
      <diagonal/>
    </border>
    <border>
      <left style="thin">
        <color theme="4"/>
      </left>
      <right/>
      <top style="thin">
        <color theme="4"/>
      </top>
      <bottom/>
      <diagonal/>
    </border>
    <border>
      <left/>
      <right/>
      <top/>
      <bottom style="thin">
        <color indexed="64"/>
      </bottom>
      <diagonal/>
    </border>
    <border>
      <left/>
      <right/>
      <top/>
      <bottom style="thin">
        <color theme="4" tint="0.39997558519241921"/>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81">
    <xf numFmtId="0" fontId="0" fillId="0" borderId="0" xfId="0"/>
    <xf numFmtId="14" fontId="0" fillId="0" borderId="0" xfId="0" applyNumberFormat="1"/>
    <xf numFmtId="2" fontId="0" fillId="0" borderId="0" xfId="0" applyNumberFormat="1"/>
    <xf numFmtId="3" fontId="0" fillId="0" borderId="0" xfId="0" applyNumberFormat="1"/>
    <xf numFmtId="164" fontId="0" fillId="0" borderId="0" xfId="1" applyNumberFormat="1" applyFont="1"/>
    <xf numFmtId="0" fontId="4" fillId="2" borderId="1" xfId="0" applyFont="1" applyFill="1" applyBorder="1"/>
    <xf numFmtId="0" fontId="4" fillId="2" borderId="2" xfId="0" applyFont="1" applyFill="1" applyBorder="1"/>
    <xf numFmtId="0" fontId="4" fillId="2" borderId="3" xfId="0" applyFont="1" applyFill="1" applyBorder="1"/>
    <xf numFmtId="0" fontId="6" fillId="3" borderId="0" xfId="0" applyFont="1" applyFill="1"/>
    <xf numFmtId="0" fontId="7" fillId="0" borderId="5" xfId="0" applyFont="1" applyBorder="1" applyAlignment="1">
      <alignment horizontal="centerContinuous"/>
    </xf>
    <xf numFmtId="0" fontId="5" fillId="3" borderId="0" xfId="0" applyFont="1" applyFill="1"/>
    <xf numFmtId="2" fontId="8" fillId="0" borderId="6" xfId="0" applyNumberFormat="1" applyFont="1" applyBorder="1" applyAlignment="1">
      <alignment horizontal="left"/>
    </xf>
    <xf numFmtId="0" fontId="9" fillId="0" borderId="7" xfId="0" applyFont="1" applyBorder="1" applyAlignment="1">
      <alignment horizontal="left"/>
    </xf>
    <xf numFmtId="43" fontId="0" fillId="0" borderId="6" xfId="1" applyFont="1" applyBorder="1"/>
    <xf numFmtId="0" fontId="9" fillId="0" borderId="7" xfId="0" applyFont="1" applyBorder="1"/>
    <xf numFmtId="1" fontId="0" fillId="0" borderId="6" xfId="1" applyNumberFormat="1" applyFont="1" applyBorder="1"/>
    <xf numFmtId="0" fontId="9" fillId="0" borderId="6" xfId="0" applyFont="1" applyBorder="1"/>
    <xf numFmtId="164" fontId="0" fillId="0" borderId="6" xfId="1" applyNumberFormat="1" applyFont="1" applyBorder="1"/>
    <xf numFmtId="9" fontId="0" fillId="0" borderId="6" xfId="2" applyFont="1" applyBorder="1"/>
    <xf numFmtId="14" fontId="0" fillId="0" borderId="6" xfId="1" applyNumberFormat="1" applyFont="1" applyBorder="1"/>
    <xf numFmtId="2" fontId="0" fillId="0" borderId="6" xfId="0" applyNumberFormat="1" applyBorder="1"/>
    <xf numFmtId="43" fontId="0" fillId="0" borderId="0" xfId="1" applyFont="1" applyBorder="1"/>
    <xf numFmtId="0" fontId="9" fillId="0" borderId="0" xfId="0" applyFont="1" applyAlignment="1">
      <alignment horizontal="left"/>
    </xf>
    <xf numFmtId="0" fontId="0" fillId="0" borderId="6" xfId="0" applyBorder="1"/>
    <xf numFmtId="0" fontId="0" fillId="0" borderId="0" xfId="0" applyAlignment="1">
      <alignment horizontal="left" wrapText="1"/>
    </xf>
    <xf numFmtId="10" fontId="0" fillId="0" borderId="0" xfId="0" applyNumberFormat="1"/>
    <xf numFmtId="10" fontId="0" fillId="0" borderId="6" xfId="2" applyNumberFormat="1" applyFont="1" applyBorder="1"/>
    <xf numFmtId="0" fontId="0" fillId="0" borderId="6" xfId="1" applyNumberFormat="1" applyFont="1" applyBorder="1"/>
    <xf numFmtId="2" fontId="0" fillId="0" borderId="0" xfId="1" applyNumberFormat="1" applyFont="1" applyBorder="1"/>
    <xf numFmtId="10" fontId="0" fillId="0" borderId="0" xfId="2" applyNumberFormat="1" applyFont="1" applyBorder="1"/>
    <xf numFmtId="1" fontId="0" fillId="0" borderId="0" xfId="1" applyNumberFormat="1" applyFont="1" applyBorder="1"/>
    <xf numFmtId="0" fontId="0" fillId="0" borderId="4" xfId="0" applyBorder="1"/>
    <xf numFmtId="0" fontId="7" fillId="0" borderId="5" xfId="0" applyFont="1" applyBorder="1" applyAlignment="1">
      <alignment horizontal="center"/>
    </xf>
    <xf numFmtId="0" fontId="0" fillId="0" borderId="0" xfId="0" applyAlignment="1">
      <alignment horizontal="left"/>
    </xf>
    <xf numFmtId="0" fontId="0" fillId="0" borderId="0" xfId="0" pivotButton="1"/>
    <xf numFmtId="165" fontId="0" fillId="0" borderId="6" xfId="0" applyNumberFormat="1" applyBorder="1" applyAlignment="1">
      <alignment horizontal="right" vertical="center"/>
    </xf>
    <xf numFmtId="0" fontId="0" fillId="0" borderId="6" xfId="0" applyBorder="1" applyAlignment="1">
      <alignment horizontal="right" vertical="center"/>
    </xf>
    <xf numFmtId="0" fontId="5" fillId="0" borderId="0" xfId="0" applyFont="1"/>
    <xf numFmtId="0" fontId="6" fillId="0" borderId="0" xfId="0" applyFont="1"/>
    <xf numFmtId="0" fontId="0" fillId="0" borderId="10" xfId="0" applyBorder="1" applyAlignment="1">
      <alignment wrapText="1"/>
    </xf>
    <xf numFmtId="0" fontId="0" fillId="0" borderId="11" xfId="0" applyBorder="1" applyAlignment="1">
      <alignment wrapText="1"/>
    </xf>
    <xf numFmtId="0" fontId="0" fillId="0" borderId="12" xfId="0" applyBorder="1" applyAlignment="1">
      <alignment wrapText="1"/>
    </xf>
    <xf numFmtId="0" fontId="0" fillId="0" borderId="13" xfId="0" applyBorder="1" applyAlignment="1">
      <alignment wrapText="1"/>
    </xf>
    <xf numFmtId="0" fontId="0" fillId="0" borderId="12" xfId="0" applyBorder="1"/>
    <xf numFmtId="0" fontId="4" fillId="2" borderId="12" xfId="0" applyFont="1" applyFill="1" applyBorder="1"/>
    <xf numFmtId="0" fontId="4" fillId="2" borderId="13" xfId="0" applyFont="1" applyFill="1" applyBorder="1"/>
    <xf numFmtId="14" fontId="4" fillId="2" borderId="1" xfId="0" applyNumberFormat="1" applyFont="1" applyFill="1" applyBorder="1"/>
    <xf numFmtId="3" fontId="4" fillId="2" borderId="1" xfId="0" applyNumberFormat="1" applyFont="1" applyFill="1" applyBorder="1"/>
    <xf numFmtId="164" fontId="4" fillId="2" borderId="1" xfId="1" applyNumberFormat="1" applyFont="1" applyFill="1" applyBorder="1"/>
    <xf numFmtId="2" fontId="4" fillId="2" borderId="1" xfId="0" applyNumberFormat="1" applyFont="1" applyFill="1" applyBorder="1"/>
    <xf numFmtId="0" fontId="5" fillId="3" borderId="6" xfId="0" applyFont="1" applyFill="1" applyBorder="1"/>
    <xf numFmtId="0" fontId="0" fillId="0" borderId="0" xfId="0" applyAlignment="1">
      <alignment vertical="center"/>
    </xf>
    <xf numFmtId="0" fontId="5" fillId="4" borderId="0" xfId="0" applyFont="1" applyFill="1" applyAlignment="1">
      <alignment vertical="center"/>
    </xf>
    <xf numFmtId="0" fontId="6" fillId="4" borderId="0" xfId="0" applyFont="1" applyFill="1" applyAlignment="1">
      <alignment vertical="center"/>
    </xf>
    <xf numFmtId="0" fontId="0" fillId="4" borderId="0" xfId="0" applyFill="1" applyAlignment="1">
      <alignment vertical="center"/>
    </xf>
    <xf numFmtId="0" fontId="7" fillId="0" borderId="14" xfId="0" applyFont="1" applyBorder="1" applyAlignment="1">
      <alignment horizontal="center"/>
    </xf>
    <xf numFmtId="0" fontId="0" fillId="5" borderId="0" xfId="0" applyFill="1"/>
    <xf numFmtId="0" fontId="1" fillId="0" borderId="6" xfId="0" applyFont="1" applyBorder="1"/>
    <xf numFmtId="0" fontId="0" fillId="4" borderId="0" xfId="0" applyFill="1"/>
    <xf numFmtId="49" fontId="0" fillId="0" borderId="0" xfId="0" applyNumberFormat="1"/>
    <xf numFmtId="0" fontId="5" fillId="3" borderId="8" xfId="0" applyFont="1" applyFill="1" applyBorder="1"/>
    <xf numFmtId="0" fontId="5" fillId="6" borderId="0" xfId="0" applyFont="1" applyFill="1"/>
    <xf numFmtId="0" fontId="0" fillId="6" borderId="6" xfId="0" applyFill="1" applyBorder="1"/>
    <xf numFmtId="49" fontId="0" fillId="0" borderId="6" xfId="0" applyNumberFormat="1" applyBorder="1"/>
    <xf numFmtId="0" fontId="9" fillId="0" borderId="7" xfId="0" applyFont="1" applyBorder="1" applyAlignment="1">
      <alignment horizontal="left"/>
    </xf>
    <xf numFmtId="0" fontId="9" fillId="0" borderId="8" xfId="0" applyFont="1" applyBorder="1" applyAlignment="1">
      <alignment horizontal="left"/>
    </xf>
    <xf numFmtId="0" fontId="0" fillId="0" borderId="6" xfId="0" quotePrefix="1" applyBorder="1" applyAlignment="1">
      <alignment horizontal="left" vertical="top" wrapText="1"/>
    </xf>
    <xf numFmtId="0" fontId="0" fillId="0" borderId="0" xfId="0" applyAlignment="1">
      <alignment horizontal="left" wrapText="1"/>
    </xf>
    <xf numFmtId="0" fontId="0" fillId="0" borderId="6" xfId="0" applyBorder="1" applyAlignment="1">
      <alignment horizontal="left" vertical="top"/>
    </xf>
    <xf numFmtId="0" fontId="9" fillId="0" borderId="7" xfId="0" applyFont="1" applyBorder="1" applyAlignment="1">
      <alignment horizontal="left" wrapText="1"/>
    </xf>
    <xf numFmtId="0" fontId="9" fillId="0" borderId="8" xfId="0" applyFont="1" applyBorder="1" applyAlignment="1">
      <alignment horizontal="left" wrapText="1"/>
    </xf>
    <xf numFmtId="0" fontId="0" fillId="0" borderId="9" xfId="0" applyBorder="1" applyAlignment="1">
      <alignment horizontal="left" vertical="top" wrapText="1"/>
    </xf>
    <xf numFmtId="0" fontId="0" fillId="0" borderId="0" xfId="0" applyAlignment="1">
      <alignment horizontal="left" vertical="top" wrapText="1"/>
    </xf>
    <xf numFmtId="0" fontId="0" fillId="0" borderId="0" xfId="0" applyAlignment="1">
      <alignment horizontal="left"/>
    </xf>
    <xf numFmtId="0" fontId="0" fillId="0" borderId="6" xfId="0" applyBorder="1" applyAlignment="1">
      <alignment horizontal="left" vertical="top" wrapText="1"/>
    </xf>
    <xf numFmtId="0" fontId="0" fillId="0" borderId="0" xfId="0" quotePrefix="1" applyAlignment="1">
      <alignment horizontal="left" vertical="top" wrapText="1"/>
    </xf>
    <xf numFmtId="0" fontId="0" fillId="0" borderId="0" xfId="0" applyAlignment="1">
      <alignment horizontal="left" vertical="top"/>
    </xf>
    <xf numFmtId="0" fontId="1" fillId="7" borderId="15" xfId="0" applyFont="1" applyFill="1" applyBorder="1"/>
    <xf numFmtId="0" fontId="0" fillId="0" borderId="0" xfId="0" applyNumberFormat="1"/>
    <xf numFmtId="0" fontId="0" fillId="3" borderId="0" xfId="0" applyFill="1"/>
    <xf numFmtId="190" fontId="0" fillId="0" borderId="0" xfId="0" applyNumberFormat="1"/>
  </cellXfs>
  <cellStyles count="3">
    <cellStyle name="Milliers" xfId="1" builtinId="3"/>
    <cellStyle name="Normal" xfId="0" builtinId="0"/>
    <cellStyle name="Pourcentage" xfId="2" builtinId="5"/>
  </cellStyles>
  <dxfs count="55">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numFmt numFmtId="164" formatCode="_-* #,##0_-;\-* #,##0_-;_-* &quot;-&quot;??_-;_-@_-"/>
    </dxf>
    <dxf>
      <numFmt numFmtId="3" formatCode="#,##0"/>
    </dxf>
    <dxf>
      <numFmt numFmtId="2" formatCode="0.00"/>
    </dxf>
    <dxf>
      <numFmt numFmtId="2" formatCode="0.00"/>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9" formatCode="dd/mm/yyyy"/>
    </dxf>
    <dxf>
      <numFmt numFmtId="19" formatCode="dd/mm/yyyy"/>
    </dxf>
    <dxf>
      <numFmt numFmtId="164" formatCode="_-* #,##0_-;\-* #,##0_-;_-* &quot;-&quot;??_-;_-@_-"/>
    </dxf>
    <dxf>
      <numFmt numFmtId="164" formatCode="_-* #,##0_-;\-* #,##0_-;_-* &quot;-&quot;??_-;_-@_-"/>
    </dxf>
    <dxf>
      <numFmt numFmtId="3" formatCode="#,##0"/>
    </dxf>
    <dxf>
      <numFmt numFmtId="3" formatCode="#,##0"/>
    </dxf>
    <dxf>
      <numFmt numFmtId="30" formatCode="@"/>
    </dxf>
    <dxf>
      <numFmt numFmtId="30" formatCode="@"/>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[données_spotify.xlsx]Analyse données catégorielles!Tableau croisé dynamique21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'Analyse données catégorielles'!$C$24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 données catégorielles'!$B$25:$B$35</c:f>
              <c:strCache>
                <c:ptCount val="10"/>
                <c:pt idx="0">
                  <c:v>dance pop</c:v>
                </c:pt>
                <c:pt idx="1">
                  <c:v>latin</c:v>
                </c:pt>
                <c:pt idx="2">
                  <c:v>pop</c:v>
                </c:pt>
                <c:pt idx="3">
                  <c:v>melodic rap</c:v>
                </c:pt>
                <c:pt idx="4">
                  <c:v>atl hip hop</c:v>
                </c:pt>
                <c:pt idx="5">
                  <c:v>hip hop</c:v>
                </c:pt>
                <c:pt idx="6">
                  <c:v>chicago rap</c:v>
                </c:pt>
                <c:pt idx="7">
                  <c:v>k-pop</c:v>
                </c:pt>
                <c:pt idx="8">
                  <c:v>brooklyn drill</c:v>
                </c:pt>
                <c:pt idx="9">
                  <c:v>canadian pop</c:v>
                </c:pt>
              </c:strCache>
            </c:strRef>
          </c:cat>
          <c:val>
            <c:numRef>
              <c:f>'Analyse données catégorielles'!$C$25:$C$35</c:f>
              <c:numCache>
                <c:formatCode>General</c:formatCode>
                <c:ptCount val="10"/>
                <c:pt idx="0">
                  <c:v>215</c:v>
                </c:pt>
                <c:pt idx="1">
                  <c:v>144</c:v>
                </c:pt>
                <c:pt idx="2">
                  <c:v>100</c:v>
                </c:pt>
                <c:pt idx="3">
                  <c:v>58</c:v>
                </c:pt>
                <c:pt idx="4">
                  <c:v>53</c:v>
                </c:pt>
                <c:pt idx="5">
                  <c:v>53</c:v>
                </c:pt>
                <c:pt idx="6">
                  <c:v>46</c:v>
                </c:pt>
                <c:pt idx="7">
                  <c:v>45</c:v>
                </c:pt>
                <c:pt idx="8">
                  <c:v>37</c:v>
                </c:pt>
                <c:pt idx="9">
                  <c:v>37</c:v>
                </c:pt>
              </c:numCache>
            </c:numRef>
          </c:val>
          <c:extLst>
            <c:ext xmlns:c16="http://schemas.microsoft.com/office/drawing/2014/chart" uri="{C3380CC4-5D6E-409C-BE32-E72D297353CC}">
              <c16:uniqueId val="{00000000-3085-41BB-99FC-9D8541689ED2}"/>
            </c:ext>
          </c:extLst>
        </c:ser>
        <c:dLbls>
          <c:dLblPos val="outEnd"/>
          <c:showLegendKey val="0"/>
          <c:showVal val="1"/>
          <c:showCatName val="0"/>
          <c:showSerName val="0"/>
          <c:showPercent val="0"/>
          <c:showBubbleSize val="0"/>
        </c:dLbls>
        <c:gapWidth val="219"/>
        <c:overlap val="-27"/>
        <c:axId val="637575471"/>
        <c:axId val="637566351"/>
      </c:barChart>
      <c:catAx>
        <c:axId val="6375754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37566351"/>
        <c:crosses val="autoZero"/>
        <c:auto val="1"/>
        <c:lblAlgn val="ctr"/>
        <c:lblOffset val="100"/>
        <c:noMultiLvlLbl val="0"/>
      </c:catAx>
      <c:valAx>
        <c:axId val="637566351"/>
        <c:scaling>
          <c:orientation val="minMax"/>
        </c:scaling>
        <c:delete val="1"/>
        <c:axPos val="l"/>
        <c:numFmt formatCode="General" sourceLinked="1"/>
        <c:majorTickMark val="out"/>
        <c:minorTickMark val="none"/>
        <c:tickLblPos val="nextTo"/>
        <c:crossAx val="63757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Popularité par rapport au nombre d'écoutes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Données!$L$1</c:f>
              <c:strCache>
                <c:ptCount val="1"/>
                <c:pt idx="0">
                  <c:v>Popularité</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forward val="2"/>
            <c:dispRSqr val="0"/>
            <c:dispEq val="0"/>
          </c:trendline>
          <c:trendline>
            <c:spPr>
              <a:ln w="19050" cap="rnd">
                <a:solidFill>
                  <a:schemeClr val="accent1"/>
                </a:solidFill>
                <a:prstDash val="sysDot"/>
              </a:ln>
              <a:effectLst/>
            </c:spPr>
            <c:trendlineType val="linear"/>
            <c:forward val="2"/>
            <c:dispRSqr val="0"/>
            <c:dispEq val="0"/>
          </c:trendline>
          <c:xVal>
            <c:strRef>
              <c:f>Données!$H$2:$H$1558</c:f>
              <c:strCache>
                <c:ptCount val="1556"/>
                <c:pt idx="0">
                  <c:v>Måneskin</c:v>
                </c:pt>
                <c:pt idx="1">
                  <c:v>The Kid LAROI</c:v>
                </c:pt>
                <c:pt idx="2">
                  <c:v>Olivia Rodrigo</c:v>
                </c:pt>
                <c:pt idx="3">
                  <c:v>Ed Sheeran</c:v>
                </c:pt>
                <c:pt idx="4">
                  <c:v>Lil Nas X</c:v>
                </c:pt>
                <c:pt idx="5">
                  <c:v>Lil Nas X</c:v>
                </c:pt>
                <c:pt idx="6">
                  <c:v>Bad Bunny</c:v>
                </c:pt>
                <c:pt idx="7">
                  <c:v>Rauw Alejandro</c:v>
                </c:pt>
                <c:pt idx="8">
                  <c:v>Måneskin</c:v>
                </c:pt>
                <c:pt idx="9">
                  <c:v>J Balvin, Maria Becerra</c:v>
                </c:pt>
                <c:pt idx="10">
                  <c:v>BTS</c:v>
                </c:pt>
                <c:pt idx="11">
                  <c:v>BTS</c:v>
                </c:pt>
                <c:pt idx="12">
                  <c:v>Doja Cat</c:v>
                </c:pt>
                <c:pt idx="13">
                  <c:v>Justin Bieber</c:v>
                </c:pt>
                <c:pt idx="14">
                  <c:v>Olivia Rodrigo</c:v>
                </c:pt>
                <c:pt idx="15">
                  <c:v>The Weeknd</c:v>
                </c:pt>
                <c:pt idx="16">
                  <c:v>The Weeknd</c:v>
                </c:pt>
                <c:pt idx="17">
                  <c:v>Olivia Rodrigo</c:v>
                </c:pt>
                <c:pt idx="18">
                  <c:v>Nio Garcia, J Balvin, Bad Bunny</c:v>
                </c:pt>
                <c:pt idx="19">
                  <c:v>Olivia Rodrigo</c:v>
                </c:pt>
                <c:pt idx="20">
                  <c:v>The Weeknd</c:v>
                </c:pt>
                <c:pt idx="21">
                  <c:v>Olivia Rodrigo</c:v>
                </c:pt>
                <c:pt idx="22">
                  <c:v>Farruko</c:v>
                </c:pt>
                <c:pt idx="23">
                  <c:v>Riton, Nightcrawlers</c:v>
                </c:pt>
                <c:pt idx="24">
                  <c:v>Bruno Mars, Anderson .Paak, Silk Sonic</c:v>
                </c:pt>
                <c:pt idx="25">
                  <c:v>Mora, Bad Bunny, Sech</c:v>
                </c:pt>
                <c:pt idx="26">
                  <c:v>Olivia Rodrigo</c:v>
                </c:pt>
                <c:pt idx="27">
                  <c:v>Sebastian Yatra, Myke Towers</c:v>
                </c:pt>
                <c:pt idx="28">
                  <c:v>Doja Cat</c:v>
                </c:pt>
                <c:pt idx="29">
                  <c:v>Doja Cat</c:v>
                </c:pt>
                <c:pt idx="30">
                  <c:v>Post Malone</c:v>
                </c:pt>
                <c:pt idx="31">
                  <c:v>Harry Styles</c:v>
                </c:pt>
                <c:pt idx="32">
                  <c:v>TINI, Maria Becerra</c:v>
                </c:pt>
                <c:pt idx="33">
                  <c:v>Olivia Rodrigo</c:v>
                </c:pt>
                <c:pt idx="34">
                  <c:v>Tiësto</c:v>
                </c:pt>
                <c:pt idx="35">
                  <c:v>Dua Lipa</c:v>
                </c:pt>
                <c:pt idx="36">
                  <c:v>Masked Wolf</c:v>
                </c:pt>
                <c:pt idx="37">
                  <c:v>Polo G</c:v>
                </c:pt>
                <c:pt idx="38">
                  <c:v>Doja Cat, The Weeknd</c:v>
                </c:pt>
                <c:pt idx="39">
                  <c:v>Sech, Jhay Cortez</c:v>
                </c:pt>
                <c:pt idx="40">
                  <c:v>J Balvin, KAROL G, Nicky Jam, Crissin, Totoy El Frio, Natan &amp; Shander</c:v>
                </c:pt>
                <c:pt idx="41">
                  <c:v>BTS</c:v>
                </c:pt>
                <c:pt idx="42">
                  <c:v>Galantis</c:v>
                </c:pt>
                <c:pt idx="43">
                  <c:v>24kGoldn</c:v>
                </c:pt>
                <c:pt idx="44">
                  <c:v>Tiago PZK, LIT killah</c:v>
                </c:pt>
                <c:pt idx="45">
                  <c:v>Wisin, Jhay Cortez, Anuel AA, Los Legendarios, Myke Towers</c:v>
                </c:pt>
                <c:pt idx="46">
                  <c:v>Bella Poarch</c:v>
                </c:pt>
                <c:pt idx="47">
                  <c:v>Marshmello</c:v>
                </c:pt>
                <c:pt idx="48">
                  <c:v>Surf Curse</c:v>
                </c:pt>
                <c:pt idx="49">
                  <c:v>Olivia Rodrigo</c:v>
                </c:pt>
                <c:pt idx="50">
                  <c:v>Crissin, Totoy El Frio, Natan &amp; Shander</c:v>
                </c:pt>
                <c:pt idx="51">
                  <c:v>Dua Lipa</c:v>
                </c:pt>
                <c:pt idx="52">
                  <c:v>Sech</c:v>
                </c:pt>
                <c:pt idx="53">
                  <c:v>Camila Cabello</c:v>
                </c:pt>
                <c:pt idx="54">
                  <c:v>Bizarrap, Nicky Jam</c:v>
                </c:pt>
                <c:pt idx="55">
                  <c:v>Marc Seguí, Rauw Alejandro, Pol Granch</c:v>
                </c:pt>
                <c:pt idx="56">
                  <c:v>Maroon 5</c:v>
                </c:pt>
                <c:pt idx="57">
                  <c:v>OneRepublic</c:v>
                </c:pt>
                <c:pt idx="58">
                  <c:v>Megan Thee Stallion</c:v>
                </c:pt>
                <c:pt idx="59">
                  <c:v>ATB, Topic, A7S</c:v>
                </c:pt>
                <c:pt idx="60">
                  <c:v>Kali Uchis</c:v>
                </c:pt>
                <c:pt idx="61">
                  <c:v>Los Legendarios, Wisin, Jhay Cortez</c:v>
                </c:pt>
                <c:pt idx="62">
                  <c:v>Rauw Alejandro, Mr. Naisgai</c:v>
                </c:pt>
                <c:pt idx="63">
                  <c:v>Giveon</c:v>
                </c:pt>
                <c:pt idx="64">
                  <c:v>Trinidad Cardona</c:v>
                </c:pt>
                <c:pt idx="65">
                  <c:v>The Neighbourhood</c:v>
                </c:pt>
                <c:pt idx="66">
                  <c:v>Maluma</c:v>
                </c:pt>
                <c:pt idx="67">
                  <c:v>KAROL G, Mariah Angeliq</c:v>
                </c:pt>
                <c:pt idx="68">
                  <c:v>Justin Quiles, Chimbala, Zion &amp; Lennox</c:v>
                </c:pt>
                <c:pt idx="69">
                  <c:v>Shouse</c:v>
                </c:pt>
                <c:pt idx="70">
                  <c:v>Gera MX, Christian Nodal</c:v>
                </c:pt>
                <c:pt idx="71">
                  <c:v>The Kid LAROI</c:v>
                </c:pt>
                <c:pt idx="72">
                  <c:v>Drake</c:v>
                </c:pt>
                <c:pt idx="73">
                  <c:v>Travis Scott, HVME</c:v>
                </c:pt>
                <c:pt idx="74">
                  <c:v>Joel Corry</c:v>
                </c:pt>
                <c:pt idx="75">
                  <c:v>Joel Corry, RAYE, David Guetta</c:v>
                </c:pt>
                <c:pt idx="76">
                  <c:v>Justin Wellington, Small Jam</c:v>
                </c:pt>
                <c:pt idx="77">
                  <c:v>Mora, Jhay Cortez</c:v>
                </c:pt>
                <c:pt idx="78">
                  <c:v>Post Malone</c:v>
                </c:pt>
                <c:pt idx="79">
                  <c:v>Travis Scott</c:v>
                </c:pt>
                <c:pt idx="80">
                  <c:v>HVME</c:v>
                </c:pt>
                <c:pt idx="81">
                  <c:v>Bad Bunny, Jhay Cortez</c:v>
                </c:pt>
                <c:pt idx="82">
                  <c:v>Lewis Capaldi</c:v>
                </c:pt>
                <c:pt idx="83">
                  <c:v>Måneskin</c:v>
                </c:pt>
                <c:pt idx="84">
                  <c:v>Ariana Grande</c:v>
                </c:pt>
                <c:pt idx="85">
                  <c:v>Natti Natasha, Becky G</c:v>
                </c:pt>
                <c:pt idx="86">
                  <c:v>Doja Cat</c:v>
                </c:pt>
                <c:pt idx="87">
                  <c:v>Madison Beer</c:v>
                </c:pt>
                <c:pt idx="88">
                  <c:v>Imagine Dragons</c:v>
                </c:pt>
                <c:pt idx="89">
                  <c:v>Sech</c:v>
                </c:pt>
                <c:pt idx="90">
                  <c:v>Becky G, El Alfa</c:v>
                </c:pt>
                <c:pt idx="91">
                  <c:v>Ingratax</c:v>
                </c:pt>
                <c:pt idx="92">
                  <c:v>Billie Eilish</c:v>
                </c:pt>
                <c:pt idx="93">
                  <c:v>dhruv</c:v>
                </c:pt>
                <c:pt idx="94">
                  <c:v>Doja Cat</c:v>
                </c:pt>
                <c:pt idx="95">
                  <c:v>Ed Sheeran</c:v>
                </c:pt>
                <c:pt idx="96">
                  <c:v>Bad Bunny, ROSALÍA</c:v>
                </c:pt>
                <c:pt idx="97">
                  <c:v>DaBaby</c:v>
                </c:pt>
                <c:pt idx="98">
                  <c:v>Conan Gray</c:v>
                </c:pt>
                <c:pt idx="99">
                  <c:v>Tate McRae</c:v>
                </c:pt>
                <c:pt idx="100">
                  <c:v>Olivia Rodrigo</c:v>
                </c:pt>
                <c:pt idx="101">
                  <c:v>Glass Animals</c:v>
                </c:pt>
                <c:pt idx="102">
                  <c:v>Sleepy Hallow</c:v>
                </c:pt>
                <c:pt idx="103">
                  <c:v>WILLOW</c:v>
                </c:pt>
                <c:pt idx="104">
                  <c:v>BANDIDO</c:v>
                </c:pt>
                <c:pt idx="105">
                  <c:v>Calvin Harris</c:v>
                </c:pt>
                <c:pt idx="106">
                  <c:v>Luan Santana</c:v>
                </c:pt>
                <c:pt idx="107">
                  <c:v>Ed Sheeran</c:v>
                </c:pt>
                <c:pt idx="108">
                  <c:v>MYA, TINI, Duki</c:v>
                </c:pt>
                <c:pt idx="109">
                  <c:v>Avicii</c:v>
                </c:pt>
                <c:pt idx="110">
                  <c:v>The Neighbourhood</c:v>
                </c:pt>
                <c:pt idx="111">
                  <c:v>Trippie Redd</c:v>
                </c:pt>
                <c:pt idx="112">
                  <c:v>Maroon 5</c:v>
                </c:pt>
                <c:pt idx="113">
                  <c:v>Jamie Miller</c:v>
                </c:pt>
                <c:pt idx="114">
                  <c:v>Gusttavo Lima</c:v>
                </c:pt>
                <c:pt idx="115">
                  <c:v>Myke Towers, Juhn</c:v>
                </c:pt>
                <c:pt idx="116">
                  <c:v>MEDUZA</c:v>
                </c:pt>
                <c:pt idx="117">
                  <c:v>Ofenbach</c:v>
                </c:pt>
                <c:pt idx="118">
                  <c:v>Cochise, $NOT</c:v>
                </c:pt>
                <c:pt idx="119">
                  <c:v>Coldplay</c:v>
                </c:pt>
                <c:pt idx="120">
                  <c:v>Pop Smoke</c:v>
                </c:pt>
                <c:pt idx="121">
                  <c:v>Juice WRLD</c:v>
                </c:pt>
                <c:pt idx="122">
                  <c:v>Lil Tjay, 6LACK</c:v>
                </c:pt>
                <c:pt idx="123">
                  <c:v>Olivia Rodrigo</c:v>
                </c:pt>
                <c:pt idx="124">
                  <c:v>Nio Garcia, Flow La Movie</c:v>
                </c:pt>
                <c:pt idx="125">
                  <c:v>Powfu, beabadoobee</c:v>
                </c:pt>
                <c:pt idx="126">
                  <c:v>Rauw Alejandro</c:v>
                </c:pt>
                <c:pt idx="127">
                  <c:v>Polo G</c:v>
                </c:pt>
                <c:pt idx="128">
                  <c:v>Ariana Grande</c:v>
                </c:pt>
                <c:pt idx="129">
                  <c:v>Billie Eilish</c:v>
                </c:pt>
                <c:pt idx="130">
                  <c:v>Bo Burnham</c:v>
                </c:pt>
                <c:pt idx="131">
                  <c:v>Duncan Laurence</c:v>
                </c:pt>
                <c:pt idx="132">
                  <c:v>BTS</c:v>
                </c:pt>
                <c:pt idx="133">
                  <c:v>João Gomes</c:v>
                </c:pt>
                <c:pt idx="134">
                  <c:v>Russ Millions, Tion Wayne</c:v>
                </c:pt>
                <c:pt idx="135">
                  <c:v>Tyler, The Creator</c:v>
                </c:pt>
                <c:pt idx="136">
                  <c:v>Mari Fernandez</c:v>
                </c:pt>
                <c:pt idx="137">
                  <c:v>Pashanim</c:v>
                </c:pt>
                <c:pt idx="138">
                  <c:v>Avicii</c:v>
                </c:pt>
                <c:pt idx="139">
                  <c:v>Selena Gomez</c:v>
                </c:pt>
                <c:pt idx="140">
                  <c:v>DaBaby</c:v>
                </c:pt>
                <c:pt idx="141">
                  <c:v>DaBaby</c:v>
                </c:pt>
                <c:pt idx="142">
                  <c:v>Olivia Rodrigo</c:v>
                </c:pt>
                <c:pt idx="143">
                  <c:v>Pop Smoke</c:v>
                </c:pt>
                <c:pt idx="144">
                  <c:v>Cardi B</c:v>
                </c:pt>
                <c:pt idx="145">
                  <c:v>Tion Wayne, Russ Millions</c:v>
                </c:pt>
                <c:pt idx="146">
                  <c:v>Fleetwood Mac</c:v>
                </c:pt>
                <c:pt idx="147">
                  <c:v>James Arthur</c:v>
                </c:pt>
                <c:pt idx="148">
                  <c:v>Regard</c:v>
                </c:pt>
                <c:pt idx="149">
                  <c:v>XXXTENTACION</c:v>
                </c:pt>
                <c:pt idx="150">
                  <c:v>Drake, WizKid, Kyla</c:v>
                </c:pt>
                <c:pt idx="151">
                  <c:v>Harry Styles</c:v>
                </c:pt>
                <c:pt idx="152">
                  <c:v>Roddy Ricch</c:v>
                </c:pt>
                <c:pt idx="153">
                  <c:v>Mc Davi, Mc Pedrinho, Mc Don Juan</c:v>
                </c:pt>
                <c:pt idx="154">
                  <c:v>Internet Money</c:v>
                </c:pt>
                <c:pt idx="155">
                  <c:v>John Legend</c:v>
                </c:pt>
                <c:pt idx="156">
                  <c:v>Imagine Dragons</c:v>
                </c:pt>
                <c:pt idx="157">
                  <c:v>Ariana Grande</c:v>
                </c:pt>
                <c:pt idx="158">
                  <c:v>XXXTENTACION</c:v>
                </c:pt>
                <c:pt idx="159">
                  <c:v>Tame Impala</c:v>
                </c:pt>
                <c:pt idx="160">
                  <c:v>The Weeknd</c:v>
                </c:pt>
                <c:pt idx="161">
                  <c:v>SZA</c:v>
                </c:pt>
                <c:pt idx="162">
                  <c:v>XXXTENTACION</c:v>
                </c:pt>
                <c:pt idx="163">
                  <c:v>Maluma, Beéle, Rauw Alejandro, Mambo Kingz, DJ Luian, Darell</c:v>
                </c:pt>
                <c:pt idx="164">
                  <c:v>Blxst, Tyga</c:v>
                </c:pt>
                <c:pt idx="165">
                  <c:v>MC Zaquin, MC Rick</c:v>
                </c:pt>
                <c:pt idx="166">
                  <c:v>Topic, A7S</c:v>
                </c:pt>
                <c:pt idx="167">
                  <c:v>Travis Scott</c:v>
                </c:pt>
                <c:pt idx="168">
                  <c:v>a-ha</c:v>
                </c:pt>
                <c:pt idx="169">
                  <c:v>Roddy Ricch</c:v>
                </c:pt>
                <c:pt idx="170">
                  <c:v>The Chainsmokers, Halsey</c:v>
                </c:pt>
                <c:pt idx="171">
                  <c:v>Eminem</c:v>
                </c:pt>
                <c:pt idx="172">
                  <c:v>Arctic Monkeys</c:v>
                </c:pt>
                <c:pt idx="173">
                  <c:v>J. Cole</c:v>
                </c:pt>
                <c:pt idx="174">
                  <c:v>Travis Scott</c:v>
                </c:pt>
                <c:pt idx="175">
                  <c:v>João Gomes</c:v>
                </c:pt>
                <c:pt idx="176">
                  <c:v>Smiley</c:v>
                </c:pt>
                <c:pt idx="177">
                  <c:v>Tones And I</c:v>
                </c:pt>
                <c:pt idx="178">
                  <c:v>Lewis Capaldi</c:v>
                </c:pt>
                <c:pt idx="179">
                  <c:v>Bruno Mars</c:v>
                </c:pt>
                <c:pt idx="180">
                  <c:v>Dua Lipa</c:v>
                </c:pt>
                <c:pt idx="181">
                  <c:v>Boza</c:v>
                </c:pt>
                <c:pt idx="182">
                  <c:v>Cardi B</c:v>
                </c:pt>
                <c:pt idx="183">
                  <c:v>Camilo, Shawn Mendes</c:v>
                </c:pt>
                <c:pt idx="184">
                  <c:v>Lady Gaga, Bradley Cooper</c:v>
                </c:pt>
                <c:pt idx="185">
                  <c:v>Emilia, Duki</c:v>
                </c:pt>
                <c:pt idx="186">
                  <c:v>Matheus Fernandes, Dilsinho</c:v>
                </c:pt>
                <c:pt idx="187">
                  <c:v>Ava Max</c:v>
                </c:pt>
                <c:pt idx="188">
                  <c:v>P!nk, Willow Sage Hart</c:v>
                </c:pt>
                <c:pt idx="189">
                  <c:v>The Police</c:v>
                </c:pt>
                <c:pt idx="190">
                  <c:v>Juice WRLD</c:v>
                </c:pt>
                <c:pt idx="191">
                  <c:v>DJ Khaled</c:v>
                </c:pt>
                <c:pt idx="192">
                  <c:v>The Weeknd, Daft Punk</c:v>
                </c:pt>
                <c:pt idx="193">
                  <c:v>Harry Styles</c:v>
                </c:pt>
                <c:pt idx="194">
                  <c:v>Harry Styles</c:v>
                </c:pt>
                <c:pt idx="195">
                  <c:v>Lil Nas X</c:v>
                </c:pt>
                <c:pt idx="196">
                  <c:v>StarBoi3</c:v>
                </c:pt>
                <c:pt idx="197">
                  <c:v>BLANCO, Sfera Ebbasta</c:v>
                </c:pt>
                <c:pt idx="198">
                  <c:v>Anne-Marie, Niall Horan</c:v>
                </c:pt>
                <c:pt idx="199">
                  <c:v>J Balvin, Dua Lipa, Bad Bunny</c:v>
                </c:pt>
                <c:pt idx="200">
                  <c:v>Imagine Dragons</c:v>
                </c:pt>
                <c:pt idx="201">
                  <c:v>Walker Hayes</c:v>
                </c:pt>
                <c:pt idx="202">
                  <c:v>Eminem</c:v>
                </c:pt>
                <c:pt idx="203">
                  <c:v>Juice WRLD</c:v>
                </c:pt>
                <c:pt idx="204">
                  <c:v>Nathan Evans</c:v>
                </c:pt>
                <c:pt idx="205">
                  <c:v>Post Malone</c:v>
                </c:pt>
                <c:pt idx="206">
                  <c:v>AC/DC</c:v>
                </c:pt>
                <c:pt idx="207">
                  <c:v>Pop Smoke</c:v>
                </c:pt>
                <c:pt idx="208">
                  <c:v>Saweetie</c:v>
                </c:pt>
                <c:pt idx="209">
                  <c:v>Macklemore &amp; Ryan Lewis</c:v>
                </c:pt>
                <c:pt idx="210">
                  <c:v>Alex Rose, Rauw Alejandro</c:v>
                </c:pt>
                <c:pt idx="211">
                  <c:v>BØRNS</c:v>
                </c:pt>
                <c:pt idx="212">
                  <c:v>Machine Gun Kelly</c:v>
                </c:pt>
                <c:pt idx="213">
                  <c:v>Juice WRLD</c:v>
                </c:pt>
                <c:pt idx="214">
                  <c:v>Juice WRLD</c:v>
                </c:pt>
                <c:pt idx="215">
                  <c:v>Bad Bunny</c:v>
                </c:pt>
                <c:pt idx="216">
                  <c:v>Israel &amp; Rodolffo</c:v>
                </c:pt>
                <c:pt idx="217">
                  <c:v>XXXTENTACION</c:v>
                </c:pt>
                <c:pt idx="218">
                  <c:v>blackbear</c:v>
                </c:pt>
                <c:pt idx="219">
                  <c:v>Ed Sheeran</c:v>
                </c:pt>
                <c:pt idx="220">
                  <c:v>J Balvin, Bad Bunny</c:v>
                </c:pt>
                <c:pt idx="221">
                  <c:v>Shakira</c:v>
                </c:pt>
                <c:pt idx="222">
                  <c:v>Drake</c:v>
                </c:pt>
                <c:pt idx="223">
                  <c:v>Twenty One Pilots</c:v>
                </c:pt>
                <c:pt idx="224">
                  <c:v>Dan + Shay</c:v>
                </c:pt>
                <c:pt idx="225">
                  <c:v>Linkin Park</c:v>
                </c:pt>
                <c:pt idx="226">
                  <c:v>XXXTENTACION</c:v>
                </c:pt>
                <c:pt idx="227">
                  <c:v>Regard, Troye Sivan, Tate McRae</c:v>
                </c:pt>
                <c:pt idx="228">
                  <c:v>Imagine Dragons</c:v>
                </c:pt>
                <c:pt idx="229">
                  <c:v>Internet Money, Gunna, Don Toliver, NAV</c:v>
                </c:pt>
                <c:pt idx="230">
                  <c:v>J. Cole</c:v>
                </c:pt>
                <c:pt idx="231">
                  <c:v>Internet Money</c:v>
                </c:pt>
                <c:pt idx="232">
                  <c:v>Post Malone, Swae Lee</c:v>
                </c:pt>
                <c:pt idx="233">
                  <c:v>Shawn Mendes, Camila Cabello</c:v>
                </c:pt>
                <c:pt idx="234">
                  <c:v>Lil Tecca</c:v>
                </c:pt>
                <c:pt idx="235">
                  <c:v>J. Cole</c:v>
                </c:pt>
                <c:pt idx="236">
                  <c:v>Black Eyed Peas, Shakira</c:v>
                </c:pt>
                <c:pt idx="237">
                  <c:v>Young Stoner Life, Young Thug, Gunna</c:v>
                </c:pt>
                <c:pt idx="238">
                  <c:v>Fedez, Achille Lauro</c:v>
                </c:pt>
                <c:pt idx="239">
                  <c:v>Pop Smoke</c:v>
                </c:pt>
                <c:pt idx="240">
                  <c:v>Israel &amp; Rodolffo, Wesley Safadão</c:v>
                </c:pt>
                <c:pt idx="241">
                  <c:v>BTS</c:v>
                </c:pt>
                <c:pt idx="242">
                  <c:v>TWICE</c:v>
                </c:pt>
                <c:pt idx="243">
                  <c:v>J. Cole</c:v>
                </c:pt>
                <c:pt idx="244">
                  <c:v>Bad Bunny</c:v>
                </c:pt>
                <c:pt idx="245">
                  <c:v>Jay Wheeler, DJ Nelson, Myke Towers</c:v>
                </c:pt>
                <c:pt idx="246">
                  <c:v>Jason Derulo</c:v>
                </c:pt>
                <c:pt idx="247">
                  <c:v>JP Saxe</c:v>
                </c:pt>
                <c:pt idx="248">
                  <c:v>Arizona Zervas</c:v>
                </c:pt>
                <c:pt idx="249">
                  <c:v>Ashnikko</c:v>
                </c:pt>
                <c:pt idx="250">
                  <c:v>Jawsh 685, Jason Derulo</c:v>
                </c:pt>
                <c:pt idx="251">
                  <c:v>Doja Cat</c:v>
                </c:pt>
                <c:pt idx="252">
                  <c:v>Nelly Furtado, Timbaland</c:v>
                </c:pt>
                <c:pt idx="253">
                  <c:v>James Arthur</c:v>
                </c:pt>
                <c:pt idx="254">
                  <c:v>Ariana Grande</c:v>
                </c:pt>
                <c:pt idx="255">
                  <c:v>Lil Peep</c:v>
                </c:pt>
                <c:pt idx="256">
                  <c:v>Pop Smoke</c:v>
                </c:pt>
                <c:pt idx="257">
                  <c:v>Mc Poze do Rodo, Neo Beats, Mainstreet</c:v>
                </c:pt>
                <c:pt idx="258">
                  <c:v>Conan Gray</c:v>
                </c:pt>
                <c:pt idx="259">
                  <c:v>Ed Sheeran</c:v>
                </c:pt>
                <c:pt idx="260">
                  <c:v>Gym Class Heroes</c:v>
                </c:pt>
                <c:pt idx="261">
                  <c:v>Arctic Monkeys</c:v>
                </c:pt>
                <c:pt idx="262">
                  <c:v>Rauw Alejandro</c:v>
                </c:pt>
                <c:pt idx="263">
                  <c:v>sangiovanni</c:v>
                </c:pt>
                <c:pt idx="264">
                  <c:v>One Direction</c:v>
                </c:pt>
                <c:pt idx="265">
                  <c:v>Bruno Mars</c:v>
                </c:pt>
                <c:pt idx="266">
                  <c:v>Martin Garrix</c:v>
                </c:pt>
                <c:pt idx="267">
                  <c:v>Rochy RD, Myke Towers, Nicki Nicole</c:v>
                </c:pt>
                <c:pt idx="268">
                  <c:v>Bad Bunny</c:v>
                </c:pt>
                <c:pt idx="269">
                  <c:v>Kina</c:v>
                </c:pt>
                <c:pt idx="270">
                  <c:v>The Chainsmokers, Coldplay</c:v>
                </c:pt>
                <c:pt idx="271">
                  <c:v>Ava Max</c:v>
                </c:pt>
                <c:pt idx="272">
                  <c:v>Joji</c:v>
                </c:pt>
                <c:pt idx="273">
                  <c:v>Marshmello, Bastille</c:v>
                </c:pt>
                <c:pt idx="274">
                  <c:v>JACKBOYS, Travis Scott</c:v>
                </c:pt>
                <c:pt idx="275">
                  <c:v>Drake</c:v>
                </c:pt>
                <c:pt idx="276">
                  <c:v>MEDUZA, Becky Hill, Goodboys</c:v>
                </c:pt>
                <c:pt idx="277">
                  <c:v>Lauv</c:v>
                </c:pt>
                <c:pt idx="278">
                  <c:v>Alec Benjamin</c:v>
                </c:pt>
                <c:pt idx="279">
                  <c:v>Lil Uzi Vert</c:v>
                </c:pt>
                <c:pt idx="280">
                  <c:v>Lil Baby, Lil Durk</c:v>
                </c:pt>
                <c:pt idx="281">
                  <c:v>BTS</c:v>
                </c:pt>
                <c:pt idx="282">
                  <c:v>Lil Baby, Lil Durk</c:v>
                </c:pt>
                <c:pt idx="283">
                  <c:v>The Kid LAROI</c:v>
                </c:pt>
                <c:pt idx="284">
                  <c:v>TOMORROW X TOGETHER, Seori</c:v>
                </c:pt>
                <c:pt idx="285">
                  <c:v>KSI</c:v>
                </c:pt>
                <c:pt idx="286">
                  <c:v>João Gomes, Vitor Fernandes</c:v>
                </c:pt>
                <c:pt idx="287">
                  <c:v>Nio Garcia, Casper Magico, Ozuna, Wisin &amp; Yandel, Myke Towers, Flow La Movie</c:v>
                </c:pt>
                <c:pt idx="288">
                  <c:v>Ozuna, J Balvin, Chencho Corleone</c:v>
                </c:pt>
                <c:pt idx="289">
                  <c:v>Jhay Cortez, Bad Bunny</c:v>
                </c:pt>
                <c:pt idx="290">
                  <c:v>Bo Burnham</c:v>
                </c:pt>
                <c:pt idx="291">
                  <c:v>Drake</c:v>
                </c:pt>
                <c:pt idx="292">
                  <c:v>Pop Smoke</c:v>
                </c:pt>
                <c:pt idx="293">
                  <c:v>Joyner Lucas, Lil Baby</c:v>
                </c:pt>
                <c:pt idx="294">
                  <c:v>Myke Towers</c:v>
                </c:pt>
                <c:pt idx="295">
                  <c:v>Beach Bunny</c:v>
                </c:pt>
                <c:pt idx="296">
                  <c:v>Pop Smoke</c:v>
                </c:pt>
                <c:pt idx="297">
                  <c:v>Måneskin</c:v>
                </c:pt>
                <c:pt idx="298">
                  <c:v>Future</c:v>
                </c:pt>
                <c:pt idx="299">
                  <c:v>Lorde</c:v>
                </c:pt>
                <c:pt idx="300">
                  <c:v>Ritt Momney</c:v>
                </c:pt>
                <c:pt idx="301">
                  <c:v>Lil Tjay</c:v>
                </c:pt>
                <c:pt idx="302">
                  <c:v>Gym Class Heroes</c:v>
                </c:pt>
                <c:pt idx="303">
                  <c:v>MC Kevin o Chris</c:v>
                </c:pt>
                <c:pt idx="304">
                  <c:v>Billie Eilish</c:v>
                </c:pt>
                <c:pt idx="305">
                  <c:v>Lil Tjay</c:v>
                </c:pt>
                <c:pt idx="306">
                  <c:v>Mother Mother</c:v>
                </c:pt>
                <c:pt idx="307">
                  <c:v>Justin Bieber</c:v>
                </c:pt>
                <c:pt idx="308">
                  <c:v>The Weeknd</c:v>
                </c:pt>
                <c:pt idx="309">
                  <c:v>Pamungkas</c:v>
                </c:pt>
                <c:pt idx="310">
                  <c:v>CJ</c:v>
                </c:pt>
                <c:pt idx="311">
                  <c:v>Mimi Webb</c:v>
                </c:pt>
                <c:pt idx="312">
                  <c:v>Clairo</c:v>
                </c:pt>
                <c:pt idx="313">
                  <c:v>Bizarrap, Eladio Carrion</c:v>
                </c:pt>
                <c:pt idx="314">
                  <c:v>Wallows</c:v>
                </c:pt>
                <c:pt idx="315">
                  <c:v>Surf Mesa</c:v>
                </c:pt>
                <c:pt idx="316">
                  <c:v>Lil Nas X</c:v>
                </c:pt>
                <c:pt idx="317">
                  <c:v>Anne-Marie</c:v>
                </c:pt>
                <c:pt idx="318">
                  <c:v>Ali Gatie</c:v>
                </c:pt>
                <c:pt idx="319">
                  <c:v>Lil Nas X, Billy Ray Cyrus</c:v>
                </c:pt>
                <c:pt idx="320">
                  <c:v>One Direction</c:v>
                </c:pt>
                <c:pt idx="321">
                  <c:v>Camila Cabello</c:v>
                </c:pt>
                <c:pt idx="322">
                  <c:v>Doja Cat</c:v>
                </c:pt>
                <c:pt idx="323">
                  <c:v>Noah Cyrus</c:v>
                </c:pt>
                <c:pt idx="324">
                  <c:v>Calvin Harris</c:v>
                </c:pt>
                <c:pt idx="325">
                  <c:v>Jonas Brothers</c:v>
                </c:pt>
                <c:pt idx="326">
                  <c:v>Juice WRLD</c:v>
                </c:pt>
                <c:pt idx="327">
                  <c:v>Ava Max</c:v>
                </c:pt>
                <c:pt idx="328">
                  <c:v>Post Malone</c:v>
                </c:pt>
                <c:pt idx="329">
                  <c:v>Panic! At The Disco</c:v>
                </c:pt>
                <c:pt idx="330">
                  <c:v>Journey</c:v>
                </c:pt>
                <c:pt idx="331">
                  <c:v>Bad Bunny, Tainy</c:v>
                </c:pt>
                <c:pt idx="332">
                  <c:v>Selena Gomez</c:v>
                </c:pt>
                <c:pt idx="333">
                  <c:v>XXXTENTACION</c:v>
                </c:pt>
                <c:pt idx="334">
                  <c:v>Belly, The Weeknd, Young Thug</c:v>
                </c:pt>
                <c:pt idx="335">
                  <c:v>Tory Lanez, Jack Harlow</c:v>
                </c:pt>
                <c:pt idx="336">
                  <c:v>Doja Cat</c:v>
                </c:pt>
                <c:pt idx="337">
                  <c:v>DJ Khaled</c:v>
                </c:pt>
                <c:pt idx="338">
                  <c:v>Doja Cat</c:v>
                </c:pt>
                <c:pt idx="339">
                  <c:v>Tom Grennan</c:v>
                </c:pt>
                <c:pt idx="340">
                  <c:v>Tate McRae, Khalid</c:v>
                </c:pt>
                <c:pt idx="341">
                  <c:v>KAROL G, Nicki Minaj</c:v>
                </c:pt>
                <c:pt idx="342">
                  <c:v>The Weeknd</c:v>
                </c:pt>
                <c:pt idx="343">
                  <c:v>Tyler, The Creator</c:v>
                </c:pt>
                <c:pt idx="344">
                  <c:v>Alok, Mc Don Juan, Dj GBR</c:v>
                </c:pt>
                <c:pt idx="345">
                  <c:v>J Balvin, Khalid</c:v>
                </c:pt>
                <c:pt idx="346">
                  <c:v>Earth, Wind &amp; Fire</c:v>
                </c:pt>
                <c:pt idx="347">
                  <c:v>Ty Dolla $ign</c:v>
                </c:pt>
                <c:pt idx="348">
                  <c:v>Bizarrap, L-Gante</c:v>
                </c:pt>
                <c:pt idx="349">
                  <c:v>Post Malone</c:v>
                </c:pt>
                <c:pt idx="350">
                  <c:v>The Weeknd</c:v>
                </c:pt>
                <c:pt idx="351">
                  <c:v>Malu, DJ Lucas Beat</c:v>
                </c:pt>
                <c:pt idx="352">
                  <c:v>Sech, Daddy Yankee, J Balvin, ROSALÍA, Farruko</c:v>
                </c:pt>
                <c:pt idx="353">
                  <c:v>Justin Bieber</c:v>
                </c:pt>
                <c:pt idx="354">
                  <c:v>Polo G</c:v>
                </c:pt>
                <c:pt idx="355">
                  <c:v>BIA</c:v>
                </c:pt>
                <c:pt idx="356">
                  <c:v>Kane Brown, blackbear</c:v>
                </c:pt>
                <c:pt idx="357">
                  <c:v>Os Barões Da Pisadinha</c:v>
                </c:pt>
                <c:pt idx="358">
                  <c:v>Polo G</c:v>
                </c:pt>
                <c:pt idx="359">
                  <c:v>Lil Nas X</c:v>
                </c:pt>
                <c:pt idx="360">
                  <c:v>Hippie Sabotage</c:v>
                </c:pt>
                <c:pt idx="361">
                  <c:v>Lil Tecca</c:v>
                </c:pt>
                <c:pt idx="362">
                  <c:v>Raí Saia Rodada</c:v>
                </c:pt>
                <c:pt idx="363">
                  <c:v>The Weeknd, Daft Punk</c:v>
                </c:pt>
                <c:pt idx="364">
                  <c:v>Bruno Mars</c:v>
                </c:pt>
                <c:pt idx="365">
                  <c:v>ElyOtto</c:v>
                </c:pt>
                <c:pt idx="366">
                  <c:v>Ariana Grande</c:v>
                </c:pt>
                <c:pt idx="367">
                  <c:v>Ed Sheeran</c:v>
                </c:pt>
                <c:pt idx="368">
                  <c:v>Luísa Sonza</c:v>
                </c:pt>
                <c:pt idx="369">
                  <c:v>Dua Lipa</c:v>
                </c:pt>
                <c:pt idx="370">
                  <c:v>Labrinth</c:v>
                </c:pt>
                <c:pt idx="371">
                  <c:v>Dean Lewis</c:v>
                </c:pt>
                <c:pt idx="372">
                  <c:v>Surfaces</c:v>
                </c:pt>
                <c:pt idx="373">
                  <c:v>Chris Brown, Young Thug</c:v>
                </c:pt>
                <c:pt idx="374">
                  <c:v>Sech</c:v>
                </c:pt>
                <c:pt idx="375">
                  <c:v>Drake</c:v>
                </c:pt>
                <c:pt idx="376">
                  <c:v>Marshmello</c:v>
                </c:pt>
                <c:pt idx="377">
                  <c:v>Don Toliver</c:v>
                </c:pt>
                <c:pt idx="378">
                  <c:v>Luke Combs</c:v>
                </c:pt>
                <c:pt idx="379">
                  <c:v>Jack Harlow</c:v>
                </c:pt>
                <c:pt idx="380">
                  <c:v>Melanie Martinez</c:v>
                </c:pt>
                <c:pt idx="381">
                  <c:v>Billie Eilish</c:v>
                </c:pt>
                <c:pt idx="382">
                  <c:v>Chris Brown</c:v>
                </c:pt>
                <c:pt idx="383">
                  <c:v>Bad Bunny</c:v>
                </c:pt>
                <c:pt idx="384">
                  <c:v>Sam Fischer</c:v>
                </c:pt>
                <c:pt idx="385">
                  <c:v>Lewis Capaldi</c:v>
                </c:pt>
                <c:pt idx="386">
                  <c:v>DaBaby</c:v>
                </c:pt>
                <c:pt idx="387">
                  <c:v>Mustard</c:v>
                </c:pt>
                <c:pt idx="388">
                  <c:v>Jason Mraz</c:v>
                </c:pt>
                <c:pt idx="389">
                  <c:v>5 Seconds of Summer</c:v>
                </c:pt>
                <c:pt idx="390">
                  <c:v>Don Toliver</c:v>
                </c:pt>
                <c:pt idx="391">
                  <c:v>Post Malone</c:v>
                </c:pt>
                <c:pt idx="392">
                  <c:v>Tyler, The Creator</c:v>
                </c:pt>
                <c:pt idx="393">
                  <c:v>Dave</c:v>
                </c:pt>
                <c:pt idx="394">
                  <c:v>Trippie Redd, Lil Uzi Vert</c:v>
                </c:pt>
                <c:pt idx="395">
                  <c:v>Maroon 5</c:v>
                </c:pt>
                <c:pt idx="396">
                  <c:v>Kane Brown</c:v>
                </c:pt>
                <c:pt idx="397">
                  <c:v>BTS</c:v>
                </c:pt>
                <c:pt idx="398">
                  <c:v>Taylor Swift</c:v>
                </c:pt>
                <c:pt idx="399">
                  <c:v>Khalid</c:v>
                </c:pt>
                <c:pt idx="400">
                  <c:v>ITZY</c:v>
                </c:pt>
                <c:pt idx="401">
                  <c:v>Ozuna, Doja Cat, Sia</c:v>
                </c:pt>
                <c:pt idx="402">
                  <c:v>J. Cole</c:v>
                </c:pt>
                <c:pt idx="403">
                  <c:v>Big Sean</c:v>
                </c:pt>
                <c:pt idx="404">
                  <c:v>Soso Maness</c:v>
                </c:pt>
                <c:pt idx="405">
                  <c:v>Migos</c:v>
                </c:pt>
                <c:pt idx="406">
                  <c:v>Bad Bunny, Jowell &amp; Randy, Ñengo Flow</c:v>
                </c:pt>
                <c:pt idx="407">
                  <c:v>Jason Derulo, Nuka</c:v>
                </c:pt>
                <c:pt idx="408">
                  <c:v>Manuel Turizo, Rauw Alejandro, Myke Towers</c:v>
                </c:pt>
                <c:pt idx="409">
                  <c:v>Pink Sweat$</c:v>
                </c:pt>
                <c:pt idx="410">
                  <c:v>Milly, Farruko, Nio Garcia, Jay Wheeler, Amenazzy</c:v>
                </c:pt>
                <c:pt idx="411">
                  <c:v>Camilo</c:v>
                </c:pt>
                <c:pt idx="412">
                  <c:v>Diego &amp; Victor Hugo, Bruno &amp; Marrone</c:v>
                </c:pt>
                <c:pt idx="413">
                  <c:v>Nicky Jam, Romeo Santos</c:v>
                </c:pt>
                <c:pt idx="414">
                  <c:v>Ofenbach, Quarterhead</c:v>
                </c:pt>
                <c:pt idx="415">
                  <c:v>Lil Mosey</c:v>
                </c:pt>
                <c:pt idx="416">
                  <c:v>Tyler, The Creator</c:v>
                </c:pt>
                <c:pt idx="417">
                  <c:v>Shawn Mendes</c:v>
                </c:pt>
                <c:pt idx="418">
                  <c:v>BANNERS</c:v>
                </c:pt>
                <c:pt idx="419">
                  <c:v>Tones And I</c:v>
                </c:pt>
                <c:pt idx="420">
                  <c:v>Lady Gaga</c:v>
                </c:pt>
                <c:pt idx="421">
                  <c:v>Dj Guuga, DJ Ivis</c:v>
                </c:pt>
                <c:pt idx="422">
                  <c:v>Wisin, Myke Towers, Los Legendarios</c:v>
                </c:pt>
                <c:pt idx="423">
                  <c:v>BLACKPINK</c:v>
                </c:pt>
                <c:pt idx="424">
                  <c:v>Taylor Swift</c:v>
                </c:pt>
                <c:pt idx="425">
                  <c:v>Halsey</c:v>
                </c:pt>
                <c:pt idx="426">
                  <c:v>Miley Cyrus</c:v>
                </c:pt>
                <c:pt idx="427">
                  <c:v>Rauw Alejandro, Anuel AA</c:v>
                </c:pt>
                <c:pt idx="428">
                  <c:v>THE SCOTTS, Travis Scott, Kid Cudi</c:v>
                </c:pt>
                <c:pt idx="429">
                  <c:v>Mabel</c:v>
                </c:pt>
                <c:pt idx="430">
                  <c:v>347aidan</c:v>
                </c:pt>
                <c:pt idx="431">
                  <c:v>Vedo</c:v>
                </c:pt>
                <c:pt idx="432">
                  <c:v>Ariana Grande</c:v>
                </c:pt>
                <c:pt idx="433">
                  <c:v>Pop Smoke</c:v>
                </c:pt>
                <c:pt idx="434">
                  <c:v>Meek Mill</c:v>
                </c:pt>
                <c:pt idx="435">
                  <c:v>J. Cole</c:v>
                </c:pt>
                <c:pt idx="436">
                  <c:v>Ed Sheeran</c:v>
                </c:pt>
                <c:pt idx="437">
                  <c:v>Dua Lipa</c:v>
                </c:pt>
                <c:pt idx="438">
                  <c:v>Travis Scott</c:v>
                </c:pt>
                <c:pt idx="439">
                  <c:v>Alexander 23</c:v>
                </c:pt>
                <c:pt idx="440">
                  <c:v>twocolors</c:v>
                </c:pt>
                <c:pt idx="441">
                  <c:v>MEDUZA, Goodboys</c:v>
                </c:pt>
                <c:pt idx="442">
                  <c:v>Kygo, Whitney Houston</c:v>
                </c:pt>
                <c:pt idx="443">
                  <c:v>Bad Bunny, Daddy Yankee</c:v>
                </c:pt>
                <c:pt idx="444">
                  <c:v>Tyler, The Creator</c:v>
                </c:pt>
                <c:pt idx="445">
                  <c:v>Young Stoner Life, Young Thug, Gunna</c:v>
                </c:pt>
                <c:pt idx="446">
                  <c:v>Polo G</c:v>
                </c:pt>
                <c:pt idx="447">
                  <c:v>Future, Lil Uzi Vert</c:v>
                </c:pt>
                <c:pt idx="448">
                  <c:v>RAF Camora, Bonez MC</c:v>
                </c:pt>
                <c:pt idx="449">
                  <c:v>Brent Faiyaz</c:v>
                </c:pt>
                <c:pt idx="450">
                  <c:v>Clean Bandit, Mabel</c:v>
                </c:pt>
                <c:pt idx="451">
                  <c:v>Vance Joy</c:v>
                </c:pt>
                <c:pt idx="452">
                  <c:v>Bizarrap, Snow Tha Product</c:v>
                </c:pt>
                <c:pt idx="453">
                  <c:v>Sia, David Guetta</c:v>
                </c:pt>
                <c:pt idx="454">
                  <c:v>Zoe Wees</c:v>
                </c:pt>
                <c:pt idx="455">
                  <c:v>The Kid LAROI</c:v>
                </c:pt>
                <c:pt idx="456">
                  <c:v>Master KG</c:v>
                </c:pt>
                <c:pt idx="457">
                  <c:v>Migos</c:v>
                </c:pt>
                <c:pt idx="458">
                  <c:v>Maluma, Lenny Tavárez</c:v>
                </c:pt>
                <c:pt idx="459">
                  <c:v>Farruko</c:v>
                </c:pt>
                <c:pt idx="460">
                  <c:v>Sam Smith</c:v>
                </c:pt>
                <c:pt idx="461">
                  <c:v>Regard, RAYE</c:v>
                </c:pt>
                <c:pt idx="462">
                  <c:v>Post Malone</c:v>
                </c:pt>
                <c:pt idx="463">
                  <c:v>Rauw Alejandro</c:v>
                </c:pt>
                <c:pt idx="464">
                  <c:v>Sara Kays</c:v>
                </c:pt>
                <c:pt idx="465">
                  <c:v>Taylor Swift</c:v>
                </c:pt>
                <c:pt idx="466">
                  <c:v>Anne-Marie, Little Mix</c:v>
                </c:pt>
                <c:pt idx="467">
                  <c:v>Rusherking, KHEA, Duki, Maria Becerra, LIT killah, Tiago PZK</c:v>
                </c:pt>
                <c:pt idx="468">
                  <c:v>Jason Derulo, Maroon 5</c:v>
                </c:pt>
                <c:pt idx="469">
                  <c:v>Justin Timberlake</c:v>
                </c:pt>
                <c:pt idx="470">
                  <c:v>Camilo, El Alfa</c:v>
                </c:pt>
                <c:pt idx="471">
                  <c:v>Drake</c:v>
                </c:pt>
                <c:pt idx="472">
                  <c:v>Oasis</c:v>
                </c:pt>
                <c:pt idx="473">
                  <c:v>Bad Bunny</c:v>
                </c:pt>
                <c:pt idx="474">
                  <c:v>Pop Smoke</c:v>
                </c:pt>
                <c:pt idx="475">
                  <c:v>21 Savage, Metro Boomin</c:v>
                </c:pt>
                <c:pt idx="476">
                  <c:v>Oasis</c:v>
                </c:pt>
                <c:pt idx="477">
                  <c:v>Juice WRLD, Polo G</c:v>
                </c:pt>
                <c:pt idx="478">
                  <c:v>Billie Eilish</c:v>
                </c:pt>
                <c:pt idx="479">
                  <c:v>Juice WRLD</c:v>
                </c:pt>
                <c:pt idx="480">
                  <c:v>Machine Gun Kelly</c:v>
                </c:pt>
                <c:pt idx="481">
                  <c:v>Bad Bunny</c:v>
                </c:pt>
                <c:pt idx="482">
                  <c:v>Bad Bunny</c:v>
                </c:pt>
                <c:pt idx="483">
                  <c:v>Rauw Alejandro</c:v>
                </c:pt>
                <c:pt idx="484">
                  <c:v>Black Eyed Peas, J Balvin</c:v>
                </c:pt>
                <c:pt idx="485">
                  <c:v>5 Seconds of Summer</c:v>
                </c:pt>
                <c:pt idx="486">
                  <c:v>Post Malone</c:v>
                </c:pt>
                <c:pt idx="487">
                  <c:v>Bad Bunny</c:v>
                </c:pt>
                <c:pt idx="488">
                  <c:v>Camila Cabello</c:v>
                </c:pt>
                <c:pt idx="489">
                  <c:v>Drake</c:v>
                </c:pt>
                <c:pt idx="490">
                  <c:v>Kina, Adriana Proenza</c:v>
                </c:pt>
                <c:pt idx="491">
                  <c:v>Justin Bieber, Quavo</c:v>
                </c:pt>
                <c:pt idx="492">
                  <c:v>Tyler, The Creator</c:v>
                </c:pt>
                <c:pt idx="493">
                  <c:v>Tyler, The Creator</c:v>
                </c:pt>
                <c:pt idx="494">
                  <c:v>Agust D</c:v>
                </c:pt>
                <c:pt idx="495">
                  <c:v>BTS</c:v>
                </c:pt>
                <c:pt idx="496">
                  <c:v>JACKBOYS, Pop Smoke, Travis Scott</c:v>
                </c:pt>
                <c:pt idx="497">
                  <c:v>Migos</c:v>
                </c:pt>
                <c:pt idx="498">
                  <c:v>Twenty One Pilots</c:v>
                </c:pt>
                <c:pt idx="499">
                  <c:v>Nicki Minaj</c:v>
                </c:pt>
                <c:pt idx="500">
                  <c:v>Nirvana</c:v>
                </c:pt>
                <c:pt idx="501">
                  <c:v>Machine Gun Kelly</c:v>
                </c:pt>
                <c:pt idx="502">
                  <c:v>Tame Impala</c:v>
                </c:pt>
                <c:pt idx="503">
                  <c:v>Miley Cyrus</c:v>
                </c:pt>
                <c:pt idx="504">
                  <c:v>Big Red Machine</c:v>
                </c:pt>
                <c:pt idx="505">
                  <c:v>Maluma</c:v>
                </c:pt>
                <c:pt idx="506">
                  <c:v>BTS</c:v>
                </c:pt>
                <c:pt idx="507">
                  <c:v>AURORA</c:v>
                </c:pt>
                <c:pt idx="508">
                  <c:v>Lauv, Troye Sivan</c:v>
                </c:pt>
                <c:pt idx="509">
                  <c:v>Sia</c:v>
                </c:pt>
                <c:pt idx="510">
                  <c:v>Sam Fischer, Demi Lovato</c:v>
                </c:pt>
                <c:pt idx="511">
                  <c:v>Bad Bunny, Mora</c:v>
                </c:pt>
                <c:pt idx="512">
                  <c:v>BTS</c:v>
                </c:pt>
                <c:pt idx="513">
                  <c:v>Ed Sheeran</c:v>
                </c:pt>
                <c:pt idx="514">
                  <c:v>24kGoldn</c:v>
                </c:pt>
                <c:pt idx="515">
                  <c:v>Kevin Roldan, Bryant Myers, Lyanno</c:v>
                </c:pt>
                <c:pt idx="516">
                  <c:v>Bizarrap, Nathy Peluso</c:v>
                </c:pt>
                <c:pt idx="517">
                  <c:v>Hugo &amp; Guilherme</c:v>
                </c:pt>
                <c:pt idx="518">
                  <c:v>Lele Pons</c:v>
                </c:pt>
                <c:pt idx="519">
                  <c:v>Maluma, The Weeknd</c:v>
                </c:pt>
                <c:pt idx="520">
                  <c:v>J Balvin, Bad Bunny</c:v>
                </c:pt>
                <c:pt idx="521">
                  <c:v>Bring Me The Horizon</c:v>
                </c:pt>
                <c:pt idx="522">
                  <c:v>BENEE, Gus Dapperton</c:v>
                </c:pt>
                <c:pt idx="523">
                  <c:v>DJ Khaled</c:v>
                </c:pt>
                <c:pt idx="524">
                  <c:v>Shirin David</c:v>
                </c:pt>
                <c:pt idx="525">
                  <c:v>Lizzo</c:v>
                </c:pt>
                <c:pt idx="526">
                  <c:v>DJ Snake, J Balvin</c:v>
                </c:pt>
                <c:pt idx="527">
                  <c:v>Bad Bunny</c:v>
                </c:pt>
                <c:pt idx="528">
                  <c:v>The Weeknd</c:v>
                </c:pt>
                <c:pt idx="529">
                  <c:v>Justin Bieber</c:v>
                </c:pt>
                <c:pt idx="530">
                  <c:v>Dave</c:v>
                </c:pt>
                <c:pt idx="531">
                  <c:v>Sam Smith</c:v>
                </c:pt>
                <c:pt idx="532">
                  <c:v>Taylor Swift</c:v>
                </c:pt>
                <c:pt idx="533">
                  <c:v>Juice WRLD</c:v>
                </c:pt>
                <c:pt idx="534">
                  <c:v>Taylor Swift</c:v>
                </c:pt>
                <c:pt idx="535">
                  <c:v>StaySolidRocky</c:v>
                </c:pt>
                <c:pt idx="536">
                  <c:v>Adele</c:v>
                </c:pt>
                <c:pt idx="537">
                  <c:v>Anuel AA, Daddy Yankee, KAROL G, Ozuna, J Balvin</c:v>
                </c:pt>
                <c:pt idx="538">
                  <c:v>Dalex, Lenny Tavárez, Chencho Corleone, Juhn, Dímelo Flow</c:v>
                </c:pt>
                <c:pt idx="539">
                  <c:v>J Balvin</c:v>
                </c:pt>
                <c:pt idx="540">
                  <c:v>Dua Lipa</c:v>
                </c:pt>
                <c:pt idx="541">
                  <c:v>Nea</c:v>
                </c:pt>
                <c:pt idx="542">
                  <c:v>Roddy Ricch</c:v>
                </c:pt>
                <c:pt idx="543">
                  <c:v>Doja Cat</c:v>
                </c:pt>
                <c:pt idx="544">
                  <c:v>Y2K, bbno$</c:v>
                </c:pt>
                <c:pt idx="545">
                  <c:v>Jhay Cortez, J Balvin, Bad Bunny</c:v>
                </c:pt>
                <c:pt idx="546">
                  <c:v>CORPSE, Savage Ga$p</c:v>
                </c:pt>
                <c:pt idx="547">
                  <c:v>Dominic Fike</c:v>
                </c:pt>
                <c:pt idx="548">
                  <c:v>benny blanco</c:v>
                </c:pt>
                <c:pt idx="549">
                  <c:v>Alan Walker, Ava Max</c:v>
                </c:pt>
                <c:pt idx="550">
                  <c:v>Jonas Brothers</c:v>
                </c:pt>
                <c:pt idx="551">
                  <c:v>The Chainsmokers, ILLENIUM, Lennon Stella</c:v>
                </c:pt>
                <c:pt idx="552">
                  <c:v>PUBLIC</c:v>
                </c:pt>
                <c:pt idx="553">
                  <c:v>Tyler, The Creator</c:v>
                </c:pt>
                <c:pt idx="554">
                  <c:v>Bad Bunny</c:v>
                </c:pt>
                <c:pt idx="555">
                  <c:v>BTS</c:v>
                </c:pt>
                <c:pt idx="556">
                  <c:v>J. Cole</c:v>
                </c:pt>
                <c:pt idx="557">
                  <c:v>DJ Khaled</c:v>
                </c:pt>
                <c:pt idx="558">
                  <c:v>BTS</c:v>
                </c:pt>
                <c:pt idx="559">
                  <c:v>Machine Gun Kelly</c:v>
                </c:pt>
                <c:pt idx="560">
                  <c:v>Juice WRLD</c:v>
                </c:pt>
                <c:pt idx="561">
                  <c:v>J Balvin</c:v>
                </c:pt>
                <c:pt idx="562">
                  <c:v>Nicky Jam, Myke Towers</c:v>
                </c:pt>
                <c:pt idx="563">
                  <c:v>Sabrina Carpenter</c:v>
                </c:pt>
                <c:pt idx="564">
                  <c:v>Bas</c:v>
                </c:pt>
                <c:pt idx="565">
                  <c:v>salem ilese</c:v>
                </c:pt>
                <c:pt idx="566">
                  <c:v>Eminem</c:v>
                </c:pt>
                <c:pt idx="567">
                  <c:v>Drake</c:v>
                </c:pt>
                <c:pt idx="568">
                  <c:v>Don Toliver</c:v>
                </c:pt>
                <c:pt idx="569">
                  <c:v>The Kid LAROI</c:v>
                </c:pt>
                <c:pt idx="570">
                  <c:v>Kid Cudi</c:v>
                </c:pt>
                <c:pt idx="571">
                  <c:v>Miley Cyrus</c:v>
                </c:pt>
                <c:pt idx="572">
                  <c:v>Martin Garrix</c:v>
                </c:pt>
                <c:pt idx="573">
                  <c:v>The Kid LAROI</c:v>
                </c:pt>
                <c:pt idx="574">
                  <c:v>Billie Eilish</c:v>
                </c:pt>
                <c:pt idx="575">
                  <c:v>John Mayer</c:v>
                </c:pt>
                <c:pt idx="576">
                  <c:v>Jack Harlow</c:v>
                </c:pt>
                <c:pt idx="577">
                  <c:v>Dream</c:v>
                </c:pt>
                <c:pt idx="578">
                  <c:v>Brent Faiyaz, DJ Dahi</c:v>
                </c:pt>
                <c:pt idx="579">
                  <c:v>Yandel, Bad Bunny</c:v>
                </c:pt>
                <c:pt idx="580">
                  <c:v>Justin Quiles</c:v>
                </c:pt>
                <c:pt idx="581">
                  <c:v>Gotye, Kimbra</c:v>
                </c:pt>
                <c:pt idx="582">
                  <c:v>Camilo, Evaluna Montaner</c:v>
                </c:pt>
                <c:pt idx="583">
                  <c:v>Olivia Rodrigo</c:v>
                </c:pt>
                <c:pt idx="584">
                  <c:v>Ashnikko</c:v>
                </c:pt>
                <c:pt idx="585">
                  <c:v>Jawsh 685, Jason Derulo</c:v>
                </c:pt>
                <c:pt idx="586">
                  <c:v>Red Velvet</c:v>
                </c:pt>
                <c:pt idx="587">
                  <c:v>DaBaby</c:v>
                </c:pt>
                <c:pt idx="588">
                  <c:v>Morgan Wallen</c:v>
                </c:pt>
                <c:pt idx="589">
                  <c:v>Riton, Oliver Heldens</c:v>
                </c:pt>
                <c:pt idx="590">
                  <c:v>Anuel AA, Bad Bunny</c:v>
                </c:pt>
                <c:pt idx="591">
                  <c:v>Maluma</c:v>
                </c:pt>
                <c:pt idx="592">
                  <c:v>Megan Thee Stallion</c:v>
                </c:pt>
                <c:pt idx="593">
                  <c:v>Pedro Capó, Farruko</c:v>
                </c:pt>
                <c:pt idx="594">
                  <c:v>Jerry Di</c:v>
                </c:pt>
                <c:pt idx="595">
                  <c:v>Lil Baby</c:v>
                </c:pt>
                <c:pt idx="596">
                  <c:v>Halsey</c:v>
                </c:pt>
                <c:pt idx="597">
                  <c:v>Cali Y El Dandee, Danna Paola</c:v>
                </c:pt>
                <c:pt idx="598">
                  <c:v>Juice WRLD</c:v>
                </c:pt>
                <c:pt idx="599">
                  <c:v>Polo G</c:v>
                </c:pt>
                <c:pt idx="600">
                  <c:v>Gunna</c:v>
                </c:pt>
                <c:pt idx="601">
                  <c:v>24kGoldn</c:v>
                </c:pt>
                <c:pt idx="602">
                  <c:v>Natalie Taylor</c:v>
                </c:pt>
                <c:pt idx="603">
                  <c:v>Peach Tree Rascals</c:v>
                </c:pt>
                <c:pt idx="604">
                  <c:v>Lil Uzi Vert</c:v>
                </c:pt>
                <c:pt idx="605">
                  <c:v>Taylor Swift</c:v>
                </c:pt>
                <c:pt idx="606">
                  <c:v>TWICE</c:v>
                </c:pt>
                <c:pt idx="607">
                  <c:v>G Herbo, Juice WRLD, Lil Uzi Vert, Chance the Rapper</c:v>
                </c:pt>
                <c:pt idx="608">
                  <c:v>Travis Scott</c:v>
                </c:pt>
                <c:pt idx="609">
                  <c:v>Rauw Alejandro, Chencho Corleone</c:v>
                </c:pt>
                <c:pt idx="610">
                  <c:v>Khalid, Disclosure</c:v>
                </c:pt>
                <c:pt idx="611">
                  <c:v>Ellie Goulding</c:v>
                </c:pt>
                <c:pt idx="612">
                  <c:v>Shawn Mendes</c:v>
                </c:pt>
                <c:pt idx="613">
                  <c:v>BLACKPINK</c:v>
                </c:pt>
                <c:pt idx="614">
                  <c:v>YNW Melly</c:v>
                </c:pt>
                <c:pt idx="615">
                  <c:v>Sam Smith</c:v>
                </c:pt>
                <c:pt idx="616">
                  <c:v>G-Eazy</c:v>
                </c:pt>
                <c:pt idx="617">
                  <c:v>YNW Melly</c:v>
                </c:pt>
                <c:pt idx="618">
                  <c:v>Bazzi</c:v>
                </c:pt>
                <c:pt idx="619">
                  <c:v>Tyler, The Creator</c:v>
                </c:pt>
                <c:pt idx="620">
                  <c:v>Baby Keem</c:v>
                </c:pt>
                <c:pt idx="621">
                  <c:v>Tyler, The Creator</c:v>
                </c:pt>
                <c:pt idx="622">
                  <c:v>BTS</c:v>
                </c:pt>
                <c:pt idx="623">
                  <c:v>Mac Miller</c:v>
                </c:pt>
                <c:pt idx="624">
                  <c:v>Polo G</c:v>
                </c:pt>
                <c:pt idx="625">
                  <c:v>Twenty One Pilots</c:v>
                </c:pt>
                <c:pt idx="626">
                  <c:v>John Mayer</c:v>
                </c:pt>
                <c:pt idx="627">
                  <c:v>J. Cole</c:v>
                </c:pt>
                <c:pt idx="628">
                  <c:v>Go_A</c:v>
                </c:pt>
                <c:pt idx="629">
                  <c:v>Christian Nodal, Ángela Aguilar</c:v>
                </c:pt>
                <c:pt idx="630">
                  <c:v>DJ Khaled</c:v>
                </c:pt>
                <c:pt idx="631">
                  <c:v>Juice WRLD, The Kid LAROI</c:v>
                </c:pt>
                <c:pt idx="632">
                  <c:v>C. Tangana, Niño de Elche, La Húngara</c:v>
                </c:pt>
                <c:pt idx="633">
                  <c:v>Travis Scott</c:v>
                </c:pt>
                <c:pt idx="634">
                  <c:v>Doja Cat</c:v>
                </c:pt>
                <c:pt idx="635">
                  <c:v>Bea Miller</c:v>
                </c:pt>
                <c:pt idx="636">
                  <c:v>Pop Smoke</c:v>
                </c:pt>
                <c:pt idx="637">
                  <c:v>Morgan Wallen</c:v>
                </c:pt>
                <c:pt idx="638">
                  <c:v>The Killers</c:v>
                </c:pt>
                <c:pt idx="639">
                  <c:v>Juice WRLD</c:v>
                </c:pt>
                <c:pt idx="640">
                  <c:v>Normani</c:v>
                </c:pt>
                <c:pt idx="641">
                  <c:v>Mac Miller</c:v>
                </c:pt>
                <c:pt idx="642">
                  <c:v>Niall Horan</c:v>
                </c:pt>
                <c:pt idx="643">
                  <c:v>Post Malone</c:v>
                </c:pt>
                <c:pt idx="644">
                  <c:v>Pooh Shiesty</c:v>
                </c:pt>
                <c:pt idx="645">
                  <c:v>KHEA, Duki</c:v>
                </c:pt>
                <c:pt idx="646">
                  <c:v>Juice WRLD</c:v>
                </c:pt>
                <c:pt idx="647">
                  <c:v>Justin Quiles</c:v>
                </c:pt>
                <c:pt idx="648">
                  <c:v>DaBaby</c:v>
                </c:pt>
                <c:pt idx="649">
                  <c:v>Eminem</c:v>
                </c:pt>
                <c:pt idx="650">
                  <c:v>Lunay, Daddy Yankee, Bad Bunny</c:v>
                </c:pt>
                <c:pt idx="651">
                  <c:v>Billie Eilish</c:v>
                </c:pt>
                <c:pt idx="652">
                  <c:v>Maluma</c:v>
                </c:pt>
                <c:pt idx="653">
                  <c:v>Juice WRLD</c:v>
                </c:pt>
                <c:pt idx="654">
                  <c:v>BLACKPINK</c:v>
                </c:pt>
                <c:pt idx="655">
                  <c:v>Ozuna, Camilo</c:v>
                </c:pt>
                <c:pt idx="656">
                  <c:v>Justin Bieber</c:v>
                </c:pt>
                <c:pt idx="657">
                  <c:v>ROSALÍA, J Balvin, El Guincho</c:v>
                </c:pt>
                <c:pt idx="658">
                  <c:v>21 Savage, Metro Boomin</c:v>
                </c:pt>
                <c:pt idx="659">
                  <c:v>Bad Bunny, Yaviah</c:v>
                </c:pt>
                <c:pt idx="660">
                  <c:v>Nio Garcia, Anuel AA, Myke Towers, Brray, Juanka</c:v>
                </c:pt>
                <c:pt idx="661">
                  <c:v>Morgan Wallen</c:v>
                </c:pt>
                <c:pt idx="662">
                  <c:v>Taylor Swift</c:v>
                </c:pt>
                <c:pt idx="663">
                  <c:v>Trueno, Bizarrap, Taiu, TATOOL</c:v>
                </c:pt>
                <c:pt idx="664">
                  <c:v>Juice WRLD</c:v>
                </c:pt>
                <c:pt idx="665">
                  <c:v>BLACKPINK</c:v>
                </c:pt>
                <c:pt idx="666">
                  <c:v>Tainy</c:v>
                </c:pt>
                <c:pt idx="667">
                  <c:v>Passenger</c:v>
                </c:pt>
                <c:pt idx="668">
                  <c:v>IU</c:v>
                </c:pt>
                <c:pt idx="669">
                  <c:v>ROSALÍA</c:v>
                </c:pt>
                <c:pt idx="670">
                  <c:v>Doja Cat</c:v>
                </c:pt>
                <c:pt idx="671">
                  <c:v>Kygo, OneRepublic</c:v>
                </c:pt>
                <c:pt idx="672">
                  <c:v>Camilo</c:v>
                </c:pt>
                <c:pt idx="673">
                  <c:v>Kendrick Lamar, Jay Rock</c:v>
                </c:pt>
                <c:pt idx="674">
                  <c:v>Ashe</c:v>
                </c:pt>
                <c:pt idx="675">
                  <c:v>Rauw Alejandro, Dalex, Lenny Tavárez</c:v>
                </c:pt>
                <c:pt idx="676">
                  <c:v>Taylor Swift</c:v>
                </c:pt>
                <c:pt idx="677">
                  <c:v>The Weeknd</c:v>
                </c:pt>
                <c:pt idx="678">
                  <c:v>Megan Thee Stallion</c:v>
                </c:pt>
                <c:pt idx="679">
                  <c:v>Dímelo Flow, Arcangel, Sech</c:v>
                </c:pt>
                <c:pt idx="680">
                  <c:v>Rauw Alejandro, Farruko</c:v>
                </c:pt>
                <c:pt idx="681">
                  <c:v>Tory Lanez</c:v>
                </c:pt>
                <c:pt idx="682">
                  <c:v>ITZY</c:v>
                </c:pt>
                <c:pt idx="683">
                  <c:v>BROCKHAMPTON</c:v>
                </c:pt>
                <c:pt idx="684">
                  <c:v>Harry Styles</c:v>
                </c:pt>
                <c:pt idx="685">
                  <c:v>Billie Eilish</c:v>
                </c:pt>
                <c:pt idx="686">
                  <c:v>Tyler, The Creator</c:v>
                </c:pt>
                <c:pt idx="687">
                  <c:v>Arizona Zervas</c:v>
                </c:pt>
                <c:pt idx="688">
                  <c:v>DJ Snake</c:v>
                </c:pt>
                <c:pt idx="689">
                  <c:v>Hozier</c:v>
                </c:pt>
                <c:pt idx="690">
                  <c:v>Miley Cyrus</c:v>
                </c:pt>
                <c:pt idx="691">
                  <c:v>Queen</c:v>
                </c:pt>
                <c:pt idx="692">
                  <c:v>Idina Menzel, AURORA</c:v>
                </c:pt>
                <c:pt idx="693">
                  <c:v>ROSÉ</c:v>
                </c:pt>
                <c:pt idx="694">
                  <c:v>OneRepublic</c:v>
                </c:pt>
                <c:pt idx="695">
                  <c:v>H.E.R.</c:v>
                </c:pt>
                <c:pt idx="696">
                  <c:v>Taylor Swift</c:v>
                </c:pt>
                <c:pt idx="697">
                  <c:v>Polo G, Stunna 4 Vegas, NLE Choppa, Mike WiLL Made-It</c:v>
                </c:pt>
                <c:pt idx="698">
                  <c:v>The Kid LAROI</c:v>
                </c:pt>
                <c:pt idx="699">
                  <c:v>Machine Gun Kelly</c:v>
                </c:pt>
                <c:pt idx="700">
                  <c:v>Migrantes, Alico</c:v>
                </c:pt>
                <c:pt idx="701">
                  <c:v>Doja Cat</c:v>
                </c:pt>
                <c:pt idx="702">
                  <c:v>Polo G</c:v>
                </c:pt>
                <c:pt idx="703">
                  <c:v>TOKYO’S REVENGE</c:v>
                </c:pt>
                <c:pt idx="704">
                  <c:v>Lauv</c:v>
                </c:pt>
                <c:pt idx="705">
                  <c:v>BTS</c:v>
                </c:pt>
                <c:pt idx="706">
                  <c:v>Queen</c:v>
                </c:pt>
                <c:pt idx="707">
                  <c:v>ROSALÍA, Ozuna</c:v>
                </c:pt>
                <c:pt idx="708">
                  <c:v>Martin Garrix</c:v>
                </c:pt>
                <c:pt idx="709">
                  <c:v>Lil Baby</c:v>
                </c:pt>
                <c:pt idx="710">
                  <c:v>Robin Schulz</c:v>
                </c:pt>
                <c:pt idx="711">
                  <c:v>Justin Bieber</c:v>
                </c:pt>
                <c:pt idx="712">
                  <c:v>Piso 21, Christian Nodal</c:v>
                </c:pt>
                <c:pt idx="713">
                  <c:v>Maroon 5, Wiz Khalifa</c:v>
                </c:pt>
                <c:pt idx="714">
                  <c:v>SZA, The Neptunes, Pharrell Williams, Ty Dolla $ign</c:v>
                </c:pt>
                <c:pt idx="715">
                  <c:v>Tyga</c:v>
                </c:pt>
                <c:pt idx="716">
                  <c:v>Black Eyed Peas, Ozuna, J. Rey Soul</c:v>
                </c:pt>
                <c:pt idx="717">
                  <c:v>Lauv</c:v>
                </c:pt>
                <c:pt idx="718">
                  <c:v>Jonas Brothers</c:v>
                </c:pt>
                <c:pt idx="719">
                  <c:v>24kGoldn</c:v>
                </c:pt>
                <c:pt idx="720">
                  <c:v>Money Man</c:v>
                </c:pt>
                <c:pt idx="721">
                  <c:v>Manuel Turizo</c:v>
                </c:pt>
                <c:pt idx="722">
                  <c:v>Juice WRLD</c:v>
                </c:pt>
                <c:pt idx="723">
                  <c:v>Alex Rose, Rafa Pabön</c:v>
                </c:pt>
                <c:pt idx="724">
                  <c:v>Myke Towers</c:v>
                </c:pt>
                <c:pt idx="725">
                  <c:v>Lil Nas X</c:v>
                </c:pt>
                <c:pt idx="726">
                  <c:v>DDG</c:v>
                </c:pt>
                <c:pt idx="727">
                  <c:v>Travis Scott</c:v>
                </c:pt>
                <c:pt idx="728">
                  <c:v>Sech, Ozuna, Anuel AA, Darell, Nicky Jam</c:v>
                </c:pt>
                <c:pt idx="729">
                  <c:v>Ozuna</c:v>
                </c:pt>
                <c:pt idx="730">
                  <c:v>Katy Perry</c:v>
                </c:pt>
                <c:pt idx="731">
                  <c:v>Queen</c:v>
                </c:pt>
                <c:pt idx="732">
                  <c:v>Bad Bunny, Sech</c:v>
                </c:pt>
                <c:pt idx="733">
                  <c:v>Kid Cudi</c:v>
                </c:pt>
                <c:pt idx="734">
                  <c:v>Kygo, Tina Turner</c:v>
                </c:pt>
                <c:pt idx="735">
                  <c:v>Camilo, Pedro Capó</c:v>
                </c:pt>
                <c:pt idx="736">
                  <c:v>NLE Choppa</c:v>
                </c:pt>
                <c:pt idx="737">
                  <c:v>PARTYNEXTDOOR, Rihanna</c:v>
                </c:pt>
                <c:pt idx="738">
                  <c:v>Taylor Swift</c:v>
                </c:pt>
                <c:pt idx="739">
                  <c:v>21 Savage, Metro Boomin</c:v>
                </c:pt>
                <c:pt idx="740">
                  <c:v>SHAED, ZAYN</c:v>
                </c:pt>
                <c:pt idx="741">
                  <c:v>DMX</c:v>
                </c:pt>
                <c:pt idx="742">
                  <c:v>Tyler, The Creator</c:v>
                </c:pt>
                <c:pt idx="743">
                  <c:v>Bad Bunny</c:v>
                </c:pt>
                <c:pt idx="744">
                  <c:v>Tyler, The Creator</c:v>
                </c:pt>
                <c:pt idx="745">
                  <c:v>Juice WRLD</c:v>
                </c:pt>
                <c:pt idx="746">
                  <c:v>Taylor Swift</c:v>
                </c:pt>
                <c:pt idx="747">
                  <c:v>Tyler, The Creator</c:v>
                </c:pt>
                <c:pt idx="748">
                  <c:v>Anuel AA, Ozuna</c:v>
                </c:pt>
                <c:pt idx="749">
                  <c:v>K/DA, Madison Beer, (G)I-DLE, Lexie Liu, Jaira Burns, Seraphine, League of Legends</c:v>
                </c:pt>
                <c:pt idx="750">
                  <c:v>Lana Del Rey</c:v>
                </c:pt>
                <c:pt idx="751">
                  <c:v>Doja Cat</c:v>
                </c:pt>
                <c:pt idx="752">
                  <c:v>J. Cole</c:v>
                </c:pt>
                <c:pt idx="753">
                  <c:v>Wesley Safadão, Os Barões Da Pisadinha</c:v>
                </c:pt>
                <c:pt idx="754">
                  <c:v>MARINA</c:v>
                </c:pt>
                <c:pt idx="755">
                  <c:v>Octavian, Skepta</c:v>
                </c:pt>
                <c:pt idx="756">
                  <c:v>DJ Ivis, Tarcísio do Acordeon</c:v>
                </c:pt>
                <c:pt idx="757">
                  <c:v>benny blanco</c:v>
                </c:pt>
                <c:pt idx="758">
                  <c:v>Matthew Wilder</c:v>
                </c:pt>
                <c:pt idx="759">
                  <c:v>Lil Mosey</c:v>
                </c:pt>
                <c:pt idx="760">
                  <c:v>Camilo</c:v>
                </c:pt>
                <c:pt idx="761">
                  <c:v>Anuel AA, Ozuna</c:v>
                </c:pt>
                <c:pt idx="762">
                  <c:v>Saweetie</c:v>
                </c:pt>
                <c:pt idx="763">
                  <c:v>Little Mix</c:v>
                </c:pt>
                <c:pt idx="764">
                  <c:v>Anne-Marie, KSI, Digital Farm Animals</c:v>
                </c:pt>
                <c:pt idx="765">
                  <c:v>Rich Music LTD, Sech, Dalex, Justin Quiles, Lenny Tavárez, Feid, Wisin, Zion</c:v>
                </c:pt>
                <c:pt idx="766">
                  <c:v>DJ Ivis</c:v>
                </c:pt>
                <c:pt idx="767">
                  <c:v>SHAED</c:v>
                </c:pt>
                <c:pt idx="768">
                  <c:v>Morgan Wallen</c:v>
                </c:pt>
                <c:pt idx="769">
                  <c:v>Maluma</c:v>
                </c:pt>
                <c:pt idx="770">
                  <c:v>Tyla Yaweh</c:v>
                </c:pt>
                <c:pt idx="771">
                  <c:v>Lauv, Conan Gray</c:v>
                </c:pt>
                <c:pt idx="772">
                  <c:v>ITZY</c:v>
                </c:pt>
                <c:pt idx="773">
                  <c:v>Juice WRLD</c:v>
                </c:pt>
                <c:pt idx="774">
                  <c:v>Jack Harlow</c:v>
                </c:pt>
                <c:pt idx="775">
                  <c:v>Maroon 5</c:v>
                </c:pt>
                <c:pt idx="776">
                  <c:v>Khalid</c:v>
                </c:pt>
                <c:pt idx="777">
                  <c:v>DaBaby</c:v>
                </c:pt>
                <c:pt idx="778">
                  <c:v>Rauw Alejandro, J Balvin</c:v>
                </c:pt>
                <c:pt idx="779">
                  <c:v>Sam Feldt</c:v>
                </c:pt>
                <c:pt idx="780">
                  <c:v>Camilo</c:v>
                </c:pt>
                <c:pt idx="781">
                  <c:v>Lil Uzi Vert</c:v>
                </c:pt>
                <c:pt idx="782">
                  <c:v>Dua Lipa, Angèle</c:v>
                </c:pt>
                <c:pt idx="783">
                  <c:v>J Balvin</c:v>
                </c:pt>
                <c:pt idx="784">
                  <c:v>DripReport</c:v>
                </c:pt>
                <c:pt idx="785">
                  <c:v>Beyoncé, Megan Thee Stallion</c:v>
                </c:pt>
                <c:pt idx="786">
                  <c:v>Ava Max</c:v>
                </c:pt>
                <c:pt idx="787">
                  <c:v>Justin Quiles, Daddy Yankee, El Alfa</c:v>
                </c:pt>
                <c:pt idx="788">
                  <c:v>S1mba</c:v>
                </c:pt>
                <c:pt idx="789">
                  <c:v>Rauw Alejandro, Chencho Corleone, KEVVO, Bryant Myers, Lyanno, Dalex</c:v>
                </c:pt>
                <c:pt idx="790">
                  <c:v>BTS</c:v>
                </c:pt>
                <c:pt idx="791">
                  <c:v>Tory Lanez</c:v>
                </c:pt>
                <c:pt idx="792">
                  <c:v>Sub Urban</c:v>
                </c:pt>
                <c:pt idx="793">
                  <c:v>J. Cole</c:v>
                </c:pt>
                <c:pt idx="794">
                  <c:v>Bad Bunny</c:v>
                </c:pt>
                <c:pt idx="795">
                  <c:v>BTS</c:v>
                </c:pt>
                <c:pt idx="796">
                  <c:v>BTS</c:v>
                </c:pt>
                <c:pt idx="797">
                  <c:v>BTS</c:v>
                </c:pt>
                <c:pt idx="798">
                  <c:v>BTS</c:v>
                </c:pt>
                <c:pt idx="799">
                  <c:v>BTS</c:v>
                </c:pt>
                <c:pt idx="800">
                  <c:v>BTS</c:v>
                </c:pt>
                <c:pt idx="801">
                  <c:v>Taylor Swift</c:v>
                </c:pt>
                <c:pt idx="802">
                  <c:v>Post Malone</c:v>
                </c:pt>
                <c:pt idx="803">
                  <c:v>Barbara Pravi</c:v>
                </c:pt>
                <c:pt idx="804">
                  <c:v>Joji, Diplo</c:v>
                </c:pt>
                <c:pt idx="805">
                  <c:v>SAINt JHN</c:v>
                </c:pt>
                <c:pt idx="806">
                  <c:v>Blind Channel</c:v>
                </c:pt>
                <c:pt idx="807">
                  <c:v>Juice WRLD</c:v>
                </c:pt>
                <c:pt idx="808">
                  <c:v>DMX</c:v>
                </c:pt>
                <c:pt idx="809">
                  <c:v>Justin Bieber</c:v>
                </c:pt>
                <c:pt idx="810">
                  <c:v>Fousheé</c:v>
                </c:pt>
                <c:pt idx="811">
                  <c:v>Arcangel, Bad Bunny</c:v>
                </c:pt>
                <c:pt idx="812">
                  <c:v>Migos</c:v>
                </c:pt>
                <c:pt idx="813">
                  <c:v>Daddy Yankee</c:v>
                </c:pt>
                <c:pt idx="814">
                  <c:v>Myke Towers</c:v>
                </c:pt>
                <c:pt idx="815">
                  <c:v>Juice WRLD</c:v>
                </c:pt>
                <c:pt idx="816">
                  <c:v>Studio Killers</c:v>
                </c:pt>
                <c:pt idx="817">
                  <c:v>Sleepy Hallow, Fousheé</c:v>
                </c:pt>
                <c:pt idx="818">
                  <c:v>Stormzy</c:v>
                </c:pt>
                <c:pt idx="819">
                  <c:v>Booba, JSX</c:v>
                </c:pt>
                <c:pt idx="820">
                  <c:v>Aya Nakamura</c:v>
                </c:pt>
                <c:pt idx="821">
                  <c:v>Demi Lovato</c:v>
                </c:pt>
                <c:pt idx="822">
                  <c:v>Jonas Esticado</c:v>
                </c:pt>
                <c:pt idx="823">
                  <c:v>MAX</c:v>
                </c:pt>
                <c:pt idx="824">
                  <c:v>Jorge &amp; Mateus</c:v>
                </c:pt>
                <c:pt idx="825">
                  <c:v>Twenty One Pilots</c:v>
                </c:pt>
                <c:pt idx="826">
                  <c:v>Justin Quiles, Natti Natasha, Farruko</c:v>
                </c:pt>
                <c:pt idx="827">
                  <c:v>Polo G</c:v>
                </c:pt>
                <c:pt idx="828">
                  <c:v>13 Organisé, SCH, Kofs, Jul, Naps, Soso Maness, Elams, Solda, Houari</c:v>
                </c:pt>
                <c:pt idx="829">
                  <c:v>Lauv, LANY</c:v>
                </c:pt>
                <c:pt idx="830">
                  <c:v>Kawe, Mc Lele JP</c:v>
                </c:pt>
                <c:pt idx="831">
                  <c:v>Ozuna, KAROL G, Myke Towers</c:v>
                </c:pt>
                <c:pt idx="832">
                  <c:v>Jorge &amp; Mateus</c:v>
                </c:pt>
                <c:pt idx="833">
                  <c:v>Sam Smith</c:v>
                </c:pt>
                <c:pt idx="834">
                  <c:v>Jack Harlow</c:v>
                </c:pt>
                <c:pt idx="835">
                  <c:v>Erica Banks</c:v>
                </c:pt>
                <c:pt idx="836">
                  <c:v>Anitta</c:v>
                </c:pt>
                <c:pt idx="837">
                  <c:v>Calvin Harris</c:v>
                </c:pt>
                <c:pt idx="838">
                  <c:v>Machine Gun Kelly</c:v>
                </c:pt>
                <c:pt idx="839">
                  <c:v>Juice WRLD</c:v>
                </c:pt>
                <c:pt idx="840">
                  <c:v>J. Cole, Young Thug</c:v>
                </c:pt>
                <c:pt idx="841">
                  <c:v>Juice WRLD</c:v>
                </c:pt>
                <c:pt idx="842">
                  <c:v>Maluma</c:v>
                </c:pt>
                <c:pt idx="843">
                  <c:v>Bad Bunny</c:v>
                </c:pt>
                <c:pt idx="844">
                  <c:v>Justin Bieber</c:v>
                </c:pt>
                <c:pt idx="845">
                  <c:v>Megan Thee Stallion</c:v>
                </c:pt>
                <c:pt idx="846">
                  <c:v>Kygo, Zak Abel</c:v>
                </c:pt>
                <c:pt idx="847">
                  <c:v>Bad Bunny</c:v>
                </c:pt>
                <c:pt idx="848">
                  <c:v>Jhené Aiko</c:v>
                </c:pt>
                <c:pt idx="849">
                  <c:v>Pop Smoke</c:v>
                </c:pt>
                <c:pt idx="850">
                  <c:v>Bad Bunny</c:v>
                </c:pt>
                <c:pt idx="851">
                  <c:v>Dua Lipa</c:v>
                </c:pt>
                <c:pt idx="852">
                  <c:v>Shakira, Anuel AA</c:v>
                </c:pt>
                <c:pt idx="853">
                  <c:v>jxdn</c:v>
                </c:pt>
                <c:pt idx="854">
                  <c:v>Nicky Jam, Daddy Yankee</c:v>
                </c:pt>
                <c:pt idx="855">
                  <c:v>Bad Bunny, Don Omar</c:v>
                </c:pt>
                <c:pt idx="856">
                  <c:v>Twenty One Pilots</c:v>
                </c:pt>
                <c:pt idx="857">
                  <c:v>J. Cole</c:v>
                </c:pt>
                <c:pt idx="858">
                  <c:v>J. Cole</c:v>
                </c:pt>
                <c:pt idx="859">
                  <c:v>Drake</c:v>
                </c:pt>
                <c:pt idx="860">
                  <c:v>BTS</c:v>
                </c:pt>
                <c:pt idx="861">
                  <c:v>Ariana Grande</c:v>
                </c:pt>
                <c:pt idx="862">
                  <c:v>Lil Baby</c:v>
                </c:pt>
                <c:pt idx="863">
                  <c:v>Migos</c:v>
                </c:pt>
                <c:pt idx="864">
                  <c:v>Polo G</c:v>
                </c:pt>
                <c:pt idx="865">
                  <c:v>KSI</c:v>
                </c:pt>
                <c:pt idx="866">
                  <c:v>Lizzo</c:v>
                </c:pt>
                <c:pt idx="867">
                  <c:v>Miley Cyrus</c:v>
                </c:pt>
                <c:pt idx="868">
                  <c:v>Juice WRLD</c:v>
                </c:pt>
                <c:pt idx="869">
                  <c:v>Doja Cat</c:v>
                </c:pt>
                <c:pt idx="870">
                  <c:v>Bazzi</c:v>
                </c:pt>
                <c:pt idx="871">
                  <c:v>ROSÉ</c:v>
                </c:pt>
                <c:pt idx="872">
                  <c:v>KHEA</c:v>
                </c:pt>
                <c:pt idx="873">
                  <c:v>blackbear</c:v>
                </c:pt>
                <c:pt idx="874">
                  <c:v>Sarah Cothran</c:v>
                </c:pt>
                <c:pt idx="875">
                  <c:v>Taylor Swift</c:v>
                </c:pt>
                <c:pt idx="876">
                  <c:v>Taylor Swift</c:v>
                </c:pt>
                <c:pt idx="877">
                  <c:v>Pop Smoke</c:v>
                </c:pt>
                <c:pt idx="878">
                  <c:v>The Kid LAROI</c:v>
                </c:pt>
                <c:pt idx="879">
                  <c:v>Halsey</c:v>
                </c:pt>
                <c:pt idx="880">
                  <c:v>Justin Bieber</c:v>
                </c:pt>
                <c:pt idx="881">
                  <c:v>Sia</c:v>
                </c:pt>
                <c:pt idx="882">
                  <c:v>DJ Snake</c:v>
                </c:pt>
                <c:pt idx="883">
                  <c:v>BLACKPINK</c:v>
                </c:pt>
                <c:pt idx="884">
                  <c:v>Harry Nach</c:v>
                </c:pt>
                <c:pt idx="885">
                  <c:v>Childish Gambino</c:v>
                </c:pt>
                <c:pt idx="886">
                  <c:v>Juice WRLD</c:v>
                </c:pt>
                <c:pt idx="887">
                  <c:v>Bad Bunny</c:v>
                </c:pt>
                <c:pt idx="888">
                  <c:v>Alida, Robin Schulz</c:v>
                </c:pt>
                <c:pt idx="889">
                  <c:v>Vicetone, Tony Igy</c:v>
                </c:pt>
                <c:pt idx="890">
                  <c:v>Lil Baby</c:v>
                </c:pt>
                <c:pt idx="891">
                  <c:v>Christian Nodal</c:v>
                </c:pt>
                <c:pt idx="892">
                  <c:v>Ty Dolla $ign</c:v>
                </c:pt>
                <c:pt idx="893">
                  <c:v>Kygo, Donna Summer</c:v>
                </c:pt>
                <c:pt idx="894">
                  <c:v>J Balvin</c:v>
                </c:pt>
                <c:pt idx="895">
                  <c:v>Bad Bunny, Nicky Jam</c:v>
                </c:pt>
                <c:pt idx="896">
                  <c:v>Taylor Swift</c:v>
                </c:pt>
                <c:pt idx="897">
                  <c:v>Taylor Swift</c:v>
                </c:pt>
                <c:pt idx="898">
                  <c:v>Pashanim</c:v>
                </c:pt>
                <c:pt idx="899">
                  <c:v>Lizzo</c:v>
                </c:pt>
                <c:pt idx="900">
                  <c:v>J. Cole</c:v>
                </c:pt>
                <c:pt idx="901">
                  <c:v>Bad Bunny</c:v>
                </c:pt>
                <c:pt idx="902">
                  <c:v>J. Cole</c:v>
                </c:pt>
                <c:pt idx="903">
                  <c:v>Bad Bunny, ABRA</c:v>
                </c:pt>
                <c:pt idx="904">
                  <c:v>Juice WRLD</c:v>
                </c:pt>
                <c:pt idx="905">
                  <c:v>Eminem</c:v>
                </c:pt>
                <c:pt idx="906">
                  <c:v>Lil Uzi Vert, 21 Savage</c:v>
                </c:pt>
                <c:pt idx="907">
                  <c:v>Taylor Swift</c:v>
                </c:pt>
                <c:pt idx="908">
                  <c:v>BTS</c:v>
                </c:pt>
                <c:pt idx="909">
                  <c:v>Pop Smoke</c:v>
                </c:pt>
                <c:pt idx="910">
                  <c:v>Don Toliver</c:v>
                </c:pt>
                <c:pt idx="911">
                  <c:v>Nicki Minaj</c:v>
                </c:pt>
                <c:pt idx="912">
                  <c:v>Ant Saunders</c:v>
                </c:pt>
                <c:pt idx="913">
                  <c:v>Bad Bunny</c:v>
                </c:pt>
                <c:pt idx="914">
                  <c:v>Juice WRLD</c:v>
                </c:pt>
                <c:pt idx="915">
                  <c:v>Ariana Grande</c:v>
                </c:pt>
                <c:pt idx="916">
                  <c:v>Justin Bieber</c:v>
                </c:pt>
                <c:pt idx="917">
                  <c:v>NAV, Gunna</c:v>
                </c:pt>
                <c:pt idx="918">
                  <c:v>JACKBOYS, Travis Scott</c:v>
                </c:pt>
                <c:pt idx="919">
                  <c:v>Taylor Swift</c:v>
                </c:pt>
                <c:pt idx="920">
                  <c:v>Rauw Alejandro</c:v>
                </c:pt>
                <c:pt idx="921">
                  <c:v>KASIMIR1441, badmómzjay, WILDBWOYS</c:v>
                </c:pt>
                <c:pt idx="922">
                  <c:v>Bad Bunny</c:v>
                </c:pt>
                <c:pt idx="923">
                  <c:v>Lil Tjay</c:v>
                </c:pt>
                <c:pt idx="924">
                  <c:v>Morgan Wallen</c:v>
                </c:pt>
                <c:pt idx="925">
                  <c:v>Selena Gomez</c:v>
                </c:pt>
                <c:pt idx="926">
                  <c:v>XXXTENTACION</c:v>
                </c:pt>
                <c:pt idx="927">
                  <c:v>Morgan Wallen</c:v>
                </c:pt>
                <c:pt idx="928">
                  <c:v>Daði Freyr</c:v>
                </c:pt>
                <c:pt idx="929">
                  <c:v>Nicky Jam, Anuel AA</c:v>
                </c:pt>
                <c:pt idx="930">
                  <c:v>Taylor Swift</c:v>
                </c:pt>
                <c:pt idx="931">
                  <c:v>C. Tangana, Ed Maverick</c:v>
                </c:pt>
                <c:pt idx="932">
                  <c:v>Taylor Swift</c:v>
                </c:pt>
                <c:pt idx="933">
                  <c:v>Red Velvet - IRENE &amp; SEULGI</c:v>
                </c:pt>
                <c:pt idx="934">
                  <c:v>Jonas Brothers</c:v>
                </c:pt>
                <c:pt idx="935">
                  <c:v>Matuê</c:v>
                </c:pt>
                <c:pt idx="936">
                  <c:v>Sech, J Balvin</c:v>
                </c:pt>
                <c:pt idx="937">
                  <c:v>Jhay Cortez, Anuel AA, J Balvin</c:v>
                </c:pt>
                <c:pt idx="938">
                  <c:v>BTS</c:v>
                </c:pt>
                <c:pt idx="939">
                  <c:v>Madison Beer</c:v>
                </c:pt>
                <c:pt idx="940">
                  <c:v>Apache 207</c:v>
                </c:pt>
                <c:pt idx="941">
                  <c:v>Feid, J Balvin, Justin Quiles</c:v>
                </c:pt>
                <c:pt idx="942">
                  <c:v>6ix9ine</c:v>
                </c:pt>
                <c:pt idx="943">
                  <c:v>Kygo, Sasha Alex Sloan</c:v>
                </c:pt>
                <c:pt idx="944">
                  <c:v>K/DA, (G)I-DLE, Wolftyla, Bea Miller, League of Legends</c:v>
                </c:pt>
                <c:pt idx="945">
                  <c:v>Lil Baby</c:v>
                </c:pt>
                <c:pt idx="946">
                  <c:v>Internet Money, Diplo</c:v>
                </c:pt>
                <c:pt idx="947">
                  <c:v>Conkarah</c:v>
                </c:pt>
                <c:pt idx="948">
                  <c:v>Taylor Swift</c:v>
                </c:pt>
                <c:pt idx="949">
                  <c:v>TWICE</c:v>
                </c:pt>
                <c:pt idx="950">
                  <c:v>Lady Gaga</c:v>
                </c:pt>
                <c:pt idx="951">
                  <c:v>Sam Smith</c:v>
                </c:pt>
                <c:pt idx="952">
                  <c:v>Camilo, Evaluna Montaner</c:v>
                </c:pt>
                <c:pt idx="953">
                  <c:v>Rauw Alejandro, Anuel AA, Natti Natasha, Farruko, Lunay</c:v>
                </c:pt>
                <c:pt idx="954">
                  <c:v>Rod Wave</c:v>
                </c:pt>
                <c:pt idx="955">
                  <c:v>Taylor Swift</c:v>
                </c:pt>
                <c:pt idx="956">
                  <c:v>Young Stoner Life, Young Thug, Gunna</c:v>
                </c:pt>
                <c:pt idx="957">
                  <c:v>Joji</c:v>
                </c:pt>
                <c:pt idx="958">
                  <c:v>Sfera Ebbasta</c:v>
                </c:pt>
                <c:pt idx="959">
                  <c:v>BTS</c:v>
                </c:pt>
                <c:pt idx="960">
                  <c:v>Bad Bunny, Duki, Pablo Chill-E</c:v>
                </c:pt>
                <c:pt idx="961">
                  <c:v>JACKBOYS, Sheck Wes</c:v>
                </c:pt>
                <c:pt idx="962">
                  <c:v>NF</c:v>
                </c:pt>
                <c:pt idx="963">
                  <c:v>Justin Bieber</c:v>
                </c:pt>
                <c:pt idx="964">
                  <c:v>Khalid</c:v>
                </c:pt>
                <c:pt idx="965">
                  <c:v>Anitta</c:v>
                </c:pt>
                <c:pt idx="966">
                  <c:v>Lil Uzi Vert</c:v>
                </c:pt>
                <c:pt idx="967">
                  <c:v>Internet Money</c:v>
                </c:pt>
                <c:pt idx="968">
                  <c:v>Bad Bunny, Ñengo Flow</c:v>
                </c:pt>
                <c:pt idx="969">
                  <c:v>Joji</c:v>
                </c:pt>
                <c:pt idx="970">
                  <c:v>Taylor Swift</c:v>
                </c:pt>
                <c:pt idx="971">
                  <c:v>Bad Bunny</c:v>
                </c:pt>
                <c:pt idx="972">
                  <c:v>Justin Bieber</c:v>
                </c:pt>
                <c:pt idx="973">
                  <c:v>Juice WRLD</c:v>
                </c:pt>
                <c:pt idx="974">
                  <c:v>Ariana Grande</c:v>
                </c:pt>
                <c:pt idx="975">
                  <c:v>Ali Gatie</c:v>
                </c:pt>
                <c:pt idx="976">
                  <c:v>Gjon's Tears</c:v>
                </c:pt>
                <c:pt idx="977">
                  <c:v>Juice WRLD</c:v>
                </c:pt>
                <c:pt idx="978">
                  <c:v>BLACKPINK</c:v>
                </c:pt>
                <c:pt idx="979">
                  <c:v>Tame Impala</c:v>
                </c:pt>
                <c:pt idx="980">
                  <c:v>DaBaby</c:v>
                </c:pt>
                <c:pt idx="981">
                  <c:v>ZAYN</c:v>
                </c:pt>
                <c:pt idx="982">
                  <c:v>Ariana Grande</c:v>
                </c:pt>
                <c:pt idx="983">
                  <c:v>Banda MS de Sergio Lizárraga, Snoop Dogg</c:v>
                </c:pt>
                <c:pt idx="984">
                  <c:v>21 Savage, Metro Boomin</c:v>
                </c:pt>
                <c:pt idx="985">
                  <c:v>The Weeknd</c:v>
                </c:pt>
                <c:pt idx="986">
                  <c:v>Camila Cabello</c:v>
                </c:pt>
                <c:pt idx="987">
                  <c:v>Sam Smith</c:v>
                </c:pt>
                <c:pt idx="988">
                  <c:v>Bebe Rexha</c:v>
                </c:pt>
                <c:pt idx="989">
                  <c:v>Os Barões Da Pisadinha</c:v>
                </c:pt>
                <c:pt idx="990">
                  <c:v>Bad Bunny</c:v>
                </c:pt>
                <c:pt idx="991">
                  <c:v>Daddy Yankee, Anuel AA, Kendo Kaponi</c:v>
                </c:pt>
                <c:pt idx="992">
                  <c:v>Polo G</c:v>
                </c:pt>
                <c:pt idx="993">
                  <c:v>El Alfa, Chael Produciendo</c:v>
                </c:pt>
                <c:pt idx="994">
                  <c:v>Lil Yachty</c:v>
                </c:pt>
                <c:pt idx="995">
                  <c:v>Headie One</c:v>
                </c:pt>
                <c:pt idx="996">
                  <c:v>Lil Yachty</c:v>
                </c:pt>
                <c:pt idx="997">
                  <c:v>Anuel AA</c:v>
                </c:pt>
                <c:pt idx="998">
                  <c:v>Jason Derulo, Puri, Jhorrmountain</c:v>
                </c:pt>
                <c:pt idx="999">
                  <c:v>Aya Nakamura</c:v>
                </c:pt>
                <c:pt idx="1000">
                  <c:v>Arcangel, Sech, Romeo Santos</c:v>
                </c:pt>
                <c:pt idx="1001">
                  <c:v>Bad Bunny, Anuel AA</c:v>
                </c:pt>
                <c:pt idx="1002">
                  <c:v>Lil Baby</c:v>
                </c:pt>
                <c:pt idx="1003">
                  <c:v>Trippie Redd, PARTYNEXTDOOR</c:v>
                </c:pt>
                <c:pt idx="1004">
                  <c:v>Doja Cat</c:v>
                </c:pt>
                <c:pt idx="1005">
                  <c:v>Lunay, Myke Towers, Ozuna, Chencho Corleone, Rauw Alejandro</c:v>
                </c:pt>
                <c:pt idx="1006">
                  <c:v>Shawn Mendes</c:v>
                </c:pt>
                <c:pt idx="1007">
                  <c:v>Bryson Tiller</c:v>
                </c:pt>
                <c:pt idx="1008">
                  <c:v>BTS</c:v>
                </c:pt>
                <c:pt idx="1009">
                  <c:v>Justin Bieber</c:v>
                </c:pt>
                <c:pt idx="1010">
                  <c:v>Travis Scott</c:v>
                </c:pt>
                <c:pt idx="1011">
                  <c:v>Lauv</c:v>
                </c:pt>
                <c:pt idx="1012">
                  <c:v>Billie Eilish</c:v>
                </c:pt>
                <c:pt idx="1013">
                  <c:v>Bausa, Apache 207</c:v>
                </c:pt>
                <c:pt idx="1014">
                  <c:v>Lil Baby</c:v>
                </c:pt>
                <c:pt idx="1015">
                  <c:v>Niall Horan</c:v>
                </c:pt>
                <c:pt idx="1016">
                  <c:v>Michael Jackson</c:v>
                </c:pt>
                <c:pt idx="1017">
                  <c:v>A Boogie Wit da Hoodie</c:v>
                </c:pt>
                <c:pt idx="1018">
                  <c:v>Joji</c:v>
                </c:pt>
                <c:pt idx="1019">
                  <c:v>Lunay, Ozuna, Anuel AA</c:v>
                </c:pt>
                <c:pt idx="1020">
                  <c:v>Selena Gomez</c:v>
                </c:pt>
                <c:pt idx="1021">
                  <c:v>SZA, Justin Timberlake</c:v>
                </c:pt>
                <c:pt idx="1022">
                  <c:v>Curtis Waters</c:v>
                </c:pt>
                <c:pt idx="1023">
                  <c:v>G-Eazy</c:v>
                </c:pt>
                <c:pt idx="1024">
                  <c:v>Roddy Ricch</c:v>
                </c:pt>
                <c:pt idx="1025">
                  <c:v>BLACKPINK</c:v>
                </c:pt>
                <c:pt idx="1026">
                  <c:v>Taylor Swift</c:v>
                </c:pt>
                <c:pt idx="1027">
                  <c:v>Khalid</c:v>
                </c:pt>
                <c:pt idx="1028">
                  <c:v>ZAYN</c:v>
                </c:pt>
                <c:pt idx="1029">
                  <c:v>Travis Scott, Young Thug</c:v>
                </c:pt>
                <c:pt idx="1030">
                  <c:v>Morgan Wallen</c:v>
                </c:pt>
                <c:pt idx="1031">
                  <c:v>Katy Perry</c:v>
                </c:pt>
                <c:pt idx="1032">
                  <c:v>YNW Melly</c:v>
                </c:pt>
                <c:pt idx="1033">
                  <c:v>Sam Smith</c:v>
                </c:pt>
                <c:pt idx="1034">
                  <c:v>Anuel AA</c:v>
                </c:pt>
                <c:pt idx="1035">
                  <c:v>Mc Zaac, Anitta, Tyga</c:v>
                </c:pt>
                <c:pt idx="1036">
                  <c:v>Kehlani</c:v>
                </c:pt>
                <c:pt idx="1037">
                  <c:v>Os Barões Da Pisadinha, Xand Avião</c:v>
                </c:pt>
                <c:pt idx="1038">
                  <c:v>KitschKrieg, Jamule, SFR</c:v>
                </c:pt>
                <c:pt idx="1039">
                  <c:v>iann dior</c:v>
                </c:pt>
                <c:pt idx="1040">
                  <c:v>Headie One, Drake</c:v>
                </c:pt>
                <c:pt idx="1041">
                  <c:v>Kygo, Zara Larsson, Tyga</c:v>
                </c:pt>
                <c:pt idx="1042">
                  <c:v>Bad Bunny</c:v>
                </c:pt>
                <c:pt idx="1043">
                  <c:v>Bad Bunny</c:v>
                </c:pt>
                <c:pt idx="1044">
                  <c:v>Lil Uzi Vert</c:v>
                </c:pt>
                <c:pt idx="1045">
                  <c:v>Lil Uzi Vert</c:v>
                </c:pt>
                <c:pt idx="1046">
                  <c:v>Pop Smoke</c:v>
                </c:pt>
                <c:pt idx="1047">
                  <c:v>Justin Bieber</c:v>
                </c:pt>
                <c:pt idx="1048">
                  <c:v>Mac Miller</c:v>
                </c:pt>
                <c:pt idx="1049">
                  <c:v>Joji</c:v>
                </c:pt>
                <c:pt idx="1050">
                  <c:v>BLACKPINK</c:v>
                </c:pt>
                <c:pt idx="1051">
                  <c:v>Taylor Swift</c:v>
                </c:pt>
                <c:pt idx="1052">
                  <c:v>J Balvin</c:v>
                </c:pt>
                <c:pt idx="1053">
                  <c:v>Gunna</c:v>
                </c:pt>
                <c:pt idx="1054">
                  <c:v>Taylor Swift</c:v>
                </c:pt>
                <c:pt idx="1055">
                  <c:v>Lil Baby</c:v>
                </c:pt>
                <c:pt idx="1056">
                  <c:v>The Weeknd</c:v>
                </c:pt>
                <c:pt idx="1057">
                  <c:v>BTS</c:v>
                </c:pt>
                <c:pt idx="1058">
                  <c:v>The Chainsmokers, Kygo</c:v>
                </c:pt>
                <c:pt idx="1059">
                  <c:v>Drake</c:v>
                </c:pt>
                <c:pt idx="1060">
                  <c:v>Taylor Swift</c:v>
                </c:pt>
                <c:pt idx="1061">
                  <c:v>Tom Odell</c:v>
                </c:pt>
                <c:pt idx="1062">
                  <c:v>Taylor Swift</c:v>
                </c:pt>
                <c:pt idx="1063">
                  <c:v>The Weeknd</c:v>
                </c:pt>
                <c:pt idx="1064">
                  <c:v>The Weeknd</c:v>
                </c:pt>
                <c:pt idx="1065">
                  <c:v>Dalex, Lenny Tavárez, Anitta, Natti Natasha, Farruko, Justin Quiles</c:v>
                </c:pt>
                <c:pt idx="1066">
                  <c:v>Demi Lovato</c:v>
                </c:pt>
                <c:pt idx="1067">
                  <c:v>Lil Uzi Vert</c:v>
                </c:pt>
                <c:pt idx="1068">
                  <c:v>Justin Bieber</c:v>
                </c:pt>
                <c:pt idx="1069">
                  <c:v>Francesca Michielin, Fedez</c:v>
                </c:pt>
                <c:pt idx="1070">
                  <c:v>Apache 207</c:v>
                </c:pt>
                <c:pt idx="1071">
                  <c:v>Ariana Grande</c:v>
                </c:pt>
                <c:pt idx="1072">
                  <c:v>The Weeknd</c:v>
                </c:pt>
                <c:pt idx="1073">
                  <c:v>Katy Perry</c:v>
                </c:pt>
                <c:pt idx="1074">
                  <c:v>Lil Uzi Vert</c:v>
                </c:pt>
                <c:pt idx="1075">
                  <c:v>187 Strassenbande, Bonez MC, Frauenarzt</c:v>
                </c:pt>
                <c:pt idx="1076">
                  <c:v>Anuel AA</c:v>
                </c:pt>
                <c:pt idx="1077">
                  <c:v>Tarcísio do Acordeon</c:v>
                </c:pt>
                <c:pt idx="1078">
                  <c:v>Bad Bunny, Zion &amp; Lennox</c:v>
                </c:pt>
                <c:pt idx="1079">
                  <c:v>Joji, BENEE</c:v>
                </c:pt>
                <c:pt idx="1080">
                  <c:v>Sech, Ozuna</c:v>
                </c:pt>
                <c:pt idx="1081">
                  <c:v>Travis Scott</c:v>
                </c:pt>
                <c:pt idx="1082">
                  <c:v>Lil Uzi Vert</c:v>
                </c:pt>
                <c:pt idx="1083">
                  <c:v>5 Seconds of Summer</c:v>
                </c:pt>
                <c:pt idx="1084">
                  <c:v>Anuel AA</c:v>
                </c:pt>
                <c:pt idx="1085">
                  <c:v>Robin Schulz, Wes</c:v>
                </c:pt>
                <c:pt idx="1086">
                  <c:v>Lana Del Rey</c:v>
                </c:pt>
                <c:pt idx="1087">
                  <c:v>Bad Bunny</c:v>
                </c:pt>
                <c:pt idx="1088">
                  <c:v>Kid Cudi</c:v>
                </c:pt>
                <c:pt idx="1089">
                  <c:v>NAV</c:v>
                </c:pt>
                <c:pt idx="1090">
                  <c:v>The Weeknd</c:v>
                </c:pt>
                <c:pt idx="1091">
                  <c:v>Bring Me The Horizon</c:v>
                </c:pt>
                <c:pt idx="1092">
                  <c:v>Anuel AA</c:v>
                </c:pt>
                <c:pt idx="1093">
                  <c:v>Juanfran</c:v>
                </c:pt>
                <c:pt idx="1094">
                  <c:v>Future</c:v>
                </c:pt>
                <c:pt idx="1095">
                  <c:v>Dua Lipa</c:v>
                </c:pt>
                <c:pt idx="1096">
                  <c:v>Taylor Swift</c:v>
                </c:pt>
                <c:pt idx="1097">
                  <c:v>Taylor Swift</c:v>
                </c:pt>
                <c:pt idx="1098">
                  <c:v>Taylor Swift</c:v>
                </c:pt>
                <c:pt idx="1099">
                  <c:v>Bad Bunny</c:v>
                </c:pt>
                <c:pt idx="1100">
                  <c:v>Justin Bieber</c:v>
                </c:pt>
                <c:pt idx="1101">
                  <c:v>Justin Bieber</c:v>
                </c:pt>
                <c:pt idx="1102">
                  <c:v>Pop Smoke</c:v>
                </c:pt>
                <c:pt idx="1103">
                  <c:v>Taylor Swift</c:v>
                </c:pt>
                <c:pt idx="1104">
                  <c:v>Taylor Swift</c:v>
                </c:pt>
                <c:pt idx="1105">
                  <c:v>Taylor Swift</c:v>
                </c:pt>
                <c:pt idx="1106">
                  <c:v>Pop Smoke</c:v>
                </c:pt>
                <c:pt idx="1107">
                  <c:v>Eminem</c:v>
                </c:pt>
                <c:pt idx="1108">
                  <c:v>Tame Impala</c:v>
                </c:pt>
                <c:pt idx="1109">
                  <c:v>The Weeknd</c:v>
                </c:pt>
                <c:pt idx="1110">
                  <c:v>Taylor Swift</c:v>
                </c:pt>
                <c:pt idx="1111">
                  <c:v>Henrique &amp; Juliano</c:v>
                </c:pt>
                <c:pt idx="1112">
                  <c:v>Taylor Swift</c:v>
                </c:pt>
                <c:pt idx="1113">
                  <c:v>The Weeknd</c:v>
                </c:pt>
                <c:pt idx="1114">
                  <c:v>Bad Bunny, Kendo Kaponi, Arcangel</c:v>
                </c:pt>
                <c:pt idx="1115">
                  <c:v>Joji</c:v>
                </c:pt>
                <c:pt idx="1116">
                  <c:v>Lil Baby</c:v>
                </c:pt>
                <c:pt idx="1117">
                  <c:v>Tory Lanez</c:v>
                </c:pt>
                <c:pt idx="1118">
                  <c:v>Kygo, Kim Petras</c:v>
                </c:pt>
                <c:pt idx="1119">
                  <c:v>Demi Lovato</c:v>
                </c:pt>
                <c:pt idx="1120">
                  <c:v>Eminem</c:v>
                </c:pt>
                <c:pt idx="1121">
                  <c:v>Don Toliver</c:v>
                </c:pt>
                <c:pt idx="1122">
                  <c:v>The Weeknd</c:v>
                </c:pt>
                <c:pt idx="1123">
                  <c:v>Taylor Swift</c:v>
                </c:pt>
                <c:pt idx="1124">
                  <c:v>Daddy Yankee, Sech</c:v>
                </c:pt>
                <c:pt idx="1125">
                  <c:v>Shablo</c:v>
                </c:pt>
                <c:pt idx="1126">
                  <c:v>Joji</c:v>
                </c:pt>
                <c:pt idx="1127">
                  <c:v>Rich Music LTD, Sech, Dalex, Justin Quiles, Lenny Tavárez, Feid</c:v>
                </c:pt>
                <c:pt idx="1128">
                  <c:v>J. Cole</c:v>
                </c:pt>
                <c:pt idx="1129">
                  <c:v>NF, Hopsin</c:v>
                </c:pt>
                <c:pt idx="1130">
                  <c:v>Gusttavo Lima</c:v>
                </c:pt>
                <c:pt idx="1131">
                  <c:v>Ariana Grande</c:v>
                </c:pt>
                <c:pt idx="1132">
                  <c:v>Petter Ferraz, Menor Nico</c:v>
                </c:pt>
                <c:pt idx="1133">
                  <c:v>DaBaby</c:v>
                </c:pt>
                <c:pt idx="1134">
                  <c:v>Niack</c:v>
                </c:pt>
                <c:pt idx="1135">
                  <c:v>Jorge &amp; Mateus</c:v>
                </c:pt>
                <c:pt idx="1136">
                  <c:v>Lil Yachty</c:v>
                </c:pt>
                <c:pt idx="1137">
                  <c:v>Jowell &amp; Randy, J Balvin</c:v>
                </c:pt>
                <c:pt idx="1138">
                  <c:v>Maroon 5</c:v>
                </c:pt>
                <c:pt idx="1139">
                  <c:v>J Balvin</c:v>
                </c:pt>
                <c:pt idx="1140">
                  <c:v>Mariah Carey</c:v>
                </c:pt>
                <c:pt idx="1141">
                  <c:v>Taylor Swift</c:v>
                </c:pt>
                <c:pt idx="1142">
                  <c:v>21 Savage, Metro Boomin</c:v>
                </c:pt>
                <c:pt idx="1143">
                  <c:v>Dua Lipa</c:v>
                </c:pt>
                <c:pt idx="1144">
                  <c:v>Dua Lipa</c:v>
                </c:pt>
                <c:pt idx="1145">
                  <c:v>Taylor Swift</c:v>
                </c:pt>
                <c:pt idx="1146">
                  <c:v>Eminem</c:v>
                </c:pt>
                <c:pt idx="1147">
                  <c:v>J Balvin</c:v>
                </c:pt>
                <c:pt idx="1148">
                  <c:v>Residente</c:v>
                </c:pt>
                <c:pt idx="1149">
                  <c:v>DaBaby</c:v>
                </c:pt>
                <c:pt idx="1150">
                  <c:v>Taylor Swift</c:v>
                </c:pt>
                <c:pt idx="1151">
                  <c:v>Lil Uzi Vert</c:v>
                </c:pt>
                <c:pt idx="1152">
                  <c:v>Eminem</c:v>
                </c:pt>
                <c:pt idx="1153">
                  <c:v>Anne-Marie</c:v>
                </c:pt>
                <c:pt idx="1154">
                  <c:v>Lana Del Rey</c:v>
                </c:pt>
                <c:pt idx="1155">
                  <c:v>5 Seconds of Summer</c:v>
                </c:pt>
                <c:pt idx="1156">
                  <c:v>Maes, Booba</c:v>
                </c:pt>
                <c:pt idx="1157">
                  <c:v>Joji</c:v>
                </c:pt>
                <c:pt idx="1158">
                  <c:v>Taylor Swift</c:v>
                </c:pt>
                <c:pt idx="1159">
                  <c:v>Ufo361, CÉLINE</c:v>
                </c:pt>
                <c:pt idx="1160">
                  <c:v>Niall Horan</c:v>
                </c:pt>
                <c:pt idx="1161">
                  <c:v>Trippie Redd, DaBaby</c:v>
                </c:pt>
                <c:pt idx="1162">
                  <c:v>Ufo361</c:v>
                </c:pt>
                <c:pt idx="1163">
                  <c:v>Lil Uzi Vert</c:v>
                </c:pt>
                <c:pt idx="1164">
                  <c:v>Ariana Grande</c:v>
                </c:pt>
                <c:pt idx="1165">
                  <c:v>6ix9ine</c:v>
                </c:pt>
                <c:pt idx="1166">
                  <c:v>Cordae</c:v>
                </c:pt>
                <c:pt idx="1167">
                  <c:v>Little Mix</c:v>
                </c:pt>
                <c:pt idx="1168">
                  <c:v>Taylor Swift</c:v>
                </c:pt>
                <c:pt idx="1169">
                  <c:v>Taylor Swift</c:v>
                </c:pt>
                <c:pt idx="1170">
                  <c:v>Taylor Swift</c:v>
                </c:pt>
                <c:pt idx="1171">
                  <c:v>Taylor Swift</c:v>
                </c:pt>
                <c:pt idx="1172">
                  <c:v>Kid Cudi</c:v>
                </c:pt>
                <c:pt idx="1173">
                  <c:v>Lady Gaga</c:v>
                </c:pt>
                <c:pt idx="1174">
                  <c:v>Drake</c:v>
                </c:pt>
                <c:pt idx="1175">
                  <c:v>Mac Miller</c:v>
                </c:pt>
                <c:pt idx="1176">
                  <c:v>Eminem</c:v>
                </c:pt>
                <c:pt idx="1177">
                  <c:v>Drake</c:v>
                </c:pt>
                <c:pt idx="1178">
                  <c:v>Mac Miller</c:v>
                </c:pt>
                <c:pt idx="1179">
                  <c:v>J. Cole</c:v>
                </c:pt>
                <c:pt idx="1180">
                  <c:v>21 Savage, Metro Boomin</c:v>
                </c:pt>
                <c:pt idx="1181">
                  <c:v>Drake</c:v>
                </c:pt>
                <c:pt idx="1182">
                  <c:v>J Balvin</c:v>
                </c:pt>
                <c:pt idx="1183">
                  <c:v>Drake</c:v>
                </c:pt>
                <c:pt idx="1184">
                  <c:v>Dua Lipa</c:v>
                </c:pt>
                <c:pt idx="1185">
                  <c:v>The Weeknd</c:v>
                </c:pt>
                <c:pt idx="1186">
                  <c:v>Taylor Swift</c:v>
                </c:pt>
                <c:pt idx="1187">
                  <c:v>Selena Gomez</c:v>
                </c:pt>
                <c:pt idx="1188">
                  <c:v>BTS</c:v>
                </c:pt>
                <c:pt idx="1189">
                  <c:v>Pop Smoke, Rowdy Rebel</c:v>
                </c:pt>
                <c:pt idx="1190">
                  <c:v>Taylor Swift</c:v>
                </c:pt>
                <c:pt idx="1191">
                  <c:v>Bad Bunny</c:v>
                </c:pt>
                <c:pt idx="1192">
                  <c:v>Shirin David</c:v>
                </c:pt>
                <c:pt idx="1193">
                  <c:v>Kanye West, Travis Scott</c:v>
                </c:pt>
                <c:pt idx="1194">
                  <c:v>Eminem</c:v>
                </c:pt>
                <c:pt idx="1195">
                  <c:v>Miksu / Macloud, Summer Cem, Luciano, Jamule</c:v>
                </c:pt>
                <c:pt idx="1196">
                  <c:v>Bad Bunny, Myke Towers</c:v>
                </c:pt>
                <c:pt idx="1197">
                  <c:v>Taylor Swift</c:v>
                </c:pt>
                <c:pt idx="1198">
                  <c:v>Future, Lil Uzi Vert</c:v>
                </c:pt>
                <c:pt idx="1199">
                  <c:v>Anitta, Lexa, Luísa Sonza</c:v>
                </c:pt>
                <c:pt idx="1200">
                  <c:v>Saweetie</c:v>
                </c:pt>
                <c:pt idx="1201">
                  <c:v>PEDRO SAMPAIO, Felipe Original, JS o Mão de Ouro</c:v>
                </c:pt>
                <c:pt idx="1202">
                  <c:v>Bosh</c:v>
                </c:pt>
                <c:pt idx="1203">
                  <c:v>NLE Choppa</c:v>
                </c:pt>
                <c:pt idx="1204">
                  <c:v>Rvssian, Anuel AA, Juice WRLD</c:v>
                </c:pt>
                <c:pt idx="1205">
                  <c:v>Bonez MC</c:v>
                </c:pt>
                <c:pt idx="1206">
                  <c:v>blackbear</c:v>
                </c:pt>
                <c:pt idx="1207">
                  <c:v>Wham!</c:v>
                </c:pt>
                <c:pt idx="1208">
                  <c:v>Ariana Grande</c:v>
                </c:pt>
                <c:pt idx="1209">
                  <c:v>Future, Drake, Young Thug</c:v>
                </c:pt>
                <c:pt idx="1210">
                  <c:v>The Weeknd</c:v>
                </c:pt>
                <c:pt idx="1211">
                  <c:v>Lil Uzi Vert</c:v>
                </c:pt>
                <c:pt idx="1212">
                  <c:v>Eminem</c:v>
                </c:pt>
                <c:pt idx="1213">
                  <c:v>Lady Gaga</c:v>
                </c:pt>
                <c:pt idx="1214">
                  <c:v>The Weeknd</c:v>
                </c:pt>
                <c:pt idx="1215">
                  <c:v>Justin Bieber</c:v>
                </c:pt>
                <c:pt idx="1216">
                  <c:v>Kid Cudi</c:v>
                </c:pt>
                <c:pt idx="1217">
                  <c:v>Lady Gaga</c:v>
                </c:pt>
                <c:pt idx="1218">
                  <c:v>Pop Smoke</c:v>
                </c:pt>
                <c:pt idx="1219">
                  <c:v>Bad Bunny</c:v>
                </c:pt>
                <c:pt idx="1220">
                  <c:v>Playboi Carti</c:v>
                </c:pt>
                <c:pt idx="1221">
                  <c:v>Dua Lipa</c:v>
                </c:pt>
                <c:pt idx="1222">
                  <c:v>Taylor Swift</c:v>
                </c:pt>
                <c:pt idx="1223">
                  <c:v>21 Savage, Metro Boomin</c:v>
                </c:pt>
                <c:pt idx="1224">
                  <c:v>J Balvin, Sky Rompiendo</c:v>
                </c:pt>
                <c:pt idx="1225">
                  <c:v>Joker Bra, VIZE</c:v>
                </c:pt>
                <c:pt idx="1226">
                  <c:v>Ariana Grande</c:v>
                </c:pt>
                <c:pt idx="1227">
                  <c:v>Gunna</c:v>
                </c:pt>
                <c:pt idx="1228">
                  <c:v>Roddy Ricch</c:v>
                </c:pt>
                <c:pt idx="1229">
                  <c:v>Taylor Swift</c:v>
                </c:pt>
                <c:pt idx="1230">
                  <c:v>Lil Uzi Vert</c:v>
                </c:pt>
                <c:pt idx="1231">
                  <c:v>Lil Uzi Vert</c:v>
                </c:pt>
                <c:pt idx="1232">
                  <c:v>Sfera Ebbasta</c:v>
                </c:pt>
                <c:pt idx="1233">
                  <c:v>Bonez MC</c:v>
                </c:pt>
                <c:pt idx="1234">
                  <c:v>Dalex, Sech</c:v>
                </c:pt>
                <c:pt idx="1235">
                  <c:v>Lil Tecca</c:v>
                </c:pt>
                <c:pt idx="1236">
                  <c:v>Drake</c:v>
                </c:pt>
                <c:pt idx="1237">
                  <c:v>Selena Gomez</c:v>
                </c:pt>
                <c:pt idx="1238">
                  <c:v>Miley Cyrus</c:v>
                </c:pt>
                <c:pt idx="1239">
                  <c:v>KAROL G, Anuel AA</c:v>
                </c:pt>
                <c:pt idx="1240">
                  <c:v>StaySolidRocky, Lil Uzi Vert</c:v>
                </c:pt>
                <c:pt idx="1241">
                  <c:v>Taylor Swift</c:v>
                </c:pt>
                <c:pt idx="1242">
                  <c:v>Eminem</c:v>
                </c:pt>
                <c:pt idx="1243">
                  <c:v>Lil Uzi Vert</c:v>
                </c:pt>
                <c:pt idx="1244">
                  <c:v>Mac Miller</c:v>
                </c:pt>
                <c:pt idx="1245">
                  <c:v>Ariana Grande</c:v>
                </c:pt>
                <c:pt idx="1246">
                  <c:v>Ariana Grande</c:v>
                </c:pt>
                <c:pt idx="1247">
                  <c:v>Eminem</c:v>
                </c:pt>
                <c:pt idx="1248">
                  <c:v>Justin Bieber</c:v>
                </c:pt>
                <c:pt idx="1249">
                  <c:v>Eminem</c:v>
                </c:pt>
                <c:pt idx="1250">
                  <c:v>Mac Miller</c:v>
                </c:pt>
                <c:pt idx="1251">
                  <c:v>DaBaby</c:v>
                </c:pt>
                <c:pt idx="1252">
                  <c:v>Kid Cudi</c:v>
                </c:pt>
                <c:pt idx="1253">
                  <c:v>Justin Bieber</c:v>
                </c:pt>
                <c:pt idx="1254">
                  <c:v>Gzuz</c:v>
                </c:pt>
                <c:pt idx="1255">
                  <c:v>DaBaby</c:v>
                </c:pt>
                <c:pt idx="1256">
                  <c:v>Big Sean</c:v>
                </c:pt>
                <c:pt idx="1257">
                  <c:v>Kontra K</c:v>
                </c:pt>
                <c:pt idx="1258">
                  <c:v>5 Seconds of Summer</c:v>
                </c:pt>
                <c:pt idx="1259">
                  <c:v>Bad Bunny, Gabriela</c:v>
                </c:pt>
                <c:pt idx="1260">
                  <c:v>Dua Lipa</c:v>
                </c:pt>
                <c:pt idx="1261">
                  <c:v>Selena Gomez</c:v>
                </c:pt>
                <c:pt idx="1262">
                  <c:v>Juju, Loredana, Miksu / Macloud</c:v>
                </c:pt>
                <c:pt idx="1263">
                  <c:v>Sam Smith</c:v>
                </c:pt>
                <c:pt idx="1264">
                  <c:v>Damso, Hamza</c:v>
                </c:pt>
                <c:pt idx="1265">
                  <c:v>Damso</c:v>
                </c:pt>
                <c:pt idx="1266">
                  <c:v>J Balvin, Mr Eazi</c:v>
                </c:pt>
                <c:pt idx="1267">
                  <c:v>21 Savage, Metro Boomin</c:v>
                </c:pt>
                <c:pt idx="1268">
                  <c:v>Eminem</c:v>
                </c:pt>
                <c:pt idx="1269">
                  <c:v>Bausa, Juju</c:v>
                </c:pt>
                <c:pt idx="1270">
                  <c:v>Gradur, Heuss L'enfoiré</c:v>
                </c:pt>
                <c:pt idx="1271">
                  <c:v>Pop Smoke</c:v>
                </c:pt>
                <c:pt idx="1272">
                  <c:v>Apache 207</c:v>
                </c:pt>
                <c:pt idx="1273">
                  <c:v>NLE Choppa</c:v>
                </c:pt>
                <c:pt idx="1274">
                  <c:v>Sech, Daddy Yankee</c:v>
                </c:pt>
                <c:pt idx="1275">
                  <c:v>Ariana Grande</c:v>
                </c:pt>
                <c:pt idx="1276">
                  <c:v>Lil Uzi Vert</c:v>
                </c:pt>
                <c:pt idx="1277">
                  <c:v>Eminem</c:v>
                </c:pt>
                <c:pt idx="1278">
                  <c:v>Justin Bieber</c:v>
                </c:pt>
                <c:pt idx="1279">
                  <c:v>Eminem</c:v>
                </c:pt>
                <c:pt idx="1280">
                  <c:v>Justin Bieber</c:v>
                </c:pt>
                <c:pt idx="1281">
                  <c:v>Kid Cudi</c:v>
                </c:pt>
                <c:pt idx="1282">
                  <c:v>Lady Gaga</c:v>
                </c:pt>
                <c:pt idx="1283">
                  <c:v>Bonez MC</c:v>
                </c:pt>
                <c:pt idx="1284">
                  <c:v>Mac Miller</c:v>
                </c:pt>
                <c:pt idx="1285">
                  <c:v>Kid Cudi</c:v>
                </c:pt>
                <c:pt idx="1286">
                  <c:v>Future</c:v>
                </c:pt>
                <c:pt idx="1287">
                  <c:v>Pop Smoke</c:v>
                </c:pt>
                <c:pt idx="1288">
                  <c:v>A$AP Ferg</c:v>
                </c:pt>
                <c:pt idx="1289">
                  <c:v>Beyoncé</c:v>
                </c:pt>
                <c:pt idx="1290">
                  <c:v>Future</c:v>
                </c:pt>
                <c:pt idx="1291">
                  <c:v>Justin Bieber, Kehlani</c:v>
                </c:pt>
                <c:pt idx="1292">
                  <c:v>21 Savage, Metro Boomin</c:v>
                </c:pt>
                <c:pt idx="1293">
                  <c:v>WhoHeem</c:v>
                </c:pt>
                <c:pt idx="1294">
                  <c:v>A Boogie Wit da Hoodie</c:v>
                </c:pt>
                <c:pt idx="1295">
                  <c:v>K CAMP</c:v>
                </c:pt>
                <c:pt idx="1296">
                  <c:v>Migos</c:v>
                </c:pt>
                <c:pt idx="1297">
                  <c:v>VIZE, Tom Gregory</c:v>
                </c:pt>
                <c:pt idx="1298">
                  <c:v>Niack</c:v>
                </c:pt>
                <c:pt idx="1299">
                  <c:v>Mac Miller</c:v>
                </c:pt>
                <c:pt idx="1300">
                  <c:v>Lil Uzi Vert</c:v>
                </c:pt>
                <c:pt idx="1301">
                  <c:v>Eminem</c:v>
                </c:pt>
                <c:pt idx="1302">
                  <c:v>Juice WRLD</c:v>
                </c:pt>
                <c:pt idx="1303">
                  <c:v>BTS</c:v>
                </c:pt>
                <c:pt idx="1304">
                  <c:v>Drake</c:v>
                </c:pt>
                <c:pt idx="1305">
                  <c:v>Drake</c:v>
                </c:pt>
                <c:pt idx="1306">
                  <c:v>Eminem</c:v>
                </c:pt>
                <c:pt idx="1307">
                  <c:v>Lady Gaga</c:v>
                </c:pt>
                <c:pt idx="1308">
                  <c:v>Kid Cudi</c:v>
                </c:pt>
                <c:pt idx="1309">
                  <c:v>Eminem</c:v>
                </c:pt>
                <c:pt idx="1310">
                  <c:v>Pentatonix</c:v>
                </c:pt>
                <c:pt idx="1311">
                  <c:v>Mac Miller</c:v>
                </c:pt>
                <c:pt idx="1312">
                  <c:v>Gunna</c:v>
                </c:pt>
                <c:pt idx="1313">
                  <c:v>Future</c:v>
                </c:pt>
                <c:pt idx="1314">
                  <c:v>21 Savage, Metro Boomin</c:v>
                </c:pt>
                <c:pt idx="1315">
                  <c:v>Bonez MC</c:v>
                </c:pt>
                <c:pt idx="1316">
                  <c:v>Capital Bra, Clueso, KC Rebell</c:v>
                </c:pt>
                <c:pt idx="1317">
                  <c:v>Lil Wayne</c:v>
                </c:pt>
                <c:pt idx="1318">
                  <c:v>Lil Uzi Vert</c:v>
                </c:pt>
                <c:pt idx="1319">
                  <c:v>Bonez MC</c:v>
                </c:pt>
                <c:pt idx="1320">
                  <c:v>Pop Smoke</c:v>
                </c:pt>
                <c:pt idx="1321">
                  <c:v>Lil Uzi Vert</c:v>
                </c:pt>
                <c:pt idx="1322">
                  <c:v>Luciano</c:v>
                </c:pt>
                <c:pt idx="1323">
                  <c:v>6ix9ine</c:v>
                </c:pt>
                <c:pt idx="1324">
                  <c:v>KALIM, Ufo361</c:v>
                </c:pt>
                <c:pt idx="1325">
                  <c:v>Logic</c:v>
                </c:pt>
                <c:pt idx="1326">
                  <c:v>Dadá Boladão, Tati Zaqui, OIK</c:v>
                </c:pt>
                <c:pt idx="1327">
                  <c:v>Apache 207</c:v>
                </c:pt>
                <c:pt idx="1328">
                  <c:v>Rod Wave</c:v>
                </c:pt>
                <c:pt idx="1329">
                  <c:v>Justin Bieber</c:v>
                </c:pt>
                <c:pt idx="1330">
                  <c:v>Migos, Travis Scott, Young Thug</c:v>
                </c:pt>
                <c:pt idx="1331">
                  <c:v>Lady Gaga</c:v>
                </c:pt>
                <c:pt idx="1332">
                  <c:v>Lil Baby</c:v>
                </c:pt>
                <c:pt idx="1333">
                  <c:v>Kid Cudi</c:v>
                </c:pt>
                <c:pt idx="1334">
                  <c:v>Halsey</c:v>
                </c:pt>
                <c:pt idx="1335">
                  <c:v>Juice WRLD</c:v>
                </c:pt>
                <c:pt idx="1336">
                  <c:v>Pop Smoke</c:v>
                </c:pt>
                <c:pt idx="1337">
                  <c:v>Pop Smoke</c:v>
                </c:pt>
                <c:pt idx="1338">
                  <c:v>Gunna</c:v>
                </c:pt>
                <c:pt idx="1339">
                  <c:v>Apache 207</c:v>
                </c:pt>
                <c:pt idx="1340">
                  <c:v>Gambi</c:v>
                </c:pt>
                <c:pt idx="1341">
                  <c:v>Future, Lil Uzi Vert</c:v>
                </c:pt>
                <c:pt idx="1342">
                  <c:v>Sfera Ebbasta</c:v>
                </c:pt>
                <c:pt idx="1343">
                  <c:v>Lil Uzi Vert</c:v>
                </c:pt>
                <c:pt idx="1344">
                  <c:v>Justin Bieber</c:v>
                </c:pt>
                <c:pt idx="1345">
                  <c:v>Bonez MC</c:v>
                </c:pt>
                <c:pt idx="1346">
                  <c:v>French Montana</c:v>
                </c:pt>
                <c:pt idx="1347">
                  <c:v>Megan Thee Stallion</c:v>
                </c:pt>
                <c:pt idx="1348">
                  <c:v>Lil Uzi Vert</c:v>
                </c:pt>
                <c:pt idx="1349">
                  <c:v>Bonez MC, Maxwell</c:v>
                </c:pt>
                <c:pt idx="1350">
                  <c:v>KC Rebell, Summer Cem</c:v>
                </c:pt>
                <c:pt idx="1351">
                  <c:v>Ozuna</c:v>
                </c:pt>
                <c:pt idx="1352">
                  <c:v>The 1975</c:v>
                </c:pt>
                <c:pt idx="1353">
                  <c:v>Brenda Lee</c:v>
                </c:pt>
                <c:pt idx="1354">
                  <c:v>Lil Uzi Vert</c:v>
                </c:pt>
                <c:pt idx="1355">
                  <c:v>Drake</c:v>
                </c:pt>
                <c:pt idx="1356">
                  <c:v>Lady Gaga</c:v>
                </c:pt>
                <c:pt idx="1357">
                  <c:v>Justin Bieber</c:v>
                </c:pt>
                <c:pt idx="1358">
                  <c:v>Justin Bieber</c:v>
                </c:pt>
                <c:pt idx="1359">
                  <c:v>Lady Gaga</c:v>
                </c:pt>
                <c:pt idx="1360">
                  <c:v>Lady Gaga</c:v>
                </c:pt>
                <c:pt idx="1361">
                  <c:v>Juice WRLD</c:v>
                </c:pt>
                <c:pt idx="1362">
                  <c:v>Lady Gaga</c:v>
                </c:pt>
                <c:pt idx="1363">
                  <c:v>Justin Bieber</c:v>
                </c:pt>
                <c:pt idx="1364">
                  <c:v>Lady Gaga</c:v>
                </c:pt>
                <c:pt idx="1365">
                  <c:v>Lil Uzi Vert</c:v>
                </c:pt>
                <c:pt idx="1366">
                  <c:v>Justin Bieber</c:v>
                </c:pt>
                <c:pt idx="1367">
                  <c:v>Mac Miller</c:v>
                </c:pt>
                <c:pt idx="1368">
                  <c:v>Lil Uzi Vert</c:v>
                </c:pt>
                <c:pt idx="1369">
                  <c:v>Megan Thee Stallion</c:v>
                </c:pt>
                <c:pt idx="1370">
                  <c:v>Lil Uzi Vert</c:v>
                </c:pt>
                <c:pt idx="1371">
                  <c:v>KSI</c:v>
                </c:pt>
                <c:pt idx="1372">
                  <c:v>Capital Bra, Loredana</c:v>
                </c:pt>
                <c:pt idx="1373">
                  <c:v>Henrique &amp; Juliano</c:v>
                </c:pt>
                <c:pt idx="1374">
                  <c:v>6ix9ine</c:v>
                </c:pt>
                <c:pt idx="1375">
                  <c:v>Pop Smoke</c:v>
                </c:pt>
                <c:pt idx="1376">
                  <c:v>Lil Uzi Vert</c:v>
                </c:pt>
                <c:pt idx="1377">
                  <c:v>Eminem</c:v>
                </c:pt>
                <c:pt idx="1378">
                  <c:v>Lil Uzi Vert</c:v>
                </c:pt>
                <c:pt idx="1379">
                  <c:v>Lil Uzi Vert</c:v>
                </c:pt>
                <c:pt idx="1380">
                  <c:v>Drake</c:v>
                </c:pt>
                <c:pt idx="1381">
                  <c:v>Kid Cudi</c:v>
                </c:pt>
                <c:pt idx="1382">
                  <c:v>Luciano</c:v>
                </c:pt>
                <c:pt idx="1383">
                  <c:v>21 Savage, Metro Boomin</c:v>
                </c:pt>
                <c:pt idx="1384">
                  <c:v>Capital Bra, Bozza</c:v>
                </c:pt>
                <c:pt idx="1385">
                  <c:v>Thiaguinho MT, Mila, JS o Mão de Ouro</c:v>
                </c:pt>
                <c:pt idx="1386">
                  <c:v>A Boogie Wit da Hoodie</c:v>
                </c:pt>
                <c:pt idx="1387">
                  <c:v>Lil Uzi Vert</c:v>
                </c:pt>
                <c:pt idx="1388">
                  <c:v>Samra, ELIF</c:v>
                </c:pt>
                <c:pt idx="1389">
                  <c:v>Samra</c:v>
                </c:pt>
                <c:pt idx="1390">
                  <c:v>Murda, Ezhel</c:v>
                </c:pt>
                <c:pt idx="1391">
                  <c:v>21 Savage, Metro Boomin</c:v>
                </c:pt>
                <c:pt idx="1392">
                  <c:v>Lil Uzi Vert</c:v>
                </c:pt>
                <c:pt idx="1393">
                  <c:v>DaBaby</c:v>
                </c:pt>
                <c:pt idx="1394">
                  <c:v>Bobby Helms</c:v>
                </c:pt>
                <c:pt idx="1395">
                  <c:v>Selena Gomez</c:v>
                </c:pt>
                <c:pt idx="1396">
                  <c:v>Pop Smoke</c:v>
                </c:pt>
                <c:pt idx="1397">
                  <c:v>Shiva, Eiffel 65</c:v>
                </c:pt>
                <c:pt idx="1398">
                  <c:v>Trio Vegabajeño</c:v>
                </c:pt>
                <c:pt idx="1399">
                  <c:v>Future, Lil Uzi Vert</c:v>
                </c:pt>
                <c:pt idx="1400">
                  <c:v>Capital Bra, Cro</c:v>
                </c:pt>
                <c:pt idx="1401">
                  <c:v>JACKBOYS</c:v>
                </c:pt>
                <c:pt idx="1402">
                  <c:v>Tame Impala</c:v>
                </c:pt>
                <c:pt idx="1403">
                  <c:v>KSI</c:v>
                </c:pt>
                <c:pt idx="1404">
                  <c:v>Samra</c:v>
                </c:pt>
                <c:pt idx="1405">
                  <c:v>DaBaby</c:v>
                </c:pt>
                <c:pt idx="1406">
                  <c:v>Lil Uzi Vert</c:v>
                </c:pt>
                <c:pt idx="1407">
                  <c:v>Michael Bublé</c:v>
                </c:pt>
                <c:pt idx="1408">
                  <c:v>Andy Williams</c:v>
                </c:pt>
                <c:pt idx="1409">
                  <c:v>Selena Gomez</c:v>
                </c:pt>
                <c:pt idx="1410">
                  <c:v>Selena Gomez</c:v>
                </c:pt>
                <c:pt idx="1411">
                  <c:v>Selena Gomez</c:v>
                </c:pt>
                <c:pt idx="1412">
                  <c:v>The Pogues</c:v>
                </c:pt>
                <c:pt idx="1413">
                  <c:v>Pop Smoke</c:v>
                </c:pt>
                <c:pt idx="1414">
                  <c:v>Pop Smoke</c:v>
                </c:pt>
                <c:pt idx="1415">
                  <c:v>Apache 207</c:v>
                </c:pt>
                <c:pt idx="1416">
                  <c:v>Sfera Ebbasta</c:v>
                </c:pt>
                <c:pt idx="1417">
                  <c:v>KC Rebell, Summer Cem</c:v>
                </c:pt>
                <c:pt idx="1418">
                  <c:v>Rod Wave</c:v>
                </c:pt>
                <c:pt idx="1419">
                  <c:v>Dean Martin</c:v>
                </c:pt>
                <c:pt idx="1420">
                  <c:v>Apache 207</c:v>
                </c:pt>
                <c:pt idx="1421">
                  <c:v>Selena Gomez</c:v>
                </c:pt>
                <c:pt idx="1422">
                  <c:v>Pop Smoke</c:v>
                </c:pt>
                <c:pt idx="1423">
                  <c:v>Kid Cudi</c:v>
                </c:pt>
                <c:pt idx="1424">
                  <c:v>Ninho</c:v>
                </c:pt>
                <c:pt idx="1425">
                  <c:v>Zuna, Loredana, SRNO</c:v>
                </c:pt>
                <c:pt idx="1426">
                  <c:v>Justin Bieber</c:v>
                </c:pt>
                <c:pt idx="1427">
                  <c:v>Pop Smoke</c:v>
                </c:pt>
                <c:pt idx="1428">
                  <c:v>BLACKPINK</c:v>
                </c:pt>
                <c:pt idx="1429">
                  <c:v>Ufo361</c:v>
                </c:pt>
                <c:pt idx="1430">
                  <c:v>Justin Bieber</c:v>
                </c:pt>
                <c:pt idx="1431">
                  <c:v>Frank Sinatra</c:v>
                </c:pt>
                <c:pt idx="1432">
                  <c:v>Coldplay</c:v>
                </c:pt>
                <c:pt idx="1433">
                  <c:v>John Lennon, Yoko Ono</c:v>
                </c:pt>
                <c:pt idx="1434">
                  <c:v>Nat King Cole</c:v>
                </c:pt>
                <c:pt idx="1435">
                  <c:v>Lil Uzi Vert</c:v>
                </c:pt>
                <c:pt idx="1436">
                  <c:v>Samra</c:v>
                </c:pt>
                <c:pt idx="1437">
                  <c:v>Pop Smoke</c:v>
                </c:pt>
                <c:pt idx="1438">
                  <c:v>Capital Bra</c:v>
                </c:pt>
                <c:pt idx="1439">
                  <c:v>Ufo361</c:v>
                </c:pt>
                <c:pt idx="1440">
                  <c:v>Taylor Swift</c:v>
                </c:pt>
                <c:pt idx="1441">
                  <c:v>Selena Gomez</c:v>
                </c:pt>
                <c:pt idx="1442">
                  <c:v>Capital Bra, Samra</c:v>
                </c:pt>
                <c:pt idx="1443">
                  <c:v>Ufo361, Sonus030</c:v>
                </c:pt>
                <c:pt idx="1444">
                  <c:v>Band Aid</c:v>
                </c:pt>
                <c:pt idx="1445">
                  <c:v>Paul McCartney</c:v>
                </c:pt>
                <c:pt idx="1446">
                  <c:v>Paul McCartney</c:v>
                </c:pt>
                <c:pt idx="1447">
                  <c:v>Mykola Dmytrovych Leontovych, John Williams</c:v>
                </c:pt>
                <c:pt idx="1448">
                  <c:v>Liam Payne</c:v>
                </c:pt>
                <c:pt idx="1449">
                  <c:v>Bing Crosby, Ken Darby Singers, John Scott Trotter &amp; His Orchestra</c:v>
                </c:pt>
                <c:pt idx="1450">
                  <c:v>Tyga</c:v>
                </c:pt>
                <c:pt idx="1451">
                  <c:v>Selena Gomez</c:v>
                </c:pt>
                <c:pt idx="1452">
                  <c:v>Selena Gomez</c:v>
                </c:pt>
                <c:pt idx="1453">
                  <c:v>The Ronettes</c:v>
                </c:pt>
                <c:pt idx="1454">
                  <c:v>Ufo361</c:v>
                </c:pt>
                <c:pt idx="1455">
                  <c:v>Kelly Clarkson</c:v>
                </c:pt>
                <c:pt idx="1456">
                  <c:v>José Feliciano</c:v>
                </c:pt>
                <c:pt idx="1457">
                  <c:v>Majestic, Boney M.</c:v>
                </c:pt>
                <c:pt idx="1458">
                  <c:v>Sia</c:v>
                </c:pt>
                <c:pt idx="1459">
                  <c:v>Burl Ives</c:v>
                </c:pt>
                <c:pt idx="1460">
                  <c:v>Elvis Presley</c:v>
                </c:pt>
                <c:pt idx="1461">
                  <c:v>Perry Como, The Fontane Sisters</c:v>
                </c:pt>
                <c:pt idx="1462">
                  <c:v>Selena Gomez</c:v>
                </c:pt>
                <c:pt idx="1463">
                  <c:v>Michael Bublé</c:v>
                </c:pt>
                <c:pt idx="1464">
                  <c:v>Ufo361, Future</c:v>
                </c:pt>
                <c:pt idx="1465">
                  <c:v>Jonas Brothers</c:v>
                </c:pt>
                <c:pt idx="1466">
                  <c:v>Idina Menzel</c:v>
                </c:pt>
                <c:pt idx="1467">
                  <c:v>Mariah Carey</c:v>
                </c:pt>
                <c:pt idx="1468">
                  <c:v>Shakin' Stevens</c:v>
                </c:pt>
                <c:pt idx="1469">
                  <c:v>Trevor Daniel</c:v>
                </c:pt>
                <c:pt idx="1470">
                  <c:v>Sam Smith</c:v>
                </c:pt>
                <c:pt idx="1471">
                  <c:v>Ava Max</c:v>
                </c:pt>
                <c:pt idx="1472">
                  <c:v>Meghan Trainor</c:v>
                </c:pt>
                <c:pt idx="1473">
                  <c:v>Darlene Love</c:v>
                </c:pt>
                <c:pt idx="1474">
                  <c:v>Brett Eldredge</c:v>
                </c:pt>
                <c:pt idx="1475">
                  <c:v>Gwen Stefani</c:v>
                </c:pt>
                <c:pt idx="1476">
                  <c:v>Michael Bublé</c:v>
                </c:pt>
                <c:pt idx="1477">
                  <c:v>The Jackson 5</c:v>
                </c:pt>
                <c:pt idx="1478">
                  <c:v>Dean Martin</c:v>
                </c:pt>
                <c:pt idx="1479">
                  <c:v>Bruce Springsteen</c:v>
                </c:pt>
                <c:pt idx="1480">
                  <c:v>Bing Crosby</c:v>
                </c:pt>
                <c:pt idx="1481">
                  <c:v>Eagles</c:v>
                </c:pt>
                <c:pt idx="1482">
                  <c:v>Daryl Hall &amp; John Oates</c:v>
                </c:pt>
                <c:pt idx="1483">
                  <c:v>Britney Spears</c:v>
                </c:pt>
                <c:pt idx="1484">
                  <c:v>Elton John</c:v>
                </c:pt>
                <c:pt idx="1485">
                  <c:v>Shawn Mendes</c:v>
                </c:pt>
                <c:pt idx="1486">
                  <c:v>Leona Lewis</c:v>
                </c:pt>
                <c:pt idx="1487">
                  <c:v>Donny Hathaway</c:v>
                </c:pt>
                <c:pt idx="1488">
                  <c:v>Kylie Minogue</c:v>
                </c:pt>
                <c:pt idx="1489">
                  <c:v>Eartha Kitt, Henri Rene &amp; His Orchestra</c:v>
                </c:pt>
                <c:pt idx="1490">
                  <c:v>Dean Martin</c:v>
                </c:pt>
                <c:pt idx="1491">
                  <c:v>Katy Perry</c:v>
                </c:pt>
                <c:pt idx="1492">
                  <c:v>*NSYNC</c:v>
                </c:pt>
                <c:pt idx="1493">
                  <c:v>Meghan Trainor</c:v>
                </c:pt>
                <c:pt idx="1494">
                  <c:v>Polo G, Stunna 4 Vegas</c:v>
                </c:pt>
                <c:pt idx="1495">
                  <c:v>Frank Sinatra</c:v>
                </c:pt>
                <c:pt idx="1496">
                  <c:v>Frank Sinatra</c:v>
                </c:pt>
                <c:pt idx="1497">
                  <c:v>Dardan, Monet192</c:v>
                </c:pt>
                <c:pt idx="1498">
                  <c:v>Tony Bennett</c:v>
                </c:pt>
                <c:pt idx="1499">
                  <c:v>Major Lazer, Diplo</c:v>
                </c:pt>
                <c:pt idx="1500">
                  <c:v>Kygo, Sandro Cavazza</c:v>
                </c:pt>
                <c:pt idx="1501">
                  <c:v>Daddy Yankee, Snow</c:v>
                </c:pt>
                <c:pt idx="1502">
                  <c:v>J Balvin, Skrillex</c:v>
                </c:pt>
                <c:pt idx="1503">
                  <c:v>Billie Eilish</c:v>
                </c:pt>
                <c:pt idx="1504">
                  <c:v>Billie Eilish</c:v>
                </c:pt>
                <c:pt idx="1505">
                  <c:v>Luísa Sonza, Pabllo Vittar, Anitta</c:v>
                </c:pt>
                <c:pt idx="1506">
                  <c:v>Ava Max</c:v>
                </c:pt>
                <c:pt idx="1507">
                  <c:v>Billie Eilish</c:v>
                </c:pt>
                <c:pt idx="1508">
                  <c:v>Playboi Carti</c:v>
                </c:pt>
                <c:pt idx="1509">
                  <c:v>Dua Lipa</c:v>
                </c:pt>
                <c:pt idx="1510">
                  <c:v>Nat King Cole</c:v>
                </c:pt>
                <c:pt idx="1511">
                  <c:v>Stevie Wonder</c:v>
                </c:pt>
                <c:pt idx="1512">
                  <c:v>Dua Lipa</c:v>
                </c:pt>
                <c:pt idx="1513">
                  <c:v>The Beach Boys</c:v>
                </c:pt>
                <c:pt idx="1514">
                  <c:v>Justin Bieber</c:v>
                </c:pt>
                <c:pt idx="1515">
                  <c:v>A Boogie Wit da Hoodie</c:v>
                </c:pt>
                <c:pt idx="1516">
                  <c:v>Chuck Berry</c:v>
                </c:pt>
                <c:pt idx="1517">
                  <c:v>The Jackson 5</c:v>
                </c:pt>
                <c:pt idx="1518">
                  <c:v>Vegedream</c:v>
                </c:pt>
                <c:pt idx="1519">
                  <c:v>Shawn Mendes</c:v>
                </c:pt>
                <c:pt idx="1520">
                  <c:v>Madame</c:v>
                </c:pt>
                <c:pt idx="1521">
                  <c:v>Billie Eilish</c:v>
                </c:pt>
                <c:pt idx="1522">
                  <c:v>Billie Eilish</c:v>
                </c:pt>
                <c:pt idx="1523">
                  <c:v>Billie Eilish</c:v>
                </c:pt>
                <c:pt idx="1524">
                  <c:v>KAROL G</c:v>
                </c:pt>
                <c:pt idx="1525">
                  <c:v>Billie Eilish</c:v>
                </c:pt>
                <c:pt idx="1526">
                  <c:v>Sebastian Yatra, Guaynaa</c:v>
                </c:pt>
                <c:pt idx="1527">
                  <c:v>Daddy Yankee</c:v>
                </c:pt>
                <c:pt idx="1528">
                  <c:v>Billie Eilish</c:v>
                </c:pt>
                <c:pt idx="1529">
                  <c:v>KAROL G</c:v>
                </c:pt>
                <c:pt idx="1530">
                  <c:v>Coldplay</c:v>
                </c:pt>
                <c:pt idx="1531">
                  <c:v>Justin Bieber</c:v>
                </c:pt>
                <c:pt idx="1532">
                  <c:v>Selena Gomez</c:v>
                </c:pt>
                <c:pt idx="1533">
                  <c:v>Billie Eilish</c:v>
                </c:pt>
                <c:pt idx="1534">
                  <c:v>Marshmello, Demi Lovato</c:v>
                </c:pt>
                <c:pt idx="1535">
                  <c:v>Ed Sheeran</c:v>
                </c:pt>
                <c:pt idx="1536">
                  <c:v>KAROL G, Anuel AA, J Balvin</c:v>
                </c:pt>
                <c:pt idx="1537">
                  <c:v>Reik, J Balvin, Lalo Ebratt</c:v>
                </c:pt>
                <c:pt idx="1538">
                  <c:v>Tones And I</c:v>
                </c:pt>
                <c:pt idx="1539">
                  <c:v>J Balvin</c:v>
                </c:pt>
                <c:pt idx="1540">
                  <c:v>Feid, Justin Quiles</c:v>
                </c:pt>
                <c:pt idx="1541">
                  <c:v>Lady Gaga</c:v>
                </c:pt>
                <c:pt idx="1542">
                  <c:v>Tones And I</c:v>
                </c:pt>
                <c:pt idx="1543">
                  <c:v>Luísa Sonza</c:v>
                </c:pt>
                <c:pt idx="1544">
                  <c:v>Boomdabash, Alessandra Amoroso</c:v>
                </c:pt>
                <c:pt idx="1545">
                  <c:v>The Kid LAROI</c:v>
                </c:pt>
                <c:pt idx="1546">
                  <c:v>Queen</c:v>
                </c:pt>
                <c:pt idx="1547">
                  <c:v>Chris Rea</c:v>
                </c:pt>
                <c:pt idx="1548">
                  <c:v>Rod Wave</c:v>
                </c:pt>
                <c:pt idx="1549">
                  <c:v>Ariana Grande</c:v>
                </c:pt>
                <c:pt idx="1550">
                  <c:v>AK AUSSERKONTROLLE, Bonez MC</c:v>
                </c:pt>
                <c:pt idx="1551">
                  <c:v>Ariana Grande</c:v>
                </c:pt>
                <c:pt idx="1552">
                  <c:v>Tainy</c:v>
                </c:pt>
                <c:pt idx="1553">
                  <c:v>Dalex</c:v>
                </c:pt>
                <c:pt idx="1554">
                  <c:v>Lauv</c:v>
                </c:pt>
                <c:pt idx="1555">
                  <c:v>Super Yei, Jone Quest</c:v>
                </c:pt>
              </c:strCache>
            </c:strRef>
          </c:xVal>
          <c:yVal>
            <c:numRef>
              <c:f>Données!$P$2:$P$1558</c:f>
              <c:numCache>
                <c:formatCode>0.00</c:formatCode>
                <c:ptCount val="1557"/>
                <c:pt idx="0">
                  <c:v>5.04E-2</c:v>
                </c:pt>
                <c:pt idx="1">
                  <c:v>4.8300000000000003E-2</c:v>
                </c:pt>
                <c:pt idx="2">
                  <c:v>0.154</c:v>
                </c:pt>
                <c:pt idx="3">
                  <c:v>3.4799999999999998E-2</c:v>
                </c:pt>
                <c:pt idx="4">
                  <c:v>0.152</c:v>
                </c:pt>
                <c:pt idx="5">
                  <c:v>6.1499999999999999E-2</c:v>
                </c:pt>
                <c:pt idx="6">
                  <c:v>0.11799999999999999</c:v>
                </c:pt>
                <c:pt idx="7">
                  <c:v>5.0599999999999999E-2</c:v>
                </c:pt>
                <c:pt idx="8">
                  <c:v>3.8699999999999998E-2</c:v>
                </c:pt>
                <c:pt idx="9">
                  <c:v>0.106</c:v>
                </c:pt>
                <c:pt idx="10">
                  <c:v>4.2700000000000002E-2</c:v>
                </c:pt>
                <c:pt idx="11">
                  <c:v>9.4799999999999995E-2</c:v>
                </c:pt>
                <c:pt idx="12">
                  <c:v>2.86E-2</c:v>
                </c:pt>
                <c:pt idx="13">
                  <c:v>0.11899999999999999</c:v>
                </c:pt>
                <c:pt idx="14">
                  <c:v>3.3799999999999997E-2</c:v>
                </c:pt>
                <c:pt idx="15">
                  <c:v>3.2500000000000001E-2</c:v>
                </c:pt>
                <c:pt idx="16">
                  <c:v>3.2500000000000001E-2</c:v>
                </c:pt>
                <c:pt idx="17">
                  <c:v>0.112</c:v>
                </c:pt>
                <c:pt idx="18">
                  <c:v>0.159</c:v>
                </c:pt>
                <c:pt idx="19">
                  <c:v>5.7799999999999997E-2</c:v>
                </c:pt>
                <c:pt idx="20">
                  <c:v>5.9799999999999999E-2</c:v>
                </c:pt>
                <c:pt idx="21">
                  <c:v>0.13300000000000001</c:v>
                </c:pt>
                <c:pt idx="22">
                  <c:v>3.4299999999999997E-2</c:v>
                </c:pt>
                <c:pt idx="23">
                  <c:v>0.126</c:v>
                </c:pt>
                <c:pt idx="24">
                  <c:v>3.2399999999999998E-2</c:v>
                </c:pt>
                <c:pt idx="25">
                  <c:v>6.7299999999999999E-2</c:v>
                </c:pt>
                <c:pt idx="26">
                  <c:v>3.6400000000000002E-2</c:v>
                </c:pt>
                <c:pt idx="27">
                  <c:v>4.5999999999999999E-2</c:v>
                </c:pt>
                <c:pt idx="28">
                  <c:v>7.0699999999999999E-2</c:v>
                </c:pt>
                <c:pt idx="29">
                  <c:v>0.20799999999999999</c:v>
                </c:pt>
                <c:pt idx="30">
                  <c:v>7.8600000000000003E-2</c:v>
                </c:pt>
                <c:pt idx="31">
                  <c:v>4.65E-2</c:v>
                </c:pt>
                <c:pt idx="32">
                  <c:v>6.7400000000000002E-2</c:v>
                </c:pt>
                <c:pt idx="33">
                  <c:v>0.11600000000000001</c:v>
                </c:pt>
                <c:pt idx="34">
                  <c:v>0.23200000000000001</c:v>
                </c:pt>
                <c:pt idx="35">
                  <c:v>6.0100000000000001E-2</c:v>
                </c:pt>
                <c:pt idx="36">
                  <c:v>9.1300000000000006E-2</c:v>
                </c:pt>
                <c:pt idx="37">
                  <c:v>0.24199999999999999</c:v>
                </c:pt>
                <c:pt idx="38">
                  <c:v>5.6500000000000002E-2</c:v>
                </c:pt>
                <c:pt idx="39">
                  <c:v>3.9800000000000002E-2</c:v>
                </c:pt>
                <c:pt idx="40">
                  <c:v>8.4599999999999995E-2</c:v>
                </c:pt>
                <c:pt idx="41">
                  <c:v>9.9299999999999999E-2</c:v>
                </c:pt>
                <c:pt idx="42">
                  <c:v>0.10199999999999999</c:v>
                </c:pt>
                <c:pt idx="43">
                  <c:v>3.61E-2</c:v>
                </c:pt>
                <c:pt idx="44">
                  <c:v>4.5499999999999999E-2</c:v>
                </c:pt>
                <c:pt idx="45">
                  <c:v>4.7300000000000002E-2</c:v>
                </c:pt>
                <c:pt idx="46">
                  <c:v>3.6700000000000003E-2</c:v>
                </c:pt>
                <c:pt idx="47">
                  <c:v>4.0300000000000002E-2</c:v>
                </c:pt>
                <c:pt idx="48">
                  <c:v>4.6600000000000003E-2</c:v>
                </c:pt>
                <c:pt idx="49">
                  <c:v>5.9900000000000002E-2</c:v>
                </c:pt>
                <c:pt idx="50">
                  <c:v>8.4599999999999995E-2</c:v>
                </c:pt>
                <c:pt idx="51">
                  <c:v>6.0100000000000001E-2</c:v>
                </c:pt>
                <c:pt idx="52">
                  <c:v>3.9800000000000002E-2</c:v>
                </c:pt>
                <c:pt idx="53">
                  <c:v>0.10299999999999999</c:v>
                </c:pt>
                <c:pt idx="54">
                  <c:v>0.153</c:v>
                </c:pt>
                <c:pt idx="55">
                  <c:v>2.93E-2</c:v>
                </c:pt>
                <c:pt idx="56">
                  <c:v>2.7E-2</c:v>
                </c:pt>
                <c:pt idx="57">
                  <c:v>3.8100000000000002E-2</c:v>
                </c:pt>
                <c:pt idx="58">
                  <c:v>8.9800000000000005E-2</c:v>
                </c:pt>
                <c:pt idx="59">
                  <c:v>0.112</c:v>
                </c:pt>
                <c:pt idx="60">
                  <c:v>5.0200000000000002E-2</c:v>
                </c:pt>
                <c:pt idx="61">
                  <c:v>0.06</c:v>
                </c:pt>
                <c:pt idx="62">
                  <c:v>0.224</c:v>
                </c:pt>
                <c:pt idx="63">
                  <c:v>7.9100000000000004E-2</c:v>
                </c:pt>
                <c:pt idx="64">
                  <c:v>6.7400000000000002E-2</c:v>
                </c:pt>
                <c:pt idx="65">
                  <c:v>3.3599999999999998E-2</c:v>
                </c:pt>
                <c:pt idx="66">
                  <c:v>0.223</c:v>
                </c:pt>
                <c:pt idx="67">
                  <c:v>0.125</c:v>
                </c:pt>
                <c:pt idx="68">
                  <c:v>4.9399999999999999E-2</c:v>
                </c:pt>
                <c:pt idx="69">
                  <c:v>2.6499999999999999E-2</c:v>
                </c:pt>
                <c:pt idx="70">
                  <c:v>4.3700000000000003E-2</c:v>
                </c:pt>
                <c:pt idx="71">
                  <c:v>2.9899999999999999E-2</c:v>
                </c:pt>
                <c:pt idx="72">
                  <c:v>0.28599999999999998</c:v>
                </c:pt>
                <c:pt idx="73">
                  <c:v>3.7900000000000003E-2</c:v>
                </c:pt>
                <c:pt idx="74">
                  <c:v>6.6199999999999995E-2</c:v>
                </c:pt>
                <c:pt idx="75">
                  <c:v>3.4099999999999998E-2</c:v>
                </c:pt>
                <c:pt idx="76">
                  <c:v>6.25E-2</c:v>
                </c:pt>
                <c:pt idx="77">
                  <c:v>0.14799999999999999</c:v>
                </c:pt>
                <c:pt idx="78">
                  <c:v>3.95E-2</c:v>
                </c:pt>
                <c:pt idx="79">
                  <c:v>3.7900000000000003E-2</c:v>
                </c:pt>
                <c:pt idx="80">
                  <c:v>3.7900000000000003E-2</c:v>
                </c:pt>
                <c:pt idx="81">
                  <c:v>5.4399999999999997E-2</c:v>
                </c:pt>
                <c:pt idx="82">
                  <c:v>3.1899999999999998E-2</c:v>
                </c:pt>
                <c:pt idx="83">
                  <c:v>6.6900000000000001E-2</c:v>
                </c:pt>
                <c:pt idx="84">
                  <c:v>8.7800000000000003E-2</c:v>
                </c:pt>
                <c:pt idx="85">
                  <c:v>7.7700000000000005E-2</c:v>
                </c:pt>
                <c:pt idx="86">
                  <c:v>8.5400000000000004E-2</c:v>
                </c:pt>
                <c:pt idx="87">
                  <c:v>3.6299999999999999E-2</c:v>
                </c:pt>
                <c:pt idx="88">
                  <c:v>0.128</c:v>
                </c:pt>
                <c:pt idx="89">
                  <c:v>0.127</c:v>
                </c:pt>
                <c:pt idx="90">
                  <c:v>0.187</c:v>
                </c:pt>
                <c:pt idx="91">
                  <c:v>9.9599999999999994E-2</c:v>
                </c:pt>
                <c:pt idx="92">
                  <c:v>3.3300000000000003E-2</c:v>
                </c:pt>
                <c:pt idx="93">
                  <c:v>6.4799999999999996E-2</c:v>
                </c:pt>
                <c:pt idx="94">
                  <c:v>8.4199999999999997E-2</c:v>
                </c:pt>
                <c:pt idx="95">
                  <c:v>2.3199999999999998E-2</c:v>
                </c:pt>
                <c:pt idx="96">
                  <c:v>0.28599999999999998</c:v>
                </c:pt>
                <c:pt idx="97">
                  <c:v>0.16400000000000001</c:v>
                </c:pt>
                <c:pt idx="98">
                  <c:v>3.3300000000000003E-2</c:v>
                </c:pt>
                <c:pt idx="99">
                  <c:v>0.05</c:v>
                </c:pt>
                <c:pt idx="100">
                  <c:v>8.9800000000000005E-2</c:v>
                </c:pt>
                <c:pt idx="101">
                  <c:v>9.4399999999999998E-2</c:v>
                </c:pt>
                <c:pt idx="102">
                  <c:v>0.187</c:v>
                </c:pt>
                <c:pt idx="103">
                  <c:v>5.6300000000000003E-2</c:v>
                </c:pt>
                <c:pt idx="104">
                  <c:v>8.2500000000000004E-2</c:v>
                </c:pt>
                <c:pt idx="105">
                  <c:v>2.9499999999999998E-2</c:v>
                </c:pt>
                <c:pt idx="106">
                  <c:v>8.8700000000000001E-2</c:v>
                </c:pt>
                <c:pt idx="107">
                  <c:v>8.0199999999999994E-2</c:v>
                </c:pt>
                <c:pt idx="108">
                  <c:v>4.7500000000000001E-2</c:v>
                </c:pt>
                <c:pt idx="109">
                  <c:v>4.3299999999999998E-2</c:v>
                </c:pt>
                <c:pt idx="110">
                  <c:v>3.2899999999999999E-2</c:v>
                </c:pt>
                <c:pt idx="111">
                  <c:v>0.121</c:v>
                </c:pt>
                <c:pt idx="112">
                  <c:v>5.57E-2</c:v>
                </c:pt>
                <c:pt idx="113">
                  <c:v>5.5100000000000003E-2</c:v>
                </c:pt>
                <c:pt idx="114">
                  <c:v>3.0800000000000001E-2</c:v>
                </c:pt>
                <c:pt idx="115">
                  <c:v>8.8700000000000001E-2</c:v>
                </c:pt>
                <c:pt idx="116">
                  <c:v>4.0099999999999997E-2</c:v>
                </c:pt>
                <c:pt idx="117">
                  <c:v>0.13500000000000001</c:v>
                </c:pt>
                <c:pt idx="118">
                  <c:v>0.22600000000000001</c:v>
                </c:pt>
                <c:pt idx="119">
                  <c:v>2.81E-2</c:v>
                </c:pt>
                <c:pt idx="120">
                  <c:v>0.35299999999999998</c:v>
                </c:pt>
                <c:pt idx="121">
                  <c:v>0.2</c:v>
                </c:pt>
                <c:pt idx="122">
                  <c:v>5.3900000000000003E-2</c:v>
                </c:pt>
                <c:pt idx="123">
                  <c:v>0.10199999999999999</c:v>
                </c:pt>
                <c:pt idx="124">
                  <c:v>0.33300000000000002</c:v>
                </c:pt>
                <c:pt idx="125">
                  <c:v>0.13500000000000001</c:v>
                </c:pt>
                <c:pt idx="126">
                  <c:v>5.4800000000000001E-2</c:v>
                </c:pt>
                <c:pt idx="127">
                  <c:v>0.253</c:v>
                </c:pt>
                <c:pt idx="128">
                  <c:v>0.33400000000000002</c:v>
                </c:pt>
                <c:pt idx="129">
                  <c:v>7.1300000000000002E-2</c:v>
                </c:pt>
                <c:pt idx="130">
                  <c:v>3.61E-2</c:v>
                </c:pt>
                <c:pt idx="131">
                  <c:v>4.41E-2</c:v>
                </c:pt>
                <c:pt idx="132">
                  <c:v>4.24E-2</c:v>
                </c:pt>
                <c:pt idx="133">
                  <c:v>4.4900000000000002E-2</c:v>
                </c:pt>
                <c:pt idx="134">
                  <c:v>0.35699999999999998</c:v>
                </c:pt>
                <c:pt idx="135">
                  <c:v>4.6600000000000003E-2</c:v>
                </c:pt>
                <c:pt idx="136">
                  <c:v>4.24E-2</c:v>
                </c:pt>
                <c:pt idx="137">
                  <c:v>0.10100000000000001</c:v>
                </c:pt>
                <c:pt idx="138">
                  <c:v>5.2299999999999999E-2</c:v>
                </c:pt>
                <c:pt idx="139">
                  <c:v>7.1499999999999994E-2</c:v>
                </c:pt>
                <c:pt idx="140">
                  <c:v>0.32200000000000001</c:v>
                </c:pt>
                <c:pt idx="141">
                  <c:v>0.45700000000000002</c:v>
                </c:pt>
                <c:pt idx="142">
                  <c:v>6.4399999999999999E-2</c:v>
                </c:pt>
                <c:pt idx="143">
                  <c:v>0.2</c:v>
                </c:pt>
                <c:pt idx="144">
                  <c:v>0.375</c:v>
                </c:pt>
                <c:pt idx="145">
                  <c:v>0.35699999999999998</c:v>
                </c:pt>
                <c:pt idx="146">
                  <c:v>2.76E-2</c:v>
                </c:pt>
                <c:pt idx="147">
                  <c:v>5.8999999999999997E-2</c:v>
                </c:pt>
                <c:pt idx="148">
                  <c:v>8.7400000000000005E-2</c:v>
                </c:pt>
                <c:pt idx="149">
                  <c:v>0.24199999999999999</c:v>
                </c:pt>
                <c:pt idx="150">
                  <c:v>5.3600000000000002E-2</c:v>
                </c:pt>
                <c:pt idx="151">
                  <c:v>4.8300000000000003E-2</c:v>
                </c:pt>
                <c:pt idx="152">
                  <c:v>5.5899999999999998E-2</c:v>
                </c:pt>
                <c:pt idx="153">
                  <c:v>8.77E-2</c:v>
                </c:pt>
                <c:pt idx="154">
                  <c:v>6.2300000000000001E-2</c:v>
                </c:pt>
                <c:pt idx="155">
                  <c:v>3.2199999999999999E-2</c:v>
                </c:pt>
                <c:pt idx="156">
                  <c:v>5.21E-2</c:v>
                </c:pt>
                <c:pt idx="157">
                  <c:v>4.1799999999999997E-2</c:v>
                </c:pt>
                <c:pt idx="158">
                  <c:v>6.0299999999999999E-2</c:v>
                </c:pt>
                <c:pt idx="159">
                  <c:v>2.8400000000000002E-2</c:v>
                </c:pt>
                <c:pt idx="160">
                  <c:v>5.1499999999999997E-2</c:v>
                </c:pt>
                <c:pt idx="161">
                  <c:v>5.8299999999999998E-2</c:v>
                </c:pt>
                <c:pt idx="162">
                  <c:v>0.14499999999999999</c:v>
                </c:pt>
                <c:pt idx="163">
                  <c:v>0.1</c:v>
                </c:pt>
                <c:pt idx="164">
                  <c:v>0.28699999999999998</c:v>
                </c:pt>
                <c:pt idx="165">
                  <c:v>4.4299999999999999E-2</c:v>
                </c:pt>
                <c:pt idx="166">
                  <c:v>0.218</c:v>
                </c:pt>
                <c:pt idx="167">
                  <c:v>3.1699999999999999E-2</c:v>
                </c:pt>
                <c:pt idx="168">
                  <c:v>5.3999999999999999E-2</c:v>
                </c:pt>
                <c:pt idx="169">
                  <c:v>0.41</c:v>
                </c:pt>
                <c:pt idx="170">
                  <c:v>3.3799999999999997E-2</c:v>
                </c:pt>
                <c:pt idx="171">
                  <c:v>5.7200000000000001E-2</c:v>
                </c:pt>
                <c:pt idx="172">
                  <c:v>3.2300000000000002E-2</c:v>
                </c:pt>
                <c:pt idx="173">
                  <c:v>0.33</c:v>
                </c:pt>
                <c:pt idx="174">
                  <c:v>0.222</c:v>
                </c:pt>
                <c:pt idx="175">
                  <c:v>5.6399999999999999E-2</c:v>
                </c:pt>
                <c:pt idx="176">
                  <c:v>0.11700000000000001</c:v>
                </c:pt>
                <c:pt idx="177">
                  <c:v>9.2399999999999996E-2</c:v>
                </c:pt>
                <c:pt idx="178">
                  <c:v>5.7299999999999997E-2</c:v>
                </c:pt>
                <c:pt idx="179">
                  <c:v>3.0099999999999998E-2</c:v>
                </c:pt>
                <c:pt idx="180">
                  <c:v>5.4399999999999997E-2</c:v>
                </c:pt>
                <c:pt idx="181">
                  <c:v>5.7200000000000001E-2</c:v>
                </c:pt>
                <c:pt idx="182">
                  <c:v>0.26900000000000002</c:v>
                </c:pt>
                <c:pt idx="183">
                  <c:v>4.7699999999999999E-2</c:v>
                </c:pt>
                <c:pt idx="184">
                  <c:v>3.0800000000000001E-2</c:v>
                </c:pt>
                <c:pt idx="185">
                  <c:v>0.14199999999999999</c:v>
                </c:pt>
                <c:pt idx="186">
                  <c:v>3.9300000000000002E-2</c:v>
                </c:pt>
                <c:pt idx="187">
                  <c:v>7.0000000000000007E-2</c:v>
                </c:pt>
                <c:pt idx="188">
                  <c:v>0.13500000000000001</c:v>
                </c:pt>
                <c:pt idx="189">
                  <c:v>3.4799999999999998E-2</c:v>
                </c:pt>
                <c:pt idx="190">
                  <c:v>0.307</c:v>
                </c:pt>
                <c:pt idx="191">
                  <c:v>0.28599999999999998</c:v>
                </c:pt>
                <c:pt idx="192">
                  <c:v>0.27600000000000002</c:v>
                </c:pt>
                <c:pt idx="193">
                  <c:v>5.57E-2</c:v>
                </c:pt>
                <c:pt idx="194">
                  <c:v>2.9899999999999999E-2</c:v>
                </c:pt>
                <c:pt idx="195">
                  <c:v>0.16400000000000001</c:v>
                </c:pt>
                <c:pt idx="196">
                  <c:v>0.42</c:v>
                </c:pt>
                <c:pt idx="197">
                  <c:v>4.58E-2</c:v>
                </c:pt>
                <c:pt idx="198">
                  <c:v>4.2299999999999997E-2</c:v>
                </c:pt>
                <c:pt idx="199">
                  <c:v>5.45E-2</c:v>
                </c:pt>
                <c:pt idx="200">
                  <c:v>2.8799999999999999E-2</c:v>
                </c:pt>
                <c:pt idx="201">
                  <c:v>5.74E-2</c:v>
                </c:pt>
                <c:pt idx="202">
                  <c:v>0.34200000000000003</c:v>
                </c:pt>
                <c:pt idx="203">
                  <c:v>0.128</c:v>
                </c:pt>
                <c:pt idx="204">
                  <c:v>4.7500000000000001E-2</c:v>
                </c:pt>
                <c:pt idx="205">
                  <c:v>7.1199999999999999E-2</c:v>
                </c:pt>
                <c:pt idx="206">
                  <c:v>0.13300000000000001</c:v>
                </c:pt>
                <c:pt idx="207">
                  <c:v>0.35099999999999998</c:v>
                </c:pt>
                <c:pt idx="208">
                  <c:v>0.13600000000000001</c:v>
                </c:pt>
                <c:pt idx="209">
                  <c:v>7.8600000000000003E-2</c:v>
                </c:pt>
                <c:pt idx="210">
                  <c:v>6.3600000000000004E-2</c:v>
                </c:pt>
                <c:pt idx="211">
                  <c:v>5.33E-2</c:v>
                </c:pt>
                <c:pt idx="212">
                  <c:v>4.3400000000000001E-2</c:v>
                </c:pt>
                <c:pt idx="213">
                  <c:v>6.5699999999999995E-2</c:v>
                </c:pt>
                <c:pt idx="214">
                  <c:v>4.5699999999999998E-2</c:v>
                </c:pt>
                <c:pt idx="215">
                  <c:v>7.4700000000000003E-2</c:v>
                </c:pt>
                <c:pt idx="216">
                  <c:v>5.6500000000000002E-2</c:v>
                </c:pt>
                <c:pt idx="217">
                  <c:v>8.0399999999999999E-2</c:v>
                </c:pt>
                <c:pt idx="218">
                  <c:v>7.6700000000000004E-2</c:v>
                </c:pt>
                <c:pt idx="219">
                  <c:v>4.7600000000000003E-2</c:v>
                </c:pt>
                <c:pt idx="220">
                  <c:v>0.317</c:v>
                </c:pt>
                <c:pt idx="221">
                  <c:v>7.0699999999999999E-2</c:v>
                </c:pt>
                <c:pt idx="222">
                  <c:v>0.13400000000000001</c:v>
                </c:pt>
                <c:pt idx="223">
                  <c:v>0.14099999999999999</c:v>
                </c:pt>
                <c:pt idx="224">
                  <c:v>2.5899999999999999E-2</c:v>
                </c:pt>
                <c:pt idx="225">
                  <c:v>5.8400000000000001E-2</c:v>
                </c:pt>
                <c:pt idx="226">
                  <c:v>0.13300000000000001</c:v>
                </c:pt>
                <c:pt idx="227">
                  <c:v>3.6700000000000003E-2</c:v>
                </c:pt>
                <c:pt idx="228">
                  <c:v>4.3799999999999999E-2</c:v>
                </c:pt>
                <c:pt idx="229">
                  <c:v>7.9000000000000001E-2</c:v>
                </c:pt>
                <c:pt idx="230">
                  <c:v>0.13700000000000001</c:v>
                </c:pt>
                <c:pt idx="231">
                  <c:v>7.9000000000000001E-2</c:v>
                </c:pt>
                <c:pt idx="232">
                  <c:v>4.6600000000000003E-2</c:v>
                </c:pt>
                <c:pt idx="233">
                  <c:v>2.87E-2</c:v>
                </c:pt>
                <c:pt idx="234">
                  <c:v>0.33200000000000002</c:v>
                </c:pt>
                <c:pt idx="235">
                  <c:v>0.42499999999999999</c:v>
                </c:pt>
                <c:pt idx="236">
                  <c:v>0.191</c:v>
                </c:pt>
                <c:pt idx="237">
                  <c:v>0.2</c:v>
                </c:pt>
                <c:pt idx="238">
                  <c:v>0.32200000000000001</c:v>
                </c:pt>
                <c:pt idx="239">
                  <c:v>0.107</c:v>
                </c:pt>
                <c:pt idx="240">
                  <c:v>4.3900000000000002E-2</c:v>
                </c:pt>
                <c:pt idx="241">
                  <c:v>9.6500000000000002E-2</c:v>
                </c:pt>
                <c:pt idx="242">
                  <c:v>6.2399999999999997E-2</c:v>
                </c:pt>
                <c:pt idx="243">
                  <c:v>0.13700000000000001</c:v>
                </c:pt>
                <c:pt idx="244">
                  <c:v>5.91E-2</c:v>
                </c:pt>
                <c:pt idx="245">
                  <c:v>0.13600000000000001</c:v>
                </c:pt>
                <c:pt idx="246">
                  <c:v>4.1000000000000002E-2</c:v>
                </c:pt>
                <c:pt idx="247">
                  <c:v>0.129</c:v>
                </c:pt>
                <c:pt idx="248">
                  <c:v>0.14799999999999999</c:v>
                </c:pt>
                <c:pt idx="249">
                  <c:v>7.9500000000000001E-2</c:v>
                </c:pt>
                <c:pt idx="250">
                  <c:v>8.0299999999999996E-2</c:v>
                </c:pt>
                <c:pt idx="251">
                  <c:v>0.159</c:v>
                </c:pt>
                <c:pt idx="252">
                  <c:v>5.0599999999999999E-2</c:v>
                </c:pt>
                <c:pt idx="253">
                  <c:v>3.6499999999999998E-2</c:v>
                </c:pt>
                <c:pt idx="254">
                  <c:v>6.5799999999999997E-2</c:v>
                </c:pt>
                <c:pt idx="255">
                  <c:v>6.1600000000000002E-2</c:v>
                </c:pt>
                <c:pt idx="256">
                  <c:v>0.36799999999999999</c:v>
                </c:pt>
                <c:pt idx="257">
                  <c:v>0.22700000000000001</c:v>
                </c:pt>
                <c:pt idx="258">
                  <c:v>4.3499999999999997E-2</c:v>
                </c:pt>
                <c:pt idx="259">
                  <c:v>2.9499999999999998E-2</c:v>
                </c:pt>
                <c:pt idx="260">
                  <c:v>9.7600000000000006E-2</c:v>
                </c:pt>
                <c:pt idx="261">
                  <c:v>3.6799999999999999E-2</c:v>
                </c:pt>
                <c:pt idx="262">
                  <c:v>0.112</c:v>
                </c:pt>
                <c:pt idx="263">
                  <c:v>0.111</c:v>
                </c:pt>
                <c:pt idx="264">
                  <c:v>7.3700000000000002E-2</c:v>
                </c:pt>
                <c:pt idx="265">
                  <c:v>4.3400000000000001E-2</c:v>
                </c:pt>
                <c:pt idx="266">
                  <c:v>3.5900000000000001E-2</c:v>
                </c:pt>
                <c:pt idx="267">
                  <c:v>0.28799999999999998</c:v>
                </c:pt>
                <c:pt idx="268">
                  <c:v>5.6800000000000003E-2</c:v>
                </c:pt>
                <c:pt idx="269">
                  <c:v>0.188</c:v>
                </c:pt>
                <c:pt idx="270">
                  <c:v>3.1699999999999999E-2</c:v>
                </c:pt>
                <c:pt idx="271">
                  <c:v>4.0500000000000001E-2</c:v>
                </c:pt>
                <c:pt idx="272">
                  <c:v>2.6100000000000002E-2</c:v>
                </c:pt>
                <c:pt idx="273">
                  <c:v>4.5199999999999997E-2</c:v>
                </c:pt>
                <c:pt idx="274">
                  <c:v>0.22500000000000001</c:v>
                </c:pt>
                <c:pt idx="275">
                  <c:v>0.109</c:v>
                </c:pt>
                <c:pt idx="276">
                  <c:v>4.1500000000000002E-2</c:v>
                </c:pt>
                <c:pt idx="277">
                  <c:v>0.253</c:v>
                </c:pt>
                <c:pt idx="278">
                  <c:v>3.1800000000000002E-2</c:v>
                </c:pt>
                <c:pt idx="279">
                  <c:v>0.23100000000000001</c:v>
                </c:pt>
                <c:pt idx="280">
                  <c:v>0.33700000000000002</c:v>
                </c:pt>
                <c:pt idx="281">
                  <c:v>0.13400000000000001</c:v>
                </c:pt>
                <c:pt idx="282">
                  <c:v>0.33700000000000002</c:v>
                </c:pt>
                <c:pt idx="283">
                  <c:v>2.92E-2</c:v>
                </c:pt>
                <c:pt idx="284">
                  <c:v>7.9000000000000001E-2</c:v>
                </c:pt>
                <c:pt idx="285">
                  <c:v>8.7800000000000003E-2</c:v>
                </c:pt>
                <c:pt idx="286">
                  <c:v>3.2199999999999999E-2</c:v>
                </c:pt>
                <c:pt idx="287">
                  <c:v>7.3099999999999998E-2</c:v>
                </c:pt>
                <c:pt idx="288">
                  <c:v>4.2700000000000002E-2</c:v>
                </c:pt>
                <c:pt idx="289">
                  <c:v>8.7999999999999995E-2</c:v>
                </c:pt>
                <c:pt idx="290">
                  <c:v>3.9399999999999998E-2</c:v>
                </c:pt>
                <c:pt idx="291">
                  <c:v>4.8500000000000001E-2</c:v>
                </c:pt>
                <c:pt idx="292">
                  <c:v>0.10100000000000001</c:v>
                </c:pt>
                <c:pt idx="293">
                  <c:v>0.29299999999999998</c:v>
                </c:pt>
                <c:pt idx="294">
                  <c:v>4.7E-2</c:v>
                </c:pt>
                <c:pt idx="295">
                  <c:v>4.9099999999999998E-2</c:v>
                </c:pt>
                <c:pt idx="296">
                  <c:v>0.10299999999999999</c:v>
                </c:pt>
                <c:pt idx="297">
                  <c:v>9.9500000000000005E-2</c:v>
                </c:pt>
                <c:pt idx="298">
                  <c:v>0.48099999999999998</c:v>
                </c:pt>
                <c:pt idx="299">
                  <c:v>0.1</c:v>
                </c:pt>
                <c:pt idx="300">
                  <c:v>5.3800000000000001E-2</c:v>
                </c:pt>
                <c:pt idx="301">
                  <c:v>0.27900000000000003</c:v>
                </c:pt>
                <c:pt idx="302">
                  <c:v>0.12</c:v>
                </c:pt>
                <c:pt idx="303">
                  <c:v>6.0999999999999999E-2</c:v>
                </c:pt>
                <c:pt idx="304">
                  <c:v>8.0100000000000005E-2</c:v>
                </c:pt>
                <c:pt idx="305">
                  <c:v>0.16300000000000001</c:v>
                </c:pt>
                <c:pt idx="306">
                  <c:v>7.2800000000000004E-2</c:v>
                </c:pt>
                <c:pt idx="307">
                  <c:v>0.36</c:v>
                </c:pt>
                <c:pt idx="308">
                  <c:v>3.4599999999999999E-2</c:v>
                </c:pt>
                <c:pt idx="309">
                  <c:v>2.7E-2</c:v>
                </c:pt>
                <c:pt idx="310">
                  <c:v>0.125</c:v>
                </c:pt>
                <c:pt idx="311">
                  <c:v>5.3199999999999997E-2</c:v>
                </c:pt>
                <c:pt idx="312">
                  <c:v>3.9E-2</c:v>
                </c:pt>
                <c:pt idx="313">
                  <c:v>5.5399999999999998E-2</c:v>
                </c:pt>
                <c:pt idx="314">
                  <c:v>2.87E-2</c:v>
                </c:pt>
                <c:pt idx="315">
                  <c:v>8.9200000000000002E-2</c:v>
                </c:pt>
                <c:pt idx="316">
                  <c:v>0.10199999999999999</c:v>
                </c:pt>
                <c:pt idx="317">
                  <c:v>0.11700000000000001</c:v>
                </c:pt>
                <c:pt idx="318">
                  <c:v>2.87E-2</c:v>
                </c:pt>
                <c:pt idx="319">
                  <c:v>0.10199999999999999</c:v>
                </c:pt>
                <c:pt idx="320">
                  <c:v>4.7699999999999999E-2</c:v>
                </c:pt>
                <c:pt idx="321">
                  <c:v>0.03</c:v>
                </c:pt>
                <c:pt idx="322">
                  <c:v>0.222</c:v>
                </c:pt>
                <c:pt idx="323">
                  <c:v>4.2000000000000003E-2</c:v>
                </c:pt>
                <c:pt idx="324">
                  <c:v>0.11</c:v>
                </c:pt>
                <c:pt idx="325">
                  <c:v>5.8799999999999998E-2</c:v>
                </c:pt>
                <c:pt idx="326">
                  <c:v>0.34300000000000003</c:v>
                </c:pt>
                <c:pt idx="327">
                  <c:v>4.7300000000000002E-2</c:v>
                </c:pt>
                <c:pt idx="328">
                  <c:v>0.04</c:v>
                </c:pt>
                <c:pt idx="329">
                  <c:v>6.1800000000000001E-2</c:v>
                </c:pt>
                <c:pt idx="330">
                  <c:v>3.6299999999999999E-2</c:v>
                </c:pt>
                <c:pt idx="331">
                  <c:v>0.309</c:v>
                </c:pt>
                <c:pt idx="332">
                  <c:v>4.36E-2</c:v>
                </c:pt>
                <c:pt idx="333">
                  <c:v>2.9000000000000001E-2</c:v>
                </c:pt>
                <c:pt idx="334">
                  <c:v>0.31900000000000001</c:v>
                </c:pt>
                <c:pt idx="335">
                  <c:v>0.26</c:v>
                </c:pt>
                <c:pt idx="336">
                  <c:v>0.16200000000000001</c:v>
                </c:pt>
                <c:pt idx="337">
                  <c:v>0.26100000000000001</c:v>
                </c:pt>
                <c:pt idx="338">
                  <c:v>9.6600000000000005E-2</c:v>
                </c:pt>
                <c:pt idx="339">
                  <c:v>3.1199999999999999E-2</c:v>
                </c:pt>
                <c:pt idx="340">
                  <c:v>5.8799999999999998E-2</c:v>
                </c:pt>
                <c:pt idx="341">
                  <c:v>0.29799999999999999</c:v>
                </c:pt>
                <c:pt idx="342">
                  <c:v>4.2500000000000003E-2</c:v>
                </c:pt>
                <c:pt idx="343">
                  <c:v>0.36599999999999999</c:v>
                </c:pt>
                <c:pt idx="344">
                  <c:v>4.9799999999999997E-2</c:v>
                </c:pt>
                <c:pt idx="345">
                  <c:v>0.16400000000000001</c:v>
                </c:pt>
                <c:pt idx="346">
                  <c:v>2.98E-2</c:v>
                </c:pt>
                <c:pt idx="347">
                  <c:v>4.19E-2</c:v>
                </c:pt>
                <c:pt idx="348">
                  <c:v>0.25700000000000001</c:v>
                </c:pt>
                <c:pt idx="349">
                  <c:v>3.8199999999999998E-2</c:v>
                </c:pt>
                <c:pt idx="350">
                  <c:v>3.56E-2</c:v>
                </c:pt>
                <c:pt idx="351">
                  <c:v>0.36299999999999999</c:v>
                </c:pt>
                <c:pt idx="352">
                  <c:v>9.5899999999999999E-2</c:v>
                </c:pt>
                <c:pt idx="353">
                  <c:v>3.9800000000000002E-2</c:v>
                </c:pt>
                <c:pt idx="354">
                  <c:v>0.30199999999999999</c:v>
                </c:pt>
                <c:pt idx="355">
                  <c:v>0.36</c:v>
                </c:pt>
                <c:pt idx="356">
                  <c:v>5.0900000000000001E-2</c:v>
                </c:pt>
                <c:pt idx="357">
                  <c:v>5.2600000000000001E-2</c:v>
                </c:pt>
                <c:pt idx="358">
                  <c:v>0.54100000000000004</c:v>
                </c:pt>
                <c:pt idx="359">
                  <c:v>5.3999999999999999E-2</c:v>
                </c:pt>
                <c:pt idx="360">
                  <c:v>0.189</c:v>
                </c:pt>
                <c:pt idx="361">
                  <c:v>0.28699999999999998</c:v>
                </c:pt>
                <c:pt idx="362">
                  <c:v>3.0499999999999999E-2</c:v>
                </c:pt>
                <c:pt idx="363">
                  <c:v>0.11799999999999999</c:v>
                </c:pt>
                <c:pt idx="364">
                  <c:v>4.3200000000000002E-2</c:v>
                </c:pt>
                <c:pt idx="365">
                  <c:v>0.124</c:v>
                </c:pt>
                <c:pt idx="366">
                  <c:v>6.5199999999999994E-2</c:v>
                </c:pt>
                <c:pt idx="367">
                  <c:v>4.4200000000000003E-2</c:v>
                </c:pt>
                <c:pt idx="368">
                  <c:v>5.0999999999999997E-2</c:v>
                </c:pt>
                <c:pt idx="369">
                  <c:v>8.8400000000000006E-2</c:v>
                </c:pt>
                <c:pt idx="370">
                  <c:v>0.11700000000000001</c:v>
                </c:pt>
                <c:pt idx="371">
                  <c:v>3.6200000000000003E-2</c:v>
                </c:pt>
                <c:pt idx="372">
                  <c:v>5.7799999999999997E-2</c:v>
                </c:pt>
                <c:pt idx="373">
                  <c:v>0.14499999999999999</c:v>
                </c:pt>
                <c:pt idx="374">
                  <c:v>9.5899999999999999E-2</c:v>
                </c:pt>
                <c:pt idx="375">
                  <c:v>0.34699999999999998</c:v>
                </c:pt>
                <c:pt idx="376">
                  <c:v>4.5699999999999998E-2</c:v>
                </c:pt>
                <c:pt idx="377">
                  <c:v>3.7600000000000001E-2</c:v>
                </c:pt>
                <c:pt idx="378">
                  <c:v>2.53E-2</c:v>
                </c:pt>
                <c:pt idx="379">
                  <c:v>0.26</c:v>
                </c:pt>
                <c:pt idx="380">
                  <c:v>4.7500000000000001E-2</c:v>
                </c:pt>
                <c:pt idx="381">
                  <c:v>9.7900000000000001E-2</c:v>
                </c:pt>
                <c:pt idx="382">
                  <c:v>0.153</c:v>
                </c:pt>
                <c:pt idx="383">
                  <c:v>6.4600000000000005E-2</c:v>
                </c:pt>
                <c:pt idx="384">
                  <c:v>4.4299999999999999E-2</c:v>
                </c:pt>
                <c:pt idx="385">
                  <c:v>6.7699999999999996E-2</c:v>
                </c:pt>
                <c:pt idx="386">
                  <c:v>0.36699999999999999</c:v>
                </c:pt>
                <c:pt idx="387">
                  <c:v>7.3499999999999996E-2</c:v>
                </c:pt>
                <c:pt idx="388">
                  <c:v>4.6800000000000001E-2</c:v>
                </c:pt>
                <c:pt idx="389">
                  <c:v>0.46300000000000002</c:v>
                </c:pt>
                <c:pt idx="390">
                  <c:v>8.9300000000000004E-2</c:v>
                </c:pt>
                <c:pt idx="391">
                  <c:v>0.20799999999999999</c:v>
                </c:pt>
                <c:pt idx="392">
                  <c:v>7.22E-2</c:v>
                </c:pt>
                <c:pt idx="393">
                  <c:v>0.25800000000000001</c:v>
                </c:pt>
                <c:pt idx="394">
                  <c:v>0.46500000000000002</c:v>
                </c:pt>
                <c:pt idx="395">
                  <c:v>0.16</c:v>
                </c:pt>
                <c:pt idx="396">
                  <c:v>7.2599999999999998E-2</c:v>
                </c:pt>
                <c:pt idx="397">
                  <c:v>6.2600000000000003E-2</c:v>
                </c:pt>
                <c:pt idx="398">
                  <c:v>4.24E-2</c:v>
                </c:pt>
                <c:pt idx="399">
                  <c:v>7.0900000000000005E-2</c:v>
                </c:pt>
                <c:pt idx="400">
                  <c:v>0.152</c:v>
                </c:pt>
                <c:pt idx="401">
                  <c:v>3.6900000000000002E-2</c:v>
                </c:pt>
                <c:pt idx="402">
                  <c:v>0.187</c:v>
                </c:pt>
                <c:pt idx="403">
                  <c:v>8.6699999999999999E-2</c:v>
                </c:pt>
                <c:pt idx="404">
                  <c:v>0.311</c:v>
                </c:pt>
                <c:pt idx="405">
                  <c:v>0.11600000000000001</c:v>
                </c:pt>
                <c:pt idx="406">
                  <c:v>0.379</c:v>
                </c:pt>
                <c:pt idx="407">
                  <c:v>6.4199999999999993E-2</c:v>
                </c:pt>
                <c:pt idx="408">
                  <c:v>6.4799999999999996E-2</c:v>
                </c:pt>
                <c:pt idx="409">
                  <c:v>3.49E-2</c:v>
                </c:pt>
                <c:pt idx="410">
                  <c:v>0.107</c:v>
                </c:pt>
                <c:pt idx="411">
                  <c:v>5.4300000000000001E-2</c:v>
                </c:pt>
                <c:pt idx="412">
                  <c:v>5.3600000000000002E-2</c:v>
                </c:pt>
                <c:pt idx="413">
                  <c:v>7.2499999999999995E-2</c:v>
                </c:pt>
                <c:pt idx="414">
                  <c:v>0.193</c:v>
                </c:pt>
                <c:pt idx="415">
                  <c:v>3.8300000000000001E-2</c:v>
                </c:pt>
                <c:pt idx="416">
                  <c:v>6.8500000000000005E-2</c:v>
                </c:pt>
                <c:pt idx="417">
                  <c:v>5.16E-2</c:v>
                </c:pt>
                <c:pt idx="418">
                  <c:v>4.2000000000000003E-2</c:v>
                </c:pt>
                <c:pt idx="419">
                  <c:v>6.8500000000000005E-2</c:v>
                </c:pt>
                <c:pt idx="420">
                  <c:v>3.9699999999999999E-2</c:v>
                </c:pt>
                <c:pt idx="421">
                  <c:v>5.1799999999999999E-2</c:v>
                </c:pt>
                <c:pt idx="422">
                  <c:v>0.16600000000000001</c:v>
                </c:pt>
                <c:pt idx="423">
                  <c:v>8.1199999999999994E-2</c:v>
                </c:pt>
                <c:pt idx="424">
                  <c:v>0.17</c:v>
                </c:pt>
                <c:pt idx="425">
                  <c:v>7.0499999999999993E-2</c:v>
                </c:pt>
                <c:pt idx="426">
                  <c:v>4.5199999999999997E-2</c:v>
                </c:pt>
                <c:pt idx="427">
                  <c:v>0.20899999999999999</c:v>
                </c:pt>
                <c:pt idx="428">
                  <c:v>5.1400000000000001E-2</c:v>
                </c:pt>
                <c:pt idx="429">
                  <c:v>0.14699999999999999</c:v>
                </c:pt>
                <c:pt idx="430">
                  <c:v>0.10100000000000001</c:v>
                </c:pt>
                <c:pt idx="431">
                  <c:v>0.187</c:v>
                </c:pt>
                <c:pt idx="432">
                  <c:v>5.5500000000000001E-2</c:v>
                </c:pt>
                <c:pt idx="433">
                  <c:v>0.104</c:v>
                </c:pt>
                <c:pt idx="434">
                  <c:v>9.0499999999999997E-2</c:v>
                </c:pt>
                <c:pt idx="435">
                  <c:v>0.27600000000000002</c:v>
                </c:pt>
                <c:pt idx="436">
                  <c:v>0.187</c:v>
                </c:pt>
                <c:pt idx="437">
                  <c:v>6.9400000000000003E-2</c:v>
                </c:pt>
                <c:pt idx="438">
                  <c:v>0.05</c:v>
                </c:pt>
                <c:pt idx="439">
                  <c:v>0.04</c:v>
                </c:pt>
                <c:pt idx="440">
                  <c:v>5.6800000000000003E-2</c:v>
                </c:pt>
                <c:pt idx="441">
                  <c:v>2.9499999999999998E-2</c:v>
                </c:pt>
                <c:pt idx="442">
                  <c:v>3.2399999999999998E-2</c:v>
                </c:pt>
                <c:pt idx="443">
                  <c:v>4.7E-2</c:v>
                </c:pt>
                <c:pt idx="444">
                  <c:v>0.21199999999999999</c:v>
                </c:pt>
                <c:pt idx="445">
                  <c:v>0.221</c:v>
                </c:pt>
                <c:pt idx="446">
                  <c:v>0.20899999999999999</c:v>
                </c:pt>
                <c:pt idx="447">
                  <c:v>0.34200000000000003</c:v>
                </c:pt>
                <c:pt idx="448">
                  <c:v>0.10199999999999999</c:v>
                </c:pt>
                <c:pt idx="449">
                  <c:v>5.8099999999999999E-2</c:v>
                </c:pt>
                <c:pt idx="450">
                  <c:v>3.44E-2</c:v>
                </c:pt>
                <c:pt idx="451">
                  <c:v>3.7900000000000003E-2</c:v>
                </c:pt>
                <c:pt idx="452">
                  <c:v>0.16200000000000001</c:v>
                </c:pt>
                <c:pt idx="453">
                  <c:v>7.1999999999999995E-2</c:v>
                </c:pt>
                <c:pt idx="454">
                  <c:v>4.7600000000000003E-2</c:v>
                </c:pt>
                <c:pt idx="455">
                  <c:v>9.4399999999999998E-2</c:v>
                </c:pt>
                <c:pt idx="456">
                  <c:v>5.0500000000000003E-2</c:v>
                </c:pt>
                <c:pt idx="457">
                  <c:v>0.27900000000000003</c:v>
                </c:pt>
                <c:pt idx="458">
                  <c:v>0.22900000000000001</c:v>
                </c:pt>
                <c:pt idx="459">
                  <c:v>0.16400000000000001</c:v>
                </c:pt>
                <c:pt idx="460">
                  <c:v>6.5600000000000006E-2</c:v>
                </c:pt>
                <c:pt idx="461">
                  <c:v>3.73E-2</c:v>
                </c:pt>
                <c:pt idx="462">
                  <c:v>8.1000000000000003E-2</c:v>
                </c:pt>
                <c:pt idx="463">
                  <c:v>0.156</c:v>
                </c:pt>
                <c:pt idx="464">
                  <c:v>3.0499999999999999E-2</c:v>
                </c:pt>
                <c:pt idx="465">
                  <c:v>5.5300000000000002E-2</c:v>
                </c:pt>
                <c:pt idx="466">
                  <c:v>4.8399999999999999E-2</c:v>
                </c:pt>
                <c:pt idx="467">
                  <c:v>5.4899999999999997E-2</c:v>
                </c:pt>
                <c:pt idx="468">
                  <c:v>3.6600000000000001E-2</c:v>
                </c:pt>
                <c:pt idx="469">
                  <c:v>5.0299999999999997E-2</c:v>
                </c:pt>
                <c:pt idx="470">
                  <c:v>3.7900000000000003E-2</c:v>
                </c:pt>
                <c:pt idx="471">
                  <c:v>0.20100000000000001</c:v>
                </c:pt>
                <c:pt idx="472">
                  <c:v>4.0599999999999997E-2</c:v>
                </c:pt>
                <c:pt idx="473">
                  <c:v>8.3799999999999999E-2</c:v>
                </c:pt>
                <c:pt idx="474">
                  <c:v>0.19</c:v>
                </c:pt>
                <c:pt idx="475">
                  <c:v>0.20200000000000001</c:v>
                </c:pt>
                <c:pt idx="476">
                  <c:v>4.0599999999999997E-2</c:v>
                </c:pt>
                <c:pt idx="477">
                  <c:v>0.104</c:v>
                </c:pt>
                <c:pt idx="478">
                  <c:v>4.02E-2</c:v>
                </c:pt>
                <c:pt idx="479">
                  <c:v>3.1399999999999997E-2</c:v>
                </c:pt>
                <c:pt idx="480">
                  <c:v>7.4399999999999994E-2</c:v>
                </c:pt>
                <c:pt idx="481">
                  <c:v>8.5800000000000001E-2</c:v>
                </c:pt>
                <c:pt idx="482">
                  <c:v>6.9500000000000006E-2</c:v>
                </c:pt>
                <c:pt idx="483">
                  <c:v>0.156</c:v>
                </c:pt>
                <c:pt idx="484">
                  <c:v>6.5699999999999995E-2</c:v>
                </c:pt>
                <c:pt idx="485">
                  <c:v>4.1599999999999998E-2</c:v>
                </c:pt>
                <c:pt idx="486">
                  <c:v>8.1000000000000003E-2</c:v>
                </c:pt>
                <c:pt idx="487">
                  <c:v>0.188</c:v>
                </c:pt>
                <c:pt idx="488">
                  <c:v>2.9600000000000001E-2</c:v>
                </c:pt>
                <c:pt idx="489">
                  <c:v>4.5999999999999999E-2</c:v>
                </c:pt>
                <c:pt idx="490">
                  <c:v>3.5700000000000003E-2</c:v>
                </c:pt>
                <c:pt idx="491">
                  <c:v>5.7500000000000002E-2</c:v>
                </c:pt>
                <c:pt idx="492">
                  <c:v>0.40200000000000002</c:v>
                </c:pt>
                <c:pt idx="493">
                  <c:v>0.33700000000000002</c:v>
                </c:pt>
                <c:pt idx="494">
                  <c:v>5.9900000000000002E-2</c:v>
                </c:pt>
                <c:pt idx="495">
                  <c:v>4.2799999999999998E-2</c:v>
                </c:pt>
                <c:pt idx="496">
                  <c:v>0.34399999999999997</c:v>
                </c:pt>
                <c:pt idx="497">
                  <c:v>0.10199999999999999</c:v>
                </c:pt>
                <c:pt idx="498">
                  <c:v>3.1600000000000003E-2</c:v>
                </c:pt>
                <c:pt idx="499">
                  <c:v>0.16800000000000001</c:v>
                </c:pt>
                <c:pt idx="500">
                  <c:v>5.6399999999999999E-2</c:v>
                </c:pt>
                <c:pt idx="501">
                  <c:v>7.6600000000000001E-2</c:v>
                </c:pt>
                <c:pt idx="502">
                  <c:v>3.6900000000000002E-2</c:v>
                </c:pt>
                <c:pt idx="503">
                  <c:v>3.1300000000000001E-2</c:v>
                </c:pt>
                <c:pt idx="504">
                  <c:v>5.0500000000000003E-2</c:v>
                </c:pt>
                <c:pt idx="505">
                  <c:v>0.312</c:v>
                </c:pt>
                <c:pt idx="506">
                  <c:v>4.1500000000000002E-2</c:v>
                </c:pt>
                <c:pt idx="507">
                  <c:v>3.56E-2</c:v>
                </c:pt>
                <c:pt idx="508">
                  <c:v>0.20300000000000001</c:v>
                </c:pt>
                <c:pt idx="509">
                  <c:v>3.3099999999999997E-2</c:v>
                </c:pt>
                <c:pt idx="510">
                  <c:v>3.9899999999999998E-2</c:v>
                </c:pt>
                <c:pt idx="511">
                  <c:v>8.3099999999999993E-2</c:v>
                </c:pt>
                <c:pt idx="512">
                  <c:v>9.8699999999999996E-2</c:v>
                </c:pt>
                <c:pt idx="513">
                  <c:v>8.2500000000000004E-2</c:v>
                </c:pt>
                <c:pt idx="514">
                  <c:v>3.6600000000000001E-2</c:v>
                </c:pt>
                <c:pt idx="515">
                  <c:v>0.36199999999999999</c:v>
                </c:pt>
                <c:pt idx="516">
                  <c:v>0.40500000000000003</c:v>
                </c:pt>
                <c:pt idx="517">
                  <c:v>5.8900000000000001E-2</c:v>
                </c:pt>
                <c:pt idx="518">
                  <c:v>6.6400000000000001E-2</c:v>
                </c:pt>
                <c:pt idx="519">
                  <c:v>0.312</c:v>
                </c:pt>
                <c:pt idx="520">
                  <c:v>0.253</c:v>
                </c:pt>
                <c:pt idx="521">
                  <c:v>5.9499999999999997E-2</c:v>
                </c:pt>
                <c:pt idx="522">
                  <c:v>5.3400000000000003E-2</c:v>
                </c:pt>
                <c:pt idx="523">
                  <c:v>4.3200000000000002E-2</c:v>
                </c:pt>
                <c:pt idx="524">
                  <c:v>0.32900000000000001</c:v>
                </c:pt>
                <c:pt idx="525">
                  <c:v>0.114</c:v>
                </c:pt>
                <c:pt idx="526">
                  <c:v>0.218</c:v>
                </c:pt>
                <c:pt idx="527">
                  <c:v>0.37</c:v>
                </c:pt>
                <c:pt idx="528">
                  <c:v>0.15</c:v>
                </c:pt>
                <c:pt idx="529">
                  <c:v>5.7500000000000002E-2</c:v>
                </c:pt>
                <c:pt idx="530">
                  <c:v>0.312</c:v>
                </c:pt>
                <c:pt idx="531">
                  <c:v>4.2299999999999997E-2</c:v>
                </c:pt>
                <c:pt idx="532">
                  <c:v>2.87E-2</c:v>
                </c:pt>
                <c:pt idx="533">
                  <c:v>8.4400000000000003E-2</c:v>
                </c:pt>
                <c:pt idx="534">
                  <c:v>5.7099999999999998E-2</c:v>
                </c:pt>
                <c:pt idx="535">
                  <c:v>6.2199999999999998E-2</c:v>
                </c:pt>
                <c:pt idx="536">
                  <c:v>2.81E-2</c:v>
                </c:pt>
                <c:pt idx="537">
                  <c:v>8.8200000000000001E-2</c:v>
                </c:pt>
                <c:pt idx="538">
                  <c:v>0.311</c:v>
                </c:pt>
                <c:pt idx="539">
                  <c:v>6.9500000000000006E-2</c:v>
                </c:pt>
                <c:pt idx="540">
                  <c:v>4.5699999999999998E-2</c:v>
                </c:pt>
                <c:pt idx="541">
                  <c:v>3.9699999999999999E-2</c:v>
                </c:pt>
                <c:pt idx="542">
                  <c:v>0.114</c:v>
                </c:pt>
                <c:pt idx="543">
                  <c:v>0.18</c:v>
                </c:pt>
                <c:pt idx="544">
                  <c:v>8.4599999999999995E-2</c:v>
                </c:pt>
                <c:pt idx="545">
                  <c:v>7.4099999999999999E-2</c:v>
                </c:pt>
                <c:pt idx="546">
                  <c:v>0.115</c:v>
                </c:pt>
                <c:pt idx="547">
                  <c:v>8.9700000000000002E-2</c:v>
                </c:pt>
                <c:pt idx="548">
                  <c:v>0.32100000000000001</c:v>
                </c:pt>
                <c:pt idx="549">
                  <c:v>4.2200000000000001E-2</c:v>
                </c:pt>
                <c:pt idx="550">
                  <c:v>6.2899999999999998E-2</c:v>
                </c:pt>
                <c:pt idx="551">
                  <c:v>3.2399999999999998E-2</c:v>
                </c:pt>
                <c:pt idx="552">
                  <c:v>2.6100000000000002E-2</c:v>
                </c:pt>
                <c:pt idx="553">
                  <c:v>0.56399999999999995</c:v>
                </c:pt>
                <c:pt idx="554">
                  <c:v>5.7700000000000001E-2</c:v>
                </c:pt>
                <c:pt idx="555">
                  <c:v>0.21199999999999999</c:v>
                </c:pt>
                <c:pt idx="556">
                  <c:v>0.106</c:v>
                </c:pt>
                <c:pt idx="557">
                  <c:v>6.9099999999999995E-2</c:v>
                </c:pt>
                <c:pt idx="558">
                  <c:v>4.65E-2</c:v>
                </c:pt>
                <c:pt idx="559">
                  <c:v>5.21E-2</c:v>
                </c:pt>
                <c:pt idx="560">
                  <c:v>5.33E-2</c:v>
                </c:pt>
                <c:pt idx="561">
                  <c:v>8.7300000000000003E-2</c:v>
                </c:pt>
                <c:pt idx="562">
                  <c:v>6.6000000000000003E-2</c:v>
                </c:pt>
                <c:pt idx="563">
                  <c:v>3.3500000000000002E-2</c:v>
                </c:pt>
                <c:pt idx="564">
                  <c:v>5.2400000000000002E-2</c:v>
                </c:pt>
                <c:pt idx="565">
                  <c:v>4.8599999999999997E-2</c:v>
                </c:pt>
                <c:pt idx="566">
                  <c:v>0.27400000000000002</c:v>
                </c:pt>
                <c:pt idx="567">
                  <c:v>0.34499999999999997</c:v>
                </c:pt>
                <c:pt idx="568">
                  <c:v>4.6100000000000002E-2</c:v>
                </c:pt>
                <c:pt idx="569">
                  <c:v>0.11600000000000001</c:v>
                </c:pt>
                <c:pt idx="570">
                  <c:v>0.124</c:v>
                </c:pt>
                <c:pt idx="571">
                  <c:v>3.4599999999999999E-2</c:v>
                </c:pt>
                <c:pt idx="572">
                  <c:v>9.0200000000000002E-2</c:v>
                </c:pt>
                <c:pt idx="573">
                  <c:v>0.113</c:v>
                </c:pt>
                <c:pt idx="574">
                  <c:v>0.24099999999999999</c:v>
                </c:pt>
                <c:pt idx="575">
                  <c:v>2.6599999999999999E-2</c:v>
                </c:pt>
                <c:pt idx="576">
                  <c:v>0.13600000000000001</c:v>
                </c:pt>
                <c:pt idx="577">
                  <c:v>6.3100000000000003E-2</c:v>
                </c:pt>
                <c:pt idx="578">
                  <c:v>0.252</c:v>
                </c:pt>
                <c:pt idx="579">
                  <c:v>0.40200000000000002</c:v>
                </c:pt>
                <c:pt idx="580">
                  <c:v>9.4799999999999995E-2</c:v>
                </c:pt>
                <c:pt idx="581">
                  <c:v>3.6999999999999998E-2</c:v>
                </c:pt>
                <c:pt idx="582">
                  <c:v>0.124</c:v>
                </c:pt>
                <c:pt idx="583">
                  <c:v>3.2800000000000003E-2</c:v>
                </c:pt>
                <c:pt idx="584">
                  <c:v>0.13300000000000001</c:v>
                </c:pt>
                <c:pt idx="585">
                  <c:v>8.6800000000000002E-2</c:v>
                </c:pt>
                <c:pt idx="586">
                  <c:v>4.4600000000000001E-2</c:v>
                </c:pt>
                <c:pt idx="587">
                  <c:v>0.42599999999999999</c:v>
                </c:pt>
                <c:pt idx="588">
                  <c:v>3.1800000000000002E-2</c:v>
                </c:pt>
                <c:pt idx="589">
                  <c:v>3.9600000000000003E-2</c:v>
                </c:pt>
                <c:pt idx="590">
                  <c:v>0.111</c:v>
                </c:pt>
                <c:pt idx="591">
                  <c:v>0.27700000000000002</c:v>
                </c:pt>
                <c:pt idx="592">
                  <c:v>0.35899999999999999</c:v>
                </c:pt>
                <c:pt idx="593">
                  <c:v>5.2400000000000002E-2</c:v>
                </c:pt>
                <c:pt idx="594">
                  <c:v>0.214</c:v>
                </c:pt>
                <c:pt idx="595">
                  <c:v>0.29299999999999998</c:v>
                </c:pt>
                <c:pt idx="596">
                  <c:v>2.7699999999999999E-2</c:v>
                </c:pt>
                <c:pt idx="597">
                  <c:v>6.0999999999999999E-2</c:v>
                </c:pt>
                <c:pt idx="598">
                  <c:v>8.3199999999999996E-2</c:v>
                </c:pt>
                <c:pt idx="599">
                  <c:v>0.153</c:v>
                </c:pt>
                <c:pt idx="600">
                  <c:v>5.7700000000000001E-2</c:v>
                </c:pt>
                <c:pt idx="601">
                  <c:v>4.9299999999999997E-2</c:v>
                </c:pt>
                <c:pt idx="602">
                  <c:v>2.76E-2</c:v>
                </c:pt>
                <c:pt idx="603">
                  <c:v>2.8000000000000001E-2</c:v>
                </c:pt>
                <c:pt idx="604">
                  <c:v>0.29799999999999999</c:v>
                </c:pt>
                <c:pt idx="605">
                  <c:v>3.3099999999999997E-2</c:v>
                </c:pt>
                <c:pt idx="606">
                  <c:v>0.10199999999999999</c:v>
                </c:pt>
                <c:pt idx="607">
                  <c:v>0.182</c:v>
                </c:pt>
                <c:pt idx="608">
                  <c:v>4.3999999999999997E-2</c:v>
                </c:pt>
                <c:pt idx="609">
                  <c:v>0.159</c:v>
                </c:pt>
                <c:pt idx="610">
                  <c:v>7.0800000000000002E-2</c:v>
                </c:pt>
                <c:pt idx="611">
                  <c:v>5.0700000000000002E-2</c:v>
                </c:pt>
                <c:pt idx="612">
                  <c:v>6.0199999999999997E-2</c:v>
                </c:pt>
                <c:pt idx="613">
                  <c:v>0.191</c:v>
                </c:pt>
                <c:pt idx="614">
                  <c:v>6.2899999999999998E-2</c:v>
                </c:pt>
                <c:pt idx="615">
                  <c:v>9.2499999999999999E-2</c:v>
                </c:pt>
                <c:pt idx="616">
                  <c:v>4.9399999999999999E-2</c:v>
                </c:pt>
                <c:pt idx="617">
                  <c:v>6.2899999999999998E-2</c:v>
                </c:pt>
                <c:pt idx="618">
                  <c:v>3.85E-2</c:v>
                </c:pt>
                <c:pt idx="619">
                  <c:v>0.154</c:v>
                </c:pt>
                <c:pt idx="620">
                  <c:v>0.34200000000000003</c:v>
                </c:pt>
                <c:pt idx="621">
                  <c:v>0.13</c:v>
                </c:pt>
                <c:pt idx="622">
                  <c:v>0.13200000000000001</c:v>
                </c:pt>
                <c:pt idx="623">
                  <c:v>0.41899999999999998</c:v>
                </c:pt>
                <c:pt idx="624">
                  <c:v>0.41099999999999998</c:v>
                </c:pt>
                <c:pt idx="625">
                  <c:v>3.44E-2</c:v>
                </c:pt>
                <c:pt idx="626">
                  <c:v>3.5499999999999997E-2</c:v>
                </c:pt>
                <c:pt idx="627">
                  <c:v>0.39700000000000002</c:v>
                </c:pt>
                <c:pt idx="628">
                  <c:v>6.4199999999999993E-2</c:v>
                </c:pt>
                <c:pt idx="629">
                  <c:v>3.1E-2</c:v>
                </c:pt>
                <c:pt idx="630">
                  <c:v>0.17199999999999999</c:v>
                </c:pt>
                <c:pt idx="631">
                  <c:v>0.12</c:v>
                </c:pt>
                <c:pt idx="632">
                  <c:v>0.22900000000000001</c:v>
                </c:pt>
                <c:pt idx="633">
                  <c:v>4.0899999999999999E-2</c:v>
                </c:pt>
                <c:pt idx="634">
                  <c:v>0.19700000000000001</c:v>
                </c:pt>
                <c:pt idx="635">
                  <c:v>7.0699999999999999E-2</c:v>
                </c:pt>
                <c:pt idx="636">
                  <c:v>0.17699999999999999</c:v>
                </c:pt>
                <c:pt idx="637">
                  <c:v>3.1E-2</c:v>
                </c:pt>
                <c:pt idx="638">
                  <c:v>8.0799999999999997E-2</c:v>
                </c:pt>
                <c:pt idx="639">
                  <c:v>3.5999999999999997E-2</c:v>
                </c:pt>
                <c:pt idx="640">
                  <c:v>0.14599999999999999</c:v>
                </c:pt>
                <c:pt idx="641">
                  <c:v>0.17299999999999999</c:v>
                </c:pt>
                <c:pt idx="642">
                  <c:v>4.82E-2</c:v>
                </c:pt>
                <c:pt idx="643">
                  <c:v>5.0200000000000002E-2</c:v>
                </c:pt>
                <c:pt idx="644">
                  <c:v>0.38400000000000001</c:v>
                </c:pt>
                <c:pt idx="645">
                  <c:v>4.24E-2</c:v>
                </c:pt>
                <c:pt idx="646">
                  <c:v>0.13300000000000001</c:v>
                </c:pt>
                <c:pt idx="647">
                  <c:v>0.105</c:v>
                </c:pt>
                <c:pt idx="648">
                  <c:v>0.307</c:v>
                </c:pt>
                <c:pt idx="649">
                  <c:v>0.25700000000000001</c:v>
                </c:pt>
                <c:pt idx="650">
                  <c:v>4.3200000000000002E-2</c:v>
                </c:pt>
                <c:pt idx="651">
                  <c:v>0.372</c:v>
                </c:pt>
                <c:pt idx="652">
                  <c:v>8.7900000000000006E-2</c:v>
                </c:pt>
                <c:pt idx="653">
                  <c:v>0.13500000000000001</c:v>
                </c:pt>
                <c:pt idx="654">
                  <c:v>4.1399999999999999E-2</c:v>
                </c:pt>
                <c:pt idx="655">
                  <c:v>6.1400000000000003E-2</c:v>
                </c:pt>
                <c:pt idx="656">
                  <c:v>3.32E-2</c:v>
                </c:pt>
                <c:pt idx="657">
                  <c:v>0.124</c:v>
                </c:pt>
                <c:pt idx="658">
                  <c:v>0.30399999999999999</c:v>
                </c:pt>
                <c:pt idx="659">
                  <c:v>4.58E-2</c:v>
                </c:pt>
                <c:pt idx="660">
                  <c:v>0.20699999999999999</c:v>
                </c:pt>
                <c:pt idx="661">
                  <c:v>4.6199999999999998E-2</c:v>
                </c:pt>
                <c:pt idx="662">
                  <c:v>3.7699999999999997E-2</c:v>
                </c:pt>
                <c:pt idx="663">
                  <c:v>7.3499999999999996E-2</c:v>
                </c:pt>
                <c:pt idx="664">
                  <c:v>8.3799999999999999E-2</c:v>
                </c:pt>
                <c:pt idx="665">
                  <c:v>6.6400000000000001E-2</c:v>
                </c:pt>
                <c:pt idx="666">
                  <c:v>7.3499999999999996E-2</c:v>
                </c:pt>
                <c:pt idx="667">
                  <c:v>6.88E-2</c:v>
                </c:pt>
                <c:pt idx="668">
                  <c:v>4.2299999999999997E-2</c:v>
                </c:pt>
                <c:pt idx="669">
                  <c:v>0.46700000000000003</c:v>
                </c:pt>
                <c:pt idx="670">
                  <c:v>3.85E-2</c:v>
                </c:pt>
                <c:pt idx="671">
                  <c:v>3.5700000000000003E-2</c:v>
                </c:pt>
                <c:pt idx="672">
                  <c:v>0.29499999999999998</c:v>
                </c:pt>
                <c:pt idx="673">
                  <c:v>0.122</c:v>
                </c:pt>
                <c:pt idx="674">
                  <c:v>4.2700000000000002E-2</c:v>
                </c:pt>
                <c:pt idx="675">
                  <c:v>8.09E-2</c:v>
                </c:pt>
                <c:pt idx="676">
                  <c:v>5.2200000000000003E-2</c:v>
                </c:pt>
                <c:pt idx="677">
                  <c:v>3.0499999999999999E-2</c:v>
                </c:pt>
                <c:pt idx="678">
                  <c:v>0.33400000000000002</c:v>
                </c:pt>
                <c:pt idx="679">
                  <c:v>0.113</c:v>
                </c:pt>
                <c:pt idx="680">
                  <c:v>7.0099999999999996E-2</c:v>
                </c:pt>
                <c:pt idx="681">
                  <c:v>9.06E-2</c:v>
                </c:pt>
                <c:pt idx="682">
                  <c:v>6.1699999999999998E-2</c:v>
                </c:pt>
                <c:pt idx="683">
                  <c:v>6.3799999999999996E-2</c:v>
                </c:pt>
                <c:pt idx="684">
                  <c:v>3.2000000000000001E-2</c:v>
                </c:pt>
                <c:pt idx="685">
                  <c:v>3.5799999999999998E-2</c:v>
                </c:pt>
                <c:pt idx="686">
                  <c:v>0.438</c:v>
                </c:pt>
                <c:pt idx="687">
                  <c:v>9.3399999999999997E-2</c:v>
                </c:pt>
                <c:pt idx="688">
                  <c:v>0.10199999999999999</c:v>
                </c:pt>
                <c:pt idx="689">
                  <c:v>4.6399999999999997E-2</c:v>
                </c:pt>
                <c:pt idx="690">
                  <c:v>6.5199999999999994E-2</c:v>
                </c:pt>
                <c:pt idx="691">
                  <c:v>5.3600000000000002E-2</c:v>
                </c:pt>
                <c:pt idx="692">
                  <c:v>4.1300000000000003E-2</c:v>
                </c:pt>
                <c:pt idx="693">
                  <c:v>0.11</c:v>
                </c:pt>
                <c:pt idx="694">
                  <c:v>3.8199999999999998E-2</c:v>
                </c:pt>
                <c:pt idx="695">
                  <c:v>5.04E-2</c:v>
                </c:pt>
                <c:pt idx="696">
                  <c:v>5.21E-2</c:v>
                </c:pt>
                <c:pt idx="697">
                  <c:v>0.253</c:v>
                </c:pt>
                <c:pt idx="698">
                  <c:v>7.6999999999999999E-2</c:v>
                </c:pt>
                <c:pt idx="699">
                  <c:v>7.9399999999999998E-2</c:v>
                </c:pt>
                <c:pt idx="700">
                  <c:v>5.7200000000000001E-2</c:v>
                </c:pt>
                <c:pt idx="701">
                  <c:v>3.7400000000000003E-2</c:v>
                </c:pt>
                <c:pt idx="702">
                  <c:v>0.20100000000000001</c:v>
                </c:pt>
                <c:pt idx="703">
                  <c:v>0.36</c:v>
                </c:pt>
                <c:pt idx="704">
                  <c:v>6.83E-2</c:v>
                </c:pt>
                <c:pt idx="705">
                  <c:v>3.39E-2</c:v>
                </c:pt>
                <c:pt idx="706">
                  <c:v>0.16200000000000001</c:v>
                </c:pt>
                <c:pt idx="707">
                  <c:v>0.22500000000000001</c:v>
                </c:pt>
                <c:pt idx="708">
                  <c:v>5.8099999999999999E-2</c:v>
                </c:pt>
                <c:pt idx="709">
                  <c:v>0.16300000000000001</c:v>
                </c:pt>
                <c:pt idx="710">
                  <c:v>4.2599999999999999E-2</c:v>
                </c:pt>
                <c:pt idx="711">
                  <c:v>2.8799999999999999E-2</c:v>
                </c:pt>
                <c:pt idx="712">
                  <c:v>5.1400000000000001E-2</c:v>
                </c:pt>
                <c:pt idx="713">
                  <c:v>3.9399999999999998E-2</c:v>
                </c:pt>
                <c:pt idx="714">
                  <c:v>4.5199999999999997E-2</c:v>
                </c:pt>
                <c:pt idx="715">
                  <c:v>0.22600000000000001</c:v>
                </c:pt>
                <c:pt idx="716">
                  <c:v>4.7300000000000002E-2</c:v>
                </c:pt>
                <c:pt idx="717">
                  <c:v>3.49E-2</c:v>
                </c:pt>
                <c:pt idx="718">
                  <c:v>7.22E-2</c:v>
                </c:pt>
                <c:pt idx="719">
                  <c:v>0.17899999999999999</c:v>
                </c:pt>
                <c:pt idx="720">
                  <c:v>7.3599999999999999E-2</c:v>
                </c:pt>
                <c:pt idx="721">
                  <c:v>5.8200000000000002E-2</c:v>
                </c:pt>
                <c:pt idx="722">
                  <c:v>3.5099999999999999E-2</c:v>
                </c:pt>
                <c:pt idx="723">
                  <c:v>5.3600000000000002E-2</c:v>
                </c:pt>
                <c:pt idx="724">
                  <c:v>6.3E-2</c:v>
                </c:pt>
                <c:pt idx="725">
                  <c:v>7.5200000000000003E-2</c:v>
                </c:pt>
                <c:pt idx="726">
                  <c:v>0.10299999999999999</c:v>
                </c:pt>
                <c:pt idx="727">
                  <c:v>0.27700000000000002</c:v>
                </c:pt>
                <c:pt idx="728">
                  <c:v>0.19700000000000001</c:v>
                </c:pt>
                <c:pt idx="729">
                  <c:v>6.2300000000000001E-2</c:v>
                </c:pt>
                <c:pt idx="730">
                  <c:v>6.0199999999999997E-2</c:v>
                </c:pt>
                <c:pt idx="731">
                  <c:v>0.16</c:v>
                </c:pt>
                <c:pt idx="732">
                  <c:v>5.9900000000000002E-2</c:v>
                </c:pt>
                <c:pt idx="733">
                  <c:v>5.3100000000000001E-2</c:v>
                </c:pt>
                <c:pt idx="734">
                  <c:v>0.154</c:v>
                </c:pt>
                <c:pt idx="735">
                  <c:v>5.0299999999999997E-2</c:v>
                </c:pt>
                <c:pt idx="736">
                  <c:v>0.22700000000000001</c:v>
                </c:pt>
                <c:pt idx="737">
                  <c:v>0.26400000000000001</c:v>
                </c:pt>
                <c:pt idx="738">
                  <c:v>3.4599999999999999E-2</c:v>
                </c:pt>
                <c:pt idx="739">
                  <c:v>9.69E-2</c:v>
                </c:pt>
                <c:pt idx="740">
                  <c:v>3.3399999999999999E-2</c:v>
                </c:pt>
                <c:pt idx="741">
                  <c:v>0.183</c:v>
                </c:pt>
                <c:pt idx="742">
                  <c:v>0.39100000000000001</c:v>
                </c:pt>
                <c:pt idx="743">
                  <c:v>4.7399999999999998E-2</c:v>
                </c:pt>
                <c:pt idx="744">
                  <c:v>0.32300000000000001</c:v>
                </c:pt>
                <c:pt idx="745">
                  <c:v>9.11E-2</c:v>
                </c:pt>
                <c:pt idx="746">
                  <c:v>3.1E-2</c:v>
                </c:pt>
                <c:pt idx="747">
                  <c:v>7.3300000000000004E-2</c:v>
                </c:pt>
                <c:pt idx="748">
                  <c:v>0.10199999999999999</c:v>
                </c:pt>
                <c:pt idx="749">
                  <c:v>3.2000000000000001E-2</c:v>
                </c:pt>
                <c:pt idx="750">
                  <c:v>6.4299999999999996E-2</c:v>
                </c:pt>
                <c:pt idx="751">
                  <c:v>4.99E-2</c:v>
                </c:pt>
                <c:pt idx="752">
                  <c:v>0.27700000000000002</c:v>
                </c:pt>
                <c:pt idx="753">
                  <c:v>7.6799999999999993E-2</c:v>
                </c:pt>
                <c:pt idx="754">
                  <c:v>3.1099999999999999E-2</c:v>
                </c:pt>
                <c:pt idx="755">
                  <c:v>0.108</c:v>
                </c:pt>
                <c:pt idx="756">
                  <c:v>0.10199999999999999</c:v>
                </c:pt>
                <c:pt idx="757">
                  <c:v>5.2200000000000003E-2</c:v>
                </c:pt>
                <c:pt idx="758">
                  <c:v>6.0699999999999997E-2</c:v>
                </c:pt>
                <c:pt idx="759">
                  <c:v>8.1600000000000006E-2</c:v>
                </c:pt>
                <c:pt idx="760">
                  <c:v>0.125</c:v>
                </c:pt>
                <c:pt idx="761">
                  <c:v>0.10199999999999999</c:v>
                </c:pt>
                <c:pt idx="762">
                  <c:v>0.20399999999999999</c:v>
                </c:pt>
                <c:pt idx="763">
                  <c:v>5.7000000000000002E-2</c:v>
                </c:pt>
                <c:pt idx="764">
                  <c:v>4.02E-2</c:v>
                </c:pt>
                <c:pt idx="765">
                  <c:v>0.153</c:v>
                </c:pt>
                <c:pt idx="766">
                  <c:v>0.10199999999999999</c:v>
                </c:pt>
                <c:pt idx="767">
                  <c:v>3.3399999999999999E-2</c:v>
                </c:pt>
                <c:pt idx="768">
                  <c:v>3.2800000000000003E-2</c:v>
                </c:pt>
                <c:pt idx="769">
                  <c:v>0.10100000000000001</c:v>
                </c:pt>
                <c:pt idx="770">
                  <c:v>0.13800000000000001</c:v>
                </c:pt>
                <c:pt idx="771">
                  <c:v>7.8299999999999995E-2</c:v>
                </c:pt>
                <c:pt idx="772">
                  <c:v>0.13100000000000001</c:v>
                </c:pt>
                <c:pt idx="773">
                  <c:v>0.22600000000000001</c:v>
                </c:pt>
                <c:pt idx="774">
                  <c:v>0.26</c:v>
                </c:pt>
                <c:pt idx="775">
                  <c:v>3.8800000000000001E-2</c:v>
                </c:pt>
                <c:pt idx="776">
                  <c:v>0.127</c:v>
                </c:pt>
                <c:pt idx="777">
                  <c:v>0.34100000000000003</c:v>
                </c:pt>
                <c:pt idx="778">
                  <c:v>0.24099999999999999</c:v>
                </c:pt>
                <c:pt idx="779">
                  <c:v>0.122</c:v>
                </c:pt>
                <c:pt idx="780">
                  <c:v>5.9799999999999999E-2</c:v>
                </c:pt>
                <c:pt idx="781">
                  <c:v>0.193</c:v>
                </c:pt>
                <c:pt idx="782">
                  <c:v>0.18099999999999999</c:v>
                </c:pt>
                <c:pt idx="783">
                  <c:v>0.30099999999999999</c:v>
                </c:pt>
                <c:pt idx="784">
                  <c:v>8.77E-2</c:v>
                </c:pt>
                <c:pt idx="785">
                  <c:v>0.28000000000000003</c:v>
                </c:pt>
                <c:pt idx="786">
                  <c:v>3.8899999999999997E-2</c:v>
                </c:pt>
                <c:pt idx="787">
                  <c:v>7.5700000000000003E-2</c:v>
                </c:pt>
                <c:pt idx="788">
                  <c:v>0.20599999999999999</c:v>
                </c:pt>
                <c:pt idx="789">
                  <c:v>6.9400000000000003E-2</c:v>
                </c:pt>
                <c:pt idx="790">
                  <c:v>5.4199999999999998E-2</c:v>
                </c:pt>
                <c:pt idx="791">
                  <c:v>0.33900000000000002</c:v>
                </c:pt>
                <c:pt idx="792">
                  <c:v>0.32500000000000001</c:v>
                </c:pt>
                <c:pt idx="793">
                  <c:v>8.2199999999999995E-2</c:v>
                </c:pt>
                <c:pt idx="794">
                  <c:v>6.7599999999999993E-2</c:v>
                </c:pt>
                <c:pt idx="795">
                  <c:v>0.152</c:v>
                </c:pt>
                <c:pt idx="796">
                  <c:v>0.128</c:v>
                </c:pt>
                <c:pt idx="797">
                  <c:v>5.79E-2</c:v>
                </c:pt>
                <c:pt idx="798">
                  <c:v>4.07E-2</c:v>
                </c:pt>
                <c:pt idx="799">
                  <c:v>3.09E-2</c:v>
                </c:pt>
                <c:pt idx="800">
                  <c:v>5.96E-2</c:v>
                </c:pt>
                <c:pt idx="801">
                  <c:v>4.8399999999999999E-2</c:v>
                </c:pt>
                <c:pt idx="802">
                  <c:v>2.9899999999999999E-2</c:v>
                </c:pt>
                <c:pt idx="803">
                  <c:v>6.3100000000000003E-2</c:v>
                </c:pt>
                <c:pt idx="804">
                  <c:v>4.7899999999999998E-2</c:v>
                </c:pt>
                <c:pt idx="805">
                  <c:v>4.7399999999999998E-2</c:v>
                </c:pt>
                <c:pt idx="806">
                  <c:v>0.105</c:v>
                </c:pt>
                <c:pt idx="807">
                  <c:v>5.2999999999999999E-2</c:v>
                </c:pt>
                <c:pt idx="808">
                  <c:v>0.30199999999999999</c:v>
                </c:pt>
                <c:pt idx="809">
                  <c:v>3.7999999999999999E-2</c:v>
                </c:pt>
                <c:pt idx="810">
                  <c:v>0.44500000000000001</c:v>
                </c:pt>
                <c:pt idx="811">
                  <c:v>0.219</c:v>
                </c:pt>
                <c:pt idx="812">
                  <c:v>0.23499999999999999</c:v>
                </c:pt>
                <c:pt idx="813">
                  <c:v>3.5700000000000003E-2</c:v>
                </c:pt>
                <c:pt idx="814">
                  <c:v>9.3700000000000006E-2</c:v>
                </c:pt>
                <c:pt idx="815">
                  <c:v>2.7900000000000001E-2</c:v>
                </c:pt>
                <c:pt idx="816">
                  <c:v>3.3399999999999999E-2</c:v>
                </c:pt>
                <c:pt idx="817">
                  <c:v>0.44500000000000001</c:v>
                </c:pt>
                <c:pt idx="818">
                  <c:v>0.112</c:v>
                </c:pt>
                <c:pt idx="819">
                  <c:v>7.4200000000000002E-2</c:v>
                </c:pt>
                <c:pt idx="820">
                  <c:v>0.158</c:v>
                </c:pt>
                <c:pt idx="821">
                  <c:v>2.6200000000000001E-2</c:v>
                </c:pt>
                <c:pt idx="822">
                  <c:v>3.2500000000000001E-2</c:v>
                </c:pt>
                <c:pt idx="823">
                  <c:v>0.10100000000000001</c:v>
                </c:pt>
                <c:pt idx="824">
                  <c:v>5.0900000000000001E-2</c:v>
                </c:pt>
                <c:pt idx="825">
                  <c:v>3.9399999999999998E-2</c:v>
                </c:pt>
                <c:pt idx="826">
                  <c:v>8.7900000000000006E-2</c:v>
                </c:pt>
                <c:pt idx="827">
                  <c:v>0.45800000000000002</c:v>
                </c:pt>
                <c:pt idx="828">
                  <c:v>0.27400000000000002</c:v>
                </c:pt>
                <c:pt idx="829">
                  <c:v>8.72E-2</c:v>
                </c:pt>
                <c:pt idx="830">
                  <c:v>0.249</c:v>
                </c:pt>
                <c:pt idx="831">
                  <c:v>0.13900000000000001</c:v>
                </c:pt>
                <c:pt idx="832">
                  <c:v>0.126</c:v>
                </c:pt>
                <c:pt idx="833">
                  <c:v>4.3200000000000002E-2</c:v>
                </c:pt>
                <c:pt idx="834">
                  <c:v>7.1900000000000006E-2</c:v>
                </c:pt>
                <c:pt idx="835">
                  <c:v>0.21299999999999999</c:v>
                </c:pt>
                <c:pt idx="836">
                  <c:v>8.2000000000000003E-2</c:v>
                </c:pt>
                <c:pt idx="837">
                  <c:v>4.5400000000000003E-2</c:v>
                </c:pt>
                <c:pt idx="838">
                  <c:v>3.6700000000000003E-2</c:v>
                </c:pt>
                <c:pt idx="839">
                  <c:v>7.8700000000000006E-2</c:v>
                </c:pt>
                <c:pt idx="840">
                  <c:v>0.14699999999999999</c:v>
                </c:pt>
                <c:pt idx="841">
                  <c:v>4.3900000000000002E-2</c:v>
                </c:pt>
                <c:pt idx="842">
                  <c:v>5.5599999999999997E-2</c:v>
                </c:pt>
                <c:pt idx="843">
                  <c:v>0.11799999999999999</c:v>
                </c:pt>
                <c:pt idx="844">
                  <c:v>8.9700000000000002E-2</c:v>
                </c:pt>
                <c:pt idx="845">
                  <c:v>0.35299999999999998</c:v>
                </c:pt>
                <c:pt idx="846">
                  <c:v>7.9100000000000004E-2</c:v>
                </c:pt>
                <c:pt idx="847">
                  <c:v>0.112</c:v>
                </c:pt>
                <c:pt idx="848">
                  <c:v>0.12</c:v>
                </c:pt>
                <c:pt idx="849">
                  <c:v>3.3799999999999997E-2</c:v>
                </c:pt>
                <c:pt idx="850">
                  <c:v>8.5400000000000004E-2</c:v>
                </c:pt>
                <c:pt idx="851">
                  <c:v>0.13900000000000001</c:v>
                </c:pt>
                <c:pt idx="852">
                  <c:v>6.8099999999999994E-2</c:v>
                </c:pt>
                <c:pt idx="853">
                  <c:v>3.95E-2</c:v>
                </c:pt>
                <c:pt idx="854">
                  <c:v>4.8899999999999999E-2</c:v>
                </c:pt>
                <c:pt idx="855">
                  <c:v>5.9900000000000002E-2</c:v>
                </c:pt>
                <c:pt idx="856">
                  <c:v>4.3200000000000002E-2</c:v>
                </c:pt>
                <c:pt idx="857">
                  <c:v>0.311</c:v>
                </c:pt>
                <c:pt idx="858">
                  <c:v>7.0199999999999999E-2</c:v>
                </c:pt>
                <c:pt idx="859">
                  <c:v>0.224</c:v>
                </c:pt>
                <c:pt idx="860">
                  <c:v>7.2499999999999995E-2</c:v>
                </c:pt>
                <c:pt idx="861">
                  <c:v>4.5400000000000003E-2</c:v>
                </c:pt>
                <c:pt idx="862">
                  <c:v>0.32400000000000001</c:v>
                </c:pt>
                <c:pt idx="863">
                  <c:v>0.13500000000000001</c:v>
                </c:pt>
                <c:pt idx="864">
                  <c:v>0.52</c:v>
                </c:pt>
                <c:pt idx="865">
                  <c:v>4.2599999999999999E-2</c:v>
                </c:pt>
                <c:pt idx="866">
                  <c:v>6.4500000000000002E-2</c:v>
                </c:pt>
                <c:pt idx="867">
                  <c:v>3.4099999999999998E-2</c:v>
                </c:pt>
                <c:pt idx="868">
                  <c:v>7.5600000000000001E-2</c:v>
                </c:pt>
                <c:pt idx="869">
                  <c:v>4.4400000000000002E-2</c:v>
                </c:pt>
                <c:pt idx="870">
                  <c:v>4.2500000000000003E-2</c:v>
                </c:pt>
                <c:pt idx="871">
                  <c:v>3.7499999999999999E-2</c:v>
                </c:pt>
                <c:pt idx="872">
                  <c:v>3.2500000000000001E-2</c:v>
                </c:pt>
                <c:pt idx="873">
                  <c:v>2.5899999999999999E-2</c:v>
                </c:pt>
                <c:pt idx="874">
                  <c:v>3.5099999999999999E-2</c:v>
                </c:pt>
                <c:pt idx="875">
                  <c:v>2.53E-2</c:v>
                </c:pt>
                <c:pt idx="876">
                  <c:v>3.32E-2</c:v>
                </c:pt>
                <c:pt idx="877">
                  <c:v>0.10199999999999999</c:v>
                </c:pt>
                <c:pt idx="878">
                  <c:v>0.158</c:v>
                </c:pt>
                <c:pt idx="879">
                  <c:v>7.4700000000000003E-2</c:v>
                </c:pt>
                <c:pt idx="880">
                  <c:v>4.7800000000000002E-2</c:v>
                </c:pt>
                <c:pt idx="881">
                  <c:v>6.83E-2</c:v>
                </c:pt>
                <c:pt idx="882">
                  <c:v>0.22800000000000001</c:v>
                </c:pt>
                <c:pt idx="883">
                  <c:v>0.36499999999999999</c:v>
                </c:pt>
                <c:pt idx="884">
                  <c:v>8.1299999999999997E-2</c:v>
                </c:pt>
                <c:pt idx="885">
                  <c:v>0.13700000000000001</c:v>
                </c:pt>
                <c:pt idx="886">
                  <c:v>4.48E-2</c:v>
                </c:pt>
                <c:pt idx="887">
                  <c:v>5.4899999999999997E-2</c:v>
                </c:pt>
                <c:pt idx="888">
                  <c:v>7.1599999999999997E-2</c:v>
                </c:pt>
                <c:pt idx="889">
                  <c:v>9.6000000000000002E-2</c:v>
                </c:pt>
                <c:pt idx="890">
                  <c:v>0.13300000000000001</c:v>
                </c:pt>
                <c:pt idx="891">
                  <c:v>3.09E-2</c:v>
                </c:pt>
                <c:pt idx="892">
                  <c:v>0.113</c:v>
                </c:pt>
                <c:pt idx="893">
                  <c:v>0.14799999999999999</c:v>
                </c:pt>
                <c:pt idx="894">
                  <c:v>7.9699999999999993E-2</c:v>
                </c:pt>
                <c:pt idx="895">
                  <c:v>8.9300000000000004E-2</c:v>
                </c:pt>
                <c:pt idx="896">
                  <c:v>5.5E-2</c:v>
                </c:pt>
                <c:pt idx="897">
                  <c:v>4.1300000000000003E-2</c:v>
                </c:pt>
                <c:pt idx="898">
                  <c:v>7.8299999999999995E-2</c:v>
                </c:pt>
                <c:pt idx="899">
                  <c:v>6.4500000000000002E-2</c:v>
                </c:pt>
                <c:pt idx="900">
                  <c:v>0.378</c:v>
                </c:pt>
                <c:pt idx="901">
                  <c:v>0.249</c:v>
                </c:pt>
                <c:pt idx="902">
                  <c:v>0.34599999999999997</c:v>
                </c:pt>
                <c:pt idx="903">
                  <c:v>8.5099999999999995E-2</c:v>
                </c:pt>
                <c:pt idx="904">
                  <c:v>0.13300000000000001</c:v>
                </c:pt>
                <c:pt idx="905">
                  <c:v>0.27</c:v>
                </c:pt>
                <c:pt idx="906">
                  <c:v>0.28299999999999997</c:v>
                </c:pt>
                <c:pt idx="907">
                  <c:v>4.0800000000000003E-2</c:v>
                </c:pt>
                <c:pt idx="908">
                  <c:v>7.5300000000000006E-2</c:v>
                </c:pt>
                <c:pt idx="909">
                  <c:v>9.2700000000000005E-2</c:v>
                </c:pt>
                <c:pt idx="910">
                  <c:v>4.0099999999999997E-2</c:v>
                </c:pt>
                <c:pt idx="911">
                  <c:v>0.44700000000000001</c:v>
                </c:pt>
                <c:pt idx="912">
                  <c:v>7.1900000000000006E-2</c:v>
                </c:pt>
                <c:pt idx="913">
                  <c:v>4.1599999999999998E-2</c:v>
                </c:pt>
                <c:pt idx="914">
                  <c:v>0.25700000000000001</c:v>
                </c:pt>
                <c:pt idx="915">
                  <c:v>4.0399999999999998E-2</c:v>
                </c:pt>
                <c:pt idx="916">
                  <c:v>4.5600000000000002E-2</c:v>
                </c:pt>
                <c:pt idx="917">
                  <c:v>0.112</c:v>
                </c:pt>
                <c:pt idx="918">
                  <c:v>3.1199999999999999E-2</c:v>
                </c:pt>
                <c:pt idx="919">
                  <c:v>3.3399999999999999E-2</c:v>
                </c:pt>
                <c:pt idx="920">
                  <c:v>0.19400000000000001</c:v>
                </c:pt>
                <c:pt idx="921">
                  <c:v>0.34899999999999998</c:v>
                </c:pt>
                <c:pt idx="922">
                  <c:v>3.8899999999999997E-2</c:v>
                </c:pt>
                <c:pt idx="923">
                  <c:v>0.379</c:v>
                </c:pt>
                <c:pt idx="924">
                  <c:v>2.87E-2</c:v>
                </c:pt>
                <c:pt idx="925">
                  <c:v>0.2</c:v>
                </c:pt>
                <c:pt idx="926">
                  <c:v>0.442</c:v>
                </c:pt>
                <c:pt idx="927">
                  <c:v>2.4799999999999999E-2</c:v>
                </c:pt>
                <c:pt idx="928">
                  <c:v>3.9100000000000003E-2</c:v>
                </c:pt>
                <c:pt idx="929">
                  <c:v>7.5800000000000006E-2</c:v>
                </c:pt>
                <c:pt idx="930">
                  <c:v>3.2800000000000003E-2</c:v>
                </c:pt>
                <c:pt idx="931">
                  <c:v>4.8399999999999999E-2</c:v>
                </c:pt>
                <c:pt idx="932">
                  <c:v>3.3799999999999997E-2</c:v>
                </c:pt>
                <c:pt idx="933">
                  <c:v>4.8800000000000003E-2</c:v>
                </c:pt>
                <c:pt idx="934">
                  <c:v>6.1699999999999998E-2</c:v>
                </c:pt>
                <c:pt idx="935">
                  <c:v>4.99E-2</c:v>
                </c:pt>
                <c:pt idx="936">
                  <c:v>0.154</c:v>
                </c:pt>
                <c:pt idx="937">
                  <c:v>0.20799999999999999</c:v>
                </c:pt>
                <c:pt idx="938">
                  <c:v>8.5099999999999995E-2</c:v>
                </c:pt>
                <c:pt idx="939">
                  <c:v>2.7900000000000001E-2</c:v>
                </c:pt>
                <c:pt idx="940">
                  <c:v>0.17</c:v>
                </c:pt>
                <c:pt idx="941">
                  <c:v>7.85E-2</c:v>
                </c:pt>
                <c:pt idx="942">
                  <c:v>0.34100000000000003</c:v>
                </c:pt>
                <c:pt idx="943">
                  <c:v>5.8900000000000001E-2</c:v>
                </c:pt>
                <c:pt idx="944">
                  <c:v>4.3799999999999999E-2</c:v>
                </c:pt>
                <c:pt idx="945">
                  <c:v>0.33400000000000002</c:v>
                </c:pt>
                <c:pt idx="946">
                  <c:v>9.2700000000000005E-2</c:v>
                </c:pt>
                <c:pt idx="947">
                  <c:v>0.17699999999999999</c:v>
                </c:pt>
                <c:pt idx="948">
                  <c:v>6.4000000000000001E-2</c:v>
                </c:pt>
                <c:pt idx="949">
                  <c:v>0.06</c:v>
                </c:pt>
                <c:pt idx="950">
                  <c:v>6.2300000000000001E-2</c:v>
                </c:pt>
                <c:pt idx="951">
                  <c:v>7.3800000000000004E-2</c:v>
                </c:pt>
                <c:pt idx="952">
                  <c:v>0.11600000000000001</c:v>
                </c:pt>
                <c:pt idx="953">
                  <c:v>6.8400000000000002E-2</c:v>
                </c:pt>
                <c:pt idx="954">
                  <c:v>7.3800000000000004E-2</c:v>
                </c:pt>
                <c:pt idx="955">
                  <c:v>2.8199999999999999E-2</c:v>
                </c:pt>
                <c:pt idx="956">
                  <c:v>0.30299999999999999</c:v>
                </c:pt>
                <c:pt idx="957">
                  <c:v>9.8599999999999993E-2</c:v>
                </c:pt>
                <c:pt idx="958">
                  <c:v>5.3199999999999997E-2</c:v>
                </c:pt>
                <c:pt idx="959">
                  <c:v>9.5799999999999996E-2</c:v>
                </c:pt>
                <c:pt idx="960">
                  <c:v>4.6899999999999997E-2</c:v>
                </c:pt>
                <c:pt idx="961">
                  <c:v>0.30099999999999999</c:v>
                </c:pt>
                <c:pt idx="962">
                  <c:v>0.39700000000000002</c:v>
                </c:pt>
                <c:pt idx="963">
                  <c:v>7.7100000000000002E-2</c:v>
                </c:pt>
                <c:pt idx="964">
                  <c:v>5.2699999999999997E-2</c:v>
                </c:pt>
                <c:pt idx="965">
                  <c:v>4.4299999999999999E-2</c:v>
                </c:pt>
                <c:pt idx="966">
                  <c:v>0.21199999999999999</c:v>
                </c:pt>
                <c:pt idx="967">
                  <c:v>6.0199999999999997E-2</c:v>
                </c:pt>
                <c:pt idx="968">
                  <c:v>5.9900000000000002E-2</c:v>
                </c:pt>
                <c:pt idx="969">
                  <c:v>0.128</c:v>
                </c:pt>
                <c:pt idx="970">
                  <c:v>2.7400000000000001E-2</c:v>
                </c:pt>
                <c:pt idx="971">
                  <c:v>4.0899999999999999E-2</c:v>
                </c:pt>
                <c:pt idx="972">
                  <c:v>8.5199999999999998E-2</c:v>
                </c:pt>
                <c:pt idx="973">
                  <c:v>9.35E-2</c:v>
                </c:pt>
                <c:pt idx="974">
                  <c:v>0.13900000000000001</c:v>
                </c:pt>
                <c:pt idx="975">
                  <c:v>0.115</c:v>
                </c:pt>
                <c:pt idx="976">
                  <c:v>3.3000000000000002E-2</c:v>
                </c:pt>
                <c:pt idx="977">
                  <c:v>7.7899999999999997E-2</c:v>
                </c:pt>
                <c:pt idx="978">
                  <c:v>0.159</c:v>
                </c:pt>
                <c:pt idx="979">
                  <c:v>0.11799999999999999</c:v>
                </c:pt>
                <c:pt idx="980">
                  <c:v>0.34599999999999997</c:v>
                </c:pt>
                <c:pt idx="981">
                  <c:v>0.11600000000000001</c:v>
                </c:pt>
                <c:pt idx="982">
                  <c:v>0.16500000000000001</c:v>
                </c:pt>
                <c:pt idx="983">
                  <c:v>0.19600000000000001</c:v>
                </c:pt>
                <c:pt idx="984">
                  <c:v>0.16</c:v>
                </c:pt>
                <c:pt idx="985">
                  <c:v>3.4799999999999998E-2</c:v>
                </c:pt>
                <c:pt idx="986">
                  <c:v>4.5600000000000002E-2</c:v>
                </c:pt>
                <c:pt idx="987">
                  <c:v>5.8299999999999998E-2</c:v>
                </c:pt>
                <c:pt idx="988">
                  <c:v>4.58E-2</c:v>
                </c:pt>
                <c:pt idx="989">
                  <c:v>8.5800000000000001E-2</c:v>
                </c:pt>
                <c:pt idx="990">
                  <c:v>0.22900000000000001</c:v>
                </c:pt>
                <c:pt idx="991">
                  <c:v>0.21099999999999999</c:v>
                </c:pt>
                <c:pt idx="992">
                  <c:v>0.29399999999999998</c:v>
                </c:pt>
                <c:pt idx="993">
                  <c:v>0.22900000000000001</c:v>
                </c:pt>
                <c:pt idx="994">
                  <c:v>5.3400000000000003E-2</c:v>
                </c:pt>
                <c:pt idx="995">
                  <c:v>0.216</c:v>
                </c:pt>
                <c:pt idx="996">
                  <c:v>5.3400000000000003E-2</c:v>
                </c:pt>
                <c:pt idx="997">
                  <c:v>5.6500000000000002E-2</c:v>
                </c:pt>
                <c:pt idx="998">
                  <c:v>0.18099999999999999</c:v>
                </c:pt>
                <c:pt idx="999">
                  <c:v>0.27200000000000002</c:v>
                </c:pt>
                <c:pt idx="1000">
                  <c:v>0.29799999999999999</c:v>
                </c:pt>
                <c:pt idx="1001">
                  <c:v>0.254</c:v>
                </c:pt>
                <c:pt idx="1002">
                  <c:v>0.245</c:v>
                </c:pt>
                <c:pt idx="1003">
                  <c:v>3.78E-2</c:v>
                </c:pt>
                <c:pt idx="1004">
                  <c:v>0.20399999999999999</c:v>
                </c:pt>
                <c:pt idx="1005">
                  <c:v>7.9799999999999996E-2</c:v>
                </c:pt>
                <c:pt idx="1006">
                  <c:v>8.0699999999999994E-2</c:v>
                </c:pt>
                <c:pt idx="1007">
                  <c:v>8.0799999999999997E-2</c:v>
                </c:pt>
                <c:pt idx="1008">
                  <c:v>0.48299999999999998</c:v>
                </c:pt>
                <c:pt idx="1009">
                  <c:v>0.08</c:v>
                </c:pt>
                <c:pt idx="1010">
                  <c:v>3.4599999999999999E-2</c:v>
                </c:pt>
                <c:pt idx="1011">
                  <c:v>3.5000000000000003E-2</c:v>
                </c:pt>
                <c:pt idx="1012">
                  <c:v>7.7700000000000005E-2</c:v>
                </c:pt>
                <c:pt idx="1013">
                  <c:v>0.113</c:v>
                </c:pt>
                <c:pt idx="1014">
                  <c:v>0.32400000000000001</c:v>
                </c:pt>
                <c:pt idx="1015">
                  <c:v>3.04E-2</c:v>
                </c:pt>
                <c:pt idx="1016">
                  <c:v>7.4399999999999994E-2</c:v>
                </c:pt>
                <c:pt idx="1017">
                  <c:v>0.13600000000000001</c:v>
                </c:pt>
                <c:pt idx="1018">
                  <c:v>9.9000000000000005E-2</c:v>
                </c:pt>
                <c:pt idx="1019">
                  <c:v>4.2200000000000001E-2</c:v>
                </c:pt>
                <c:pt idx="1020">
                  <c:v>7.0599999999999996E-2</c:v>
                </c:pt>
                <c:pt idx="1021">
                  <c:v>9.64E-2</c:v>
                </c:pt>
                <c:pt idx="1022">
                  <c:v>6.2700000000000006E-2</c:v>
                </c:pt>
                <c:pt idx="1023">
                  <c:v>0.26600000000000001</c:v>
                </c:pt>
                <c:pt idx="1024">
                  <c:v>0.33400000000000002</c:v>
                </c:pt>
                <c:pt idx="1025">
                  <c:v>6.1199999999999997E-2</c:v>
                </c:pt>
                <c:pt idx="1026">
                  <c:v>2.64E-2</c:v>
                </c:pt>
                <c:pt idx="1027">
                  <c:v>8.8200000000000001E-2</c:v>
                </c:pt>
                <c:pt idx="1028">
                  <c:v>0.30099999999999999</c:v>
                </c:pt>
                <c:pt idx="1029">
                  <c:v>0.216</c:v>
                </c:pt>
                <c:pt idx="1030">
                  <c:v>2.9399999999999999E-2</c:v>
                </c:pt>
                <c:pt idx="1031">
                  <c:v>4.07E-2</c:v>
                </c:pt>
                <c:pt idx="1032">
                  <c:v>0.33300000000000002</c:v>
                </c:pt>
                <c:pt idx="1033">
                  <c:v>4.0800000000000003E-2</c:v>
                </c:pt>
                <c:pt idx="1034">
                  <c:v>0.19600000000000001</c:v>
                </c:pt>
                <c:pt idx="1035">
                  <c:v>0.158</c:v>
                </c:pt>
                <c:pt idx="1036">
                  <c:v>0.11</c:v>
                </c:pt>
                <c:pt idx="1037">
                  <c:v>6.2899999999999998E-2</c:v>
                </c:pt>
                <c:pt idx="1038">
                  <c:v>7.7700000000000005E-2</c:v>
                </c:pt>
                <c:pt idx="1039">
                  <c:v>8.6699999999999999E-2</c:v>
                </c:pt>
                <c:pt idx="1040">
                  <c:v>0.27</c:v>
                </c:pt>
                <c:pt idx="1041">
                  <c:v>0.114</c:v>
                </c:pt>
                <c:pt idx="1042">
                  <c:v>6.5199999999999994E-2</c:v>
                </c:pt>
                <c:pt idx="1043">
                  <c:v>5.8200000000000002E-2</c:v>
                </c:pt>
                <c:pt idx="1044">
                  <c:v>4.0300000000000002E-2</c:v>
                </c:pt>
                <c:pt idx="1045">
                  <c:v>0.31900000000000001</c:v>
                </c:pt>
                <c:pt idx="1046">
                  <c:v>0.107</c:v>
                </c:pt>
                <c:pt idx="1047">
                  <c:v>2.5899999999999999E-2</c:v>
                </c:pt>
                <c:pt idx="1048">
                  <c:v>0.16600000000000001</c:v>
                </c:pt>
                <c:pt idx="1049">
                  <c:v>2.7799999999999998E-2</c:v>
                </c:pt>
                <c:pt idx="1050">
                  <c:v>0.16200000000000001</c:v>
                </c:pt>
                <c:pt idx="1051">
                  <c:v>4.7100000000000003E-2</c:v>
                </c:pt>
                <c:pt idx="1052">
                  <c:v>8.7499999999999994E-2</c:v>
                </c:pt>
                <c:pt idx="1053">
                  <c:v>8.0699999999999994E-2</c:v>
                </c:pt>
                <c:pt idx="1054">
                  <c:v>4.8800000000000003E-2</c:v>
                </c:pt>
                <c:pt idx="1055">
                  <c:v>0.38400000000000001</c:v>
                </c:pt>
                <c:pt idx="1056">
                  <c:v>3.1899999999999998E-2</c:v>
                </c:pt>
                <c:pt idx="1057">
                  <c:v>0.11600000000000001</c:v>
                </c:pt>
                <c:pt idx="1058">
                  <c:v>3.56E-2</c:v>
                </c:pt>
                <c:pt idx="1059">
                  <c:v>0.108</c:v>
                </c:pt>
                <c:pt idx="1060">
                  <c:v>9.1600000000000001E-2</c:v>
                </c:pt>
                <c:pt idx="1061">
                  <c:v>0.04</c:v>
                </c:pt>
                <c:pt idx="1062">
                  <c:v>3.6499999999999998E-2</c:v>
                </c:pt>
                <c:pt idx="1063">
                  <c:v>0.13200000000000001</c:v>
                </c:pt>
                <c:pt idx="1064">
                  <c:v>7.2900000000000006E-2</c:v>
                </c:pt>
                <c:pt idx="1065">
                  <c:v>8.3799999999999999E-2</c:v>
                </c:pt>
                <c:pt idx="1066">
                  <c:v>4.9500000000000002E-2</c:v>
                </c:pt>
                <c:pt idx="1067">
                  <c:v>0.156</c:v>
                </c:pt>
                <c:pt idx="1068">
                  <c:v>3.1800000000000002E-2</c:v>
                </c:pt>
                <c:pt idx="1069">
                  <c:v>4.1399999999999999E-2</c:v>
                </c:pt>
                <c:pt idx="1070">
                  <c:v>0.38600000000000001</c:v>
                </c:pt>
                <c:pt idx="1071">
                  <c:v>9.8100000000000007E-2</c:v>
                </c:pt>
                <c:pt idx="1072">
                  <c:v>5.9299999999999999E-2</c:v>
                </c:pt>
                <c:pt idx="1073">
                  <c:v>3.6600000000000001E-2</c:v>
                </c:pt>
                <c:pt idx="1074">
                  <c:v>0.32500000000000001</c:v>
                </c:pt>
                <c:pt idx="1075">
                  <c:v>0.153</c:v>
                </c:pt>
                <c:pt idx="1076">
                  <c:v>0.11700000000000001</c:v>
                </c:pt>
                <c:pt idx="1077">
                  <c:v>3.4599999999999999E-2</c:v>
                </c:pt>
                <c:pt idx="1078">
                  <c:v>8.6099999999999996E-2</c:v>
                </c:pt>
                <c:pt idx="1079">
                  <c:v>3.5299999999999998E-2</c:v>
                </c:pt>
                <c:pt idx="1080">
                  <c:v>0.13200000000000001</c:v>
                </c:pt>
                <c:pt idx="1081">
                  <c:v>3.61E-2</c:v>
                </c:pt>
                <c:pt idx="1082">
                  <c:v>3.8800000000000001E-2</c:v>
                </c:pt>
                <c:pt idx="1083">
                  <c:v>4.8300000000000003E-2</c:v>
                </c:pt>
                <c:pt idx="1084">
                  <c:v>3.9100000000000003E-2</c:v>
                </c:pt>
                <c:pt idx="1085">
                  <c:v>0.16400000000000001</c:v>
                </c:pt>
                <c:pt idx="1086">
                  <c:v>0.111</c:v>
                </c:pt>
                <c:pt idx="1087">
                  <c:v>7.2499999999999995E-2</c:v>
                </c:pt>
                <c:pt idx="1088">
                  <c:v>0.11799999999999999</c:v>
                </c:pt>
                <c:pt idx="1089">
                  <c:v>0.129</c:v>
                </c:pt>
                <c:pt idx="1090">
                  <c:v>7.0699999999999999E-2</c:v>
                </c:pt>
                <c:pt idx="1091">
                  <c:v>0.15</c:v>
                </c:pt>
                <c:pt idx="1092">
                  <c:v>5.0299999999999997E-2</c:v>
                </c:pt>
                <c:pt idx="1093">
                  <c:v>0.185</c:v>
                </c:pt>
                <c:pt idx="1094">
                  <c:v>5.1299999999999998E-2</c:v>
                </c:pt>
                <c:pt idx="1095">
                  <c:v>0.19400000000000001</c:v>
                </c:pt>
                <c:pt idx="1096">
                  <c:v>3.5299999999999998E-2</c:v>
                </c:pt>
                <c:pt idx="1097">
                  <c:v>3.0800000000000001E-2</c:v>
                </c:pt>
                <c:pt idx="1098">
                  <c:v>4.1700000000000001E-2</c:v>
                </c:pt>
                <c:pt idx="1099">
                  <c:v>2.81E-2</c:v>
                </c:pt>
                <c:pt idx="1100">
                  <c:v>0.06</c:v>
                </c:pt>
                <c:pt idx="1101">
                  <c:v>3.78E-2</c:v>
                </c:pt>
                <c:pt idx="1102">
                  <c:v>0.4</c:v>
                </c:pt>
                <c:pt idx="1103">
                  <c:v>3.1199999999999999E-2</c:v>
                </c:pt>
                <c:pt idx="1104">
                  <c:v>2.7199999999999998E-2</c:v>
                </c:pt>
                <c:pt idx="1105">
                  <c:v>2.9600000000000001E-2</c:v>
                </c:pt>
                <c:pt idx="1106">
                  <c:v>0.251</c:v>
                </c:pt>
                <c:pt idx="1107">
                  <c:v>0.151</c:v>
                </c:pt>
                <c:pt idx="1108">
                  <c:v>3.2199999999999999E-2</c:v>
                </c:pt>
                <c:pt idx="1109">
                  <c:v>4.99E-2</c:v>
                </c:pt>
                <c:pt idx="1110">
                  <c:v>4.4699999999999997E-2</c:v>
                </c:pt>
                <c:pt idx="1111">
                  <c:v>5.2699999999999997E-2</c:v>
                </c:pt>
                <c:pt idx="1112">
                  <c:v>2.81E-2</c:v>
                </c:pt>
                <c:pt idx="1113">
                  <c:v>6.4100000000000004E-2</c:v>
                </c:pt>
                <c:pt idx="1114">
                  <c:v>7.7200000000000005E-2</c:v>
                </c:pt>
                <c:pt idx="1115">
                  <c:v>4.9200000000000001E-2</c:v>
                </c:pt>
                <c:pt idx="1116">
                  <c:v>0.36399999999999999</c:v>
                </c:pt>
                <c:pt idx="1117">
                  <c:v>6.3500000000000001E-2</c:v>
                </c:pt>
                <c:pt idx="1118">
                  <c:v>0.13400000000000001</c:v>
                </c:pt>
                <c:pt idx="1119">
                  <c:v>4.2700000000000002E-2</c:v>
                </c:pt>
                <c:pt idx="1120">
                  <c:v>0.33900000000000002</c:v>
                </c:pt>
                <c:pt idx="1121">
                  <c:v>0.108</c:v>
                </c:pt>
                <c:pt idx="1122">
                  <c:v>0.13700000000000001</c:v>
                </c:pt>
                <c:pt idx="1123">
                  <c:v>4.1500000000000002E-2</c:v>
                </c:pt>
                <c:pt idx="1124">
                  <c:v>0.105</c:v>
                </c:pt>
                <c:pt idx="1125">
                  <c:v>6.4100000000000004E-2</c:v>
                </c:pt>
                <c:pt idx="1126">
                  <c:v>6.7199999999999996E-2</c:v>
                </c:pt>
                <c:pt idx="1127">
                  <c:v>0.28999999999999998</c:v>
                </c:pt>
                <c:pt idx="1128">
                  <c:v>6.6799999999999998E-2</c:v>
                </c:pt>
                <c:pt idx="1129">
                  <c:v>0.308</c:v>
                </c:pt>
                <c:pt idx="1130">
                  <c:v>3.3599999999999998E-2</c:v>
                </c:pt>
                <c:pt idx="1131">
                  <c:v>3.7400000000000003E-2</c:v>
                </c:pt>
                <c:pt idx="1132">
                  <c:v>6.4600000000000005E-2</c:v>
                </c:pt>
                <c:pt idx="1133">
                  <c:v>0.184</c:v>
                </c:pt>
                <c:pt idx="1134">
                  <c:v>0.25</c:v>
                </c:pt>
                <c:pt idx="1135">
                  <c:v>8.5099999999999995E-2</c:v>
                </c:pt>
                <c:pt idx="1136">
                  <c:v>0.34699999999999998</c:v>
                </c:pt>
                <c:pt idx="1137">
                  <c:v>0.14399999999999999</c:v>
                </c:pt>
                <c:pt idx="1138">
                  <c:v>5.0500000000000003E-2</c:v>
                </c:pt>
                <c:pt idx="1139">
                  <c:v>0.126</c:v>
                </c:pt>
                <c:pt idx="1140">
                  <c:v>3.8399999999999997E-2</c:v>
                </c:pt>
                <c:pt idx="1141">
                  <c:v>3.7600000000000001E-2</c:v>
                </c:pt>
                <c:pt idx="1142">
                  <c:v>3.2199999999999999E-2</c:v>
                </c:pt>
                <c:pt idx="1143">
                  <c:v>6.6400000000000001E-2</c:v>
                </c:pt>
                <c:pt idx="1144">
                  <c:v>5.79E-2</c:v>
                </c:pt>
                <c:pt idx="1145">
                  <c:v>3.7699999999999997E-2</c:v>
                </c:pt>
                <c:pt idx="1146">
                  <c:v>0.308</c:v>
                </c:pt>
                <c:pt idx="1147">
                  <c:v>7.9399999999999998E-2</c:v>
                </c:pt>
                <c:pt idx="1148">
                  <c:v>0.126</c:v>
                </c:pt>
                <c:pt idx="1149">
                  <c:v>0.40699999999999997</c:v>
                </c:pt>
                <c:pt idx="1150">
                  <c:v>4.8599999999999997E-2</c:v>
                </c:pt>
                <c:pt idx="1151">
                  <c:v>0.28599999999999998</c:v>
                </c:pt>
                <c:pt idx="1152">
                  <c:v>5.9700000000000003E-2</c:v>
                </c:pt>
                <c:pt idx="1153">
                  <c:v>8.9099999999999999E-2</c:v>
                </c:pt>
                <c:pt idx="1154">
                  <c:v>3.5099999999999999E-2</c:v>
                </c:pt>
                <c:pt idx="1155">
                  <c:v>4.5499999999999999E-2</c:v>
                </c:pt>
                <c:pt idx="1156">
                  <c:v>0.14299999999999999</c:v>
                </c:pt>
                <c:pt idx="1157">
                  <c:v>5.2400000000000002E-2</c:v>
                </c:pt>
                <c:pt idx="1158">
                  <c:v>5.0299999999999997E-2</c:v>
                </c:pt>
                <c:pt idx="1159">
                  <c:v>0.109</c:v>
                </c:pt>
                <c:pt idx="1160">
                  <c:v>4.7199999999999999E-2</c:v>
                </c:pt>
                <c:pt idx="1161">
                  <c:v>0.14599999999999999</c:v>
                </c:pt>
                <c:pt idx="1162">
                  <c:v>0.109</c:v>
                </c:pt>
                <c:pt idx="1163">
                  <c:v>0.20499999999999999</c:v>
                </c:pt>
                <c:pt idx="1164">
                  <c:v>0.106</c:v>
                </c:pt>
                <c:pt idx="1165">
                  <c:v>0.29399999999999998</c:v>
                </c:pt>
                <c:pt idx="1166">
                  <c:v>0.17100000000000001</c:v>
                </c:pt>
                <c:pt idx="1167">
                  <c:v>3.9399999999999998E-2</c:v>
                </c:pt>
                <c:pt idx="1168">
                  <c:v>2.64E-2</c:v>
                </c:pt>
                <c:pt idx="1169">
                  <c:v>6.1699999999999998E-2</c:v>
                </c:pt>
                <c:pt idx="1170">
                  <c:v>3.4700000000000002E-2</c:v>
                </c:pt>
                <c:pt idx="1171">
                  <c:v>4.8399999999999999E-2</c:v>
                </c:pt>
                <c:pt idx="1172">
                  <c:v>8.8900000000000007E-2</c:v>
                </c:pt>
                <c:pt idx="1173">
                  <c:v>3.7999999999999999E-2</c:v>
                </c:pt>
                <c:pt idx="1174">
                  <c:v>0.11600000000000001</c:v>
                </c:pt>
                <c:pt idx="1175">
                  <c:v>0.14899999999999999</c:v>
                </c:pt>
                <c:pt idx="1176">
                  <c:v>0.221</c:v>
                </c:pt>
                <c:pt idx="1177">
                  <c:v>4.7E-2</c:v>
                </c:pt>
                <c:pt idx="1178">
                  <c:v>4.7399999999999998E-2</c:v>
                </c:pt>
                <c:pt idx="1179">
                  <c:v>0.192</c:v>
                </c:pt>
                <c:pt idx="1180">
                  <c:v>0.35499999999999998</c:v>
                </c:pt>
                <c:pt idx="1181">
                  <c:v>8.2600000000000007E-2</c:v>
                </c:pt>
                <c:pt idx="1182">
                  <c:v>0.25</c:v>
                </c:pt>
                <c:pt idx="1183">
                  <c:v>0.19900000000000001</c:v>
                </c:pt>
                <c:pt idx="1184">
                  <c:v>9.1700000000000004E-2</c:v>
                </c:pt>
                <c:pt idx="1185">
                  <c:v>6.1800000000000001E-2</c:v>
                </c:pt>
                <c:pt idx="1186">
                  <c:v>2.87E-2</c:v>
                </c:pt>
                <c:pt idx="1187">
                  <c:v>0.315</c:v>
                </c:pt>
                <c:pt idx="1188">
                  <c:v>8.2799999999999999E-2</c:v>
                </c:pt>
                <c:pt idx="1189">
                  <c:v>0.38900000000000001</c:v>
                </c:pt>
                <c:pt idx="1190">
                  <c:v>2.8500000000000001E-2</c:v>
                </c:pt>
                <c:pt idx="1191">
                  <c:v>0.13100000000000001</c:v>
                </c:pt>
                <c:pt idx="1192">
                  <c:v>0.28499999999999998</c:v>
                </c:pt>
                <c:pt idx="1193">
                  <c:v>0.40899999999999997</c:v>
                </c:pt>
                <c:pt idx="1194">
                  <c:v>0.20599999999999999</c:v>
                </c:pt>
                <c:pt idx="1195">
                  <c:v>4.4699999999999997E-2</c:v>
                </c:pt>
                <c:pt idx="1196">
                  <c:v>0.221</c:v>
                </c:pt>
                <c:pt idx="1197">
                  <c:v>2.63E-2</c:v>
                </c:pt>
                <c:pt idx="1198">
                  <c:v>0.35799999999999998</c:v>
                </c:pt>
                <c:pt idx="1199">
                  <c:v>8.09E-2</c:v>
                </c:pt>
                <c:pt idx="1200">
                  <c:v>0.219</c:v>
                </c:pt>
                <c:pt idx="1201">
                  <c:v>5.8900000000000001E-2</c:v>
                </c:pt>
                <c:pt idx="1202">
                  <c:v>0.20699999999999999</c:v>
                </c:pt>
                <c:pt idx="1203">
                  <c:v>0.16900000000000001</c:v>
                </c:pt>
                <c:pt idx="1204">
                  <c:v>9.2299999999999993E-2</c:v>
                </c:pt>
                <c:pt idx="1205">
                  <c:v>0.24199999999999999</c:v>
                </c:pt>
                <c:pt idx="1206">
                  <c:v>6.2300000000000001E-2</c:v>
                </c:pt>
                <c:pt idx="1207">
                  <c:v>2.93E-2</c:v>
                </c:pt>
                <c:pt idx="1208">
                  <c:v>5.3900000000000003E-2</c:v>
                </c:pt>
                <c:pt idx="1209">
                  <c:v>0.06</c:v>
                </c:pt>
                <c:pt idx="1210">
                  <c:v>3.1399999999999997E-2</c:v>
                </c:pt>
                <c:pt idx="1211">
                  <c:v>0.17499999999999999</c:v>
                </c:pt>
                <c:pt idx="1212">
                  <c:v>4.5999999999999999E-2</c:v>
                </c:pt>
                <c:pt idx="1213">
                  <c:v>7.8100000000000003E-2</c:v>
                </c:pt>
                <c:pt idx="1214">
                  <c:v>3.7400000000000003E-2</c:v>
                </c:pt>
                <c:pt idx="1215">
                  <c:v>3.6700000000000003E-2</c:v>
                </c:pt>
                <c:pt idx="1216">
                  <c:v>7.0800000000000002E-2</c:v>
                </c:pt>
                <c:pt idx="1217">
                  <c:v>0.123</c:v>
                </c:pt>
                <c:pt idx="1218">
                  <c:v>0.40300000000000002</c:v>
                </c:pt>
                <c:pt idx="1219">
                  <c:v>0.123</c:v>
                </c:pt>
                <c:pt idx="1220">
                  <c:v>0.14099999999999999</c:v>
                </c:pt>
                <c:pt idx="1221">
                  <c:v>3.5299999999999998E-2</c:v>
                </c:pt>
                <c:pt idx="1222">
                  <c:v>6.2799999999999995E-2</c:v>
                </c:pt>
                <c:pt idx="1223">
                  <c:v>0.29799999999999999</c:v>
                </c:pt>
                <c:pt idx="1224">
                  <c:v>5.16E-2</c:v>
                </c:pt>
                <c:pt idx="1225">
                  <c:v>0.109</c:v>
                </c:pt>
                <c:pt idx="1226">
                  <c:v>3.1199999999999999E-2</c:v>
                </c:pt>
                <c:pt idx="1227">
                  <c:v>0.16</c:v>
                </c:pt>
                <c:pt idx="1228">
                  <c:v>0.14099999999999999</c:v>
                </c:pt>
                <c:pt idx="1229">
                  <c:v>5.1700000000000003E-2</c:v>
                </c:pt>
                <c:pt idx="1230">
                  <c:v>0.222</c:v>
                </c:pt>
                <c:pt idx="1231">
                  <c:v>0.49</c:v>
                </c:pt>
                <c:pt idx="1232">
                  <c:v>3.6600000000000001E-2</c:v>
                </c:pt>
                <c:pt idx="1233">
                  <c:v>0.28699999999999998</c:v>
                </c:pt>
                <c:pt idx="1234">
                  <c:v>0.18</c:v>
                </c:pt>
                <c:pt idx="1235">
                  <c:v>0.23799999999999999</c:v>
                </c:pt>
                <c:pt idx="1236">
                  <c:v>0.34300000000000003</c:v>
                </c:pt>
                <c:pt idx="1237">
                  <c:v>4.3299999999999998E-2</c:v>
                </c:pt>
                <c:pt idx="1238">
                  <c:v>2.8199999999999999E-2</c:v>
                </c:pt>
                <c:pt idx="1239">
                  <c:v>0.16</c:v>
                </c:pt>
                <c:pt idx="1240">
                  <c:v>0.20399999999999999</c:v>
                </c:pt>
                <c:pt idx="1241">
                  <c:v>0.245</c:v>
                </c:pt>
                <c:pt idx="1242">
                  <c:v>0.36699999999999999</c:v>
                </c:pt>
                <c:pt idx="1243">
                  <c:v>0.193</c:v>
                </c:pt>
                <c:pt idx="1244">
                  <c:v>5.1999999999999998E-2</c:v>
                </c:pt>
                <c:pt idx="1245">
                  <c:v>0.20799999999999999</c:v>
                </c:pt>
                <c:pt idx="1246">
                  <c:v>0.19900000000000001</c:v>
                </c:pt>
                <c:pt idx="1247">
                  <c:v>0.20499999999999999</c:v>
                </c:pt>
                <c:pt idx="1248">
                  <c:v>4.3900000000000002E-2</c:v>
                </c:pt>
                <c:pt idx="1249">
                  <c:v>0.246</c:v>
                </c:pt>
                <c:pt idx="1250">
                  <c:v>0.13800000000000001</c:v>
                </c:pt>
                <c:pt idx="1251">
                  <c:v>0.24199999999999999</c:v>
                </c:pt>
                <c:pt idx="1252">
                  <c:v>3.8100000000000002E-2</c:v>
                </c:pt>
                <c:pt idx="1253">
                  <c:v>4.2000000000000003E-2</c:v>
                </c:pt>
                <c:pt idx="1254">
                  <c:v>0.23599999999999999</c:v>
                </c:pt>
                <c:pt idx="1255">
                  <c:v>0.35499999999999998</c:v>
                </c:pt>
                <c:pt idx="1256">
                  <c:v>5.5399999999999998E-2</c:v>
                </c:pt>
                <c:pt idx="1257">
                  <c:v>0.22</c:v>
                </c:pt>
                <c:pt idx="1258">
                  <c:v>3.7400000000000003E-2</c:v>
                </c:pt>
                <c:pt idx="1259">
                  <c:v>9.3799999999999994E-2</c:v>
                </c:pt>
                <c:pt idx="1260">
                  <c:v>0.13900000000000001</c:v>
                </c:pt>
                <c:pt idx="1261">
                  <c:v>0.17</c:v>
                </c:pt>
                <c:pt idx="1262">
                  <c:v>9.1399999999999995E-2</c:v>
                </c:pt>
                <c:pt idx="1263">
                  <c:v>2.6200000000000001E-2</c:v>
                </c:pt>
                <c:pt idx="1264">
                  <c:v>0.20300000000000001</c:v>
                </c:pt>
                <c:pt idx="1265">
                  <c:v>0.128</c:v>
                </c:pt>
                <c:pt idx="1266">
                  <c:v>7.2099999999999997E-2</c:v>
                </c:pt>
                <c:pt idx="1267">
                  <c:v>0.17799999999999999</c:v>
                </c:pt>
                <c:pt idx="1268">
                  <c:v>0.214</c:v>
                </c:pt>
                <c:pt idx="1269">
                  <c:v>7.7100000000000002E-2</c:v>
                </c:pt>
                <c:pt idx="1270">
                  <c:v>6.3799999999999996E-2</c:v>
                </c:pt>
                <c:pt idx="1271">
                  <c:v>0.40300000000000002</c:v>
                </c:pt>
                <c:pt idx="1272">
                  <c:v>0.104</c:v>
                </c:pt>
                <c:pt idx="1273">
                  <c:v>0.32800000000000001</c:v>
                </c:pt>
                <c:pt idx="1274">
                  <c:v>7.8200000000000006E-2</c:v>
                </c:pt>
                <c:pt idx="1275">
                  <c:v>0.11600000000000001</c:v>
                </c:pt>
                <c:pt idx="1276">
                  <c:v>0.15</c:v>
                </c:pt>
                <c:pt idx="1277">
                  <c:v>0.17799999999999999</c:v>
                </c:pt>
                <c:pt idx="1278">
                  <c:v>0.14899999999999999</c:v>
                </c:pt>
                <c:pt idx="1279">
                  <c:v>0.106</c:v>
                </c:pt>
                <c:pt idx="1280">
                  <c:v>5.67E-2</c:v>
                </c:pt>
                <c:pt idx="1281">
                  <c:v>8.6599999999999996E-2</c:v>
                </c:pt>
                <c:pt idx="1282">
                  <c:v>3.4200000000000001E-2</c:v>
                </c:pt>
                <c:pt idx="1283">
                  <c:v>0.39300000000000002</c:v>
                </c:pt>
                <c:pt idx="1284">
                  <c:v>5.0299999999999997E-2</c:v>
                </c:pt>
                <c:pt idx="1285">
                  <c:v>3.1399999999999997E-2</c:v>
                </c:pt>
                <c:pt idx="1286">
                  <c:v>0.20899999999999999</c:v>
                </c:pt>
                <c:pt idx="1287">
                  <c:v>0.20699999999999999</c:v>
                </c:pt>
                <c:pt idx="1288">
                  <c:v>0.223</c:v>
                </c:pt>
                <c:pt idx="1289">
                  <c:v>0.05</c:v>
                </c:pt>
                <c:pt idx="1290">
                  <c:v>0.433</c:v>
                </c:pt>
                <c:pt idx="1291">
                  <c:v>0.14899999999999999</c:v>
                </c:pt>
                <c:pt idx="1292">
                  <c:v>0.29799999999999999</c:v>
                </c:pt>
                <c:pt idx="1293">
                  <c:v>0.16500000000000001</c:v>
                </c:pt>
                <c:pt idx="1294">
                  <c:v>0.19800000000000001</c:v>
                </c:pt>
                <c:pt idx="1295">
                  <c:v>0.216</c:v>
                </c:pt>
                <c:pt idx="1296">
                  <c:v>8.1900000000000001E-2</c:v>
                </c:pt>
                <c:pt idx="1297">
                  <c:v>4.5699999999999998E-2</c:v>
                </c:pt>
                <c:pt idx="1298">
                  <c:v>5.5399999999999998E-2</c:v>
                </c:pt>
                <c:pt idx="1299">
                  <c:v>8.8200000000000001E-2</c:v>
                </c:pt>
                <c:pt idx="1300">
                  <c:v>0.442</c:v>
                </c:pt>
                <c:pt idx="1301">
                  <c:v>0.38400000000000001</c:v>
                </c:pt>
                <c:pt idx="1302">
                  <c:v>0.108</c:v>
                </c:pt>
                <c:pt idx="1303">
                  <c:v>0.88400000000000001</c:v>
                </c:pt>
                <c:pt idx="1304">
                  <c:v>0.28699999999999998</c:v>
                </c:pt>
                <c:pt idx="1305">
                  <c:v>0.53300000000000003</c:v>
                </c:pt>
                <c:pt idx="1306">
                  <c:v>0.22800000000000001</c:v>
                </c:pt>
                <c:pt idx="1307">
                  <c:v>4.8800000000000003E-2</c:v>
                </c:pt>
                <c:pt idx="1308">
                  <c:v>6.7900000000000002E-2</c:v>
                </c:pt>
                <c:pt idx="1309">
                  <c:v>6.7000000000000004E-2</c:v>
                </c:pt>
                <c:pt idx="1310">
                  <c:v>3.3099999999999997E-2</c:v>
                </c:pt>
                <c:pt idx="1311">
                  <c:v>2.6100000000000002E-2</c:v>
                </c:pt>
                <c:pt idx="1312">
                  <c:v>0.255</c:v>
                </c:pt>
                <c:pt idx="1313">
                  <c:v>0.318</c:v>
                </c:pt>
                <c:pt idx="1314">
                  <c:v>0.30099999999999999</c:v>
                </c:pt>
                <c:pt idx="1315">
                  <c:v>0.23699999999999999</c:v>
                </c:pt>
                <c:pt idx="1316">
                  <c:v>0.113</c:v>
                </c:pt>
                <c:pt idx="1317">
                  <c:v>0.378</c:v>
                </c:pt>
                <c:pt idx="1318">
                  <c:v>0.307</c:v>
                </c:pt>
                <c:pt idx="1319">
                  <c:v>9.1499999999999998E-2</c:v>
                </c:pt>
                <c:pt idx="1320">
                  <c:v>0.32500000000000001</c:v>
                </c:pt>
                <c:pt idx="1321">
                  <c:v>0.28999999999999998</c:v>
                </c:pt>
                <c:pt idx="1322">
                  <c:v>0.34399999999999997</c:v>
                </c:pt>
                <c:pt idx="1323">
                  <c:v>5.6599999999999998E-2</c:v>
                </c:pt>
                <c:pt idx="1324">
                  <c:v>0.13200000000000001</c:v>
                </c:pt>
                <c:pt idx="1325">
                  <c:v>0.16700000000000001</c:v>
                </c:pt>
                <c:pt idx="1326">
                  <c:v>5.8700000000000002E-2</c:v>
                </c:pt>
                <c:pt idx="1327">
                  <c:v>0.41699999999999998</c:v>
                </c:pt>
                <c:pt idx="1328">
                  <c:v>0.24099999999999999</c:v>
                </c:pt>
                <c:pt idx="1329">
                  <c:v>4.6699999999999998E-2</c:v>
                </c:pt>
                <c:pt idx="1330">
                  <c:v>0.222</c:v>
                </c:pt>
                <c:pt idx="1331">
                  <c:v>3.5999999999999997E-2</c:v>
                </c:pt>
                <c:pt idx="1332">
                  <c:v>0.17699999999999999</c:v>
                </c:pt>
                <c:pt idx="1333">
                  <c:v>5.5800000000000002E-2</c:v>
                </c:pt>
                <c:pt idx="1334">
                  <c:v>5.4600000000000003E-2</c:v>
                </c:pt>
                <c:pt idx="1335">
                  <c:v>9.6799999999999997E-2</c:v>
                </c:pt>
                <c:pt idx="1336">
                  <c:v>0.17899999999999999</c:v>
                </c:pt>
                <c:pt idx="1337">
                  <c:v>0.191</c:v>
                </c:pt>
                <c:pt idx="1338">
                  <c:v>0.16</c:v>
                </c:pt>
                <c:pt idx="1339">
                  <c:v>8.8099999999999998E-2</c:v>
                </c:pt>
                <c:pt idx="1340">
                  <c:v>0.18</c:v>
                </c:pt>
                <c:pt idx="1341">
                  <c:v>0.16200000000000001</c:v>
                </c:pt>
                <c:pt idx="1342">
                  <c:v>0.13700000000000001</c:v>
                </c:pt>
                <c:pt idx="1343">
                  <c:v>0.35499999999999998</c:v>
                </c:pt>
                <c:pt idx="1344">
                  <c:v>3.5499999999999997E-2</c:v>
                </c:pt>
                <c:pt idx="1345">
                  <c:v>0.13900000000000001</c:v>
                </c:pt>
                <c:pt idx="1346">
                  <c:v>0.153</c:v>
                </c:pt>
                <c:pt idx="1347">
                  <c:v>0.30599999999999999</c:v>
                </c:pt>
                <c:pt idx="1348">
                  <c:v>0.38100000000000001</c:v>
                </c:pt>
                <c:pt idx="1349">
                  <c:v>5.8400000000000001E-2</c:v>
                </c:pt>
                <c:pt idx="1350">
                  <c:v>0.29699999999999999</c:v>
                </c:pt>
                <c:pt idx="1351">
                  <c:v>9.0300000000000005E-2</c:v>
                </c:pt>
                <c:pt idx="1352">
                  <c:v>3.1099999999999999E-2</c:v>
                </c:pt>
                <c:pt idx="1353">
                  <c:v>5.0200000000000002E-2</c:v>
                </c:pt>
                <c:pt idx="1354">
                  <c:v>0.41899999999999998</c:v>
                </c:pt>
                <c:pt idx="1355">
                  <c:v>0.16300000000000001</c:v>
                </c:pt>
                <c:pt idx="1356">
                  <c:v>7.2499999999999995E-2</c:v>
                </c:pt>
                <c:pt idx="1357">
                  <c:v>5.91E-2</c:v>
                </c:pt>
                <c:pt idx="1358">
                  <c:v>3.5900000000000001E-2</c:v>
                </c:pt>
                <c:pt idx="1359">
                  <c:v>0.04</c:v>
                </c:pt>
                <c:pt idx="1360">
                  <c:v>3.5900000000000001E-2</c:v>
                </c:pt>
                <c:pt idx="1361">
                  <c:v>0.76100000000000001</c:v>
                </c:pt>
                <c:pt idx="1362">
                  <c:v>3.5900000000000001E-2</c:v>
                </c:pt>
                <c:pt idx="1363">
                  <c:v>3.7499999999999999E-2</c:v>
                </c:pt>
                <c:pt idx="1364">
                  <c:v>3.8300000000000001E-2</c:v>
                </c:pt>
                <c:pt idx="1365">
                  <c:v>0.20699999999999999</c:v>
                </c:pt>
                <c:pt idx="1366">
                  <c:v>6.6000000000000003E-2</c:v>
                </c:pt>
                <c:pt idx="1367">
                  <c:v>0.17100000000000001</c:v>
                </c:pt>
                <c:pt idx="1368">
                  <c:v>7.9100000000000004E-2</c:v>
                </c:pt>
                <c:pt idx="1369">
                  <c:v>8.7300000000000003E-2</c:v>
                </c:pt>
                <c:pt idx="1370">
                  <c:v>0.19800000000000001</c:v>
                </c:pt>
                <c:pt idx="1371">
                  <c:v>0.24299999999999999</c:v>
                </c:pt>
                <c:pt idx="1372">
                  <c:v>0.23200000000000001</c:v>
                </c:pt>
                <c:pt idx="1373">
                  <c:v>5.2699999999999997E-2</c:v>
                </c:pt>
                <c:pt idx="1374">
                  <c:v>0.22900000000000001</c:v>
                </c:pt>
                <c:pt idx="1375">
                  <c:v>0.33200000000000002</c:v>
                </c:pt>
                <c:pt idx="1376">
                  <c:v>6.6900000000000001E-2</c:v>
                </c:pt>
                <c:pt idx="1377">
                  <c:v>0.40200000000000002</c:v>
                </c:pt>
                <c:pt idx="1378">
                  <c:v>0.35499999999999998</c:v>
                </c:pt>
                <c:pt idx="1379">
                  <c:v>0.39200000000000002</c:v>
                </c:pt>
                <c:pt idx="1380">
                  <c:v>0.35099999999999998</c:v>
                </c:pt>
                <c:pt idx="1381">
                  <c:v>3.1600000000000003E-2</c:v>
                </c:pt>
                <c:pt idx="1382">
                  <c:v>4.6699999999999998E-2</c:v>
                </c:pt>
                <c:pt idx="1383">
                  <c:v>0.18</c:v>
                </c:pt>
                <c:pt idx="1384">
                  <c:v>0.184</c:v>
                </c:pt>
                <c:pt idx="1385">
                  <c:v>9.4200000000000006E-2</c:v>
                </c:pt>
                <c:pt idx="1386">
                  <c:v>0.224</c:v>
                </c:pt>
                <c:pt idx="1387">
                  <c:v>0.223</c:v>
                </c:pt>
                <c:pt idx="1388">
                  <c:v>0.27900000000000003</c:v>
                </c:pt>
                <c:pt idx="1389">
                  <c:v>0.156</c:v>
                </c:pt>
                <c:pt idx="1390">
                  <c:v>0.13600000000000001</c:v>
                </c:pt>
                <c:pt idx="1391">
                  <c:v>0.254</c:v>
                </c:pt>
                <c:pt idx="1392">
                  <c:v>0.27700000000000002</c:v>
                </c:pt>
                <c:pt idx="1393">
                  <c:v>0.38700000000000001</c:v>
                </c:pt>
                <c:pt idx="1394">
                  <c:v>3.6299999999999999E-2</c:v>
                </c:pt>
                <c:pt idx="1395">
                  <c:v>8.7099999999999997E-2</c:v>
                </c:pt>
                <c:pt idx="1396">
                  <c:v>7.6499999999999999E-2</c:v>
                </c:pt>
                <c:pt idx="1397">
                  <c:v>6.2100000000000002E-2</c:v>
                </c:pt>
                <c:pt idx="1398">
                  <c:v>4.0599999999999997E-2</c:v>
                </c:pt>
                <c:pt idx="1399">
                  <c:v>0.217</c:v>
                </c:pt>
                <c:pt idx="1400">
                  <c:v>6.4100000000000004E-2</c:v>
                </c:pt>
                <c:pt idx="1401">
                  <c:v>3.3599999999999998E-2</c:v>
                </c:pt>
                <c:pt idx="1402">
                  <c:v>3.5400000000000001E-2</c:v>
                </c:pt>
                <c:pt idx="1403">
                  <c:v>4.8599999999999997E-2</c:v>
                </c:pt>
                <c:pt idx="1404">
                  <c:v>0.42299999999999999</c:v>
                </c:pt>
                <c:pt idx="1405">
                  <c:v>0.36599999999999999</c:v>
                </c:pt>
                <c:pt idx="1406">
                  <c:v>0.42799999999999999</c:v>
                </c:pt>
                <c:pt idx="1407">
                  <c:v>3.7499999999999999E-2</c:v>
                </c:pt>
                <c:pt idx="1408">
                  <c:v>3.6900000000000002E-2</c:v>
                </c:pt>
                <c:pt idx="1409">
                  <c:v>0.16700000000000001</c:v>
                </c:pt>
                <c:pt idx="1410">
                  <c:v>6.6100000000000006E-2</c:v>
                </c:pt>
                <c:pt idx="1411">
                  <c:v>5.1799999999999999E-2</c:v>
                </c:pt>
                <c:pt idx="1412">
                  <c:v>4.5699999999999998E-2</c:v>
                </c:pt>
                <c:pt idx="1413">
                  <c:v>0.188</c:v>
                </c:pt>
                <c:pt idx="1414">
                  <c:v>4.1399999999999999E-2</c:v>
                </c:pt>
                <c:pt idx="1415">
                  <c:v>0.29099999999999998</c:v>
                </c:pt>
                <c:pt idx="1416">
                  <c:v>0.17399999999999999</c:v>
                </c:pt>
                <c:pt idx="1417">
                  <c:v>0.13800000000000001</c:v>
                </c:pt>
                <c:pt idx="1418">
                  <c:v>0.10100000000000001</c:v>
                </c:pt>
                <c:pt idx="1419">
                  <c:v>3.5099999999999999E-2</c:v>
                </c:pt>
                <c:pt idx="1420">
                  <c:v>0.307</c:v>
                </c:pt>
                <c:pt idx="1421">
                  <c:v>5.21E-2</c:v>
                </c:pt>
                <c:pt idx="1422">
                  <c:v>0.2</c:v>
                </c:pt>
                <c:pt idx="1423">
                  <c:v>0.63200000000000001</c:v>
                </c:pt>
                <c:pt idx="1424">
                  <c:v>6.9699999999999998E-2</c:v>
                </c:pt>
                <c:pt idx="1425">
                  <c:v>0.36399999999999999</c:v>
                </c:pt>
                <c:pt idx="1426">
                  <c:v>0.10199999999999999</c:v>
                </c:pt>
                <c:pt idx="1427">
                  <c:v>0.35499999999999998</c:v>
                </c:pt>
                <c:pt idx="1428">
                  <c:v>5.0500000000000003E-2</c:v>
                </c:pt>
                <c:pt idx="1429">
                  <c:v>0.22500000000000001</c:v>
                </c:pt>
                <c:pt idx="1430">
                  <c:v>3.2500000000000001E-2</c:v>
                </c:pt>
                <c:pt idx="1431">
                  <c:v>5.9499999999999997E-2</c:v>
                </c:pt>
                <c:pt idx="1432">
                  <c:v>3.27E-2</c:v>
                </c:pt>
                <c:pt idx="1433">
                  <c:v>3.2399999999999998E-2</c:v>
                </c:pt>
                <c:pt idx="1434">
                  <c:v>3.4099999999999998E-2</c:v>
                </c:pt>
                <c:pt idx="1435">
                  <c:v>0.123</c:v>
                </c:pt>
                <c:pt idx="1436">
                  <c:v>0.38300000000000001</c:v>
                </c:pt>
                <c:pt idx="1437">
                  <c:v>0.35099999999999998</c:v>
                </c:pt>
                <c:pt idx="1438">
                  <c:v>0.42599999999999999</c:v>
                </c:pt>
                <c:pt idx="1439">
                  <c:v>0.13300000000000001</c:v>
                </c:pt>
                <c:pt idx="1440">
                  <c:v>3.3099999999999997E-2</c:v>
                </c:pt>
                <c:pt idx="1441">
                  <c:v>0.185</c:v>
                </c:pt>
                <c:pt idx="1442">
                  <c:v>0.52400000000000002</c:v>
                </c:pt>
                <c:pt idx="1443">
                  <c:v>0.17499999999999999</c:v>
                </c:pt>
                <c:pt idx="1444">
                  <c:v>3.6299999999999999E-2</c:v>
                </c:pt>
                <c:pt idx="1445">
                  <c:v>3.1899999999999998E-2</c:v>
                </c:pt>
                <c:pt idx="1446">
                  <c:v>3.1899999999999998E-2</c:v>
                </c:pt>
                <c:pt idx="1447">
                  <c:v>4.48E-2</c:v>
                </c:pt>
                <c:pt idx="1448">
                  <c:v>6.0100000000000001E-2</c:v>
                </c:pt>
                <c:pt idx="1449">
                  <c:v>3.8100000000000002E-2</c:v>
                </c:pt>
                <c:pt idx="1450">
                  <c:v>9.5899999999999999E-2</c:v>
                </c:pt>
                <c:pt idx="1451">
                  <c:v>4.2599999999999999E-2</c:v>
                </c:pt>
                <c:pt idx="1452">
                  <c:v>0.28599999999999998</c:v>
                </c:pt>
                <c:pt idx="1453">
                  <c:v>2.87E-2</c:v>
                </c:pt>
                <c:pt idx="1454">
                  <c:v>0.29199999999999998</c:v>
                </c:pt>
                <c:pt idx="1455">
                  <c:v>5.3699999999999998E-2</c:v>
                </c:pt>
                <c:pt idx="1456">
                  <c:v>3.8300000000000001E-2</c:v>
                </c:pt>
                <c:pt idx="1457">
                  <c:v>6.9900000000000004E-2</c:v>
                </c:pt>
                <c:pt idx="1458">
                  <c:v>0.12</c:v>
                </c:pt>
                <c:pt idx="1459">
                  <c:v>3.0300000000000001E-2</c:v>
                </c:pt>
                <c:pt idx="1460">
                  <c:v>4.2500000000000003E-2</c:v>
                </c:pt>
                <c:pt idx="1461">
                  <c:v>5.9900000000000002E-2</c:v>
                </c:pt>
                <c:pt idx="1462">
                  <c:v>4.7199999999999999E-2</c:v>
                </c:pt>
                <c:pt idx="1463">
                  <c:v>4.2799999999999998E-2</c:v>
                </c:pt>
                <c:pt idx="1464">
                  <c:v>0.311</c:v>
                </c:pt>
                <c:pt idx="1465">
                  <c:v>0.10199999999999999</c:v>
                </c:pt>
                <c:pt idx="1466">
                  <c:v>6.4899999999999999E-2</c:v>
                </c:pt>
                <c:pt idx="1467">
                  <c:v>0.115</c:v>
                </c:pt>
                <c:pt idx="1468">
                  <c:v>3.6900000000000002E-2</c:v>
                </c:pt>
                <c:pt idx="1469">
                  <c:v>5.2900000000000003E-2</c:v>
                </c:pt>
                <c:pt idx="1470">
                  <c:v>4.1399999999999999E-2</c:v>
                </c:pt>
                <c:pt idx="1471">
                  <c:v>4.58E-2</c:v>
                </c:pt>
                <c:pt idx="1472">
                  <c:v>2.5700000000000001E-2</c:v>
                </c:pt>
                <c:pt idx="1473">
                  <c:v>5.2999999999999999E-2</c:v>
                </c:pt>
                <c:pt idx="1474">
                  <c:v>3.6600000000000001E-2</c:v>
                </c:pt>
                <c:pt idx="1475">
                  <c:v>0.04</c:v>
                </c:pt>
                <c:pt idx="1476">
                  <c:v>5.1700000000000003E-2</c:v>
                </c:pt>
                <c:pt idx="1477">
                  <c:v>5.3800000000000001E-2</c:v>
                </c:pt>
                <c:pt idx="1478">
                  <c:v>5.7099999999999998E-2</c:v>
                </c:pt>
                <c:pt idx="1479">
                  <c:v>4.7899999999999998E-2</c:v>
                </c:pt>
                <c:pt idx="1480">
                  <c:v>2.76E-2</c:v>
                </c:pt>
                <c:pt idx="1481">
                  <c:v>4.2099999999999999E-2</c:v>
                </c:pt>
                <c:pt idx="1482">
                  <c:v>3.1199999999999999E-2</c:v>
                </c:pt>
                <c:pt idx="1483">
                  <c:v>2.6800000000000001E-2</c:v>
                </c:pt>
                <c:pt idx="1484">
                  <c:v>3.6299999999999999E-2</c:v>
                </c:pt>
                <c:pt idx="1485">
                  <c:v>3.6600000000000001E-2</c:v>
                </c:pt>
                <c:pt idx="1486">
                  <c:v>3.6200000000000003E-2</c:v>
                </c:pt>
                <c:pt idx="1487">
                  <c:v>3.7600000000000001E-2</c:v>
                </c:pt>
                <c:pt idx="1488">
                  <c:v>4.3499999999999997E-2</c:v>
                </c:pt>
                <c:pt idx="1489">
                  <c:v>6.0699999999999997E-2</c:v>
                </c:pt>
                <c:pt idx="1490">
                  <c:v>3.32E-2</c:v>
                </c:pt>
                <c:pt idx="1491">
                  <c:v>0.128</c:v>
                </c:pt>
                <c:pt idx="1492">
                  <c:v>4.6300000000000001E-2</c:v>
                </c:pt>
                <c:pt idx="1493">
                  <c:v>0.19500000000000001</c:v>
                </c:pt>
                <c:pt idx="1494">
                  <c:v>0.251</c:v>
                </c:pt>
                <c:pt idx="1495">
                  <c:v>4.0399999999999998E-2</c:v>
                </c:pt>
                <c:pt idx="1496">
                  <c:v>4.9799999999999997E-2</c:v>
                </c:pt>
                <c:pt idx="1497">
                  <c:v>9.7699999999999995E-2</c:v>
                </c:pt>
                <c:pt idx="1498">
                  <c:v>3.1899999999999998E-2</c:v>
                </c:pt>
                <c:pt idx="1499">
                  <c:v>6.8000000000000005E-2</c:v>
                </c:pt>
                <c:pt idx="1500">
                  <c:v>5.1799999999999999E-2</c:v>
                </c:pt>
                <c:pt idx="1501">
                  <c:v>5.9400000000000001E-2</c:v>
                </c:pt>
                <c:pt idx="1502">
                  <c:v>4.5900000000000003E-2</c:v>
                </c:pt>
                <c:pt idx="1503">
                  <c:v>3.8199999999999998E-2</c:v>
                </c:pt>
                <c:pt idx="1504">
                  <c:v>0.34899999999999998</c:v>
                </c:pt>
                <c:pt idx="1505">
                  <c:v>7.9600000000000004E-2</c:v>
                </c:pt>
                <c:pt idx="1506">
                  <c:v>6.2399999999999997E-2</c:v>
                </c:pt>
                <c:pt idx="1507">
                  <c:v>4.6399999999999997E-2</c:v>
                </c:pt>
                <c:pt idx="1508">
                  <c:v>0.153</c:v>
                </c:pt>
                <c:pt idx="1509">
                  <c:v>8.3000000000000004E-2</c:v>
                </c:pt>
                <c:pt idx="1510">
                  <c:v>3.2000000000000001E-2</c:v>
                </c:pt>
                <c:pt idx="1511">
                  <c:v>3.2300000000000002E-2</c:v>
                </c:pt>
                <c:pt idx="1512">
                  <c:v>3.39E-2</c:v>
                </c:pt>
                <c:pt idx="1513">
                  <c:v>3.2800000000000003E-2</c:v>
                </c:pt>
                <c:pt idx="1514">
                  <c:v>4.1300000000000003E-2</c:v>
                </c:pt>
                <c:pt idx="1515">
                  <c:v>0.16700000000000001</c:v>
                </c:pt>
                <c:pt idx="1516">
                  <c:v>0.185</c:v>
                </c:pt>
                <c:pt idx="1517">
                  <c:v>3.4099999999999998E-2</c:v>
                </c:pt>
                <c:pt idx="1518">
                  <c:v>3.95E-2</c:v>
                </c:pt>
                <c:pt idx="1519">
                  <c:v>5.8099999999999999E-2</c:v>
                </c:pt>
                <c:pt idx="1520">
                  <c:v>6.6699999999999995E-2</c:v>
                </c:pt>
                <c:pt idx="1521">
                  <c:v>6.2700000000000006E-2</c:v>
                </c:pt>
                <c:pt idx="1522">
                  <c:v>9.9400000000000002E-2</c:v>
                </c:pt>
                <c:pt idx="1523">
                  <c:v>0.375</c:v>
                </c:pt>
                <c:pt idx="1524">
                  <c:v>0.19500000000000001</c:v>
                </c:pt>
                <c:pt idx="1525">
                  <c:v>6.9699999999999998E-2</c:v>
                </c:pt>
                <c:pt idx="1526">
                  <c:v>0.157</c:v>
                </c:pt>
                <c:pt idx="1527">
                  <c:v>9.8699999999999996E-2</c:v>
                </c:pt>
                <c:pt idx="1528">
                  <c:v>0.24099999999999999</c:v>
                </c:pt>
                <c:pt idx="1529">
                  <c:v>0.152</c:v>
                </c:pt>
                <c:pt idx="1530">
                  <c:v>4.4900000000000002E-2</c:v>
                </c:pt>
                <c:pt idx="1531">
                  <c:v>3.4500000000000003E-2</c:v>
                </c:pt>
                <c:pt idx="1532">
                  <c:v>0.251</c:v>
                </c:pt>
                <c:pt idx="1533">
                  <c:v>0.189</c:v>
                </c:pt>
                <c:pt idx="1534">
                  <c:v>6.4899999999999999E-2</c:v>
                </c:pt>
                <c:pt idx="1535">
                  <c:v>2.9899999999999999E-2</c:v>
                </c:pt>
                <c:pt idx="1536">
                  <c:v>4.82E-2</c:v>
                </c:pt>
                <c:pt idx="1537">
                  <c:v>4.53E-2</c:v>
                </c:pt>
                <c:pt idx="1538">
                  <c:v>3.4299999999999997E-2</c:v>
                </c:pt>
                <c:pt idx="1539">
                  <c:v>0.11700000000000001</c:v>
                </c:pt>
                <c:pt idx="1540">
                  <c:v>0.16400000000000001</c:v>
                </c:pt>
                <c:pt idx="1541">
                  <c:v>7.0199999999999999E-2</c:v>
                </c:pt>
                <c:pt idx="1542">
                  <c:v>3.1800000000000002E-2</c:v>
                </c:pt>
                <c:pt idx="1543">
                  <c:v>6.1899999999999997E-2</c:v>
                </c:pt>
                <c:pt idx="1544">
                  <c:v>0.14000000000000001</c:v>
                </c:pt>
              </c:numCache>
            </c:numRef>
          </c:yVal>
          <c:smooth val="0"/>
          <c:extLst>
            <c:ext xmlns:c16="http://schemas.microsoft.com/office/drawing/2014/chart" uri="{C3380CC4-5D6E-409C-BE32-E72D297353CC}">
              <c16:uniqueId val="{00000000-78C0-49B7-BE3B-CF2E86C6ABA4}"/>
            </c:ext>
          </c:extLst>
        </c:ser>
        <c:dLbls>
          <c:showLegendKey val="0"/>
          <c:showVal val="0"/>
          <c:showCatName val="0"/>
          <c:showSerName val="0"/>
          <c:showPercent val="0"/>
          <c:showBubbleSize val="0"/>
        </c:dLbls>
        <c:axId val="546516367"/>
        <c:axId val="618461135"/>
      </c:scatterChart>
      <c:valAx>
        <c:axId val="5465163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Nombre d'écoutes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18461135"/>
        <c:crosses val="autoZero"/>
        <c:crossBetween val="midCat"/>
      </c:valAx>
      <c:valAx>
        <c:axId val="618461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Popularité</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4651636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Positivité par rapport à la</a:t>
            </a:r>
            <a:r>
              <a:rPr lang="fr-FR" baseline="0"/>
              <a:t> dansabilité</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Données!$S$1</c:f>
              <c:strCache>
                <c:ptCount val="1"/>
                <c:pt idx="0">
                  <c:v>Positivité</c:v>
                </c:pt>
              </c:strCache>
            </c:strRef>
          </c:tx>
          <c:spPr>
            <a:ln w="19050" cap="rnd">
              <a:noFill/>
              <a:round/>
            </a:ln>
            <a:effectLst/>
          </c:spPr>
          <c:marker>
            <c:symbol val="circle"/>
            <c:size val="5"/>
            <c:spPr>
              <a:solidFill>
                <a:schemeClr val="accent1"/>
              </a:solidFill>
              <a:ln w="9525">
                <a:solidFill>
                  <a:schemeClr val="accent1"/>
                </a:solidFill>
              </a:ln>
              <a:effectLst/>
            </c:spPr>
          </c:marker>
          <c:xVal>
            <c:numRef>
              <c:f>Données!$Q$2:$Q$1558</c:f>
              <c:numCache>
                <c:formatCode>0.00</c:formatCode>
                <c:ptCount val="1557"/>
                <c:pt idx="0">
                  <c:v>0.127</c:v>
                </c:pt>
                <c:pt idx="1">
                  <c:v>3.8300000000000001E-2</c:v>
                </c:pt>
                <c:pt idx="2">
                  <c:v>0.33500000000000002</c:v>
                </c:pt>
                <c:pt idx="3">
                  <c:v>4.6899999999999997E-2</c:v>
                </c:pt>
                <c:pt idx="4">
                  <c:v>0.29699999999999999</c:v>
                </c:pt>
                <c:pt idx="5">
                  <c:v>2.0299999999999999E-2</c:v>
                </c:pt>
                <c:pt idx="6">
                  <c:v>0.27600000000000002</c:v>
                </c:pt>
                <c:pt idx="7">
                  <c:v>0.31</c:v>
                </c:pt>
                <c:pt idx="8">
                  <c:v>1.65E-3</c:v>
                </c:pt>
                <c:pt idx="9">
                  <c:v>2.6100000000000002E-2</c:v>
                </c:pt>
                <c:pt idx="10">
                  <c:v>5.4400000000000004E-3</c:v>
                </c:pt>
                <c:pt idx="11">
                  <c:v>3.2299999999999998E-3</c:v>
                </c:pt>
                <c:pt idx="12">
                  <c:v>0.23499999999999999</c:v>
                </c:pt>
                <c:pt idx="13">
                  <c:v>0.32100000000000001</c:v>
                </c:pt>
                <c:pt idx="14">
                  <c:v>0.69099999999999995</c:v>
                </c:pt>
                <c:pt idx="15">
                  <c:v>2.1499999999999998E-2</c:v>
                </c:pt>
                <c:pt idx="16">
                  <c:v>2.1499999999999998E-2</c:v>
                </c:pt>
                <c:pt idx="17">
                  <c:v>0.58399999999999996</c:v>
                </c:pt>
                <c:pt idx="18">
                  <c:v>0.114</c:v>
                </c:pt>
                <c:pt idx="19">
                  <c:v>0.76800000000000002</c:v>
                </c:pt>
                <c:pt idx="20">
                  <c:v>1.4599999999999999E-3</c:v>
                </c:pt>
                <c:pt idx="21">
                  <c:v>0.76500000000000001</c:v>
                </c:pt>
                <c:pt idx="22">
                  <c:v>7.7600000000000004E-3</c:v>
                </c:pt>
                <c:pt idx="23">
                  <c:v>7.6E-3</c:v>
                </c:pt>
                <c:pt idx="24">
                  <c:v>0.182</c:v>
                </c:pt>
                <c:pt idx="25">
                  <c:v>0.20699999999999999</c:v>
                </c:pt>
                <c:pt idx="26">
                  <c:v>0.86599999999999999</c:v>
                </c:pt>
                <c:pt idx="27">
                  <c:v>0.16300000000000001</c:v>
                </c:pt>
                <c:pt idx="28">
                  <c:v>0.30399999999999999</c:v>
                </c:pt>
                <c:pt idx="29">
                  <c:v>0.50600000000000001</c:v>
                </c:pt>
                <c:pt idx="30">
                  <c:v>9.0399999999999994E-2</c:v>
                </c:pt>
                <c:pt idx="31">
                  <c:v>0.122</c:v>
                </c:pt>
                <c:pt idx="32">
                  <c:v>0.161</c:v>
                </c:pt>
                <c:pt idx="33">
                  <c:v>0.19800000000000001</c:v>
                </c:pt>
                <c:pt idx="34">
                  <c:v>0.41399999999999998</c:v>
                </c:pt>
                <c:pt idx="35">
                  <c:v>8.8299999999999993E-3</c:v>
                </c:pt>
                <c:pt idx="36">
                  <c:v>0.17499999999999999</c:v>
                </c:pt>
                <c:pt idx="37">
                  <c:v>0.41</c:v>
                </c:pt>
                <c:pt idx="38">
                  <c:v>1.6400000000000001E-2</c:v>
                </c:pt>
                <c:pt idx="39">
                  <c:v>0.16500000000000001</c:v>
                </c:pt>
                <c:pt idx="40">
                  <c:v>0.10199999999999999</c:v>
                </c:pt>
                <c:pt idx="41">
                  <c:v>1.12E-2</c:v>
                </c:pt>
                <c:pt idx="42">
                  <c:v>0.216</c:v>
                </c:pt>
                <c:pt idx="43">
                  <c:v>0.17399999999999999</c:v>
                </c:pt>
                <c:pt idx="44">
                  <c:v>0.49399999999999999</c:v>
                </c:pt>
                <c:pt idx="45">
                  <c:v>0.39800000000000002</c:v>
                </c:pt>
                <c:pt idx="46">
                  <c:v>0.217</c:v>
                </c:pt>
                <c:pt idx="47">
                  <c:v>2.2599999999999999E-3</c:v>
                </c:pt>
                <c:pt idx="48">
                  <c:v>3.8399999999999998E-5</c:v>
                </c:pt>
                <c:pt idx="49">
                  <c:v>3.1099999999999999E-2</c:v>
                </c:pt>
                <c:pt idx="50">
                  <c:v>0.10199999999999999</c:v>
                </c:pt>
                <c:pt idx="51">
                  <c:v>8.8299999999999993E-3</c:v>
                </c:pt>
                <c:pt idx="52">
                  <c:v>0.16500000000000001</c:v>
                </c:pt>
                <c:pt idx="53">
                  <c:v>4.9200000000000001E-2</c:v>
                </c:pt>
                <c:pt idx="54">
                  <c:v>9.1300000000000006E-2</c:v>
                </c:pt>
                <c:pt idx="55">
                  <c:v>0.28199999999999997</c:v>
                </c:pt>
                <c:pt idx="56">
                  <c:v>3.7699999999999997E-2</c:v>
                </c:pt>
                <c:pt idx="57">
                  <c:v>0.32600000000000001</c:v>
                </c:pt>
                <c:pt idx="58">
                  <c:v>1.3299999999999999E-2</c:v>
                </c:pt>
                <c:pt idx="59">
                  <c:v>0.19400000000000001</c:v>
                </c:pt>
                <c:pt idx="60">
                  <c:v>0.112</c:v>
                </c:pt>
                <c:pt idx="61">
                  <c:v>0.40699999999999997</c:v>
                </c:pt>
                <c:pt idx="62">
                  <c:v>0.67500000000000004</c:v>
                </c:pt>
                <c:pt idx="63">
                  <c:v>0.52400000000000002</c:v>
                </c:pt>
                <c:pt idx="64">
                  <c:v>7.7200000000000003E-3</c:v>
                </c:pt>
                <c:pt idx="65">
                  <c:v>4.9500000000000002E-2</c:v>
                </c:pt>
                <c:pt idx="66">
                  <c:v>0.13800000000000001</c:v>
                </c:pt>
                <c:pt idx="67">
                  <c:v>0.25600000000000001</c:v>
                </c:pt>
                <c:pt idx="68">
                  <c:v>0.222</c:v>
                </c:pt>
                <c:pt idx="69">
                  <c:v>2.14E-3</c:v>
                </c:pt>
                <c:pt idx="70">
                  <c:v>0.65600000000000003</c:v>
                </c:pt>
                <c:pt idx="71">
                  <c:v>0.21299999999999999</c:v>
                </c:pt>
                <c:pt idx="72">
                  <c:v>6.1800000000000001E-2</c:v>
                </c:pt>
                <c:pt idx="73">
                  <c:v>0.41799999999999998</c:v>
                </c:pt>
                <c:pt idx="74">
                  <c:v>0.16800000000000001</c:v>
                </c:pt>
                <c:pt idx="75">
                  <c:v>1.4200000000000001E-2</c:v>
                </c:pt>
                <c:pt idx="76">
                  <c:v>0.13100000000000001</c:v>
                </c:pt>
                <c:pt idx="77">
                  <c:v>0.34799999999999998</c:v>
                </c:pt>
                <c:pt idx="78">
                  <c:v>0.192</c:v>
                </c:pt>
                <c:pt idx="79">
                  <c:v>0.41799999999999998</c:v>
                </c:pt>
                <c:pt idx="80">
                  <c:v>0.41799999999999998</c:v>
                </c:pt>
                <c:pt idx="81">
                  <c:v>0.40100000000000002</c:v>
                </c:pt>
                <c:pt idx="82">
                  <c:v>0.751</c:v>
                </c:pt>
                <c:pt idx="83">
                  <c:v>1.3799999999999999E-3</c:v>
                </c:pt>
                <c:pt idx="84">
                  <c:v>0.46800000000000003</c:v>
                </c:pt>
                <c:pt idx="85">
                  <c:v>0.30499999999999999</c:v>
                </c:pt>
                <c:pt idx="86">
                  <c:v>8.8800000000000004E-2</c:v>
                </c:pt>
                <c:pt idx="87">
                  <c:v>0.80700000000000005</c:v>
                </c:pt>
                <c:pt idx="88">
                  <c:v>6.2199999999999998E-2</c:v>
                </c:pt>
                <c:pt idx="89">
                  <c:v>0.192</c:v>
                </c:pt>
                <c:pt idx="90">
                  <c:v>0.25600000000000001</c:v>
                </c:pt>
                <c:pt idx="91">
                  <c:v>0.441</c:v>
                </c:pt>
                <c:pt idx="92">
                  <c:v>0.93400000000000005</c:v>
                </c:pt>
                <c:pt idx="93">
                  <c:v>0.82799999999999996</c:v>
                </c:pt>
                <c:pt idx="94">
                  <c:v>0.21</c:v>
                </c:pt>
                <c:pt idx="95">
                  <c:v>0.16300000000000001</c:v>
                </c:pt>
                <c:pt idx="96">
                  <c:v>3.0300000000000001E-2</c:v>
                </c:pt>
                <c:pt idx="97">
                  <c:v>0.247</c:v>
                </c:pt>
                <c:pt idx="98">
                  <c:v>0.58399999999999996</c:v>
                </c:pt>
                <c:pt idx="99">
                  <c:v>0.78500000000000003</c:v>
                </c:pt>
                <c:pt idx="100">
                  <c:v>0.753</c:v>
                </c:pt>
                <c:pt idx="101">
                  <c:v>0.44</c:v>
                </c:pt>
                <c:pt idx="102">
                  <c:v>0.49199999999999999</c:v>
                </c:pt>
                <c:pt idx="103">
                  <c:v>2.0999999999999999E-3</c:v>
                </c:pt>
                <c:pt idx="104">
                  <c:v>0.28100000000000003</c:v>
                </c:pt>
                <c:pt idx="105">
                  <c:v>5.1400000000000001E-2</c:v>
                </c:pt>
                <c:pt idx="106">
                  <c:v>0.18</c:v>
                </c:pt>
                <c:pt idx="107">
                  <c:v>0.58099999999999996</c:v>
                </c:pt>
                <c:pt idx="108">
                  <c:v>0.112</c:v>
                </c:pt>
                <c:pt idx="109">
                  <c:v>1.66E-2</c:v>
                </c:pt>
                <c:pt idx="110">
                  <c:v>6.7799999999999999E-2</c:v>
                </c:pt>
                <c:pt idx="111">
                  <c:v>1.44E-2</c:v>
                </c:pt>
                <c:pt idx="112">
                  <c:v>0.84099999999999997</c:v>
                </c:pt>
                <c:pt idx="113">
                  <c:v>0.499</c:v>
                </c:pt>
                <c:pt idx="114">
                  <c:v>0.108</c:v>
                </c:pt>
                <c:pt idx="115">
                  <c:v>0.122</c:v>
                </c:pt>
                <c:pt idx="116">
                  <c:v>6.8900000000000003E-2</c:v>
                </c:pt>
                <c:pt idx="117">
                  <c:v>8.2100000000000006E-2</c:v>
                </c:pt>
                <c:pt idx="118">
                  <c:v>0.10299999999999999</c:v>
                </c:pt>
                <c:pt idx="119">
                  <c:v>2.3900000000000002E-3</c:v>
                </c:pt>
                <c:pt idx="120">
                  <c:v>0.65</c:v>
                </c:pt>
                <c:pt idx="121">
                  <c:v>0.34899999999999998</c:v>
                </c:pt>
                <c:pt idx="122">
                  <c:v>0.45100000000000001</c:v>
                </c:pt>
                <c:pt idx="123">
                  <c:v>0.94099999999999995</c:v>
                </c:pt>
                <c:pt idx="124">
                  <c:v>0.39900000000000002</c:v>
                </c:pt>
                <c:pt idx="125">
                  <c:v>0.73099999999999998</c:v>
                </c:pt>
                <c:pt idx="126">
                  <c:v>0.58399999999999996</c:v>
                </c:pt>
                <c:pt idx="127">
                  <c:v>0.34499999999999997</c:v>
                </c:pt>
                <c:pt idx="128">
                  <c:v>0.59199999999999997</c:v>
                </c:pt>
                <c:pt idx="129">
                  <c:v>0.34100000000000003</c:v>
                </c:pt>
                <c:pt idx="130">
                  <c:v>9.3600000000000003E-3</c:v>
                </c:pt>
                <c:pt idx="131">
                  <c:v>0.81799999999999995</c:v>
                </c:pt>
                <c:pt idx="132">
                  <c:v>6.9100000000000003E-3</c:v>
                </c:pt>
                <c:pt idx="133">
                  <c:v>0.40200000000000002</c:v>
                </c:pt>
                <c:pt idx="134">
                  <c:v>0.21</c:v>
                </c:pt>
                <c:pt idx="135">
                  <c:v>0.26900000000000002</c:v>
                </c:pt>
                <c:pt idx="136">
                  <c:v>0.42699999999999999</c:v>
                </c:pt>
                <c:pt idx="137">
                  <c:v>0.13200000000000001</c:v>
                </c:pt>
                <c:pt idx="138">
                  <c:v>3.8E-3</c:v>
                </c:pt>
                <c:pt idx="139">
                  <c:v>2.1499999999999998E-2</c:v>
                </c:pt>
                <c:pt idx="140">
                  <c:v>0.129</c:v>
                </c:pt>
                <c:pt idx="141">
                  <c:v>0.161</c:v>
                </c:pt>
                <c:pt idx="142">
                  <c:v>0.38800000000000001</c:v>
                </c:pt>
                <c:pt idx="143">
                  <c:v>0.114</c:v>
                </c:pt>
                <c:pt idx="144">
                  <c:v>1.9400000000000001E-2</c:v>
                </c:pt>
                <c:pt idx="145">
                  <c:v>0.21</c:v>
                </c:pt>
                <c:pt idx="146">
                  <c:v>6.4399999999999999E-2</c:v>
                </c:pt>
                <c:pt idx="147">
                  <c:v>0.69499999999999995</c:v>
                </c:pt>
                <c:pt idx="148">
                  <c:v>0.17699999999999999</c:v>
                </c:pt>
                <c:pt idx="149">
                  <c:v>0.46899999999999997</c:v>
                </c:pt>
                <c:pt idx="150">
                  <c:v>7.7600000000000004E-3</c:v>
                </c:pt>
                <c:pt idx="151">
                  <c:v>2.3699999999999999E-2</c:v>
                </c:pt>
                <c:pt idx="152">
                  <c:v>0.104</c:v>
                </c:pt>
                <c:pt idx="153">
                  <c:v>0.58599999999999997</c:v>
                </c:pt>
                <c:pt idx="154">
                  <c:v>0.11600000000000001</c:v>
                </c:pt>
                <c:pt idx="155">
                  <c:v>0.92200000000000004</c:v>
                </c:pt>
                <c:pt idx="156">
                  <c:v>2.0899999999999998E-3</c:v>
                </c:pt>
                <c:pt idx="157">
                  <c:v>0.223</c:v>
                </c:pt>
                <c:pt idx="158">
                  <c:v>0.66100000000000003</c:v>
                </c:pt>
                <c:pt idx="159">
                  <c:v>1.15E-2</c:v>
                </c:pt>
                <c:pt idx="160">
                  <c:v>6.7100000000000007E-2</c:v>
                </c:pt>
                <c:pt idx="161">
                  <c:v>0.499</c:v>
                </c:pt>
                <c:pt idx="162">
                  <c:v>0.25800000000000001</c:v>
                </c:pt>
                <c:pt idx="163">
                  <c:v>0.53200000000000003</c:v>
                </c:pt>
                <c:pt idx="164">
                  <c:v>0.33600000000000002</c:v>
                </c:pt>
                <c:pt idx="165">
                  <c:v>0.14000000000000001</c:v>
                </c:pt>
                <c:pt idx="166">
                  <c:v>0.223</c:v>
                </c:pt>
                <c:pt idx="167">
                  <c:v>5.4600000000000003E-2</c:v>
                </c:pt>
                <c:pt idx="168">
                  <c:v>1.7999999999999999E-2</c:v>
                </c:pt>
                <c:pt idx="169">
                  <c:v>0.34300000000000003</c:v>
                </c:pt>
                <c:pt idx="170">
                  <c:v>0.41399999999999998</c:v>
                </c:pt>
                <c:pt idx="171">
                  <c:v>3.0200000000000001E-2</c:v>
                </c:pt>
                <c:pt idx="172">
                  <c:v>0.186</c:v>
                </c:pt>
                <c:pt idx="173">
                  <c:v>0.30099999999999999</c:v>
                </c:pt>
                <c:pt idx="174">
                  <c:v>5.13E-3</c:v>
                </c:pt>
                <c:pt idx="175">
                  <c:v>0.36899999999999999</c:v>
                </c:pt>
                <c:pt idx="176">
                  <c:v>4.9299999999999997E-2</c:v>
                </c:pt>
                <c:pt idx="177">
                  <c:v>0.69199999999999995</c:v>
                </c:pt>
                <c:pt idx="178">
                  <c:v>0.60399999999999998</c:v>
                </c:pt>
                <c:pt idx="179">
                  <c:v>0.51200000000000001</c:v>
                </c:pt>
                <c:pt idx="180">
                  <c:v>3.1899999999999998E-2</c:v>
                </c:pt>
                <c:pt idx="181">
                  <c:v>0.36199999999999999</c:v>
                </c:pt>
                <c:pt idx="182">
                  <c:v>1.1999999999999999E-3</c:v>
                </c:pt>
                <c:pt idx="183">
                  <c:v>0.127</c:v>
                </c:pt>
                <c:pt idx="184">
                  <c:v>0.371</c:v>
                </c:pt>
                <c:pt idx="185">
                  <c:v>0.46700000000000003</c:v>
                </c:pt>
                <c:pt idx="186">
                  <c:v>0.60699999999999998</c:v>
                </c:pt>
                <c:pt idx="187">
                  <c:v>6.9699999999999998E-2</c:v>
                </c:pt>
                <c:pt idx="188">
                  <c:v>5.9900000000000002E-2</c:v>
                </c:pt>
                <c:pt idx="189">
                  <c:v>0.54300000000000004</c:v>
                </c:pt>
                <c:pt idx="190">
                  <c:v>7.6899999999999996E-2</c:v>
                </c:pt>
                <c:pt idx="191">
                  <c:v>8.6600000000000002E-4</c:v>
                </c:pt>
                <c:pt idx="192">
                  <c:v>0.14099999999999999</c:v>
                </c:pt>
                <c:pt idx="193">
                  <c:v>0.21</c:v>
                </c:pt>
                <c:pt idx="194">
                  <c:v>0.83899999999999997</c:v>
                </c:pt>
                <c:pt idx="195">
                  <c:v>0.12</c:v>
                </c:pt>
                <c:pt idx="196">
                  <c:v>0.13</c:v>
                </c:pt>
                <c:pt idx="197">
                  <c:v>2.7299999999999998E-3</c:v>
                </c:pt>
                <c:pt idx="198">
                  <c:v>0.14099999999999999</c:v>
                </c:pt>
                <c:pt idx="199">
                  <c:v>5.3600000000000002E-3</c:v>
                </c:pt>
                <c:pt idx="200">
                  <c:v>0.14799999999999999</c:v>
                </c:pt>
                <c:pt idx="201">
                  <c:v>0.114</c:v>
                </c:pt>
                <c:pt idx="202">
                  <c:v>0.14499999999999999</c:v>
                </c:pt>
                <c:pt idx="203">
                  <c:v>3.3600000000000001E-3</c:v>
                </c:pt>
                <c:pt idx="204">
                  <c:v>4.41E-2</c:v>
                </c:pt>
                <c:pt idx="205">
                  <c:v>0.124</c:v>
                </c:pt>
                <c:pt idx="206">
                  <c:v>6.0999999999999999E-2</c:v>
                </c:pt>
                <c:pt idx="207">
                  <c:v>0.21199999999999999</c:v>
                </c:pt>
                <c:pt idx="208">
                  <c:v>3.0200000000000001E-3</c:v>
                </c:pt>
                <c:pt idx="209">
                  <c:v>2.9100000000000001E-2</c:v>
                </c:pt>
                <c:pt idx="210">
                  <c:v>0.39600000000000002</c:v>
                </c:pt>
                <c:pt idx="211">
                  <c:v>5.4299999999999999E-3</c:v>
                </c:pt>
                <c:pt idx="212">
                  <c:v>4.7299999999999998E-3</c:v>
                </c:pt>
                <c:pt idx="213">
                  <c:v>1.72E-2</c:v>
                </c:pt>
                <c:pt idx="214">
                  <c:v>0.32800000000000001</c:v>
                </c:pt>
                <c:pt idx="215">
                  <c:v>0.23699999999999999</c:v>
                </c:pt>
                <c:pt idx="216">
                  <c:v>0.55600000000000005</c:v>
                </c:pt>
                <c:pt idx="217">
                  <c:v>0.55600000000000005</c:v>
                </c:pt>
                <c:pt idx="218">
                  <c:v>0.125</c:v>
                </c:pt>
                <c:pt idx="219">
                  <c:v>0.60699999999999998</c:v>
                </c:pt>
                <c:pt idx="220">
                  <c:v>0.152</c:v>
                </c:pt>
                <c:pt idx="221">
                  <c:v>0.28399999999999997</c:v>
                </c:pt>
                <c:pt idx="222">
                  <c:v>0.24399999999999999</c:v>
                </c:pt>
                <c:pt idx="223">
                  <c:v>4.6199999999999998E-2</c:v>
                </c:pt>
                <c:pt idx="224">
                  <c:v>0.153</c:v>
                </c:pt>
                <c:pt idx="225">
                  <c:v>9.58E-3</c:v>
                </c:pt>
                <c:pt idx="226">
                  <c:v>0.84699999999999998</c:v>
                </c:pt>
                <c:pt idx="227">
                  <c:v>5.9200000000000003E-2</c:v>
                </c:pt>
                <c:pt idx="228">
                  <c:v>6.7099999999999998E-3</c:v>
                </c:pt>
                <c:pt idx="229">
                  <c:v>0.25600000000000001</c:v>
                </c:pt>
                <c:pt idx="230">
                  <c:v>6.2199999999999998E-2</c:v>
                </c:pt>
                <c:pt idx="231">
                  <c:v>0.25600000000000001</c:v>
                </c:pt>
                <c:pt idx="232">
                  <c:v>0.55600000000000005</c:v>
                </c:pt>
                <c:pt idx="233">
                  <c:v>3.6999999999999998E-2</c:v>
                </c:pt>
                <c:pt idx="234">
                  <c:v>2.24E-2</c:v>
                </c:pt>
                <c:pt idx="235">
                  <c:v>0.104</c:v>
                </c:pt>
                <c:pt idx="236">
                  <c:v>2.06E-2</c:v>
                </c:pt>
                <c:pt idx="237">
                  <c:v>3.9199999999999999E-2</c:v>
                </c:pt>
                <c:pt idx="238">
                  <c:v>1.6E-2</c:v>
                </c:pt>
                <c:pt idx="239">
                  <c:v>1.8700000000000001E-2</c:v>
                </c:pt>
                <c:pt idx="240">
                  <c:v>0.3</c:v>
                </c:pt>
                <c:pt idx="241">
                  <c:v>9.2299999999999993E-2</c:v>
                </c:pt>
                <c:pt idx="242">
                  <c:v>4.7399999999999998E-2</c:v>
                </c:pt>
                <c:pt idx="243">
                  <c:v>6.2199999999999998E-2</c:v>
                </c:pt>
                <c:pt idx="244">
                  <c:v>0.23400000000000001</c:v>
                </c:pt>
                <c:pt idx="245">
                  <c:v>0.26900000000000002</c:v>
                </c:pt>
                <c:pt idx="246">
                  <c:v>3.32E-2</c:v>
                </c:pt>
                <c:pt idx="247">
                  <c:v>0.86599999999999999</c:v>
                </c:pt>
                <c:pt idx="248">
                  <c:v>5.2200000000000003E-2</c:v>
                </c:pt>
                <c:pt idx="249">
                  <c:v>1.5100000000000001E-3</c:v>
                </c:pt>
                <c:pt idx="250">
                  <c:v>0.23400000000000001</c:v>
                </c:pt>
                <c:pt idx="251">
                  <c:v>0.26400000000000001</c:v>
                </c:pt>
                <c:pt idx="252">
                  <c:v>5.6899999999999999E-2</c:v>
                </c:pt>
                <c:pt idx="253">
                  <c:v>0.70099999999999996</c:v>
                </c:pt>
                <c:pt idx="254">
                  <c:v>0.22900000000000001</c:v>
                </c:pt>
                <c:pt idx="255">
                  <c:v>9.6699999999999994E-2</c:v>
                </c:pt>
                <c:pt idx="256">
                  <c:v>0.48699999999999999</c:v>
                </c:pt>
                <c:pt idx="257">
                  <c:v>0.35899999999999999</c:v>
                </c:pt>
                <c:pt idx="258">
                  <c:v>1.6199999999999999E-3</c:v>
                </c:pt>
                <c:pt idx="259">
                  <c:v>0.47399999999999998</c:v>
                </c:pt>
                <c:pt idx="260">
                  <c:v>3.1899999999999998E-2</c:v>
                </c:pt>
                <c:pt idx="261">
                  <c:v>4.8300000000000003E-2</c:v>
                </c:pt>
                <c:pt idx="262">
                  <c:v>0.32800000000000001</c:v>
                </c:pt>
                <c:pt idx="263">
                  <c:v>2.8000000000000001E-2</c:v>
                </c:pt>
                <c:pt idx="264">
                  <c:v>8.9999999999999993E-3</c:v>
                </c:pt>
                <c:pt idx="265">
                  <c:v>0.93200000000000005</c:v>
                </c:pt>
                <c:pt idx="266">
                  <c:v>0.248</c:v>
                </c:pt>
                <c:pt idx="267">
                  <c:v>0.39</c:v>
                </c:pt>
                <c:pt idx="268">
                  <c:v>0.16900000000000001</c:v>
                </c:pt>
                <c:pt idx="269">
                  <c:v>0.72</c:v>
                </c:pt>
                <c:pt idx="270">
                  <c:v>4.9799999999999997E-2</c:v>
                </c:pt>
                <c:pt idx="271">
                  <c:v>7.8600000000000007E-3</c:v>
                </c:pt>
                <c:pt idx="272">
                  <c:v>0.54400000000000004</c:v>
                </c:pt>
                <c:pt idx="273">
                  <c:v>0.191</c:v>
                </c:pt>
                <c:pt idx="274">
                  <c:v>1.04E-2</c:v>
                </c:pt>
                <c:pt idx="275">
                  <c:v>3.32E-2</c:v>
                </c:pt>
                <c:pt idx="276">
                  <c:v>0.129</c:v>
                </c:pt>
                <c:pt idx="277">
                  <c:v>0.53500000000000003</c:v>
                </c:pt>
                <c:pt idx="278">
                  <c:v>0.74</c:v>
                </c:pt>
                <c:pt idx="279">
                  <c:v>2.64E-3</c:v>
                </c:pt>
                <c:pt idx="280">
                  <c:v>0.13800000000000001</c:v>
                </c:pt>
                <c:pt idx="281">
                  <c:v>0.29599999999999999</c:v>
                </c:pt>
                <c:pt idx="282">
                  <c:v>0.13800000000000001</c:v>
                </c:pt>
                <c:pt idx="283">
                  <c:v>0.17299999999999999</c:v>
                </c:pt>
                <c:pt idx="284">
                  <c:v>5.5800000000000002E-2</c:v>
                </c:pt>
                <c:pt idx="285">
                  <c:v>0.152</c:v>
                </c:pt>
                <c:pt idx="286">
                  <c:v>0.42299999999999999</c:v>
                </c:pt>
                <c:pt idx="287">
                  <c:v>5.1299999999999998E-2</c:v>
                </c:pt>
                <c:pt idx="288">
                  <c:v>0.13900000000000001</c:v>
                </c:pt>
                <c:pt idx="289">
                  <c:v>9.4600000000000004E-2</c:v>
                </c:pt>
                <c:pt idx="290">
                  <c:v>0.73299999999999998</c:v>
                </c:pt>
                <c:pt idx="291">
                  <c:v>1.3599999999999999E-2</c:v>
                </c:pt>
                <c:pt idx="292">
                  <c:v>0.52600000000000002</c:v>
                </c:pt>
                <c:pt idx="293">
                  <c:v>0.49199999999999999</c:v>
                </c:pt>
                <c:pt idx="294">
                  <c:v>0.34799999999999998</c:v>
                </c:pt>
                <c:pt idx="295">
                  <c:v>1.67E-3</c:v>
                </c:pt>
                <c:pt idx="296">
                  <c:v>0.33600000000000002</c:v>
                </c:pt>
                <c:pt idx="297">
                  <c:v>2.9899999999999999E-2</c:v>
                </c:pt>
                <c:pt idx="298">
                  <c:v>7.0599999999999996E-2</c:v>
                </c:pt>
                <c:pt idx="299">
                  <c:v>0.26600000000000001</c:v>
                </c:pt>
                <c:pt idx="300">
                  <c:v>5.6300000000000003E-2</c:v>
                </c:pt>
                <c:pt idx="301">
                  <c:v>8.0199999999999994E-2</c:v>
                </c:pt>
                <c:pt idx="302">
                  <c:v>0.23699999999999999</c:v>
                </c:pt>
                <c:pt idx="303">
                  <c:v>0.78</c:v>
                </c:pt>
                <c:pt idx="304">
                  <c:v>0.93200000000000005</c:v>
                </c:pt>
                <c:pt idx="305">
                  <c:v>0.41499999999999998</c:v>
                </c:pt>
                <c:pt idx="306">
                  <c:v>4.7499999999999999E-3</c:v>
                </c:pt>
                <c:pt idx="307">
                  <c:v>0.19600000000000001</c:v>
                </c:pt>
                <c:pt idx="308">
                  <c:v>2.8500000000000001E-3</c:v>
                </c:pt>
                <c:pt idx="309">
                  <c:v>0.51400000000000001</c:v>
                </c:pt>
                <c:pt idx="310">
                  <c:v>0.2</c:v>
                </c:pt>
                <c:pt idx="311">
                  <c:v>7.2300000000000003E-2</c:v>
                </c:pt>
                <c:pt idx="312">
                  <c:v>0.59799999999999998</c:v>
                </c:pt>
                <c:pt idx="313">
                  <c:v>0.24099999999999999</c:v>
                </c:pt>
                <c:pt idx="314">
                  <c:v>0.156</c:v>
                </c:pt>
                <c:pt idx="315">
                  <c:v>6.8599999999999994E-2</c:v>
                </c:pt>
                <c:pt idx="316">
                  <c:v>5.33E-2</c:v>
                </c:pt>
                <c:pt idx="317">
                  <c:v>3.7199999999999997E-2</c:v>
                </c:pt>
                <c:pt idx="318">
                  <c:v>0.374</c:v>
                </c:pt>
                <c:pt idx="319">
                  <c:v>5.33E-2</c:v>
                </c:pt>
                <c:pt idx="320">
                  <c:v>0.22500000000000001</c:v>
                </c:pt>
                <c:pt idx="321">
                  <c:v>0.184</c:v>
                </c:pt>
                <c:pt idx="322">
                  <c:v>0.127</c:v>
                </c:pt>
                <c:pt idx="323">
                  <c:v>0.86799999999999999</c:v>
                </c:pt>
                <c:pt idx="324">
                  <c:v>3.6999999999999998E-2</c:v>
                </c:pt>
                <c:pt idx="325">
                  <c:v>4.2700000000000002E-2</c:v>
                </c:pt>
                <c:pt idx="326">
                  <c:v>6.8699999999999997E-2</c:v>
                </c:pt>
                <c:pt idx="327">
                  <c:v>6.8400000000000002E-2</c:v>
                </c:pt>
                <c:pt idx="328">
                  <c:v>0.33100000000000002</c:v>
                </c:pt>
                <c:pt idx="329">
                  <c:v>0.193</c:v>
                </c:pt>
                <c:pt idx="330">
                  <c:v>0.127</c:v>
                </c:pt>
                <c:pt idx="331">
                  <c:v>0.6</c:v>
                </c:pt>
                <c:pt idx="332">
                  <c:v>0.55600000000000005</c:v>
                </c:pt>
                <c:pt idx="333">
                  <c:v>0.88300000000000001</c:v>
                </c:pt>
                <c:pt idx="334">
                  <c:v>0.159</c:v>
                </c:pt>
                <c:pt idx="335">
                  <c:v>6.3100000000000003E-2</c:v>
                </c:pt>
                <c:pt idx="336">
                  <c:v>0.315</c:v>
                </c:pt>
                <c:pt idx="337">
                  <c:v>5.7000000000000002E-2</c:v>
                </c:pt>
                <c:pt idx="338">
                  <c:v>0.222</c:v>
                </c:pt>
                <c:pt idx="339">
                  <c:v>8.3299999999999999E-2</c:v>
                </c:pt>
                <c:pt idx="340">
                  <c:v>0.28199999999999997</c:v>
                </c:pt>
                <c:pt idx="341">
                  <c:v>0.29499999999999998</c:v>
                </c:pt>
                <c:pt idx="342">
                  <c:v>0.113</c:v>
                </c:pt>
                <c:pt idx="343">
                  <c:v>1.95E-2</c:v>
                </c:pt>
                <c:pt idx="344">
                  <c:v>2.5399999999999999E-2</c:v>
                </c:pt>
                <c:pt idx="345">
                  <c:v>7.51E-2</c:v>
                </c:pt>
                <c:pt idx="346">
                  <c:v>0.16800000000000001</c:v>
                </c:pt>
                <c:pt idx="347">
                  <c:v>0.14299999999999999</c:v>
                </c:pt>
                <c:pt idx="348">
                  <c:v>0.36799999999999999</c:v>
                </c:pt>
                <c:pt idx="349">
                  <c:v>6.8900000000000003E-2</c:v>
                </c:pt>
                <c:pt idx="350">
                  <c:v>0.17</c:v>
                </c:pt>
                <c:pt idx="351">
                  <c:v>0.55100000000000005</c:v>
                </c:pt>
                <c:pt idx="352">
                  <c:v>3.3700000000000001E-2</c:v>
                </c:pt>
                <c:pt idx="353">
                  <c:v>0.86399999999999999</c:v>
                </c:pt>
                <c:pt idx="354">
                  <c:v>0.13500000000000001</c:v>
                </c:pt>
                <c:pt idx="355">
                  <c:v>0.19900000000000001</c:v>
                </c:pt>
                <c:pt idx="356">
                  <c:v>0.39500000000000002</c:v>
                </c:pt>
                <c:pt idx="357">
                  <c:v>0.30199999999999999</c:v>
                </c:pt>
                <c:pt idx="358">
                  <c:v>0.14899999999999999</c:v>
                </c:pt>
                <c:pt idx="359">
                  <c:v>8.3699999999999997E-2</c:v>
                </c:pt>
                <c:pt idx="360">
                  <c:v>0.70199999999999996</c:v>
                </c:pt>
                <c:pt idx="361">
                  <c:v>2.0400000000000001E-2</c:v>
                </c:pt>
                <c:pt idx="362">
                  <c:v>0.46200000000000002</c:v>
                </c:pt>
                <c:pt idx="363">
                  <c:v>0.42799999999999999</c:v>
                </c:pt>
                <c:pt idx="364">
                  <c:v>1.5100000000000001E-2</c:v>
                </c:pt>
                <c:pt idx="365">
                  <c:v>0.52400000000000002</c:v>
                </c:pt>
                <c:pt idx="366">
                  <c:v>6.8099999999999994E-2</c:v>
                </c:pt>
                <c:pt idx="367">
                  <c:v>9.1200000000000003E-2</c:v>
                </c:pt>
                <c:pt idx="368">
                  <c:v>0.77500000000000002</c:v>
                </c:pt>
                <c:pt idx="369">
                  <c:v>0.16700000000000001</c:v>
                </c:pt>
                <c:pt idx="370">
                  <c:v>0.47099999999999997</c:v>
                </c:pt>
                <c:pt idx="371">
                  <c:v>0.69699999999999995</c:v>
                </c:pt>
                <c:pt idx="372">
                  <c:v>0.183</c:v>
                </c:pt>
                <c:pt idx="373">
                  <c:v>0.316</c:v>
                </c:pt>
                <c:pt idx="374">
                  <c:v>3.3700000000000001E-2</c:v>
                </c:pt>
                <c:pt idx="375">
                  <c:v>0.629</c:v>
                </c:pt>
                <c:pt idx="376">
                  <c:v>7.7600000000000004E-3</c:v>
                </c:pt>
                <c:pt idx="377">
                  <c:v>9.8099999999999993E-3</c:v>
                </c:pt>
                <c:pt idx="378">
                  <c:v>0.191</c:v>
                </c:pt>
                <c:pt idx="379">
                  <c:v>6.3100000000000003E-2</c:v>
                </c:pt>
                <c:pt idx="380">
                  <c:v>0.61199999999999999</c:v>
                </c:pt>
                <c:pt idx="381">
                  <c:v>0.81399999999999995</c:v>
                </c:pt>
                <c:pt idx="382">
                  <c:v>0.123</c:v>
                </c:pt>
                <c:pt idx="383">
                  <c:v>0.40200000000000002</c:v>
                </c:pt>
                <c:pt idx="384">
                  <c:v>0.73299999999999998</c:v>
                </c:pt>
                <c:pt idx="385">
                  <c:v>0.94599999999999995</c:v>
                </c:pt>
                <c:pt idx="386">
                  <c:v>0.189</c:v>
                </c:pt>
                <c:pt idx="387">
                  <c:v>0.39200000000000002</c:v>
                </c:pt>
                <c:pt idx="388">
                  <c:v>0.59499999999999997</c:v>
                </c:pt>
                <c:pt idx="389">
                  <c:v>1.6899999999999998E-2</c:v>
                </c:pt>
                <c:pt idx="390">
                  <c:v>0.52400000000000002</c:v>
                </c:pt>
                <c:pt idx="391">
                  <c:v>0.13600000000000001</c:v>
                </c:pt>
                <c:pt idx="392">
                  <c:v>0.33300000000000002</c:v>
                </c:pt>
                <c:pt idx="393">
                  <c:v>0.313</c:v>
                </c:pt>
                <c:pt idx="394">
                  <c:v>0.185</c:v>
                </c:pt>
                <c:pt idx="395">
                  <c:v>0.223</c:v>
                </c:pt>
                <c:pt idx="396">
                  <c:v>4.6899999999999997E-2</c:v>
                </c:pt>
                <c:pt idx="397">
                  <c:v>2.2200000000000001E-2</c:v>
                </c:pt>
                <c:pt idx="398">
                  <c:v>0.53700000000000003</c:v>
                </c:pt>
                <c:pt idx="399">
                  <c:v>8.0699999999999994E-2</c:v>
                </c:pt>
                <c:pt idx="400">
                  <c:v>8.2500000000000004E-2</c:v>
                </c:pt>
                <c:pt idx="401">
                  <c:v>2.24E-2</c:v>
                </c:pt>
                <c:pt idx="402">
                  <c:v>0.127</c:v>
                </c:pt>
                <c:pt idx="403">
                  <c:v>9.7799999999999998E-2</c:v>
                </c:pt>
                <c:pt idx="404">
                  <c:v>5.9700000000000003E-2</c:v>
                </c:pt>
                <c:pt idx="405">
                  <c:v>3.1199999999999999E-2</c:v>
                </c:pt>
                <c:pt idx="406">
                  <c:v>1.03E-2</c:v>
                </c:pt>
                <c:pt idx="407">
                  <c:v>0.105</c:v>
                </c:pt>
                <c:pt idx="408">
                  <c:v>0.18</c:v>
                </c:pt>
                <c:pt idx="409">
                  <c:v>0.77700000000000002</c:v>
                </c:pt>
                <c:pt idx="410">
                  <c:v>0.57299999999999995</c:v>
                </c:pt>
                <c:pt idx="411">
                  <c:v>0.16700000000000001</c:v>
                </c:pt>
                <c:pt idx="412">
                  <c:v>0.61499999999999999</c:v>
                </c:pt>
                <c:pt idx="413">
                  <c:v>0.29299999999999998</c:v>
                </c:pt>
                <c:pt idx="414">
                  <c:v>2.47E-2</c:v>
                </c:pt>
                <c:pt idx="415">
                  <c:v>0.20699999999999999</c:v>
                </c:pt>
                <c:pt idx="416">
                  <c:v>0.23</c:v>
                </c:pt>
                <c:pt idx="417">
                  <c:v>6.7599999999999993E-2</c:v>
                </c:pt>
                <c:pt idx="418">
                  <c:v>5.1700000000000001E-3</c:v>
                </c:pt>
                <c:pt idx="419">
                  <c:v>0.217</c:v>
                </c:pt>
                <c:pt idx="420">
                  <c:v>2.1000000000000001E-2</c:v>
                </c:pt>
                <c:pt idx="421">
                  <c:v>0.28799999999999998</c:v>
                </c:pt>
                <c:pt idx="422">
                  <c:v>0.31</c:v>
                </c:pt>
                <c:pt idx="423">
                  <c:v>4.65E-2</c:v>
                </c:pt>
                <c:pt idx="424">
                  <c:v>0.83299999999999996</c:v>
                </c:pt>
                <c:pt idx="425">
                  <c:v>0.29699999999999999</c:v>
                </c:pt>
                <c:pt idx="426">
                  <c:v>1.03E-2</c:v>
                </c:pt>
                <c:pt idx="427">
                  <c:v>0.17599999999999999</c:v>
                </c:pt>
                <c:pt idx="428">
                  <c:v>0.23300000000000001</c:v>
                </c:pt>
                <c:pt idx="429">
                  <c:v>0.29599999999999999</c:v>
                </c:pt>
                <c:pt idx="430">
                  <c:v>0.67100000000000004</c:v>
                </c:pt>
                <c:pt idx="431">
                  <c:v>0.14299999999999999</c:v>
                </c:pt>
                <c:pt idx="432">
                  <c:v>0.36</c:v>
                </c:pt>
                <c:pt idx="433">
                  <c:v>2.2100000000000002E-2</c:v>
                </c:pt>
                <c:pt idx="434">
                  <c:v>0.25900000000000001</c:v>
                </c:pt>
                <c:pt idx="435">
                  <c:v>0.14899999999999999</c:v>
                </c:pt>
                <c:pt idx="436">
                  <c:v>0.124</c:v>
                </c:pt>
                <c:pt idx="437">
                  <c:v>2.6099999999999999E-3</c:v>
                </c:pt>
                <c:pt idx="438">
                  <c:v>5.3100000000000001E-2</c:v>
                </c:pt>
                <c:pt idx="439">
                  <c:v>0.88600000000000001</c:v>
                </c:pt>
                <c:pt idx="440">
                  <c:v>2.1899999999999999E-2</c:v>
                </c:pt>
                <c:pt idx="441">
                  <c:v>4.0399999999999998E-2</c:v>
                </c:pt>
                <c:pt idx="442">
                  <c:v>1.5100000000000001E-2</c:v>
                </c:pt>
                <c:pt idx="443">
                  <c:v>3.2599999999999997E-2</c:v>
                </c:pt>
                <c:pt idx="444">
                  <c:v>0.155</c:v>
                </c:pt>
                <c:pt idx="445">
                  <c:v>1.7000000000000001E-2</c:v>
                </c:pt>
                <c:pt idx="446">
                  <c:v>0.14599999999999999</c:v>
                </c:pt>
                <c:pt idx="447">
                  <c:v>4.2099999999999999E-2</c:v>
                </c:pt>
                <c:pt idx="448">
                  <c:v>0.39800000000000002</c:v>
                </c:pt>
                <c:pt idx="449">
                  <c:v>6.9400000000000003E-2</c:v>
                </c:pt>
                <c:pt idx="450">
                  <c:v>0.36899999999999999</c:v>
                </c:pt>
                <c:pt idx="451">
                  <c:v>0.43099999999999999</c:v>
                </c:pt>
                <c:pt idx="452">
                  <c:v>0.35399999999999998</c:v>
                </c:pt>
                <c:pt idx="453">
                  <c:v>1.72E-3</c:v>
                </c:pt>
                <c:pt idx="454">
                  <c:v>0.28799999999999998</c:v>
                </c:pt>
                <c:pt idx="455">
                  <c:v>0.157</c:v>
                </c:pt>
                <c:pt idx="456">
                  <c:v>1.8499999999999999E-2</c:v>
                </c:pt>
                <c:pt idx="457">
                  <c:v>0.17299999999999999</c:v>
                </c:pt>
                <c:pt idx="458">
                  <c:v>0.42199999999999999</c:v>
                </c:pt>
                <c:pt idx="459">
                  <c:v>8.8200000000000001E-2</c:v>
                </c:pt>
                <c:pt idx="460">
                  <c:v>0.45</c:v>
                </c:pt>
                <c:pt idx="461">
                  <c:v>4.1200000000000001E-2</c:v>
                </c:pt>
                <c:pt idx="462">
                  <c:v>0.45600000000000002</c:v>
                </c:pt>
                <c:pt idx="463">
                  <c:v>4.1300000000000003E-2</c:v>
                </c:pt>
                <c:pt idx="464">
                  <c:v>0.58499999999999996</c:v>
                </c:pt>
                <c:pt idx="465">
                  <c:v>9.2899999999999996E-3</c:v>
                </c:pt>
                <c:pt idx="466">
                  <c:v>1.5100000000000001E-2</c:v>
                </c:pt>
                <c:pt idx="467">
                  <c:v>3.9600000000000003E-2</c:v>
                </c:pt>
                <c:pt idx="468">
                  <c:v>2.0899999999999998E-2</c:v>
                </c:pt>
                <c:pt idx="469">
                  <c:v>0.23400000000000001</c:v>
                </c:pt>
                <c:pt idx="470">
                  <c:v>0.48699999999999999</c:v>
                </c:pt>
                <c:pt idx="471">
                  <c:v>0.32100000000000001</c:v>
                </c:pt>
                <c:pt idx="472">
                  <c:v>5.0900000000000001E-4</c:v>
                </c:pt>
                <c:pt idx="473">
                  <c:v>0.86899999999999999</c:v>
                </c:pt>
                <c:pt idx="474">
                  <c:v>8.1499999999999993E-3</c:v>
                </c:pt>
                <c:pt idx="475">
                  <c:v>7.4799999999999997E-3</c:v>
                </c:pt>
                <c:pt idx="476">
                  <c:v>5.0900000000000001E-4</c:v>
                </c:pt>
                <c:pt idx="477">
                  <c:v>0.29099999999999998</c:v>
                </c:pt>
                <c:pt idx="478">
                  <c:v>0.73699999999999999</c:v>
                </c:pt>
                <c:pt idx="479">
                  <c:v>4.1700000000000001E-2</c:v>
                </c:pt>
                <c:pt idx="480">
                  <c:v>4.17E-4</c:v>
                </c:pt>
                <c:pt idx="481">
                  <c:v>8.6099999999999996E-2</c:v>
                </c:pt>
                <c:pt idx="482">
                  <c:v>2.1000000000000001E-2</c:v>
                </c:pt>
                <c:pt idx="483">
                  <c:v>4.1300000000000003E-2</c:v>
                </c:pt>
                <c:pt idx="484">
                  <c:v>3.3399999999999999E-2</c:v>
                </c:pt>
                <c:pt idx="485">
                  <c:v>5.16E-2</c:v>
                </c:pt>
                <c:pt idx="486">
                  <c:v>0.45600000000000002</c:v>
                </c:pt>
                <c:pt idx="487">
                  <c:v>3.6299999999999999E-2</c:v>
                </c:pt>
                <c:pt idx="488">
                  <c:v>1.7999999999999999E-2</c:v>
                </c:pt>
                <c:pt idx="489">
                  <c:v>0.10100000000000001</c:v>
                </c:pt>
                <c:pt idx="490">
                  <c:v>0.89400000000000002</c:v>
                </c:pt>
                <c:pt idx="491">
                  <c:v>0.3</c:v>
                </c:pt>
                <c:pt idx="492">
                  <c:v>0.60099999999999998</c:v>
                </c:pt>
                <c:pt idx="493">
                  <c:v>0.16900000000000001</c:v>
                </c:pt>
                <c:pt idx="494">
                  <c:v>2.29E-2</c:v>
                </c:pt>
                <c:pt idx="495">
                  <c:v>7.8200000000000006E-3</c:v>
                </c:pt>
                <c:pt idx="496">
                  <c:v>0.13500000000000001</c:v>
                </c:pt>
                <c:pt idx="497">
                  <c:v>3.1800000000000002E-2</c:v>
                </c:pt>
                <c:pt idx="498">
                  <c:v>8.1800000000000004E-4</c:v>
                </c:pt>
                <c:pt idx="499">
                  <c:v>8.5300000000000001E-2</c:v>
                </c:pt>
                <c:pt idx="500">
                  <c:v>2.55E-5</c:v>
                </c:pt>
                <c:pt idx="501">
                  <c:v>2.1000000000000001E-4</c:v>
                </c:pt>
                <c:pt idx="502">
                  <c:v>4.0599999999999997E-2</c:v>
                </c:pt>
                <c:pt idx="503">
                  <c:v>9.8100000000000007E-2</c:v>
                </c:pt>
                <c:pt idx="504">
                  <c:v>0.435</c:v>
                </c:pt>
                <c:pt idx="505">
                  <c:v>0.105</c:v>
                </c:pt>
                <c:pt idx="506">
                  <c:v>0.42</c:v>
                </c:pt>
                <c:pt idx="507">
                  <c:v>0.63400000000000001</c:v>
                </c:pt>
                <c:pt idx="508">
                  <c:v>0.17599999999999999</c:v>
                </c:pt>
                <c:pt idx="509">
                  <c:v>0.48299999999999998</c:v>
                </c:pt>
                <c:pt idx="510">
                  <c:v>0.158</c:v>
                </c:pt>
                <c:pt idx="511">
                  <c:v>0.13200000000000001</c:v>
                </c:pt>
                <c:pt idx="512">
                  <c:v>0.11799999999999999</c:v>
                </c:pt>
                <c:pt idx="513">
                  <c:v>0.14799999999999999</c:v>
                </c:pt>
                <c:pt idx="514">
                  <c:v>0.151</c:v>
                </c:pt>
                <c:pt idx="515">
                  <c:v>0.28899999999999998</c:v>
                </c:pt>
                <c:pt idx="516">
                  <c:v>0.25</c:v>
                </c:pt>
                <c:pt idx="517">
                  <c:v>0.66300000000000003</c:v>
                </c:pt>
                <c:pt idx="518">
                  <c:v>9.0700000000000003E-2</c:v>
                </c:pt>
                <c:pt idx="519">
                  <c:v>0.105</c:v>
                </c:pt>
                <c:pt idx="520">
                  <c:v>2.75E-2</c:v>
                </c:pt>
                <c:pt idx="521">
                  <c:v>2.0100000000000001E-3</c:v>
                </c:pt>
                <c:pt idx="522">
                  <c:v>0.30499999999999999</c:v>
                </c:pt>
                <c:pt idx="523">
                  <c:v>7.4300000000000005E-2</c:v>
                </c:pt>
                <c:pt idx="524">
                  <c:v>1.1299999999999999E-2</c:v>
                </c:pt>
                <c:pt idx="525">
                  <c:v>0.11</c:v>
                </c:pt>
                <c:pt idx="526">
                  <c:v>0.27800000000000002</c:v>
                </c:pt>
                <c:pt idx="527">
                  <c:v>0.114</c:v>
                </c:pt>
                <c:pt idx="528">
                  <c:v>2.3599999999999999E-2</c:v>
                </c:pt>
                <c:pt idx="529">
                  <c:v>0.3</c:v>
                </c:pt>
                <c:pt idx="530">
                  <c:v>0.28000000000000003</c:v>
                </c:pt>
                <c:pt idx="531">
                  <c:v>0.154</c:v>
                </c:pt>
                <c:pt idx="532">
                  <c:v>0.77800000000000002</c:v>
                </c:pt>
                <c:pt idx="533">
                  <c:v>0.115</c:v>
                </c:pt>
                <c:pt idx="534">
                  <c:v>3.3000000000000002E-2</c:v>
                </c:pt>
                <c:pt idx="535">
                  <c:v>0.749</c:v>
                </c:pt>
                <c:pt idx="536">
                  <c:v>0.89300000000000002</c:v>
                </c:pt>
                <c:pt idx="537">
                  <c:v>8.4599999999999995E-2</c:v>
                </c:pt>
                <c:pt idx="538">
                  <c:v>0.47099999999999997</c:v>
                </c:pt>
                <c:pt idx="539">
                  <c:v>8.1600000000000006E-2</c:v>
                </c:pt>
                <c:pt idx="540">
                  <c:v>1.37E-2</c:v>
                </c:pt>
                <c:pt idx="541">
                  <c:v>0.40600000000000003</c:v>
                </c:pt>
                <c:pt idx="542">
                  <c:v>0.26900000000000002</c:v>
                </c:pt>
                <c:pt idx="543">
                  <c:v>0.23899999999999999</c:v>
                </c:pt>
                <c:pt idx="544">
                  <c:v>0.17799999999999999</c:v>
                </c:pt>
                <c:pt idx="545">
                  <c:v>0.14499999999999999</c:v>
                </c:pt>
                <c:pt idx="546">
                  <c:v>1.6100000000000001E-3</c:v>
                </c:pt>
                <c:pt idx="547">
                  <c:v>0.223</c:v>
                </c:pt>
                <c:pt idx="548">
                  <c:v>0.55500000000000005</c:v>
                </c:pt>
                <c:pt idx="549">
                  <c:v>0.53600000000000003</c:v>
                </c:pt>
                <c:pt idx="550">
                  <c:v>8.3899999999999999E-3</c:v>
                </c:pt>
                <c:pt idx="551">
                  <c:v>0.126</c:v>
                </c:pt>
                <c:pt idx="552">
                  <c:v>1.2800000000000001E-2</c:v>
                </c:pt>
                <c:pt idx="553">
                  <c:v>0.122</c:v>
                </c:pt>
                <c:pt idx="554">
                  <c:v>0.505</c:v>
                </c:pt>
                <c:pt idx="555">
                  <c:v>4.8399999999999999E-2</c:v>
                </c:pt>
                <c:pt idx="556">
                  <c:v>6.1699999999999998E-2</c:v>
                </c:pt>
                <c:pt idx="557">
                  <c:v>1.9599999999999999E-3</c:v>
                </c:pt>
                <c:pt idx="558">
                  <c:v>0.114</c:v>
                </c:pt>
                <c:pt idx="559">
                  <c:v>5.8100000000000001E-3</c:v>
                </c:pt>
                <c:pt idx="560">
                  <c:v>2.15E-3</c:v>
                </c:pt>
                <c:pt idx="561">
                  <c:v>6.25E-2</c:v>
                </c:pt>
                <c:pt idx="562">
                  <c:v>1.0500000000000001E-2</c:v>
                </c:pt>
                <c:pt idx="563">
                  <c:v>0.42799999999999999</c:v>
                </c:pt>
                <c:pt idx="564">
                  <c:v>0.33300000000000002</c:v>
                </c:pt>
                <c:pt idx="565">
                  <c:v>0.42399999999999999</c:v>
                </c:pt>
                <c:pt idx="566">
                  <c:v>5.2499999999999998E-2</c:v>
                </c:pt>
                <c:pt idx="567">
                  <c:v>0.10299999999999999</c:v>
                </c:pt>
                <c:pt idx="568">
                  <c:v>5.8999999999999997E-2</c:v>
                </c:pt>
                <c:pt idx="569">
                  <c:v>3.8300000000000001E-2</c:v>
                </c:pt>
                <c:pt idx="570">
                  <c:v>0.43</c:v>
                </c:pt>
                <c:pt idx="571">
                  <c:v>1.15E-3</c:v>
                </c:pt>
                <c:pt idx="572">
                  <c:v>0.65900000000000003</c:v>
                </c:pt>
                <c:pt idx="573">
                  <c:v>4.4200000000000003E-2</c:v>
                </c:pt>
                <c:pt idx="574">
                  <c:v>0.39</c:v>
                </c:pt>
                <c:pt idx="575">
                  <c:v>6.2899999999999998E-2</c:v>
                </c:pt>
                <c:pt idx="576">
                  <c:v>0.11</c:v>
                </c:pt>
                <c:pt idx="577">
                  <c:v>0.19500000000000001</c:v>
                </c:pt>
                <c:pt idx="578">
                  <c:v>0.17299999999999999</c:v>
                </c:pt>
                <c:pt idx="579">
                  <c:v>0.44700000000000001</c:v>
                </c:pt>
                <c:pt idx="580">
                  <c:v>5.8099999999999999E-2</c:v>
                </c:pt>
                <c:pt idx="581">
                  <c:v>0.59099999999999997</c:v>
                </c:pt>
                <c:pt idx="582">
                  <c:v>0.39700000000000002</c:v>
                </c:pt>
                <c:pt idx="583">
                  <c:v>9.0200000000000002E-2</c:v>
                </c:pt>
                <c:pt idx="584">
                  <c:v>0.23499999999999999</c:v>
                </c:pt>
                <c:pt idx="585">
                  <c:v>0.16</c:v>
                </c:pt>
                <c:pt idx="586">
                  <c:v>0.193</c:v>
                </c:pt>
                <c:pt idx="587">
                  <c:v>6.08E-2</c:v>
                </c:pt>
                <c:pt idx="588">
                  <c:v>0.373</c:v>
                </c:pt>
                <c:pt idx="589">
                  <c:v>1.49E-2</c:v>
                </c:pt>
                <c:pt idx="590">
                  <c:v>0.46400000000000002</c:v>
                </c:pt>
                <c:pt idx="591">
                  <c:v>0.217</c:v>
                </c:pt>
                <c:pt idx="592">
                  <c:v>4.0200000000000001E-3</c:v>
                </c:pt>
                <c:pt idx="593">
                  <c:v>0.32300000000000001</c:v>
                </c:pt>
                <c:pt idx="594">
                  <c:v>0.81899999999999995</c:v>
                </c:pt>
                <c:pt idx="595">
                  <c:v>0.13500000000000001</c:v>
                </c:pt>
                <c:pt idx="596">
                  <c:v>0.14299999999999999</c:v>
                </c:pt>
                <c:pt idx="597">
                  <c:v>5.1799999999999999E-2</c:v>
                </c:pt>
                <c:pt idx="598">
                  <c:v>0.17199999999999999</c:v>
                </c:pt>
                <c:pt idx="599">
                  <c:v>5.3800000000000001E-2</c:v>
                </c:pt>
                <c:pt idx="600">
                  <c:v>0.114</c:v>
                </c:pt>
                <c:pt idx="601">
                  <c:v>4.2000000000000003E-2</c:v>
                </c:pt>
                <c:pt idx="602">
                  <c:v>0.8</c:v>
                </c:pt>
                <c:pt idx="603">
                  <c:v>0.61699999999999999</c:v>
                </c:pt>
                <c:pt idx="604">
                  <c:v>5.5E-2</c:v>
                </c:pt>
                <c:pt idx="605">
                  <c:v>0.53800000000000003</c:v>
                </c:pt>
                <c:pt idx="606">
                  <c:v>0.121</c:v>
                </c:pt>
                <c:pt idx="607">
                  <c:v>3.1300000000000001E-2</c:v>
                </c:pt>
                <c:pt idx="608">
                  <c:v>9.4699999999999993E-3</c:v>
                </c:pt>
                <c:pt idx="609">
                  <c:v>0.40600000000000003</c:v>
                </c:pt>
                <c:pt idx="610">
                  <c:v>0.14499999999999999</c:v>
                </c:pt>
                <c:pt idx="611">
                  <c:v>0.108</c:v>
                </c:pt>
                <c:pt idx="612">
                  <c:v>0.52400000000000002</c:v>
                </c:pt>
                <c:pt idx="613">
                  <c:v>0.32300000000000001</c:v>
                </c:pt>
                <c:pt idx="614">
                  <c:v>0.47399999999999998</c:v>
                </c:pt>
                <c:pt idx="615">
                  <c:v>0.153</c:v>
                </c:pt>
                <c:pt idx="616">
                  <c:v>5.0899999999999999E-3</c:v>
                </c:pt>
                <c:pt idx="617">
                  <c:v>0.47399999999999998</c:v>
                </c:pt>
                <c:pt idx="618">
                  <c:v>0.379</c:v>
                </c:pt>
                <c:pt idx="619">
                  <c:v>0.314</c:v>
                </c:pt>
                <c:pt idx="620">
                  <c:v>3.0599999999999998E-3</c:v>
                </c:pt>
                <c:pt idx="621">
                  <c:v>0.56499999999999995</c:v>
                </c:pt>
                <c:pt idx="622">
                  <c:v>1.32E-2</c:v>
                </c:pt>
                <c:pt idx="623">
                  <c:v>0.38900000000000001</c:v>
                </c:pt>
                <c:pt idx="624">
                  <c:v>3.2599999999999997E-2</c:v>
                </c:pt>
                <c:pt idx="625">
                  <c:v>3.96E-3</c:v>
                </c:pt>
                <c:pt idx="626">
                  <c:v>0.23499999999999999</c:v>
                </c:pt>
                <c:pt idx="627">
                  <c:v>0.27100000000000002</c:v>
                </c:pt>
                <c:pt idx="628">
                  <c:v>0.05</c:v>
                </c:pt>
                <c:pt idx="629">
                  <c:v>0.32200000000000001</c:v>
                </c:pt>
                <c:pt idx="630">
                  <c:v>0.24</c:v>
                </c:pt>
                <c:pt idx="631">
                  <c:v>6.6299999999999998E-2</c:v>
                </c:pt>
                <c:pt idx="632">
                  <c:v>0.311</c:v>
                </c:pt>
                <c:pt idx="633">
                  <c:v>0.28299999999999997</c:v>
                </c:pt>
                <c:pt idx="634">
                  <c:v>0.374</c:v>
                </c:pt>
                <c:pt idx="635">
                  <c:v>0.24199999999999999</c:v>
                </c:pt>
                <c:pt idx="636">
                  <c:v>0.152</c:v>
                </c:pt>
                <c:pt idx="637">
                  <c:v>0.59</c:v>
                </c:pt>
                <c:pt idx="638">
                  <c:v>1.01E-3</c:v>
                </c:pt>
                <c:pt idx="639">
                  <c:v>0.123</c:v>
                </c:pt>
                <c:pt idx="640">
                  <c:v>2.4899999999999999E-2</c:v>
                </c:pt>
                <c:pt idx="641">
                  <c:v>0.85299999999999998</c:v>
                </c:pt>
                <c:pt idx="642">
                  <c:v>3.0099999999999998E-2</c:v>
                </c:pt>
                <c:pt idx="643">
                  <c:v>9.06E-2</c:v>
                </c:pt>
                <c:pt idx="644">
                  <c:v>0.151</c:v>
                </c:pt>
                <c:pt idx="645">
                  <c:v>0.34499999999999997</c:v>
                </c:pt>
                <c:pt idx="646">
                  <c:v>0.224</c:v>
                </c:pt>
                <c:pt idx="647">
                  <c:v>1.6500000000000001E-2</c:v>
                </c:pt>
                <c:pt idx="648">
                  <c:v>0.113</c:v>
                </c:pt>
                <c:pt idx="649">
                  <c:v>8.6800000000000002E-3</c:v>
                </c:pt>
                <c:pt idx="650">
                  <c:v>0.36099999999999999</c:v>
                </c:pt>
                <c:pt idx="651">
                  <c:v>0.28299999999999997</c:v>
                </c:pt>
                <c:pt idx="652">
                  <c:v>0.123</c:v>
                </c:pt>
                <c:pt idx="653">
                  <c:v>0.439</c:v>
                </c:pt>
                <c:pt idx="654">
                  <c:v>8.8599999999999998E-3</c:v>
                </c:pt>
                <c:pt idx="655">
                  <c:v>0.186</c:v>
                </c:pt>
                <c:pt idx="656">
                  <c:v>0.92</c:v>
                </c:pt>
                <c:pt idx="657">
                  <c:v>0.39</c:v>
                </c:pt>
                <c:pt idx="658">
                  <c:v>0.23100000000000001</c:v>
                </c:pt>
                <c:pt idx="659">
                  <c:v>0.31</c:v>
                </c:pt>
                <c:pt idx="660">
                  <c:v>0.3</c:v>
                </c:pt>
                <c:pt idx="661">
                  <c:v>0.61499999999999999</c:v>
                </c:pt>
                <c:pt idx="662">
                  <c:v>0.92</c:v>
                </c:pt>
                <c:pt idx="663">
                  <c:v>0.58199999999999996</c:v>
                </c:pt>
                <c:pt idx="664">
                  <c:v>0.17599999999999999</c:v>
                </c:pt>
                <c:pt idx="665">
                  <c:v>5.5900000000000004E-3</c:v>
                </c:pt>
                <c:pt idx="666">
                  <c:v>1.7000000000000001E-2</c:v>
                </c:pt>
                <c:pt idx="667">
                  <c:v>0.36499999999999999</c:v>
                </c:pt>
                <c:pt idx="668">
                  <c:v>0.115</c:v>
                </c:pt>
                <c:pt idx="669">
                  <c:v>0.192</c:v>
                </c:pt>
                <c:pt idx="670">
                  <c:v>9.69E-2</c:v>
                </c:pt>
                <c:pt idx="671">
                  <c:v>0.34399999999999997</c:v>
                </c:pt>
                <c:pt idx="672">
                  <c:v>0.60299999999999998</c:v>
                </c:pt>
                <c:pt idx="673">
                  <c:v>7.0300000000000001E-2</c:v>
                </c:pt>
                <c:pt idx="674">
                  <c:v>0.58699999999999997</c:v>
                </c:pt>
                <c:pt idx="675">
                  <c:v>0.23699999999999999</c:v>
                </c:pt>
                <c:pt idx="676">
                  <c:v>0.75700000000000001</c:v>
                </c:pt>
                <c:pt idx="677">
                  <c:v>8.1100000000000005E-2</c:v>
                </c:pt>
                <c:pt idx="678">
                  <c:v>2.52E-2</c:v>
                </c:pt>
                <c:pt idx="679">
                  <c:v>0.11</c:v>
                </c:pt>
                <c:pt idx="680">
                  <c:v>0.14299999999999999</c:v>
                </c:pt>
                <c:pt idx="681">
                  <c:v>0.14399999999999999</c:v>
                </c:pt>
                <c:pt idx="682">
                  <c:v>7.9500000000000005E-3</c:v>
                </c:pt>
                <c:pt idx="683">
                  <c:v>0.44900000000000001</c:v>
                </c:pt>
                <c:pt idx="684">
                  <c:v>3.9199999999999999E-2</c:v>
                </c:pt>
                <c:pt idx="685">
                  <c:v>0.91700000000000004</c:v>
                </c:pt>
                <c:pt idx="686">
                  <c:v>0.32900000000000001</c:v>
                </c:pt>
                <c:pt idx="687">
                  <c:v>0.113</c:v>
                </c:pt>
                <c:pt idx="688">
                  <c:v>2.06E-2</c:v>
                </c:pt>
                <c:pt idx="689">
                  <c:v>0.63400000000000001</c:v>
                </c:pt>
                <c:pt idx="690">
                  <c:v>5.11E-2</c:v>
                </c:pt>
                <c:pt idx="691">
                  <c:v>0.28799999999999998</c:v>
                </c:pt>
                <c:pt idx="692">
                  <c:v>0.84899999999999998</c:v>
                </c:pt>
                <c:pt idx="693">
                  <c:v>1.7399999999999999E-2</c:v>
                </c:pt>
                <c:pt idx="694">
                  <c:v>6.54E-2</c:v>
                </c:pt>
                <c:pt idx="695">
                  <c:v>0.60399999999999998</c:v>
                </c:pt>
                <c:pt idx="696">
                  <c:v>0.16200000000000001</c:v>
                </c:pt>
                <c:pt idx="697">
                  <c:v>2.7699999999999999E-2</c:v>
                </c:pt>
                <c:pt idx="698">
                  <c:v>0.23200000000000001</c:v>
                </c:pt>
                <c:pt idx="699">
                  <c:v>5.5799999999999999E-3</c:v>
                </c:pt>
                <c:pt idx="700">
                  <c:v>0.185</c:v>
                </c:pt>
                <c:pt idx="701">
                  <c:v>0.126</c:v>
                </c:pt>
                <c:pt idx="702">
                  <c:v>0.39100000000000001</c:v>
                </c:pt>
                <c:pt idx="703">
                  <c:v>4.0800000000000003E-2</c:v>
                </c:pt>
                <c:pt idx="704">
                  <c:v>0.48199999999999998</c:v>
                </c:pt>
                <c:pt idx="705">
                  <c:v>0.151</c:v>
                </c:pt>
                <c:pt idx="706">
                  <c:v>0.112</c:v>
                </c:pt>
                <c:pt idx="707">
                  <c:v>0.46200000000000002</c:v>
                </c:pt>
                <c:pt idx="708">
                  <c:v>0.21199999999999999</c:v>
                </c:pt>
                <c:pt idx="709">
                  <c:v>4.7099999999999998E-3</c:v>
                </c:pt>
                <c:pt idx="710">
                  <c:v>0.28599999999999998</c:v>
                </c:pt>
                <c:pt idx="711">
                  <c:v>0.73699999999999999</c:v>
                </c:pt>
                <c:pt idx="712">
                  <c:v>0.25900000000000001</c:v>
                </c:pt>
                <c:pt idx="713">
                  <c:v>1.3599999999999999E-2</c:v>
                </c:pt>
                <c:pt idx="714">
                  <c:v>0.19900000000000001</c:v>
                </c:pt>
                <c:pt idx="715">
                  <c:v>0.13300000000000001</c:v>
                </c:pt>
                <c:pt idx="716">
                  <c:v>0.193</c:v>
                </c:pt>
                <c:pt idx="717">
                  <c:v>0.55100000000000005</c:v>
                </c:pt>
                <c:pt idx="718">
                  <c:v>0.108</c:v>
                </c:pt>
                <c:pt idx="719">
                  <c:v>0.19900000000000001</c:v>
                </c:pt>
                <c:pt idx="720">
                  <c:v>0.14599999999999999</c:v>
                </c:pt>
                <c:pt idx="721">
                  <c:v>0.44700000000000001</c:v>
                </c:pt>
                <c:pt idx="722">
                  <c:v>0.33700000000000002</c:v>
                </c:pt>
                <c:pt idx="723">
                  <c:v>0.253</c:v>
                </c:pt>
                <c:pt idx="724">
                  <c:v>0.39800000000000002</c:v>
                </c:pt>
                <c:pt idx="725">
                  <c:v>0.34200000000000003</c:v>
                </c:pt>
                <c:pt idx="726">
                  <c:v>6.1400000000000003E-2</c:v>
                </c:pt>
                <c:pt idx="727">
                  <c:v>6.7099999999999998E-3</c:v>
                </c:pt>
                <c:pt idx="728">
                  <c:v>7.1099999999999997E-2</c:v>
                </c:pt>
                <c:pt idx="729">
                  <c:v>5.3100000000000001E-2</c:v>
                </c:pt>
                <c:pt idx="730">
                  <c:v>0.19400000000000001</c:v>
                </c:pt>
                <c:pt idx="731">
                  <c:v>4.7199999999999999E-2</c:v>
                </c:pt>
                <c:pt idx="732">
                  <c:v>0.26700000000000002</c:v>
                </c:pt>
                <c:pt idx="733">
                  <c:v>8.4000000000000005E-2</c:v>
                </c:pt>
                <c:pt idx="734">
                  <c:v>0.27500000000000002</c:v>
                </c:pt>
                <c:pt idx="735">
                  <c:v>0.27300000000000002</c:v>
                </c:pt>
                <c:pt idx="736">
                  <c:v>0.26800000000000002</c:v>
                </c:pt>
                <c:pt idx="737">
                  <c:v>9.0200000000000002E-2</c:v>
                </c:pt>
                <c:pt idx="738">
                  <c:v>6.2300000000000001E-2</c:v>
                </c:pt>
                <c:pt idx="739">
                  <c:v>0.34899999999999998</c:v>
                </c:pt>
                <c:pt idx="740">
                  <c:v>0.56000000000000005</c:v>
                </c:pt>
                <c:pt idx="741">
                  <c:v>1.35E-2</c:v>
                </c:pt>
                <c:pt idx="742">
                  <c:v>0.121</c:v>
                </c:pt>
                <c:pt idx="743">
                  <c:v>9.4700000000000006E-2</c:v>
                </c:pt>
                <c:pt idx="744">
                  <c:v>4.5100000000000001E-2</c:v>
                </c:pt>
                <c:pt idx="745">
                  <c:v>5.8399999999999997E-3</c:v>
                </c:pt>
                <c:pt idx="746">
                  <c:v>0.13</c:v>
                </c:pt>
                <c:pt idx="747">
                  <c:v>4.3999999999999997E-2</c:v>
                </c:pt>
                <c:pt idx="748">
                  <c:v>4.5999999999999999E-2</c:v>
                </c:pt>
                <c:pt idx="749">
                  <c:v>2.5699999999999998E-3</c:v>
                </c:pt>
                <c:pt idx="750">
                  <c:v>0.877</c:v>
                </c:pt>
                <c:pt idx="751">
                  <c:v>3.6600000000000001E-2</c:v>
                </c:pt>
                <c:pt idx="752">
                  <c:v>0.50600000000000001</c:v>
                </c:pt>
                <c:pt idx="753">
                  <c:v>0.23</c:v>
                </c:pt>
                <c:pt idx="754">
                  <c:v>2.1900000000000001E-4</c:v>
                </c:pt>
                <c:pt idx="755">
                  <c:v>0.185</c:v>
                </c:pt>
                <c:pt idx="756">
                  <c:v>0.24199999999999999</c:v>
                </c:pt>
                <c:pt idx="757">
                  <c:v>4.9299999999999997E-2</c:v>
                </c:pt>
                <c:pt idx="758">
                  <c:v>0.19500000000000001</c:v>
                </c:pt>
                <c:pt idx="759">
                  <c:v>0.48399999999999999</c:v>
                </c:pt>
                <c:pt idx="760">
                  <c:v>0.105</c:v>
                </c:pt>
                <c:pt idx="761">
                  <c:v>4.5999999999999999E-2</c:v>
                </c:pt>
                <c:pt idx="762">
                  <c:v>5.7600000000000004E-3</c:v>
                </c:pt>
                <c:pt idx="763">
                  <c:v>7.3899999999999993E-2</c:v>
                </c:pt>
                <c:pt idx="764">
                  <c:v>8.8900000000000007E-2</c:v>
                </c:pt>
                <c:pt idx="765">
                  <c:v>2.58E-2</c:v>
                </c:pt>
                <c:pt idx="766">
                  <c:v>0.24199999999999999</c:v>
                </c:pt>
                <c:pt idx="767">
                  <c:v>0.56000000000000005</c:v>
                </c:pt>
                <c:pt idx="768">
                  <c:v>0.41699999999999998</c:v>
                </c:pt>
                <c:pt idx="769">
                  <c:v>0.23899999999999999</c:v>
                </c:pt>
                <c:pt idx="770">
                  <c:v>0.218</c:v>
                </c:pt>
                <c:pt idx="771">
                  <c:v>0.13900000000000001</c:v>
                </c:pt>
                <c:pt idx="772">
                  <c:v>0.155</c:v>
                </c:pt>
                <c:pt idx="773">
                  <c:v>0.183</c:v>
                </c:pt>
                <c:pt idx="774">
                  <c:v>6.3100000000000003E-2</c:v>
                </c:pt>
                <c:pt idx="775">
                  <c:v>0.316</c:v>
                </c:pt>
                <c:pt idx="776">
                  <c:v>5.16E-2</c:v>
                </c:pt>
                <c:pt idx="777">
                  <c:v>7.9399999999999998E-2</c:v>
                </c:pt>
                <c:pt idx="778">
                  <c:v>0.46</c:v>
                </c:pt>
                <c:pt idx="779">
                  <c:v>7.7100000000000002E-2</c:v>
                </c:pt>
                <c:pt idx="780">
                  <c:v>0.22900000000000001</c:v>
                </c:pt>
                <c:pt idx="781">
                  <c:v>2.3599999999999999E-2</c:v>
                </c:pt>
                <c:pt idx="782">
                  <c:v>5.9700000000000003E-2</c:v>
                </c:pt>
                <c:pt idx="783">
                  <c:v>1.2999999999999999E-2</c:v>
                </c:pt>
                <c:pt idx="784">
                  <c:v>0.26</c:v>
                </c:pt>
                <c:pt idx="785">
                  <c:v>1.6E-2</c:v>
                </c:pt>
                <c:pt idx="786">
                  <c:v>5.6499999999999996E-3</c:v>
                </c:pt>
                <c:pt idx="787">
                  <c:v>0.28899999999999998</c:v>
                </c:pt>
                <c:pt idx="788">
                  <c:v>0.496</c:v>
                </c:pt>
                <c:pt idx="789">
                  <c:v>0.18</c:v>
                </c:pt>
                <c:pt idx="790">
                  <c:v>8.9200000000000002E-2</c:v>
                </c:pt>
                <c:pt idx="791">
                  <c:v>5.11E-2</c:v>
                </c:pt>
                <c:pt idx="792">
                  <c:v>0.25600000000000001</c:v>
                </c:pt>
                <c:pt idx="793">
                  <c:v>0.33400000000000002</c:v>
                </c:pt>
                <c:pt idx="794">
                  <c:v>0.45100000000000001</c:v>
                </c:pt>
                <c:pt idx="795">
                  <c:v>4.3299999999999998E-2</c:v>
                </c:pt>
                <c:pt idx="796">
                  <c:v>3.9399999999999998E-2</c:v>
                </c:pt>
                <c:pt idx="797">
                  <c:v>8.0199999999999994E-2</c:v>
                </c:pt>
                <c:pt idx="798">
                  <c:v>6.6799999999999998E-2</c:v>
                </c:pt>
                <c:pt idx="799">
                  <c:v>0.22500000000000001</c:v>
                </c:pt>
                <c:pt idx="800">
                  <c:v>1.04E-2</c:v>
                </c:pt>
                <c:pt idx="801">
                  <c:v>3.3E-3</c:v>
                </c:pt>
                <c:pt idx="802">
                  <c:v>1.24E-3</c:v>
                </c:pt>
                <c:pt idx="803">
                  <c:v>0.77300000000000002</c:v>
                </c:pt>
                <c:pt idx="804">
                  <c:v>4.8799999999999998E-3</c:v>
                </c:pt>
                <c:pt idx="805">
                  <c:v>1.43E-2</c:v>
                </c:pt>
                <c:pt idx="806">
                  <c:v>2.5400000000000002E-3</c:v>
                </c:pt>
                <c:pt idx="807">
                  <c:v>0.53800000000000003</c:v>
                </c:pt>
                <c:pt idx="808">
                  <c:v>5.6399999999999999E-2</c:v>
                </c:pt>
                <c:pt idx="809">
                  <c:v>0.127</c:v>
                </c:pt>
                <c:pt idx="810">
                  <c:v>0.70299999999999996</c:v>
                </c:pt>
                <c:pt idx="811">
                  <c:v>0.36599999999999999</c:v>
                </c:pt>
                <c:pt idx="812">
                  <c:v>0.51400000000000001</c:v>
                </c:pt>
                <c:pt idx="813">
                  <c:v>4.7800000000000002E-2</c:v>
                </c:pt>
                <c:pt idx="814">
                  <c:v>3.2500000000000001E-2</c:v>
                </c:pt>
                <c:pt idx="815">
                  <c:v>0.80600000000000005</c:v>
                </c:pt>
                <c:pt idx="816">
                  <c:v>3.0500000000000002E-3</c:v>
                </c:pt>
                <c:pt idx="817">
                  <c:v>0.70299999999999996</c:v>
                </c:pt>
                <c:pt idx="818">
                  <c:v>8.3800000000000003E-3</c:v>
                </c:pt>
                <c:pt idx="819">
                  <c:v>0.68300000000000005</c:v>
                </c:pt>
                <c:pt idx="820">
                  <c:v>0.17499999999999999</c:v>
                </c:pt>
                <c:pt idx="821">
                  <c:v>0.22</c:v>
                </c:pt>
                <c:pt idx="822">
                  <c:v>0.317</c:v>
                </c:pt>
                <c:pt idx="823">
                  <c:v>0.45400000000000001</c:v>
                </c:pt>
                <c:pt idx="824">
                  <c:v>0.309</c:v>
                </c:pt>
                <c:pt idx="825">
                  <c:v>0.30599999999999999</c:v>
                </c:pt>
                <c:pt idx="826">
                  <c:v>4.5100000000000001E-2</c:v>
                </c:pt>
                <c:pt idx="827">
                  <c:v>0.33100000000000002</c:v>
                </c:pt>
                <c:pt idx="828">
                  <c:v>0.11700000000000001</c:v>
                </c:pt>
                <c:pt idx="829">
                  <c:v>4.07E-2</c:v>
                </c:pt>
                <c:pt idx="830">
                  <c:v>0.26100000000000001</c:v>
                </c:pt>
                <c:pt idx="831">
                  <c:v>6.2E-2</c:v>
                </c:pt>
                <c:pt idx="832">
                  <c:v>0.32200000000000001</c:v>
                </c:pt>
                <c:pt idx="833">
                  <c:v>0.64</c:v>
                </c:pt>
                <c:pt idx="834">
                  <c:v>0.114</c:v>
                </c:pt>
                <c:pt idx="835">
                  <c:v>5.9299999999999999E-2</c:v>
                </c:pt>
                <c:pt idx="836">
                  <c:v>0.44800000000000001</c:v>
                </c:pt>
                <c:pt idx="837">
                  <c:v>7.5899999999999995E-2</c:v>
                </c:pt>
                <c:pt idx="838">
                  <c:v>2.8199999999999999E-2</c:v>
                </c:pt>
                <c:pt idx="839">
                  <c:v>0.29099999999999998</c:v>
                </c:pt>
                <c:pt idx="840">
                  <c:v>2.47E-2</c:v>
                </c:pt>
                <c:pt idx="841">
                  <c:v>0.17</c:v>
                </c:pt>
                <c:pt idx="842">
                  <c:v>0.81699999999999995</c:v>
                </c:pt>
                <c:pt idx="843">
                  <c:v>4.7500000000000001E-2</c:v>
                </c:pt>
                <c:pt idx="844">
                  <c:v>0.36599999999999999</c:v>
                </c:pt>
                <c:pt idx="845">
                  <c:v>8.2400000000000008E-3</c:v>
                </c:pt>
                <c:pt idx="846">
                  <c:v>0.127</c:v>
                </c:pt>
                <c:pt idx="847">
                  <c:v>0.41199999999999998</c:v>
                </c:pt>
                <c:pt idx="848">
                  <c:v>0.55400000000000005</c:v>
                </c:pt>
                <c:pt idx="849">
                  <c:v>0.252</c:v>
                </c:pt>
                <c:pt idx="850">
                  <c:v>0.11700000000000001</c:v>
                </c:pt>
                <c:pt idx="851">
                  <c:v>3.3000000000000002E-2</c:v>
                </c:pt>
                <c:pt idx="852">
                  <c:v>5.5899999999999998E-2</c:v>
                </c:pt>
                <c:pt idx="853">
                  <c:v>0.11899999999999999</c:v>
                </c:pt>
                <c:pt idx="854">
                  <c:v>0.41499999999999998</c:v>
                </c:pt>
                <c:pt idx="855">
                  <c:v>1.6E-2</c:v>
                </c:pt>
                <c:pt idx="856">
                  <c:v>0.32</c:v>
                </c:pt>
                <c:pt idx="857">
                  <c:v>8.14E-2</c:v>
                </c:pt>
                <c:pt idx="858">
                  <c:v>0.126</c:v>
                </c:pt>
                <c:pt idx="859">
                  <c:v>0.20100000000000001</c:v>
                </c:pt>
                <c:pt idx="860">
                  <c:v>1.7000000000000001E-2</c:v>
                </c:pt>
                <c:pt idx="861">
                  <c:v>2.5100000000000001E-2</c:v>
                </c:pt>
                <c:pt idx="862">
                  <c:v>1.7399999999999999E-2</c:v>
                </c:pt>
                <c:pt idx="863">
                  <c:v>9.8500000000000004E-2</c:v>
                </c:pt>
                <c:pt idx="864">
                  <c:v>0.128</c:v>
                </c:pt>
                <c:pt idx="865">
                  <c:v>2.5100000000000001E-3</c:v>
                </c:pt>
                <c:pt idx="866">
                  <c:v>0.29799999999999999</c:v>
                </c:pt>
                <c:pt idx="867">
                  <c:v>3.3500000000000001E-4</c:v>
                </c:pt>
                <c:pt idx="868">
                  <c:v>2.2200000000000001E-2</c:v>
                </c:pt>
                <c:pt idx="869">
                  <c:v>0.51300000000000001</c:v>
                </c:pt>
                <c:pt idx="870">
                  <c:v>0.32600000000000001</c:v>
                </c:pt>
                <c:pt idx="871">
                  <c:v>0.59399999999999997</c:v>
                </c:pt>
                <c:pt idx="872">
                  <c:v>0.254</c:v>
                </c:pt>
                <c:pt idx="873">
                  <c:v>4.8800000000000003E-2</c:v>
                </c:pt>
                <c:pt idx="874">
                  <c:v>0.441</c:v>
                </c:pt>
                <c:pt idx="875">
                  <c:v>0.6</c:v>
                </c:pt>
                <c:pt idx="876">
                  <c:v>0.80600000000000005</c:v>
                </c:pt>
                <c:pt idx="877">
                  <c:v>0.20300000000000001</c:v>
                </c:pt>
                <c:pt idx="878">
                  <c:v>0.109</c:v>
                </c:pt>
                <c:pt idx="879">
                  <c:v>0.23100000000000001</c:v>
                </c:pt>
                <c:pt idx="880">
                  <c:v>0.185</c:v>
                </c:pt>
                <c:pt idx="881">
                  <c:v>1.32E-2</c:v>
                </c:pt>
                <c:pt idx="882">
                  <c:v>0.157</c:v>
                </c:pt>
                <c:pt idx="883">
                  <c:v>3.1699999999999999E-2</c:v>
                </c:pt>
                <c:pt idx="884">
                  <c:v>0.33300000000000002</c:v>
                </c:pt>
                <c:pt idx="885">
                  <c:v>0.11700000000000001</c:v>
                </c:pt>
                <c:pt idx="886">
                  <c:v>0.16800000000000001</c:v>
                </c:pt>
                <c:pt idx="887">
                  <c:v>9.1999999999999998E-2</c:v>
                </c:pt>
                <c:pt idx="888">
                  <c:v>0.17199999999999999</c:v>
                </c:pt>
                <c:pt idx="889">
                  <c:v>5.6100000000000004E-3</c:v>
                </c:pt>
                <c:pt idx="890">
                  <c:v>2.86E-2</c:v>
                </c:pt>
                <c:pt idx="891">
                  <c:v>0.36799999999999999</c:v>
                </c:pt>
                <c:pt idx="892">
                  <c:v>5.7299999999999997E-2</c:v>
                </c:pt>
                <c:pt idx="893">
                  <c:v>1.9E-2</c:v>
                </c:pt>
                <c:pt idx="894">
                  <c:v>0.13700000000000001</c:v>
                </c:pt>
                <c:pt idx="895">
                  <c:v>0.32100000000000001</c:v>
                </c:pt>
                <c:pt idx="896">
                  <c:v>0.83799999999999997</c:v>
                </c:pt>
                <c:pt idx="897">
                  <c:v>0.46700000000000003</c:v>
                </c:pt>
                <c:pt idx="898">
                  <c:v>7.3899999999999993E-2</c:v>
                </c:pt>
                <c:pt idx="899">
                  <c:v>0.29799999999999999</c:v>
                </c:pt>
                <c:pt idx="900">
                  <c:v>0.19700000000000001</c:v>
                </c:pt>
                <c:pt idx="901">
                  <c:v>4.6399999999999997E-2</c:v>
                </c:pt>
                <c:pt idx="902">
                  <c:v>5.2600000000000001E-2</c:v>
                </c:pt>
                <c:pt idx="903">
                  <c:v>6.0100000000000001E-2</c:v>
                </c:pt>
                <c:pt idx="904">
                  <c:v>0.60499999999999998</c:v>
                </c:pt>
                <c:pt idx="905">
                  <c:v>0.248</c:v>
                </c:pt>
                <c:pt idx="906">
                  <c:v>1.83E-2</c:v>
                </c:pt>
                <c:pt idx="907">
                  <c:v>0.83</c:v>
                </c:pt>
                <c:pt idx="908">
                  <c:v>1.7799999999999999E-4</c:v>
                </c:pt>
                <c:pt idx="909">
                  <c:v>0.38900000000000001</c:v>
                </c:pt>
                <c:pt idx="910">
                  <c:v>0.248</c:v>
                </c:pt>
                <c:pt idx="911">
                  <c:v>4.0899999999999999E-2</c:v>
                </c:pt>
                <c:pt idx="912">
                  <c:v>0.17699999999999999</c:v>
                </c:pt>
                <c:pt idx="913">
                  <c:v>0.158</c:v>
                </c:pt>
                <c:pt idx="914">
                  <c:v>8.1299999999999997E-2</c:v>
                </c:pt>
                <c:pt idx="915">
                  <c:v>7.0300000000000001E-2</c:v>
                </c:pt>
                <c:pt idx="916">
                  <c:v>0.59299999999999997</c:v>
                </c:pt>
                <c:pt idx="917">
                  <c:v>8.2699999999999996E-2</c:v>
                </c:pt>
                <c:pt idx="918">
                  <c:v>6.9500000000000006E-2</c:v>
                </c:pt>
                <c:pt idx="919">
                  <c:v>0.68700000000000006</c:v>
                </c:pt>
                <c:pt idx="920">
                  <c:v>0.153</c:v>
                </c:pt>
                <c:pt idx="921">
                  <c:v>0.191</c:v>
                </c:pt>
                <c:pt idx="922">
                  <c:v>4.3900000000000002E-2</c:v>
                </c:pt>
                <c:pt idx="923">
                  <c:v>3.5200000000000002E-2</c:v>
                </c:pt>
                <c:pt idx="924">
                  <c:v>0.66200000000000003</c:v>
                </c:pt>
                <c:pt idx="925">
                  <c:v>0.152</c:v>
                </c:pt>
                <c:pt idx="926">
                  <c:v>1.9E-2</c:v>
                </c:pt>
                <c:pt idx="927">
                  <c:v>0.72299999999999998</c:v>
                </c:pt>
                <c:pt idx="928">
                  <c:v>1.41E-2</c:v>
                </c:pt>
                <c:pt idx="929">
                  <c:v>5.4899999999999997E-2</c:v>
                </c:pt>
                <c:pt idx="930">
                  <c:v>0.314</c:v>
                </c:pt>
                <c:pt idx="931">
                  <c:v>0.55100000000000005</c:v>
                </c:pt>
                <c:pt idx="932">
                  <c:v>0.88100000000000001</c:v>
                </c:pt>
                <c:pt idx="933">
                  <c:v>0.21199999999999999</c:v>
                </c:pt>
                <c:pt idx="934">
                  <c:v>4.8500000000000001E-2</c:v>
                </c:pt>
                <c:pt idx="935">
                  <c:v>6.4699999999999994E-2</c:v>
                </c:pt>
                <c:pt idx="936">
                  <c:v>0.42699999999999999</c:v>
                </c:pt>
                <c:pt idx="937">
                  <c:v>0.19400000000000001</c:v>
                </c:pt>
                <c:pt idx="938">
                  <c:v>0.13700000000000001</c:v>
                </c:pt>
                <c:pt idx="939">
                  <c:v>0.627</c:v>
                </c:pt>
                <c:pt idx="940">
                  <c:v>2.5600000000000001E-2</c:v>
                </c:pt>
                <c:pt idx="941">
                  <c:v>7.6499999999999999E-2</c:v>
                </c:pt>
                <c:pt idx="942">
                  <c:v>2.64E-2</c:v>
                </c:pt>
                <c:pt idx="943">
                  <c:v>0.14399999999999999</c:v>
                </c:pt>
                <c:pt idx="944">
                  <c:v>2.1499999999999998E-2</c:v>
                </c:pt>
                <c:pt idx="945">
                  <c:v>1.2699999999999999E-2</c:v>
                </c:pt>
                <c:pt idx="946">
                  <c:v>0.114</c:v>
                </c:pt>
                <c:pt idx="947">
                  <c:v>1.6E-2</c:v>
                </c:pt>
                <c:pt idx="948">
                  <c:v>0.433</c:v>
                </c:pt>
                <c:pt idx="949">
                  <c:v>3.1199999999999999E-2</c:v>
                </c:pt>
                <c:pt idx="950">
                  <c:v>6.0400000000000002E-2</c:v>
                </c:pt>
                <c:pt idx="951">
                  <c:v>0.83199999999999996</c:v>
                </c:pt>
                <c:pt idx="952">
                  <c:v>0.152</c:v>
                </c:pt>
                <c:pt idx="953">
                  <c:v>0.20599999999999999</c:v>
                </c:pt>
                <c:pt idx="954">
                  <c:v>5.1299999999999998E-2</c:v>
                </c:pt>
                <c:pt idx="955">
                  <c:v>1.2200000000000001E-2</c:v>
                </c:pt>
                <c:pt idx="956">
                  <c:v>9.4900000000000002E-3</c:v>
                </c:pt>
                <c:pt idx="957">
                  <c:v>0.69599999999999995</c:v>
                </c:pt>
                <c:pt idx="958">
                  <c:v>0.125</c:v>
                </c:pt>
                <c:pt idx="959">
                  <c:v>1.21E-2</c:v>
                </c:pt>
                <c:pt idx="960">
                  <c:v>8.6900000000000005E-2</c:v>
                </c:pt>
                <c:pt idx="961">
                  <c:v>7.0999999999999994E-2</c:v>
                </c:pt>
                <c:pt idx="962">
                  <c:v>0.371</c:v>
                </c:pt>
                <c:pt idx="963">
                  <c:v>3.1399999999999997E-2</c:v>
                </c:pt>
                <c:pt idx="964">
                  <c:v>1.0300000000000001E-3</c:v>
                </c:pt>
                <c:pt idx="965">
                  <c:v>1.12E-2</c:v>
                </c:pt>
                <c:pt idx="966">
                  <c:v>0.13500000000000001</c:v>
                </c:pt>
                <c:pt idx="967">
                  <c:v>0.16800000000000001</c:v>
                </c:pt>
                <c:pt idx="968">
                  <c:v>8.3199999999999996E-2</c:v>
                </c:pt>
                <c:pt idx="969">
                  <c:v>0.42199999999999999</c:v>
                </c:pt>
                <c:pt idx="970">
                  <c:v>0.9</c:v>
                </c:pt>
                <c:pt idx="971">
                  <c:v>0.2</c:v>
                </c:pt>
                <c:pt idx="972">
                  <c:v>6.9599999999999995E-2</c:v>
                </c:pt>
                <c:pt idx="973">
                  <c:v>8.2000000000000003E-2</c:v>
                </c:pt>
                <c:pt idx="974">
                  <c:v>8.14E-2</c:v>
                </c:pt>
                <c:pt idx="975">
                  <c:v>0.63</c:v>
                </c:pt>
                <c:pt idx="976">
                  <c:v>0.81</c:v>
                </c:pt>
                <c:pt idx="977">
                  <c:v>0.13300000000000001</c:v>
                </c:pt>
                <c:pt idx="978">
                  <c:v>3.3399999999999999E-2</c:v>
                </c:pt>
                <c:pt idx="979">
                  <c:v>2.9499999999999998E-2</c:v>
                </c:pt>
                <c:pt idx="980">
                  <c:v>1.15E-2</c:v>
                </c:pt>
                <c:pt idx="981">
                  <c:v>0.24199999999999999</c:v>
                </c:pt>
                <c:pt idx="982">
                  <c:v>0.08</c:v>
                </c:pt>
                <c:pt idx="983">
                  <c:v>0.21299999999999999</c:v>
                </c:pt>
                <c:pt idx="984">
                  <c:v>5.7400000000000003E-3</c:v>
                </c:pt>
                <c:pt idx="985">
                  <c:v>0.40500000000000003</c:v>
                </c:pt>
                <c:pt idx="986">
                  <c:v>1.6899999999999998E-2</c:v>
                </c:pt>
                <c:pt idx="987">
                  <c:v>0.56899999999999995</c:v>
                </c:pt>
                <c:pt idx="988">
                  <c:v>3.9800000000000002E-2</c:v>
                </c:pt>
                <c:pt idx="989">
                  <c:v>0.44900000000000001</c:v>
                </c:pt>
                <c:pt idx="990">
                  <c:v>0.60199999999999998</c:v>
                </c:pt>
                <c:pt idx="991">
                  <c:v>0.28499999999999998</c:v>
                </c:pt>
                <c:pt idx="992">
                  <c:v>2.3199999999999998E-2</c:v>
                </c:pt>
                <c:pt idx="993">
                  <c:v>5.2200000000000003E-2</c:v>
                </c:pt>
                <c:pt idx="994">
                  <c:v>0.17</c:v>
                </c:pt>
                <c:pt idx="995">
                  <c:v>9.8799999999999999E-3</c:v>
                </c:pt>
                <c:pt idx="996">
                  <c:v>0.17</c:v>
                </c:pt>
                <c:pt idx="997">
                  <c:v>0.48</c:v>
                </c:pt>
                <c:pt idx="998">
                  <c:v>5.5400000000000002E-4</c:v>
                </c:pt>
                <c:pt idx="999">
                  <c:v>0.26900000000000002</c:v>
                </c:pt>
                <c:pt idx="1000">
                  <c:v>0.10199999999999999</c:v>
                </c:pt>
                <c:pt idx="1001">
                  <c:v>7.3200000000000001E-2</c:v>
                </c:pt>
                <c:pt idx="1002">
                  <c:v>1.77E-2</c:v>
                </c:pt>
                <c:pt idx="1003">
                  <c:v>1.9400000000000001E-2</c:v>
                </c:pt>
                <c:pt idx="1004">
                  <c:v>0.11899999999999999</c:v>
                </c:pt>
                <c:pt idx="1005">
                  <c:v>0.12</c:v>
                </c:pt>
                <c:pt idx="1006">
                  <c:v>5.0500000000000003E-2</c:v>
                </c:pt>
                <c:pt idx="1007">
                  <c:v>1.29E-2</c:v>
                </c:pt>
                <c:pt idx="1008">
                  <c:v>0.115</c:v>
                </c:pt>
                <c:pt idx="1009">
                  <c:v>0.53800000000000003</c:v>
                </c:pt>
                <c:pt idx="1010">
                  <c:v>5.67E-2</c:v>
                </c:pt>
                <c:pt idx="1011">
                  <c:v>0.14399999999999999</c:v>
                </c:pt>
                <c:pt idx="1012">
                  <c:v>0.72099999999999997</c:v>
                </c:pt>
                <c:pt idx="1013">
                  <c:v>0.47</c:v>
                </c:pt>
                <c:pt idx="1014">
                  <c:v>4.0700000000000003E-4</c:v>
                </c:pt>
                <c:pt idx="1015">
                  <c:v>1.1900000000000001E-2</c:v>
                </c:pt>
                <c:pt idx="1016">
                  <c:v>8.1600000000000006E-2</c:v>
                </c:pt>
                <c:pt idx="1017">
                  <c:v>0.51700000000000002</c:v>
                </c:pt>
                <c:pt idx="1018">
                  <c:v>0.624</c:v>
                </c:pt>
                <c:pt idx="1019">
                  <c:v>0.223</c:v>
                </c:pt>
                <c:pt idx="1020">
                  <c:v>0.20799999999999999</c:v>
                </c:pt>
                <c:pt idx="1021">
                  <c:v>2.7699999999999999E-3</c:v>
                </c:pt>
                <c:pt idx="1022">
                  <c:v>0.33</c:v>
                </c:pt>
                <c:pt idx="1023">
                  <c:v>6.7299999999999999E-2</c:v>
                </c:pt>
                <c:pt idx="1024">
                  <c:v>7.6999999999999999E-2</c:v>
                </c:pt>
                <c:pt idx="1025">
                  <c:v>3.7100000000000001E-2</c:v>
                </c:pt>
                <c:pt idx="1026">
                  <c:v>0.41799999999999998</c:v>
                </c:pt>
                <c:pt idx="1027">
                  <c:v>0.13300000000000001</c:v>
                </c:pt>
                <c:pt idx="1028">
                  <c:v>0.35299999999999998</c:v>
                </c:pt>
                <c:pt idx="1029">
                  <c:v>0.188</c:v>
                </c:pt>
                <c:pt idx="1030">
                  <c:v>0.46</c:v>
                </c:pt>
                <c:pt idx="1031">
                  <c:v>8.3699999999999997E-2</c:v>
                </c:pt>
                <c:pt idx="1032">
                  <c:v>3.8800000000000001E-2</c:v>
                </c:pt>
                <c:pt idx="1033">
                  <c:v>3.46E-3</c:v>
                </c:pt>
                <c:pt idx="1034">
                  <c:v>0.34699999999999998</c:v>
                </c:pt>
                <c:pt idx="1035">
                  <c:v>7.6899999999999996E-2</c:v>
                </c:pt>
                <c:pt idx="1036">
                  <c:v>0.41899999999999998</c:v>
                </c:pt>
                <c:pt idx="1037">
                  <c:v>0.5</c:v>
                </c:pt>
                <c:pt idx="1038">
                  <c:v>0.19500000000000001</c:v>
                </c:pt>
                <c:pt idx="1039">
                  <c:v>0.20300000000000001</c:v>
                </c:pt>
                <c:pt idx="1040">
                  <c:v>0.56200000000000006</c:v>
                </c:pt>
                <c:pt idx="1041">
                  <c:v>0.121</c:v>
                </c:pt>
                <c:pt idx="1042">
                  <c:v>0.13900000000000001</c:v>
                </c:pt>
                <c:pt idx="1043">
                  <c:v>0.16600000000000001</c:v>
                </c:pt>
                <c:pt idx="1044">
                  <c:v>5.8200000000000002E-2</c:v>
                </c:pt>
                <c:pt idx="1045">
                  <c:v>1.29E-2</c:v>
                </c:pt>
                <c:pt idx="1046">
                  <c:v>0.497</c:v>
                </c:pt>
                <c:pt idx="1047">
                  <c:v>2.49E-3</c:v>
                </c:pt>
                <c:pt idx="1048">
                  <c:v>0.754</c:v>
                </c:pt>
                <c:pt idx="1049">
                  <c:v>0.80400000000000005</c:v>
                </c:pt>
                <c:pt idx="1050">
                  <c:v>4.6499999999999996E-3</c:v>
                </c:pt>
                <c:pt idx="1051">
                  <c:v>0.65500000000000003</c:v>
                </c:pt>
                <c:pt idx="1052">
                  <c:v>1.5699999999999999E-2</c:v>
                </c:pt>
                <c:pt idx="1053">
                  <c:v>0.28100000000000003</c:v>
                </c:pt>
                <c:pt idx="1054">
                  <c:v>0.878</c:v>
                </c:pt>
                <c:pt idx="1055">
                  <c:v>4.8000000000000001E-2</c:v>
                </c:pt>
                <c:pt idx="1056">
                  <c:v>5.1799999999999997E-3</c:v>
                </c:pt>
                <c:pt idx="1057">
                  <c:v>4.8500000000000001E-3</c:v>
                </c:pt>
                <c:pt idx="1058">
                  <c:v>0.42599999999999999</c:v>
                </c:pt>
                <c:pt idx="1059">
                  <c:v>0.16300000000000001</c:v>
                </c:pt>
                <c:pt idx="1060">
                  <c:v>0.91800000000000004</c:v>
                </c:pt>
                <c:pt idx="1061">
                  <c:v>0.69499999999999995</c:v>
                </c:pt>
                <c:pt idx="1062">
                  <c:v>0.22500000000000001</c:v>
                </c:pt>
                <c:pt idx="1063">
                  <c:v>5.1999999999999998E-2</c:v>
                </c:pt>
                <c:pt idx="1064">
                  <c:v>0.61199999999999999</c:v>
                </c:pt>
                <c:pt idx="1065">
                  <c:v>0.14099999999999999</c:v>
                </c:pt>
                <c:pt idx="1066">
                  <c:v>2.6099999999999999E-3</c:v>
                </c:pt>
                <c:pt idx="1067">
                  <c:v>3.27E-2</c:v>
                </c:pt>
                <c:pt idx="1068">
                  <c:v>1.9599999999999999E-3</c:v>
                </c:pt>
                <c:pt idx="1069">
                  <c:v>0.28899999999999998</c:v>
                </c:pt>
                <c:pt idx="1070">
                  <c:v>2.1299999999999999E-2</c:v>
                </c:pt>
                <c:pt idx="1071">
                  <c:v>0.51900000000000002</c:v>
                </c:pt>
                <c:pt idx="1072">
                  <c:v>4.5600000000000002E-2</c:v>
                </c:pt>
                <c:pt idx="1073">
                  <c:v>5.1299999999999998E-2</c:v>
                </c:pt>
                <c:pt idx="1074">
                  <c:v>8.8800000000000004E-2</c:v>
                </c:pt>
                <c:pt idx="1075">
                  <c:v>2.8899999999999999E-2</c:v>
                </c:pt>
                <c:pt idx="1076">
                  <c:v>0.39700000000000002</c:v>
                </c:pt>
                <c:pt idx="1077">
                  <c:v>0.68500000000000005</c:v>
                </c:pt>
                <c:pt idx="1078">
                  <c:v>1.2200000000000001E-2</c:v>
                </c:pt>
                <c:pt idx="1079">
                  <c:v>0.39800000000000002</c:v>
                </c:pt>
                <c:pt idx="1080">
                  <c:v>9.3299999999999994E-2</c:v>
                </c:pt>
                <c:pt idx="1081">
                  <c:v>9.2200000000000004E-2</c:v>
                </c:pt>
                <c:pt idx="1082">
                  <c:v>5.4600000000000003E-2</c:v>
                </c:pt>
                <c:pt idx="1083">
                  <c:v>0.313</c:v>
                </c:pt>
                <c:pt idx="1084">
                  <c:v>0.4</c:v>
                </c:pt>
                <c:pt idx="1085">
                  <c:v>4.19E-2</c:v>
                </c:pt>
                <c:pt idx="1086">
                  <c:v>0.97</c:v>
                </c:pt>
                <c:pt idx="1087">
                  <c:v>3.78E-2</c:v>
                </c:pt>
                <c:pt idx="1088">
                  <c:v>0.22600000000000001</c:v>
                </c:pt>
                <c:pt idx="1089">
                  <c:v>8.0799999999999997E-2</c:v>
                </c:pt>
                <c:pt idx="1090">
                  <c:v>9.0899999999999995E-2</c:v>
                </c:pt>
                <c:pt idx="1091">
                  <c:v>2.8899999999999999E-2</c:v>
                </c:pt>
                <c:pt idx="1092">
                  <c:v>0.35</c:v>
                </c:pt>
                <c:pt idx="1093">
                  <c:v>0.183</c:v>
                </c:pt>
                <c:pt idx="1094">
                  <c:v>0.122</c:v>
                </c:pt>
                <c:pt idx="1095">
                  <c:v>3.1099999999999999E-2</c:v>
                </c:pt>
                <c:pt idx="1096">
                  <c:v>0.85499999999999998</c:v>
                </c:pt>
                <c:pt idx="1097">
                  <c:v>0.93700000000000006</c:v>
                </c:pt>
                <c:pt idx="1098">
                  <c:v>0.66</c:v>
                </c:pt>
                <c:pt idx="1099">
                  <c:v>0.2</c:v>
                </c:pt>
                <c:pt idx="1100">
                  <c:v>6.5199999999999994E-2</c:v>
                </c:pt>
                <c:pt idx="1101">
                  <c:v>0.26300000000000001</c:v>
                </c:pt>
                <c:pt idx="1102">
                  <c:v>2.87E-2</c:v>
                </c:pt>
                <c:pt idx="1103">
                  <c:v>0.73499999999999999</c:v>
                </c:pt>
                <c:pt idx="1104">
                  <c:v>0.11600000000000001</c:v>
                </c:pt>
                <c:pt idx="1105">
                  <c:v>0.106</c:v>
                </c:pt>
                <c:pt idx="1106">
                  <c:v>5.11E-2</c:v>
                </c:pt>
                <c:pt idx="1107">
                  <c:v>6.1400000000000003E-2</c:v>
                </c:pt>
                <c:pt idx="1108">
                  <c:v>2.4500000000000001E-2</c:v>
                </c:pt>
                <c:pt idx="1109">
                  <c:v>0.13100000000000001</c:v>
                </c:pt>
                <c:pt idx="1110">
                  <c:v>2.3099999999999999E-2</c:v>
                </c:pt>
                <c:pt idx="1111">
                  <c:v>0.627</c:v>
                </c:pt>
                <c:pt idx="1112">
                  <c:v>0.73099999999999998</c:v>
                </c:pt>
                <c:pt idx="1113">
                  <c:v>3.3000000000000002E-2</c:v>
                </c:pt>
                <c:pt idx="1114">
                  <c:v>0.40899999999999997</c:v>
                </c:pt>
                <c:pt idx="1115">
                  <c:v>0.183</c:v>
                </c:pt>
                <c:pt idx="1116">
                  <c:v>6.1100000000000002E-2</c:v>
                </c:pt>
                <c:pt idx="1117">
                  <c:v>8.8099999999999998E-2</c:v>
                </c:pt>
                <c:pt idx="1118">
                  <c:v>0.372</c:v>
                </c:pt>
                <c:pt idx="1119">
                  <c:v>0.27300000000000002</c:v>
                </c:pt>
                <c:pt idx="1120">
                  <c:v>2.8000000000000001E-2</c:v>
                </c:pt>
                <c:pt idx="1121">
                  <c:v>0.253</c:v>
                </c:pt>
                <c:pt idx="1122">
                  <c:v>0.16200000000000001</c:v>
                </c:pt>
                <c:pt idx="1123">
                  <c:v>0.96599999999999997</c:v>
                </c:pt>
                <c:pt idx="1124">
                  <c:v>0.58599999999999997</c:v>
                </c:pt>
                <c:pt idx="1125">
                  <c:v>4.8000000000000001E-2</c:v>
                </c:pt>
                <c:pt idx="1126">
                  <c:v>0.16</c:v>
                </c:pt>
                <c:pt idx="1127">
                  <c:v>0.26800000000000002</c:v>
                </c:pt>
                <c:pt idx="1128">
                  <c:v>0.72299999999999998</c:v>
                </c:pt>
                <c:pt idx="1129">
                  <c:v>0.35199999999999998</c:v>
                </c:pt>
                <c:pt idx="1130">
                  <c:v>0.36599999999999999</c:v>
                </c:pt>
                <c:pt idx="1131">
                  <c:v>8.1500000000000003E-2</c:v>
                </c:pt>
                <c:pt idx="1132">
                  <c:v>0.437</c:v>
                </c:pt>
                <c:pt idx="1133">
                  <c:v>0.187</c:v>
                </c:pt>
                <c:pt idx="1134">
                  <c:v>0.38700000000000001</c:v>
                </c:pt>
                <c:pt idx="1135">
                  <c:v>0.24</c:v>
                </c:pt>
                <c:pt idx="1136">
                  <c:v>0.156</c:v>
                </c:pt>
                <c:pt idx="1137">
                  <c:v>4.6600000000000003E-2</c:v>
                </c:pt>
                <c:pt idx="1138">
                  <c:v>0.56799999999999995</c:v>
                </c:pt>
                <c:pt idx="1139">
                  <c:v>2.53E-2</c:v>
                </c:pt>
                <c:pt idx="1140">
                  <c:v>0.16400000000000001</c:v>
                </c:pt>
                <c:pt idx="1141">
                  <c:v>0.87</c:v>
                </c:pt>
                <c:pt idx="1142">
                  <c:v>6.4700000000000001E-4</c:v>
                </c:pt>
                <c:pt idx="1143">
                  <c:v>0.13300000000000001</c:v>
                </c:pt>
                <c:pt idx="1144">
                  <c:v>6.1799999999999997E-3</c:v>
                </c:pt>
                <c:pt idx="1145">
                  <c:v>0.81799999999999995</c:v>
                </c:pt>
                <c:pt idx="1146">
                  <c:v>9.9799999999999993E-3</c:v>
                </c:pt>
                <c:pt idx="1147">
                  <c:v>0.22900000000000001</c:v>
                </c:pt>
                <c:pt idx="1148">
                  <c:v>0.435</c:v>
                </c:pt>
                <c:pt idx="1149">
                  <c:v>9.4399999999999998E-2</c:v>
                </c:pt>
                <c:pt idx="1150">
                  <c:v>0.36899999999999999</c:v>
                </c:pt>
                <c:pt idx="1151">
                  <c:v>2.98E-2</c:v>
                </c:pt>
                <c:pt idx="1152">
                  <c:v>1.6899999999999998E-2</c:v>
                </c:pt>
                <c:pt idx="1153">
                  <c:v>5.0200000000000002E-2</c:v>
                </c:pt>
                <c:pt idx="1154">
                  <c:v>0.92600000000000005</c:v>
                </c:pt>
                <c:pt idx="1155">
                  <c:v>0.17399999999999999</c:v>
                </c:pt>
                <c:pt idx="1156">
                  <c:v>0.52500000000000002</c:v>
                </c:pt>
                <c:pt idx="1157">
                  <c:v>3.9899999999999998E-2</c:v>
                </c:pt>
                <c:pt idx="1158">
                  <c:v>0.51400000000000001</c:v>
                </c:pt>
                <c:pt idx="1159">
                  <c:v>0.38600000000000001</c:v>
                </c:pt>
                <c:pt idx="1160">
                  <c:v>5.6399999999999999E-2</c:v>
                </c:pt>
                <c:pt idx="1161">
                  <c:v>5.79E-2</c:v>
                </c:pt>
                <c:pt idx="1162">
                  <c:v>0.38600000000000001</c:v>
                </c:pt>
                <c:pt idx="1163">
                  <c:v>0.17299999999999999</c:v>
                </c:pt>
                <c:pt idx="1164">
                  <c:v>9.6699999999999994E-2</c:v>
                </c:pt>
                <c:pt idx="1165">
                  <c:v>3.1899999999999998E-2</c:v>
                </c:pt>
                <c:pt idx="1166">
                  <c:v>0.17499999999999999</c:v>
                </c:pt>
                <c:pt idx="1167">
                  <c:v>3.8800000000000002E-3</c:v>
                </c:pt>
                <c:pt idx="1168">
                  <c:v>0.69599999999999995</c:v>
                </c:pt>
                <c:pt idx="1169">
                  <c:v>0.81899999999999995</c:v>
                </c:pt>
                <c:pt idx="1170">
                  <c:v>0.76800000000000002</c:v>
                </c:pt>
                <c:pt idx="1171">
                  <c:v>0.876</c:v>
                </c:pt>
                <c:pt idx="1172">
                  <c:v>0.16200000000000001</c:v>
                </c:pt>
                <c:pt idx="1173">
                  <c:v>3.3400000000000001E-3</c:v>
                </c:pt>
                <c:pt idx="1174">
                  <c:v>0.28100000000000003</c:v>
                </c:pt>
                <c:pt idx="1175">
                  <c:v>0.47399999999999998</c:v>
                </c:pt>
                <c:pt idx="1176">
                  <c:v>9.4899999999999998E-2</c:v>
                </c:pt>
                <c:pt idx="1177">
                  <c:v>0.34200000000000003</c:v>
                </c:pt>
                <c:pt idx="1178">
                  <c:v>0.13500000000000001</c:v>
                </c:pt>
                <c:pt idx="1179">
                  <c:v>8.1900000000000001E-2</c:v>
                </c:pt>
                <c:pt idx="1180">
                  <c:v>1.6299999999999999E-3</c:v>
                </c:pt>
                <c:pt idx="1181">
                  <c:v>0.29199999999999998</c:v>
                </c:pt>
                <c:pt idx="1182">
                  <c:v>0.25</c:v>
                </c:pt>
                <c:pt idx="1183">
                  <c:v>0.76800000000000002</c:v>
                </c:pt>
                <c:pt idx="1184">
                  <c:v>0.13800000000000001</c:v>
                </c:pt>
                <c:pt idx="1185">
                  <c:v>1.3299999999999999E-2</c:v>
                </c:pt>
                <c:pt idx="1186">
                  <c:v>0.156</c:v>
                </c:pt>
                <c:pt idx="1187">
                  <c:v>0.10100000000000001</c:v>
                </c:pt>
                <c:pt idx="1188">
                  <c:v>0.13700000000000001</c:v>
                </c:pt>
                <c:pt idx="1189">
                  <c:v>0.19400000000000001</c:v>
                </c:pt>
                <c:pt idx="1190">
                  <c:v>5.3800000000000001E-2</c:v>
                </c:pt>
                <c:pt idx="1191">
                  <c:v>0.16500000000000001</c:v>
                </c:pt>
                <c:pt idx="1192">
                  <c:v>0.10299999999999999</c:v>
                </c:pt>
                <c:pt idx="1193">
                  <c:v>0.184</c:v>
                </c:pt>
                <c:pt idx="1194">
                  <c:v>0.17499999999999999</c:v>
                </c:pt>
                <c:pt idx="1195">
                  <c:v>0.22700000000000001</c:v>
                </c:pt>
                <c:pt idx="1196">
                  <c:v>0.311</c:v>
                </c:pt>
                <c:pt idx="1197">
                  <c:v>0.84899999999999998</c:v>
                </c:pt>
                <c:pt idx="1198">
                  <c:v>0.12</c:v>
                </c:pt>
                <c:pt idx="1199">
                  <c:v>0.38300000000000001</c:v>
                </c:pt>
                <c:pt idx="1200">
                  <c:v>6.4700000000000001E-3</c:v>
                </c:pt>
                <c:pt idx="1201">
                  <c:v>0.17799999999999999</c:v>
                </c:pt>
                <c:pt idx="1202">
                  <c:v>0.17199999999999999</c:v>
                </c:pt>
                <c:pt idx="1203">
                  <c:v>3.0599999999999999E-2</c:v>
                </c:pt>
                <c:pt idx="1204">
                  <c:v>4.1099999999999998E-2</c:v>
                </c:pt>
                <c:pt idx="1205">
                  <c:v>0.13700000000000001</c:v>
                </c:pt>
                <c:pt idx="1206">
                  <c:v>0.14399999999999999</c:v>
                </c:pt>
                <c:pt idx="1207">
                  <c:v>0.189</c:v>
                </c:pt>
                <c:pt idx="1208">
                  <c:v>0.67</c:v>
                </c:pt>
                <c:pt idx="1209">
                  <c:v>1.2800000000000001E-2</c:v>
                </c:pt>
                <c:pt idx="1210">
                  <c:v>3.2300000000000002E-2</c:v>
                </c:pt>
                <c:pt idx="1211">
                  <c:v>0.16200000000000001</c:v>
                </c:pt>
                <c:pt idx="1212">
                  <c:v>4.7999999999999996E-3</c:v>
                </c:pt>
                <c:pt idx="1213">
                  <c:v>2.2800000000000001E-2</c:v>
                </c:pt>
                <c:pt idx="1214">
                  <c:v>0.42299999999999999</c:v>
                </c:pt>
                <c:pt idx="1215">
                  <c:v>0.80900000000000005</c:v>
                </c:pt>
                <c:pt idx="1216">
                  <c:v>0.55600000000000005</c:v>
                </c:pt>
                <c:pt idx="1217">
                  <c:v>7.92E-3</c:v>
                </c:pt>
                <c:pt idx="1218">
                  <c:v>5.0900000000000001E-2</c:v>
                </c:pt>
                <c:pt idx="1219">
                  <c:v>5.8900000000000001E-2</c:v>
                </c:pt>
                <c:pt idx="1220">
                  <c:v>0.16500000000000001</c:v>
                </c:pt>
                <c:pt idx="1221">
                  <c:v>0.40799999999999997</c:v>
                </c:pt>
                <c:pt idx="1222">
                  <c:v>2.2200000000000001E-2</c:v>
                </c:pt>
                <c:pt idx="1223">
                  <c:v>4.1000000000000002E-2</c:v>
                </c:pt>
                <c:pt idx="1224">
                  <c:v>3.8100000000000002E-2</c:v>
                </c:pt>
                <c:pt idx="1225">
                  <c:v>0.16600000000000001</c:v>
                </c:pt>
                <c:pt idx="1226">
                  <c:v>0.80100000000000005</c:v>
                </c:pt>
                <c:pt idx="1227">
                  <c:v>0.20599999999999999</c:v>
                </c:pt>
                <c:pt idx="1228">
                  <c:v>9.5000000000000001E-2</c:v>
                </c:pt>
                <c:pt idx="1229">
                  <c:v>2.4399999999999999E-3</c:v>
                </c:pt>
                <c:pt idx="1230">
                  <c:v>3.4599999999999999E-2</c:v>
                </c:pt>
                <c:pt idx="1231">
                  <c:v>5.9199999999999997E-4</c:v>
                </c:pt>
                <c:pt idx="1232">
                  <c:v>0.153</c:v>
                </c:pt>
                <c:pt idx="1233">
                  <c:v>0.23300000000000001</c:v>
                </c:pt>
                <c:pt idx="1234">
                  <c:v>0.185</c:v>
                </c:pt>
                <c:pt idx="1235">
                  <c:v>0.21199999999999999</c:v>
                </c:pt>
                <c:pt idx="1236">
                  <c:v>0.42299999999999999</c:v>
                </c:pt>
                <c:pt idx="1237">
                  <c:v>0.44</c:v>
                </c:pt>
                <c:pt idx="1238">
                  <c:v>0.14199999999999999</c:v>
                </c:pt>
                <c:pt idx="1239">
                  <c:v>0.66700000000000004</c:v>
                </c:pt>
                <c:pt idx="1240">
                  <c:v>0.53300000000000003</c:v>
                </c:pt>
                <c:pt idx="1241">
                  <c:v>0.83499999999999996</c:v>
                </c:pt>
                <c:pt idx="1242">
                  <c:v>2.58E-2</c:v>
                </c:pt>
                <c:pt idx="1243">
                  <c:v>0.32500000000000001</c:v>
                </c:pt>
                <c:pt idx="1244">
                  <c:v>0.13600000000000001</c:v>
                </c:pt>
                <c:pt idx="1245">
                  <c:v>6.8599999999999994E-2</c:v>
                </c:pt>
                <c:pt idx="1246">
                  <c:v>0.186</c:v>
                </c:pt>
                <c:pt idx="1247">
                  <c:v>1.34E-2</c:v>
                </c:pt>
                <c:pt idx="1248">
                  <c:v>0.52</c:v>
                </c:pt>
                <c:pt idx="1249">
                  <c:v>0.1</c:v>
                </c:pt>
                <c:pt idx="1250">
                  <c:v>3.3300000000000003E-2</c:v>
                </c:pt>
                <c:pt idx="1251">
                  <c:v>0.19700000000000001</c:v>
                </c:pt>
                <c:pt idx="1252">
                  <c:v>0.247</c:v>
                </c:pt>
                <c:pt idx="1253">
                  <c:v>0.73799999999999999</c:v>
                </c:pt>
                <c:pt idx="1254">
                  <c:v>9.7299999999999998E-2</c:v>
                </c:pt>
                <c:pt idx="1255">
                  <c:v>0.16900000000000001</c:v>
                </c:pt>
                <c:pt idx="1256">
                  <c:v>4.9299999999999997E-2</c:v>
                </c:pt>
                <c:pt idx="1257">
                  <c:v>7.1499999999999994E-2</c:v>
                </c:pt>
                <c:pt idx="1258">
                  <c:v>1.8499999999999999E-2</c:v>
                </c:pt>
                <c:pt idx="1259">
                  <c:v>0.221</c:v>
                </c:pt>
                <c:pt idx="1260">
                  <c:v>3.73E-2</c:v>
                </c:pt>
                <c:pt idx="1261">
                  <c:v>0.218</c:v>
                </c:pt>
                <c:pt idx="1262">
                  <c:v>0.46200000000000002</c:v>
                </c:pt>
                <c:pt idx="1263">
                  <c:v>0.48599999999999999</c:v>
                </c:pt>
                <c:pt idx="1264">
                  <c:v>6.0400000000000002E-2</c:v>
                </c:pt>
                <c:pt idx="1265">
                  <c:v>0.58199999999999996</c:v>
                </c:pt>
                <c:pt idx="1266">
                  <c:v>8.5300000000000001E-2</c:v>
                </c:pt>
                <c:pt idx="1267">
                  <c:v>0.105</c:v>
                </c:pt>
                <c:pt idx="1268">
                  <c:v>3.8699999999999998E-2</c:v>
                </c:pt>
                <c:pt idx="1269">
                  <c:v>0.218</c:v>
                </c:pt>
                <c:pt idx="1270">
                  <c:v>0.21199999999999999</c:v>
                </c:pt>
                <c:pt idx="1271">
                  <c:v>0.16200000000000001</c:v>
                </c:pt>
                <c:pt idx="1272">
                  <c:v>0.184</c:v>
                </c:pt>
                <c:pt idx="1273">
                  <c:v>8.3799999999999999E-2</c:v>
                </c:pt>
                <c:pt idx="1274">
                  <c:v>0.17</c:v>
                </c:pt>
                <c:pt idx="1275">
                  <c:v>4.8899999999999999E-2</c:v>
                </c:pt>
                <c:pt idx="1276">
                  <c:v>0.10100000000000001</c:v>
                </c:pt>
                <c:pt idx="1277">
                  <c:v>1.7999999999999999E-2</c:v>
                </c:pt>
                <c:pt idx="1278">
                  <c:v>4.9200000000000001E-2</c:v>
                </c:pt>
                <c:pt idx="1279">
                  <c:v>4.8700000000000002E-3</c:v>
                </c:pt>
                <c:pt idx="1280">
                  <c:v>2.76E-2</c:v>
                </c:pt>
                <c:pt idx="1281">
                  <c:v>0.23899999999999999</c:v>
                </c:pt>
                <c:pt idx="1282">
                  <c:v>1.29E-2</c:v>
                </c:pt>
                <c:pt idx="1283">
                  <c:v>7.3099999999999998E-2</c:v>
                </c:pt>
                <c:pt idx="1284">
                  <c:v>0.94699999999999995</c:v>
                </c:pt>
                <c:pt idx="1285">
                  <c:v>0.36499999999999999</c:v>
                </c:pt>
                <c:pt idx="1286">
                  <c:v>0.23699999999999999</c:v>
                </c:pt>
                <c:pt idx="1287">
                  <c:v>8.8499999999999995E-2</c:v>
                </c:pt>
                <c:pt idx="1288">
                  <c:v>6.1800000000000001E-2</c:v>
                </c:pt>
                <c:pt idx="1289">
                  <c:v>3.3700000000000002E-3</c:v>
                </c:pt>
                <c:pt idx="1290">
                  <c:v>0.107</c:v>
                </c:pt>
                <c:pt idx="1291">
                  <c:v>4.9200000000000001E-2</c:v>
                </c:pt>
                <c:pt idx="1292">
                  <c:v>1.61E-2</c:v>
                </c:pt>
                <c:pt idx="1293">
                  <c:v>6.6699999999999997E-3</c:v>
                </c:pt>
                <c:pt idx="1294">
                  <c:v>0.13500000000000001</c:v>
                </c:pt>
                <c:pt idx="1295">
                  <c:v>1.4500000000000001E-2</c:v>
                </c:pt>
                <c:pt idx="1296">
                  <c:v>8.3899999999999999E-3</c:v>
                </c:pt>
                <c:pt idx="1297">
                  <c:v>0.21</c:v>
                </c:pt>
                <c:pt idx="1298">
                  <c:v>0.66600000000000004</c:v>
                </c:pt>
                <c:pt idx="1299">
                  <c:v>0.39100000000000001</c:v>
                </c:pt>
                <c:pt idx="1300">
                  <c:v>0.159</c:v>
                </c:pt>
                <c:pt idx="1301">
                  <c:v>0.14000000000000001</c:v>
                </c:pt>
                <c:pt idx="1302">
                  <c:v>0.97199999999999998</c:v>
                </c:pt>
                <c:pt idx="1303">
                  <c:v>0.86399999999999999</c:v>
                </c:pt>
                <c:pt idx="1304">
                  <c:v>6.0600000000000003E-3</c:v>
                </c:pt>
                <c:pt idx="1305">
                  <c:v>0.252</c:v>
                </c:pt>
                <c:pt idx="1306">
                  <c:v>2.3400000000000001E-2</c:v>
                </c:pt>
                <c:pt idx="1307">
                  <c:v>0.158</c:v>
                </c:pt>
                <c:pt idx="1308">
                  <c:v>0.67</c:v>
                </c:pt>
                <c:pt idx="1309">
                  <c:v>4.5400000000000003E-2</c:v>
                </c:pt>
                <c:pt idx="1310">
                  <c:v>0.47</c:v>
                </c:pt>
                <c:pt idx="1311">
                  <c:v>0.59099999999999997</c:v>
                </c:pt>
                <c:pt idx="1312">
                  <c:v>2.1700000000000001E-2</c:v>
                </c:pt>
                <c:pt idx="1313">
                  <c:v>1.44E-2</c:v>
                </c:pt>
                <c:pt idx="1314">
                  <c:v>6.5199999999999994E-2</c:v>
                </c:pt>
                <c:pt idx="1315">
                  <c:v>0.11799999999999999</c:v>
                </c:pt>
                <c:pt idx="1316">
                  <c:v>0.57399999999999995</c:v>
                </c:pt>
                <c:pt idx="1317">
                  <c:v>0.125</c:v>
                </c:pt>
                <c:pt idx="1318">
                  <c:v>7.4399999999999994E-2</c:v>
                </c:pt>
                <c:pt idx="1319">
                  <c:v>0.17100000000000001</c:v>
                </c:pt>
                <c:pt idx="1320">
                  <c:v>0.36299999999999999</c:v>
                </c:pt>
                <c:pt idx="1321">
                  <c:v>0.21299999999999999</c:v>
                </c:pt>
                <c:pt idx="1322">
                  <c:v>6.2100000000000002E-2</c:v>
                </c:pt>
                <c:pt idx="1323">
                  <c:v>2.8900000000000002E-3</c:v>
                </c:pt>
                <c:pt idx="1324">
                  <c:v>0.16300000000000001</c:v>
                </c:pt>
                <c:pt idx="1325">
                  <c:v>0.14299999999999999</c:v>
                </c:pt>
                <c:pt idx="1326">
                  <c:v>0.249</c:v>
                </c:pt>
                <c:pt idx="1327">
                  <c:v>6.9000000000000006E-2</c:v>
                </c:pt>
                <c:pt idx="1328">
                  <c:v>0.14699999999999999</c:v>
                </c:pt>
                <c:pt idx="1329">
                  <c:v>0.498</c:v>
                </c:pt>
                <c:pt idx="1330">
                  <c:v>3.0300000000000001E-2</c:v>
                </c:pt>
                <c:pt idx="1331">
                  <c:v>3.0599999999999999E-2</c:v>
                </c:pt>
                <c:pt idx="1332">
                  <c:v>3.4500000000000003E-2</c:v>
                </c:pt>
                <c:pt idx="1333">
                  <c:v>0.379</c:v>
                </c:pt>
                <c:pt idx="1334">
                  <c:v>3.9600000000000003E-2</c:v>
                </c:pt>
                <c:pt idx="1335">
                  <c:v>0.99099999999999999</c:v>
                </c:pt>
                <c:pt idx="1336">
                  <c:v>0.39500000000000002</c:v>
                </c:pt>
                <c:pt idx="1337">
                  <c:v>3.8100000000000002E-2</c:v>
                </c:pt>
                <c:pt idx="1338">
                  <c:v>9.9099999999999994E-2</c:v>
                </c:pt>
                <c:pt idx="1339">
                  <c:v>0.48199999999999998</c:v>
                </c:pt>
                <c:pt idx="1340">
                  <c:v>2.86E-2</c:v>
                </c:pt>
                <c:pt idx="1341">
                  <c:v>1.98E-3</c:v>
                </c:pt>
                <c:pt idx="1342">
                  <c:v>9.8500000000000004E-2</c:v>
                </c:pt>
                <c:pt idx="1343">
                  <c:v>2.07E-2</c:v>
                </c:pt>
                <c:pt idx="1344">
                  <c:v>0.69199999999999995</c:v>
                </c:pt>
                <c:pt idx="1345">
                  <c:v>0.249</c:v>
                </c:pt>
                <c:pt idx="1346">
                  <c:v>0.28299999999999997</c:v>
                </c:pt>
                <c:pt idx="1347">
                  <c:v>8.5099999999999995E-2</c:v>
                </c:pt>
                <c:pt idx="1348">
                  <c:v>0.248</c:v>
                </c:pt>
                <c:pt idx="1349">
                  <c:v>0.20399999999999999</c:v>
                </c:pt>
                <c:pt idx="1350">
                  <c:v>0.13700000000000001</c:v>
                </c:pt>
                <c:pt idx="1351">
                  <c:v>0.22700000000000001</c:v>
                </c:pt>
                <c:pt idx="1352">
                  <c:v>3.9899999999999996E-3</c:v>
                </c:pt>
                <c:pt idx="1353">
                  <c:v>0.61399999999999999</c:v>
                </c:pt>
                <c:pt idx="1354">
                  <c:v>9.6100000000000005E-3</c:v>
                </c:pt>
                <c:pt idx="1355">
                  <c:v>0.48199999999999998</c:v>
                </c:pt>
                <c:pt idx="1356">
                  <c:v>0.36399999999999999</c:v>
                </c:pt>
                <c:pt idx="1357">
                  <c:v>0.438</c:v>
                </c:pt>
                <c:pt idx="1358">
                  <c:v>7.3599999999999999E-2</c:v>
                </c:pt>
                <c:pt idx="1359">
                  <c:v>1.9E-3</c:v>
                </c:pt>
                <c:pt idx="1360">
                  <c:v>0.47299999999999998</c:v>
                </c:pt>
                <c:pt idx="1361">
                  <c:v>0.91600000000000004</c:v>
                </c:pt>
                <c:pt idx="1362">
                  <c:v>0.47299999999999998</c:v>
                </c:pt>
                <c:pt idx="1363">
                  <c:v>0.60799999999999998</c:v>
                </c:pt>
                <c:pt idx="1364">
                  <c:v>2.3599999999999999E-2</c:v>
                </c:pt>
                <c:pt idx="1365">
                  <c:v>0.24</c:v>
                </c:pt>
                <c:pt idx="1366">
                  <c:v>0.49</c:v>
                </c:pt>
                <c:pt idx="1367">
                  <c:v>4.5900000000000003E-2</c:v>
                </c:pt>
                <c:pt idx="1368">
                  <c:v>0.18</c:v>
                </c:pt>
                <c:pt idx="1369">
                  <c:v>0.188</c:v>
                </c:pt>
                <c:pt idx="1370">
                  <c:v>0.21</c:v>
                </c:pt>
                <c:pt idx="1371">
                  <c:v>4.15E-4</c:v>
                </c:pt>
                <c:pt idx="1372">
                  <c:v>0.38100000000000001</c:v>
                </c:pt>
                <c:pt idx="1373">
                  <c:v>0.627</c:v>
                </c:pt>
                <c:pt idx="1374">
                  <c:v>1.8599999999999998E-2</c:v>
                </c:pt>
                <c:pt idx="1375">
                  <c:v>0.251</c:v>
                </c:pt>
                <c:pt idx="1376">
                  <c:v>0.54100000000000004</c:v>
                </c:pt>
                <c:pt idx="1377">
                  <c:v>0.878</c:v>
                </c:pt>
                <c:pt idx="1378">
                  <c:v>0.23699999999999999</c:v>
                </c:pt>
                <c:pt idx="1379">
                  <c:v>0.34399999999999997</c:v>
                </c:pt>
                <c:pt idx="1380">
                  <c:v>0.28000000000000003</c:v>
                </c:pt>
                <c:pt idx="1381">
                  <c:v>0.55300000000000005</c:v>
                </c:pt>
                <c:pt idx="1382">
                  <c:v>0.111</c:v>
                </c:pt>
                <c:pt idx="1383">
                  <c:v>8.43E-3</c:v>
                </c:pt>
                <c:pt idx="1384">
                  <c:v>0.52500000000000002</c:v>
                </c:pt>
                <c:pt idx="1385">
                  <c:v>0.23899999999999999</c:v>
                </c:pt>
                <c:pt idx="1386">
                  <c:v>0.20300000000000001</c:v>
                </c:pt>
                <c:pt idx="1387">
                  <c:v>0.35199999999999998</c:v>
                </c:pt>
                <c:pt idx="1388">
                  <c:v>0.307</c:v>
                </c:pt>
                <c:pt idx="1389">
                  <c:v>0.28199999999999997</c:v>
                </c:pt>
                <c:pt idx="1390">
                  <c:v>2.53E-2</c:v>
                </c:pt>
                <c:pt idx="1391">
                  <c:v>6.0800000000000003E-4</c:v>
                </c:pt>
                <c:pt idx="1392">
                  <c:v>5.0999999999999997E-2</c:v>
                </c:pt>
                <c:pt idx="1393">
                  <c:v>0.23599999999999999</c:v>
                </c:pt>
                <c:pt idx="1394">
                  <c:v>0.64300000000000002</c:v>
                </c:pt>
                <c:pt idx="1395">
                  <c:v>4.4699999999999997E-2</c:v>
                </c:pt>
                <c:pt idx="1396">
                  <c:v>0.35899999999999999</c:v>
                </c:pt>
                <c:pt idx="1397">
                  <c:v>1.5800000000000002E-2</c:v>
                </c:pt>
                <c:pt idx="1398">
                  <c:v>0.77700000000000002</c:v>
                </c:pt>
                <c:pt idx="1399">
                  <c:v>0.216</c:v>
                </c:pt>
                <c:pt idx="1400">
                  <c:v>0.22900000000000001</c:v>
                </c:pt>
                <c:pt idx="1401">
                  <c:v>0.9</c:v>
                </c:pt>
                <c:pt idx="1402">
                  <c:v>5.7000000000000002E-2</c:v>
                </c:pt>
                <c:pt idx="1403">
                  <c:v>0.318</c:v>
                </c:pt>
                <c:pt idx="1404">
                  <c:v>0.39300000000000002</c:v>
                </c:pt>
                <c:pt idx="1405">
                  <c:v>0.115</c:v>
                </c:pt>
                <c:pt idx="1406">
                  <c:v>4.1399999999999996E-3</c:v>
                </c:pt>
                <c:pt idx="1407">
                  <c:v>0.90800000000000003</c:v>
                </c:pt>
                <c:pt idx="1408">
                  <c:v>0.76600000000000001</c:v>
                </c:pt>
                <c:pt idx="1409">
                  <c:v>0.13200000000000001</c:v>
                </c:pt>
                <c:pt idx="1410">
                  <c:v>0.56499999999999995</c:v>
                </c:pt>
                <c:pt idx="1411">
                  <c:v>0.76400000000000001</c:v>
                </c:pt>
                <c:pt idx="1412">
                  <c:v>0.58199999999999996</c:v>
                </c:pt>
                <c:pt idx="1413">
                  <c:v>0.46</c:v>
                </c:pt>
                <c:pt idx="1414">
                  <c:v>0.13500000000000001</c:v>
                </c:pt>
                <c:pt idx="1415">
                  <c:v>0.76800000000000002</c:v>
                </c:pt>
                <c:pt idx="1416">
                  <c:v>4.6100000000000002E-2</c:v>
                </c:pt>
                <c:pt idx="1417">
                  <c:v>0.114</c:v>
                </c:pt>
                <c:pt idx="1418">
                  <c:v>0.27700000000000002</c:v>
                </c:pt>
                <c:pt idx="1419">
                  <c:v>0.91200000000000003</c:v>
                </c:pt>
                <c:pt idx="1420">
                  <c:v>6.2700000000000006E-2</c:v>
                </c:pt>
                <c:pt idx="1421">
                  <c:v>8.8099999999999998E-2</c:v>
                </c:pt>
                <c:pt idx="1422">
                  <c:v>3.32E-2</c:v>
                </c:pt>
                <c:pt idx="1423">
                  <c:v>0.97199999999999998</c:v>
                </c:pt>
                <c:pt idx="1424">
                  <c:v>0.83499999999999996</c:v>
                </c:pt>
                <c:pt idx="1425">
                  <c:v>0.13800000000000001</c:v>
                </c:pt>
                <c:pt idx="1426">
                  <c:v>3.3700000000000002E-3</c:v>
                </c:pt>
                <c:pt idx="1427">
                  <c:v>0.106</c:v>
                </c:pt>
                <c:pt idx="1428">
                  <c:v>0.40500000000000003</c:v>
                </c:pt>
                <c:pt idx="1429">
                  <c:v>3.8600000000000002E-2</c:v>
                </c:pt>
                <c:pt idx="1430">
                  <c:v>0.68300000000000005</c:v>
                </c:pt>
                <c:pt idx="1431">
                  <c:v>0.90300000000000002</c:v>
                </c:pt>
                <c:pt idx="1432">
                  <c:v>0.20699999999999999</c:v>
                </c:pt>
                <c:pt idx="1433">
                  <c:v>0.28000000000000003</c:v>
                </c:pt>
                <c:pt idx="1434">
                  <c:v>0.92</c:v>
                </c:pt>
                <c:pt idx="1435">
                  <c:v>3.2599999999999997E-2</c:v>
                </c:pt>
                <c:pt idx="1436">
                  <c:v>0.188</c:v>
                </c:pt>
                <c:pt idx="1437">
                  <c:v>0.25600000000000001</c:v>
                </c:pt>
                <c:pt idx="1438">
                  <c:v>0.251</c:v>
                </c:pt>
                <c:pt idx="1439">
                  <c:v>0.51600000000000001</c:v>
                </c:pt>
                <c:pt idx="1440">
                  <c:v>0.06</c:v>
                </c:pt>
                <c:pt idx="1441">
                  <c:v>0.109</c:v>
                </c:pt>
                <c:pt idx="1442">
                  <c:v>0.28899999999999998</c:v>
                </c:pt>
                <c:pt idx="1443">
                  <c:v>0.14399999999999999</c:v>
                </c:pt>
                <c:pt idx="1444">
                  <c:v>0.16400000000000001</c:v>
                </c:pt>
                <c:pt idx="1445">
                  <c:v>0.32200000000000001</c:v>
                </c:pt>
                <c:pt idx="1446">
                  <c:v>0.32200000000000001</c:v>
                </c:pt>
                <c:pt idx="1447">
                  <c:v>0.99399999999999999</c:v>
                </c:pt>
                <c:pt idx="1448">
                  <c:v>3.1800000000000002E-2</c:v>
                </c:pt>
                <c:pt idx="1449">
                  <c:v>0.67300000000000004</c:v>
                </c:pt>
                <c:pt idx="1450">
                  <c:v>2.47E-2</c:v>
                </c:pt>
                <c:pt idx="1451">
                  <c:v>0.249</c:v>
                </c:pt>
                <c:pt idx="1452">
                  <c:v>0.3</c:v>
                </c:pt>
                <c:pt idx="1453">
                  <c:v>0.40300000000000002</c:v>
                </c:pt>
                <c:pt idx="1454">
                  <c:v>8.4199999999999997E-2</c:v>
                </c:pt>
                <c:pt idx="1455">
                  <c:v>1.2800000000000001E-3</c:v>
                </c:pt>
                <c:pt idx="1456">
                  <c:v>0.55000000000000004</c:v>
                </c:pt>
                <c:pt idx="1457">
                  <c:v>2.0100000000000001E-3</c:v>
                </c:pt>
                <c:pt idx="1458">
                  <c:v>2.1499999999999998E-2</c:v>
                </c:pt>
                <c:pt idx="1459">
                  <c:v>0.57899999999999996</c:v>
                </c:pt>
                <c:pt idx="1460">
                  <c:v>0.9</c:v>
                </c:pt>
                <c:pt idx="1461">
                  <c:v>0.76</c:v>
                </c:pt>
                <c:pt idx="1462">
                  <c:v>0.48399999999999999</c:v>
                </c:pt>
                <c:pt idx="1463">
                  <c:v>0.86499999999999999</c:v>
                </c:pt>
                <c:pt idx="1464">
                  <c:v>4.48E-2</c:v>
                </c:pt>
                <c:pt idx="1465">
                  <c:v>1.83E-2</c:v>
                </c:pt>
                <c:pt idx="1466">
                  <c:v>0.64700000000000002</c:v>
                </c:pt>
                <c:pt idx="1467">
                  <c:v>3.39E-2</c:v>
                </c:pt>
                <c:pt idx="1468">
                  <c:v>0.129</c:v>
                </c:pt>
                <c:pt idx="1469">
                  <c:v>0.10199999999999999</c:v>
                </c:pt>
                <c:pt idx="1470">
                  <c:v>0.95699999999999996</c:v>
                </c:pt>
                <c:pt idx="1471">
                  <c:v>0.42399999999999999</c:v>
                </c:pt>
                <c:pt idx="1472">
                  <c:v>0.318</c:v>
                </c:pt>
                <c:pt idx="1473">
                  <c:v>0.39500000000000002</c:v>
                </c:pt>
                <c:pt idx="1474">
                  <c:v>0.73799999999999999</c:v>
                </c:pt>
                <c:pt idx="1475">
                  <c:v>1.5599999999999999E-2</c:v>
                </c:pt>
                <c:pt idx="1476">
                  <c:v>0.78500000000000003</c:v>
                </c:pt>
                <c:pt idx="1477">
                  <c:v>0.26300000000000001</c:v>
                </c:pt>
                <c:pt idx="1478">
                  <c:v>0.88200000000000001</c:v>
                </c:pt>
                <c:pt idx="1479">
                  <c:v>0.36199999999999999</c:v>
                </c:pt>
                <c:pt idx="1480">
                  <c:v>0.81299999999999994</c:v>
                </c:pt>
                <c:pt idx="1481">
                  <c:v>0.59899999999999998</c:v>
                </c:pt>
                <c:pt idx="1482">
                  <c:v>0.61299999999999999</c:v>
                </c:pt>
                <c:pt idx="1483">
                  <c:v>0.16900000000000001</c:v>
                </c:pt>
                <c:pt idx="1484">
                  <c:v>0.10199999999999999</c:v>
                </c:pt>
                <c:pt idx="1485">
                  <c:v>0.88800000000000001</c:v>
                </c:pt>
                <c:pt idx="1486">
                  <c:v>0.46400000000000002</c:v>
                </c:pt>
                <c:pt idx="1487">
                  <c:v>0.29199999999999998</c:v>
                </c:pt>
                <c:pt idx="1488">
                  <c:v>0.74399999999999999</c:v>
                </c:pt>
                <c:pt idx="1489">
                  <c:v>0.90200000000000002</c:v>
                </c:pt>
                <c:pt idx="1490">
                  <c:v>0.91900000000000004</c:v>
                </c:pt>
                <c:pt idx="1491">
                  <c:v>0.128</c:v>
                </c:pt>
                <c:pt idx="1492">
                  <c:v>0.104</c:v>
                </c:pt>
                <c:pt idx="1493">
                  <c:v>0.373</c:v>
                </c:pt>
                <c:pt idx="1494">
                  <c:v>1.9800000000000002E-2</c:v>
                </c:pt>
                <c:pt idx="1495">
                  <c:v>0.80400000000000005</c:v>
                </c:pt>
                <c:pt idx="1496">
                  <c:v>0.72699999999999998</c:v>
                </c:pt>
                <c:pt idx="1497">
                  <c:v>4.9500000000000002E-2</c:v>
                </c:pt>
                <c:pt idx="1498">
                  <c:v>0.72699999999999998</c:v>
                </c:pt>
                <c:pt idx="1499">
                  <c:v>4.7699999999999999E-3</c:v>
                </c:pt>
                <c:pt idx="1500">
                  <c:v>0.253</c:v>
                </c:pt>
                <c:pt idx="1501">
                  <c:v>0.11</c:v>
                </c:pt>
                <c:pt idx="1502">
                  <c:v>2.5000000000000001E-2</c:v>
                </c:pt>
                <c:pt idx="1503">
                  <c:v>0.95299999999999996</c:v>
                </c:pt>
                <c:pt idx="1504">
                  <c:v>0.73899999999999999</c:v>
                </c:pt>
                <c:pt idx="1505">
                  <c:v>0.33400000000000002</c:v>
                </c:pt>
                <c:pt idx="1506">
                  <c:v>0.13100000000000001</c:v>
                </c:pt>
                <c:pt idx="1507">
                  <c:v>0.81</c:v>
                </c:pt>
                <c:pt idx="1508">
                  <c:v>1.3599999999999999E-2</c:v>
                </c:pt>
                <c:pt idx="1509">
                  <c:v>1.23E-2</c:v>
                </c:pt>
                <c:pt idx="1510">
                  <c:v>0.89400000000000002</c:v>
                </c:pt>
                <c:pt idx="1511">
                  <c:v>9.8199999999999996E-2</c:v>
                </c:pt>
                <c:pt idx="1512">
                  <c:v>1.73E-3</c:v>
                </c:pt>
                <c:pt idx="1513">
                  <c:v>0.108</c:v>
                </c:pt>
                <c:pt idx="1514">
                  <c:v>1.06E-2</c:v>
                </c:pt>
                <c:pt idx="1515">
                  <c:v>0.443</c:v>
                </c:pt>
                <c:pt idx="1516">
                  <c:v>0.88100000000000001</c:v>
                </c:pt>
                <c:pt idx="1517">
                  <c:v>0.45800000000000002</c:v>
                </c:pt>
                <c:pt idx="1518">
                  <c:v>3.5799999999999998E-2</c:v>
                </c:pt>
                <c:pt idx="1519">
                  <c:v>0.13100000000000001</c:v>
                </c:pt>
                <c:pt idx="1520">
                  <c:v>0.105</c:v>
                </c:pt>
                <c:pt idx="1521">
                  <c:v>0.97899999999999998</c:v>
                </c:pt>
                <c:pt idx="1522">
                  <c:v>0.90100000000000002</c:v>
                </c:pt>
                <c:pt idx="1523">
                  <c:v>0.32800000000000001</c:v>
                </c:pt>
                <c:pt idx="1524">
                  <c:v>0.496</c:v>
                </c:pt>
                <c:pt idx="1525">
                  <c:v>0.218</c:v>
                </c:pt>
                <c:pt idx="1526">
                  <c:v>8.4699999999999998E-2</c:v>
                </c:pt>
                <c:pt idx="1527">
                  <c:v>6.13E-2</c:v>
                </c:pt>
                <c:pt idx="1528">
                  <c:v>0.70499999999999996</c:v>
                </c:pt>
                <c:pt idx="1529">
                  <c:v>0.21199999999999999</c:v>
                </c:pt>
                <c:pt idx="1530">
                  <c:v>7.11E-3</c:v>
                </c:pt>
                <c:pt idx="1531">
                  <c:v>0.18099999999999999</c:v>
                </c:pt>
                <c:pt idx="1532">
                  <c:v>0.114</c:v>
                </c:pt>
                <c:pt idx="1533">
                  <c:v>0.51900000000000002</c:v>
                </c:pt>
                <c:pt idx="1534">
                  <c:v>1.72E-2</c:v>
                </c:pt>
                <c:pt idx="1535">
                  <c:v>0.69799999999999995</c:v>
                </c:pt>
                <c:pt idx="1536">
                  <c:v>4.3299999999999998E-2</c:v>
                </c:pt>
                <c:pt idx="1537">
                  <c:v>0.182</c:v>
                </c:pt>
                <c:pt idx="1538">
                  <c:v>0.40400000000000003</c:v>
                </c:pt>
                <c:pt idx="1539">
                  <c:v>0.15</c:v>
                </c:pt>
                <c:pt idx="1540">
                  <c:v>9.4799999999999995E-2</c:v>
                </c:pt>
                <c:pt idx="1541">
                  <c:v>1.73E-3</c:v>
                </c:pt>
                <c:pt idx="1542">
                  <c:v>0.42499999999999999</c:v>
                </c:pt>
                <c:pt idx="1543">
                  <c:v>0.18099999999999999</c:v>
                </c:pt>
                <c:pt idx="1544">
                  <c:v>0.28899999999999998</c:v>
                </c:pt>
              </c:numCache>
            </c:numRef>
          </c:xVal>
          <c:yVal>
            <c:numRef>
              <c:f>Données!$V$2:$V$1558</c:f>
              <c:numCache>
                <c:formatCode>General</c:formatCode>
                <c:ptCount val="1557"/>
                <c:pt idx="0">
                  <c:v>2017</c:v>
                </c:pt>
                <c:pt idx="1">
                  <c:v>2021</c:v>
                </c:pt>
                <c:pt idx="2">
                  <c:v>2021</c:v>
                </c:pt>
                <c:pt idx="3">
                  <c:v>2021</c:v>
                </c:pt>
                <c:pt idx="4">
                  <c:v>2021</c:v>
                </c:pt>
                <c:pt idx="5">
                  <c:v>2021</c:v>
                </c:pt>
                <c:pt idx="6">
                  <c:v>2021</c:v>
                </c:pt>
                <c:pt idx="7">
                  <c:v>2021</c:v>
                </c:pt>
                <c:pt idx="8">
                  <c:v>2021</c:v>
                </c:pt>
                <c:pt idx="9">
                  <c:v>2021</c:v>
                </c:pt>
                <c:pt idx="10">
                  <c:v>2021</c:v>
                </c:pt>
                <c:pt idx="11">
                  <c:v>2021</c:v>
                </c:pt>
                <c:pt idx="12">
                  <c:v>2021</c:v>
                </c:pt>
                <c:pt idx="13">
                  <c:v>2021</c:v>
                </c:pt>
                <c:pt idx="14">
                  <c:v>2021</c:v>
                </c:pt>
                <c:pt idx="15">
                  <c:v>2021</c:v>
                </c:pt>
                <c:pt idx="16">
                  <c:v>2021</c:v>
                </c:pt>
                <c:pt idx="17">
                  <c:v>2021</c:v>
                </c:pt>
                <c:pt idx="18">
                  <c:v>2021</c:v>
                </c:pt>
                <c:pt idx="19">
                  <c:v>2021</c:v>
                </c:pt>
                <c:pt idx="20">
                  <c:v>2020</c:v>
                </c:pt>
                <c:pt idx="21">
                  <c:v>2021</c:v>
                </c:pt>
                <c:pt idx="22">
                  <c:v>2021</c:v>
                </c:pt>
                <c:pt idx="23">
                  <c:v>2021</c:v>
                </c:pt>
                <c:pt idx="24">
                  <c:v>2021</c:v>
                </c:pt>
                <c:pt idx="25">
                  <c:v>2021</c:v>
                </c:pt>
                <c:pt idx="26">
                  <c:v>2021</c:v>
                </c:pt>
                <c:pt idx="27">
                  <c:v>2021</c:v>
                </c:pt>
                <c:pt idx="28">
                  <c:v>2021</c:v>
                </c:pt>
                <c:pt idx="29">
                  <c:v>2021</c:v>
                </c:pt>
                <c:pt idx="30">
                  <c:v>2021</c:v>
                </c:pt>
                <c:pt idx="31">
                  <c:v>2019</c:v>
                </c:pt>
                <c:pt idx="32">
                  <c:v>2021</c:v>
                </c:pt>
                <c:pt idx="33">
                  <c:v>2021</c:v>
                </c:pt>
                <c:pt idx="34">
                  <c:v>2020</c:v>
                </c:pt>
                <c:pt idx="35">
                  <c:v>2020</c:v>
                </c:pt>
                <c:pt idx="36">
                  <c:v>2021</c:v>
                </c:pt>
                <c:pt idx="37">
                  <c:v>2021</c:v>
                </c:pt>
                <c:pt idx="38">
                  <c:v>2021</c:v>
                </c:pt>
                <c:pt idx="39">
                  <c:v>2021</c:v>
                </c:pt>
                <c:pt idx="40">
                  <c:v>2021</c:v>
                </c:pt>
                <c:pt idx="41">
                  <c:v>2020</c:v>
                </c:pt>
                <c:pt idx="42">
                  <c:v>2021</c:v>
                </c:pt>
                <c:pt idx="43">
                  <c:v>2021</c:v>
                </c:pt>
                <c:pt idx="44">
                  <c:v>2021</c:v>
                </c:pt>
                <c:pt idx="45">
                  <c:v>2021</c:v>
                </c:pt>
                <c:pt idx="46">
                  <c:v>2021</c:v>
                </c:pt>
                <c:pt idx="47">
                  <c:v>2021</c:v>
                </c:pt>
                <c:pt idx="48">
                  <c:v>2021</c:v>
                </c:pt>
                <c:pt idx="49">
                  <c:v>2021</c:v>
                </c:pt>
                <c:pt idx="50">
                  <c:v>2021</c:v>
                </c:pt>
                <c:pt idx="51">
                  <c:v>2020</c:v>
                </c:pt>
                <c:pt idx="52">
                  <c:v>2021</c:v>
                </c:pt>
                <c:pt idx="53">
                  <c:v>2021</c:v>
                </c:pt>
                <c:pt idx="54">
                  <c:v>2021</c:v>
                </c:pt>
                <c:pt idx="55">
                  <c:v>2021</c:v>
                </c:pt>
                <c:pt idx="56">
                  <c:v>2021</c:v>
                </c:pt>
                <c:pt idx="57">
                  <c:v>2021</c:v>
                </c:pt>
                <c:pt idx="58">
                  <c:v>2021</c:v>
                </c:pt>
                <c:pt idx="59">
                  <c:v>2021</c:v>
                </c:pt>
                <c:pt idx="60">
                  <c:v>2020</c:v>
                </c:pt>
                <c:pt idx="61">
                  <c:v>2021</c:v>
                </c:pt>
                <c:pt idx="62">
                  <c:v>2021</c:v>
                </c:pt>
                <c:pt idx="63">
                  <c:v>2020</c:v>
                </c:pt>
                <c:pt idx="64">
                  <c:v>2018</c:v>
                </c:pt>
                <c:pt idx="65">
                  <c:v>2013</c:v>
                </c:pt>
                <c:pt idx="66">
                  <c:v>2021</c:v>
                </c:pt>
                <c:pt idx="67">
                  <c:v>2021</c:v>
                </c:pt>
                <c:pt idx="68">
                  <c:v>2021</c:v>
                </c:pt>
                <c:pt idx="69">
                  <c:v>2017</c:v>
                </c:pt>
                <c:pt idx="70">
                  <c:v>2021</c:v>
                </c:pt>
                <c:pt idx="71">
                  <c:v>2020</c:v>
                </c:pt>
                <c:pt idx="72">
                  <c:v>2021</c:v>
                </c:pt>
                <c:pt idx="73">
                  <c:v>2021</c:v>
                </c:pt>
                <c:pt idx="74">
                  <c:v>2020</c:v>
                </c:pt>
                <c:pt idx="75">
                  <c:v>2021</c:v>
                </c:pt>
                <c:pt idx="76">
                  <c:v>2019</c:v>
                </c:pt>
                <c:pt idx="77">
                  <c:v>2021</c:v>
                </c:pt>
                <c:pt idx="78">
                  <c:v>2019</c:v>
                </c:pt>
                <c:pt idx="79">
                  <c:v>2021</c:v>
                </c:pt>
                <c:pt idx="80">
                  <c:v>2021</c:v>
                </c:pt>
                <c:pt idx="81">
                  <c:v>2020</c:v>
                </c:pt>
                <c:pt idx="82">
                  <c:v>2019</c:v>
                </c:pt>
                <c:pt idx="83">
                  <c:v>2021</c:v>
                </c:pt>
                <c:pt idx="84">
                  <c:v>2020</c:v>
                </c:pt>
                <c:pt idx="85">
                  <c:v>2021</c:v>
                </c:pt>
                <c:pt idx="86">
                  <c:v>2021</c:v>
                </c:pt>
                <c:pt idx="87">
                  <c:v>2021</c:v>
                </c:pt>
                <c:pt idx="88">
                  <c:v>2017</c:v>
                </c:pt>
                <c:pt idx="89">
                  <c:v>2021</c:v>
                </c:pt>
                <c:pt idx="90">
                  <c:v>2021</c:v>
                </c:pt>
                <c:pt idx="91">
                  <c:v>2021</c:v>
                </c:pt>
                <c:pt idx="92">
                  <c:v>2018</c:v>
                </c:pt>
                <c:pt idx="93">
                  <c:v>2019</c:v>
                </c:pt>
                <c:pt idx="94">
                  <c:v>2019</c:v>
                </c:pt>
                <c:pt idx="95">
                  <c:v>2017</c:v>
                </c:pt>
                <c:pt idx="96">
                  <c:v>2020</c:v>
                </c:pt>
                <c:pt idx="97">
                  <c:v>2020</c:v>
                </c:pt>
                <c:pt idx="98">
                  <c:v>2020</c:v>
                </c:pt>
                <c:pt idx="99">
                  <c:v>2020</c:v>
                </c:pt>
                <c:pt idx="100">
                  <c:v>2021</c:v>
                </c:pt>
                <c:pt idx="101">
                  <c:v>2020</c:v>
                </c:pt>
                <c:pt idx="102">
                  <c:v>2021</c:v>
                </c:pt>
                <c:pt idx="103">
                  <c:v>2021</c:v>
                </c:pt>
                <c:pt idx="104">
                  <c:v>2021</c:v>
                </c:pt>
                <c:pt idx="105">
                  <c:v>2021</c:v>
                </c:pt>
                <c:pt idx="106">
                  <c:v>2021</c:v>
                </c:pt>
                <c:pt idx="107">
                  <c:v>2017</c:v>
                </c:pt>
                <c:pt idx="108">
                  <c:v>2021</c:v>
                </c:pt>
                <c:pt idx="109">
                  <c:v>2014</c:v>
                </c:pt>
                <c:pt idx="110">
                  <c:v>2015</c:v>
                </c:pt>
                <c:pt idx="111">
                  <c:v>2021</c:v>
                </c:pt>
                <c:pt idx="112">
                  <c:v>2021</c:v>
                </c:pt>
                <c:pt idx="113">
                  <c:v>2021</c:v>
                </c:pt>
                <c:pt idx="114">
                  <c:v>2021</c:v>
                </c:pt>
                <c:pt idx="115">
                  <c:v>2020</c:v>
                </c:pt>
                <c:pt idx="116">
                  <c:v>2020</c:v>
                </c:pt>
                <c:pt idx="117">
                  <c:v>2021</c:v>
                </c:pt>
                <c:pt idx="118">
                  <c:v>2021</c:v>
                </c:pt>
                <c:pt idx="119">
                  <c:v>2000</c:v>
                </c:pt>
                <c:pt idx="120">
                  <c:v>2020</c:v>
                </c:pt>
                <c:pt idx="121">
                  <c:v>2018</c:v>
                </c:pt>
                <c:pt idx="122">
                  <c:v>2021</c:v>
                </c:pt>
                <c:pt idx="123">
                  <c:v>2021</c:v>
                </c:pt>
                <c:pt idx="124">
                  <c:v>2021</c:v>
                </c:pt>
                <c:pt idx="125">
                  <c:v>2020</c:v>
                </c:pt>
                <c:pt idx="126">
                  <c:v>2021</c:v>
                </c:pt>
                <c:pt idx="127">
                  <c:v>2020</c:v>
                </c:pt>
                <c:pt idx="128">
                  <c:v>2019</c:v>
                </c:pt>
                <c:pt idx="129">
                  <c:v>2021</c:v>
                </c:pt>
                <c:pt idx="130">
                  <c:v>2021</c:v>
                </c:pt>
                <c:pt idx="131">
                  <c:v>2019</c:v>
                </c:pt>
                <c:pt idx="132">
                  <c:v>2020</c:v>
                </c:pt>
                <c:pt idx="133">
                  <c:v>2021</c:v>
                </c:pt>
                <c:pt idx="134">
                  <c:v>2021</c:v>
                </c:pt>
                <c:pt idx="135">
                  <c:v>2021</c:v>
                </c:pt>
                <c:pt idx="136">
                  <c:v>2021</c:v>
                </c:pt>
                <c:pt idx="137">
                  <c:v>2021</c:v>
                </c:pt>
                <c:pt idx="138">
                  <c:v>2013</c:v>
                </c:pt>
                <c:pt idx="139">
                  <c:v>2021</c:v>
                </c:pt>
                <c:pt idx="140">
                  <c:v>2021</c:v>
                </c:pt>
                <c:pt idx="141">
                  <c:v>2021</c:v>
                </c:pt>
                <c:pt idx="142">
                  <c:v>2021</c:v>
                </c:pt>
                <c:pt idx="143">
                  <c:v>2020</c:v>
                </c:pt>
                <c:pt idx="144">
                  <c:v>2020</c:v>
                </c:pt>
                <c:pt idx="145">
                  <c:v>2021</c:v>
                </c:pt>
                <c:pt idx="146">
                  <c:v>1977</c:v>
                </c:pt>
                <c:pt idx="147">
                  <c:v>2016</c:v>
                </c:pt>
                <c:pt idx="148">
                  <c:v>2019</c:v>
                </c:pt>
                <c:pt idx="149">
                  <c:v>2017</c:v>
                </c:pt>
                <c:pt idx="150">
                  <c:v>2016</c:v>
                </c:pt>
                <c:pt idx="151">
                  <c:v>2019</c:v>
                </c:pt>
                <c:pt idx="152">
                  <c:v>2019</c:v>
                </c:pt>
                <c:pt idx="153">
                  <c:v>2021</c:v>
                </c:pt>
                <c:pt idx="154">
                  <c:v>2021</c:v>
                </c:pt>
                <c:pt idx="155">
                  <c:v>2013</c:v>
                </c:pt>
                <c:pt idx="156">
                  <c:v>2021</c:v>
                </c:pt>
                <c:pt idx="157">
                  <c:v>2020</c:v>
                </c:pt>
                <c:pt idx="158">
                  <c:v>2018</c:v>
                </c:pt>
                <c:pt idx="159">
                  <c:v>2015</c:v>
                </c:pt>
                <c:pt idx="160">
                  <c:v>2015</c:v>
                </c:pt>
                <c:pt idx="161">
                  <c:v>2020</c:v>
                </c:pt>
                <c:pt idx="162">
                  <c:v>2018</c:v>
                </c:pt>
                <c:pt idx="163">
                  <c:v>2021</c:v>
                </c:pt>
                <c:pt idx="164">
                  <c:v>2020</c:v>
                </c:pt>
                <c:pt idx="165">
                  <c:v>2021</c:v>
                </c:pt>
                <c:pt idx="166">
                  <c:v>2019</c:v>
                </c:pt>
                <c:pt idx="167">
                  <c:v>2019</c:v>
                </c:pt>
                <c:pt idx="168">
                  <c:v>1985</c:v>
                </c:pt>
                <c:pt idx="169">
                  <c:v>2021</c:v>
                </c:pt>
                <c:pt idx="170">
                  <c:v>2016</c:v>
                </c:pt>
                <c:pt idx="171">
                  <c:v>2000</c:v>
                </c:pt>
                <c:pt idx="172">
                  <c:v>2013</c:v>
                </c:pt>
                <c:pt idx="173">
                  <c:v>2014</c:v>
                </c:pt>
                <c:pt idx="174">
                  <c:v>2018</c:v>
                </c:pt>
                <c:pt idx="175">
                  <c:v>2021</c:v>
                </c:pt>
                <c:pt idx="176">
                  <c:v>2021</c:v>
                </c:pt>
                <c:pt idx="177">
                  <c:v>2019</c:v>
                </c:pt>
                <c:pt idx="178">
                  <c:v>2019</c:v>
                </c:pt>
                <c:pt idx="179">
                  <c:v>2010</c:v>
                </c:pt>
                <c:pt idx="180">
                  <c:v>2021</c:v>
                </c:pt>
                <c:pt idx="181">
                  <c:v>2020</c:v>
                </c:pt>
                <c:pt idx="182">
                  <c:v>2021</c:v>
                </c:pt>
                <c:pt idx="183">
                  <c:v>2021</c:v>
                </c:pt>
                <c:pt idx="184">
                  <c:v>2018</c:v>
                </c:pt>
                <c:pt idx="185">
                  <c:v>2021</c:v>
                </c:pt>
                <c:pt idx="186">
                  <c:v>2021</c:v>
                </c:pt>
                <c:pt idx="187">
                  <c:v>2020</c:v>
                </c:pt>
                <c:pt idx="188">
                  <c:v>2021</c:v>
                </c:pt>
                <c:pt idx="189">
                  <c:v>1983</c:v>
                </c:pt>
                <c:pt idx="190">
                  <c:v>2018</c:v>
                </c:pt>
                <c:pt idx="191">
                  <c:v>2021</c:v>
                </c:pt>
                <c:pt idx="192">
                  <c:v>2016</c:v>
                </c:pt>
                <c:pt idx="193">
                  <c:v>2019</c:v>
                </c:pt>
                <c:pt idx="194">
                  <c:v>2019</c:v>
                </c:pt>
                <c:pt idx="195">
                  <c:v>2020</c:v>
                </c:pt>
                <c:pt idx="196">
                  <c:v>2021</c:v>
                </c:pt>
                <c:pt idx="197">
                  <c:v>2021</c:v>
                </c:pt>
                <c:pt idx="198">
                  <c:v>2021</c:v>
                </c:pt>
                <c:pt idx="199">
                  <c:v>2020</c:v>
                </c:pt>
                <c:pt idx="200">
                  <c:v>2021</c:v>
                </c:pt>
                <c:pt idx="201">
                  <c:v>2021</c:v>
                </c:pt>
                <c:pt idx="202">
                  <c:v>2020</c:v>
                </c:pt>
                <c:pt idx="203">
                  <c:v>2020</c:v>
                </c:pt>
                <c:pt idx="204">
                  <c:v>2021</c:v>
                </c:pt>
                <c:pt idx="205">
                  <c:v>2018</c:v>
                </c:pt>
                <c:pt idx="206">
                  <c:v>1979</c:v>
                </c:pt>
                <c:pt idx="207">
                  <c:v>2019</c:v>
                </c:pt>
                <c:pt idx="208">
                  <c:v>2021</c:v>
                </c:pt>
                <c:pt idx="209">
                  <c:v>2012</c:v>
                </c:pt>
                <c:pt idx="210">
                  <c:v>2021</c:v>
                </c:pt>
                <c:pt idx="211">
                  <c:v>2015</c:v>
                </c:pt>
                <c:pt idx="212">
                  <c:v>2020</c:v>
                </c:pt>
                <c:pt idx="213">
                  <c:v>2020</c:v>
                </c:pt>
                <c:pt idx="214">
                  <c:v>2019</c:v>
                </c:pt>
                <c:pt idx="215">
                  <c:v>2021</c:v>
                </c:pt>
                <c:pt idx="216">
                  <c:v>2021</c:v>
                </c:pt>
                <c:pt idx="217">
                  <c:v>2018</c:v>
                </c:pt>
                <c:pt idx="218">
                  <c:v>2020</c:v>
                </c:pt>
                <c:pt idx="219">
                  <c:v>2014</c:v>
                </c:pt>
                <c:pt idx="220">
                  <c:v>2019</c:v>
                </c:pt>
                <c:pt idx="221">
                  <c:v>2005</c:v>
                </c:pt>
                <c:pt idx="222">
                  <c:v>2020</c:v>
                </c:pt>
                <c:pt idx="223">
                  <c:v>2015</c:v>
                </c:pt>
                <c:pt idx="224">
                  <c:v>2019</c:v>
                </c:pt>
                <c:pt idx="225">
                  <c:v>2000</c:v>
                </c:pt>
                <c:pt idx="226">
                  <c:v>2017</c:v>
                </c:pt>
                <c:pt idx="227">
                  <c:v>2021</c:v>
                </c:pt>
                <c:pt idx="228">
                  <c:v>2017</c:v>
                </c:pt>
                <c:pt idx="229">
                  <c:v>2020</c:v>
                </c:pt>
                <c:pt idx="230">
                  <c:v>2021</c:v>
                </c:pt>
                <c:pt idx="231">
                  <c:v>2020</c:v>
                </c:pt>
                <c:pt idx="232">
                  <c:v>2018</c:v>
                </c:pt>
                <c:pt idx="233">
                  <c:v>2019</c:v>
                </c:pt>
                <c:pt idx="234">
                  <c:v>2021</c:v>
                </c:pt>
                <c:pt idx="235">
                  <c:v>2021</c:v>
                </c:pt>
                <c:pt idx="236">
                  <c:v>2020</c:v>
                </c:pt>
                <c:pt idx="237">
                  <c:v>2021</c:v>
                </c:pt>
                <c:pt idx="238">
                  <c:v>2021</c:v>
                </c:pt>
                <c:pt idx="239">
                  <c:v>2020</c:v>
                </c:pt>
                <c:pt idx="240">
                  <c:v>2021</c:v>
                </c:pt>
                <c:pt idx="241">
                  <c:v>2019</c:v>
                </c:pt>
                <c:pt idx="242">
                  <c:v>2021</c:v>
                </c:pt>
                <c:pt idx="243">
                  <c:v>2021</c:v>
                </c:pt>
                <c:pt idx="244">
                  <c:v>2020</c:v>
                </c:pt>
                <c:pt idx="245">
                  <c:v>2020</c:v>
                </c:pt>
                <c:pt idx="246">
                  <c:v>2020</c:v>
                </c:pt>
                <c:pt idx="247">
                  <c:v>2019</c:v>
                </c:pt>
                <c:pt idx="248">
                  <c:v>2019</c:v>
                </c:pt>
                <c:pt idx="249">
                  <c:v>2021</c:v>
                </c:pt>
                <c:pt idx="250">
                  <c:v>2020</c:v>
                </c:pt>
                <c:pt idx="251">
                  <c:v>2019</c:v>
                </c:pt>
                <c:pt idx="252">
                  <c:v>2006</c:v>
                </c:pt>
                <c:pt idx="253">
                  <c:v>2016</c:v>
                </c:pt>
                <c:pt idx="254">
                  <c:v>2019</c:v>
                </c:pt>
                <c:pt idx="255">
                  <c:v>2015</c:v>
                </c:pt>
                <c:pt idx="256">
                  <c:v>2020</c:v>
                </c:pt>
                <c:pt idx="257">
                  <c:v>2021</c:v>
                </c:pt>
                <c:pt idx="258">
                  <c:v>2020</c:v>
                </c:pt>
                <c:pt idx="259">
                  <c:v>2014</c:v>
                </c:pt>
                <c:pt idx="260">
                  <c:v>2011</c:v>
                </c:pt>
                <c:pt idx="261">
                  <c:v>2013</c:v>
                </c:pt>
                <c:pt idx="262">
                  <c:v>2021</c:v>
                </c:pt>
                <c:pt idx="263">
                  <c:v>2021</c:v>
                </c:pt>
                <c:pt idx="264">
                  <c:v>2012</c:v>
                </c:pt>
                <c:pt idx="265">
                  <c:v>2012</c:v>
                </c:pt>
                <c:pt idx="266">
                  <c:v>2021</c:v>
                </c:pt>
                <c:pt idx="267">
                  <c:v>2021</c:v>
                </c:pt>
                <c:pt idx="268">
                  <c:v>2020</c:v>
                </c:pt>
                <c:pt idx="269">
                  <c:v>2018</c:v>
                </c:pt>
                <c:pt idx="270">
                  <c:v>2017</c:v>
                </c:pt>
                <c:pt idx="271">
                  <c:v>2020</c:v>
                </c:pt>
                <c:pt idx="272">
                  <c:v>2018</c:v>
                </c:pt>
                <c:pt idx="273">
                  <c:v>2018</c:v>
                </c:pt>
                <c:pt idx="274">
                  <c:v>2019</c:v>
                </c:pt>
                <c:pt idx="275">
                  <c:v>2018</c:v>
                </c:pt>
                <c:pt idx="276">
                  <c:v>2019</c:v>
                </c:pt>
                <c:pt idx="277">
                  <c:v>2018</c:v>
                </c:pt>
                <c:pt idx="278">
                  <c:v>2018</c:v>
                </c:pt>
                <c:pt idx="279">
                  <c:v>2017</c:v>
                </c:pt>
                <c:pt idx="280">
                  <c:v>2021</c:v>
                </c:pt>
                <c:pt idx="281">
                  <c:v>2021</c:v>
                </c:pt>
                <c:pt idx="282">
                  <c:v>2021</c:v>
                </c:pt>
                <c:pt idx="283">
                  <c:v>2021</c:v>
                </c:pt>
                <c:pt idx="284">
                  <c:v>2021</c:v>
                </c:pt>
                <c:pt idx="285">
                  <c:v>2021</c:v>
                </c:pt>
                <c:pt idx="286">
                  <c:v>2021</c:v>
                </c:pt>
                <c:pt idx="287">
                  <c:v>2021</c:v>
                </c:pt>
                <c:pt idx="288">
                  <c:v>2020</c:v>
                </c:pt>
                <c:pt idx="289">
                  <c:v>2020</c:v>
                </c:pt>
                <c:pt idx="290">
                  <c:v>2021</c:v>
                </c:pt>
                <c:pt idx="291">
                  <c:v>2021</c:v>
                </c:pt>
                <c:pt idx="292">
                  <c:v>2021</c:v>
                </c:pt>
                <c:pt idx="293">
                  <c:v>2021</c:v>
                </c:pt>
                <c:pt idx="294">
                  <c:v>2020</c:v>
                </c:pt>
                <c:pt idx="295">
                  <c:v>2020</c:v>
                </c:pt>
                <c:pt idx="296">
                  <c:v>2021</c:v>
                </c:pt>
                <c:pt idx="297">
                  <c:v>2021</c:v>
                </c:pt>
                <c:pt idx="298">
                  <c:v>2020</c:v>
                </c:pt>
                <c:pt idx="299">
                  <c:v>2021</c:v>
                </c:pt>
                <c:pt idx="300">
                  <c:v>2020</c:v>
                </c:pt>
                <c:pt idx="301">
                  <c:v>2021</c:v>
                </c:pt>
                <c:pt idx="302">
                  <c:v>2005</c:v>
                </c:pt>
                <c:pt idx="303">
                  <c:v>2021</c:v>
                </c:pt>
                <c:pt idx="304">
                  <c:v>2021</c:v>
                </c:pt>
                <c:pt idx="305">
                  <c:v>2021</c:v>
                </c:pt>
                <c:pt idx="306">
                  <c:v>2008</c:v>
                </c:pt>
                <c:pt idx="307">
                  <c:v>2020</c:v>
                </c:pt>
                <c:pt idx="308">
                  <c:v>2020</c:v>
                </c:pt>
                <c:pt idx="309">
                  <c:v>2019</c:v>
                </c:pt>
                <c:pt idx="310">
                  <c:v>2020</c:v>
                </c:pt>
                <c:pt idx="311">
                  <c:v>2021</c:v>
                </c:pt>
                <c:pt idx="312">
                  <c:v>2019</c:v>
                </c:pt>
                <c:pt idx="313">
                  <c:v>2021</c:v>
                </c:pt>
                <c:pt idx="314">
                  <c:v>2019</c:v>
                </c:pt>
                <c:pt idx="315">
                  <c:v>2019</c:v>
                </c:pt>
                <c:pt idx="316">
                  <c:v>2019</c:v>
                </c:pt>
                <c:pt idx="317">
                  <c:v>2018</c:v>
                </c:pt>
                <c:pt idx="318">
                  <c:v>2019</c:v>
                </c:pt>
                <c:pt idx="319">
                  <c:v>2019</c:v>
                </c:pt>
                <c:pt idx="320">
                  <c:v>2013</c:v>
                </c:pt>
                <c:pt idx="321">
                  <c:v>2018</c:v>
                </c:pt>
                <c:pt idx="322">
                  <c:v>2020</c:v>
                </c:pt>
                <c:pt idx="323">
                  <c:v>2020</c:v>
                </c:pt>
                <c:pt idx="324">
                  <c:v>2018</c:v>
                </c:pt>
                <c:pt idx="325">
                  <c:v>2019</c:v>
                </c:pt>
                <c:pt idx="326">
                  <c:v>2019</c:v>
                </c:pt>
                <c:pt idx="327">
                  <c:v>2020</c:v>
                </c:pt>
                <c:pt idx="328">
                  <c:v>2018</c:v>
                </c:pt>
                <c:pt idx="329">
                  <c:v>2018</c:v>
                </c:pt>
                <c:pt idx="330">
                  <c:v>1981</c:v>
                </c:pt>
                <c:pt idx="331">
                  <c:v>2019</c:v>
                </c:pt>
                <c:pt idx="332">
                  <c:v>2020</c:v>
                </c:pt>
                <c:pt idx="333">
                  <c:v>2018</c:v>
                </c:pt>
                <c:pt idx="334">
                  <c:v>2021</c:v>
                </c:pt>
                <c:pt idx="335">
                  <c:v>2020</c:v>
                </c:pt>
                <c:pt idx="336">
                  <c:v>2021</c:v>
                </c:pt>
                <c:pt idx="337">
                  <c:v>2020</c:v>
                </c:pt>
                <c:pt idx="338">
                  <c:v>2021</c:v>
                </c:pt>
                <c:pt idx="339">
                  <c:v>2021</c:v>
                </c:pt>
                <c:pt idx="340">
                  <c:v>2021</c:v>
                </c:pt>
                <c:pt idx="341">
                  <c:v>2019</c:v>
                </c:pt>
                <c:pt idx="342">
                  <c:v>2015</c:v>
                </c:pt>
                <c:pt idx="343">
                  <c:v>2021</c:v>
                </c:pt>
                <c:pt idx="344">
                  <c:v>2020</c:v>
                </c:pt>
                <c:pt idx="345">
                  <c:v>2021</c:v>
                </c:pt>
                <c:pt idx="346">
                  <c:v>1978</c:v>
                </c:pt>
                <c:pt idx="347">
                  <c:v>2020</c:v>
                </c:pt>
                <c:pt idx="348">
                  <c:v>2021</c:v>
                </c:pt>
                <c:pt idx="349">
                  <c:v>2016</c:v>
                </c:pt>
                <c:pt idx="350">
                  <c:v>2018</c:v>
                </c:pt>
                <c:pt idx="351">
                  <c:v>2021</c:v>
                </c:pt>
                <c:pt idx="352">
                  <c:v>2020</c:v>
                </c:pt>
                <c:pt idx="353">
                  <c:v>2020</c:v>
                </c:pt>
                <c:pt idx="354">
                  <c:v>2021</c:v>
                </c:pt>
                <c:pt idx="355">
                  <c:v>2021</c:v>
                </c:pt>
                <c:pt idx="356">
                  <c:v>2021</c:v>
                </c:pt>
                <c:pt idx="357">
                  <c:v>2021</c:v>
                </c:pt>
                <c:pt idx="358">
                  <c:v>2020</c:v>
                </c:pt>
                <c:pt idx="359">
                  <c:v>2021</c:v>
                </c:pt>
                <c:pt idx="360">
                  <c:v>2016</c:v>
                </c:pt>
                <c:pt idx="361">
                  <c:v>2019</c:v>
                </c:pt>
                <c:pt idx="362">
                  <c:v>2021</c:v>
                </c:pt>
                <c:pt idx="363">
                  <c:v>2016</c:v>
                </c:pt>
                <c:pt idx="364">
                  <c:v>2010</c:v>
                </c:pt>
                <c:pt idx="365">
                  <c:v>2020</c:v>
                </c:pt>
                <c:pt idx="366">
                  <c:v>2020</c:v>
                </c:pt>
                <c:pt idx="367">
                  <c:v>2019</c:v>
                </c:pt>
                <c:pt idx="368">
                  <c:v>2021</c:v>
                </c:pt>
                <c:pt idx="369">
                  <c:v>2020</c:v>
                </c:pt>
                <c:pt idx="370">
                  <c:v>2019</c:v>
                </c:pt>
                <c:pt idx="371">
                  <c:v>2018</c:v>
                </c:pt>
                <c:pt idx="372">
                  <c:v>2019</c:v>
                </c:pt>
                <c:pt idx="373">
                  <c:v>2020</c:v>
                </c:pt>
                <c:pt idx="374">
                  <c:v>2020</c:v>
                </c:pt>
                <c:pt idx="375">
                  <c:v>2020</c:v>
                </c:pt>
                <c:pt idx="376">
                  <c:v>2020</c:v>
                </c:pt>
                <c:pt idx="377">
                  <c:v>2020</c:v>
                </c:pt>
                <c:pt idx="378">
                  <c:v>2020</c:v>
                </c:pt>
                <c:pt idx="379">
                  <c:v>2020</c:v>
                </c:pt>
                <c:pt idx="380">
                  <c:v>2015</c:v>
                </c:pt>
                <c:pt idx="381">
                  <c:v>2021</c:v>
                </c:pt>
                <c:pt idx="382">
                  <c:v>2019</c:v>
                </c:pt>
                <c:pt idx="383">
                  <c:v>2020</c:v>
                </c:pt>
                <c:pt idx="384">
                  <c:v>2019</c:v>
                </c:pt>
                <c:pt idx="385">
                  <c:v>2019</c:v>
                </c:pt>
                <c:pt idx="386">
                  <c:v>2019</c:v>
                </c:pt>
                <c:pt idx="387">
                  <c:v>2019</c:v>
                </c:pt>
                <c:pt idx="388">
                  <c:v>2008</c:v>
                </c:pt>
                <c:pt idx="389">
                  <c:v>2018</c:v>
                </c:pt>
                <c:pt idx="390">
                  <c:v>2020</c:v>
                </c:pt>
                <c:pt idx="391">
                  <c:v>2019</c:v>
                </c:pt>
                <c:pt idx="392">
                  <c:v>2021</c:v>
                </c:pt>
                <c:pt idx="393">
                  <c:v>2021</c:v>
                </c:pt>
                <c:pt idx="394">
                  <c:v>2021</c:v>
                </c:pt>
                <c:pt idx="395">
                  <c:v>2021</c:v>
                </c:pt>
                <c:pt idx="396">
                  <c:v>2020</c:v>
                </c:pt>
                <c:pt idx="397">
                  <c:v>2020</c:v>
                </c:pt>
                <c:pt idx="398">
                  <c:v>2020</c:v>
                </c:pt>
                <c:pt idx="399">
                  <c:v>2021</c:v>
                </c:pt>
                <c:pt idx="400">
                  <c:v>2021</c:v>
                </c:pt>
                <c:pt idx="401">
                  <c:v>2020</c:v>
                </c:pt>
                <c:pt idx="402">
                  <c:v>2021</c:v>
                </c:pt>
                <c:pt idx="403">
                  <c:v>2020</c:v>
                </c:pt>
                <c:pt idx="404">
                  <c:v>2021</c:v>
                </c:pt>
                <c:pt idx="405">
                  <c:v>2021</c:v>
                </c:pt>
                <c:pt idx="406">
                  <c:v>2020</c:v>
                </c:pt>
                <c:pt idx="407">
                  <c:v>2020</c:v>
                </c:pt>
                <c:pt idx="408">
                  <c:v>2020</c:v>
                </c:pt>
                <c:pt idx="409">
                  <c:v>2020</c:v>
                </c:pt>
                <c:pt idx="410">
                  <c:v>2020</c:v>
                </c:pt>
                <c:pt idx="411">
                  <c:v>2020</c:v>
                </c:pt>
                <c:pt idx="412">
                  <c:v>2020</c:v>
                </c:pt>
                <c:pt idx="413">
                  <c:v>2021</c:v>
                </c:pt>
                <c:pt idx="414">
                  <c:v>2020</c:v>
                </c:pt>
                <c:pt idx="415">
                  <c:v>2020</c:v>
                </c:pt>
                <c:pt idx="416">
                  <c:v>2019</c:v>
                </c:pt>
                <c:pt idx="417">
                  <c:v>2020</c:v>
                </c:pt>
                <c:pt idx="418">
                  <c:v>2019</c:v>
                </c:pt>
                <c:pt idx="419">
                  <c:v>2020</c:v>
                </c:pt>
                <c:pt idx="420">
                  <c:v>2020</c:v>
                </c:pt>
                <c:pt idx="421">
                  <c:v>2021</c:v>
                </c:pt>
                <c:pt idx="422">
                  <c:v>2020</c:v>
                </c:pt>
                <c:pt idx="423">
                  <c:v>2020</c:v>
                </c:pt>
                <c:pt idx="424">
                  <c:v>2020</c:v>
                </c:pt>
                <c:pt idx="425">
                  <c:v>2018</c:v>
                </c:pt>
                <c:pt idx="426">
                  <c:v>2020</c:v>
                </c:pt>
                <c:pt idx="427">
                  <c:v>2020</c:v>
                </c:pt>
                <c:pt idx="428">
                  <c:v>2020</c:v>
                </c:pt>
                <c:pt idx="429">
                  <c:v>2019</c:v>
                </c:pt>
                <c:pt idx="430">
                  <c:v>2020</c:v>
                </c:pt>
                <c:pt idx="431">
                  <c:v>2020</c:v>
                </c:pt>
                <c:pt idx="432">
                  <c:v>2020</c:v>
                </c:pt>
                <c:pt idx="433">
                  <c:v>2020</c:v>
                </c:pt>
                <c:pt idx="434">
                  <c:v>2018</c:v>
                </c:pt>
                <c:pt idx="435">
                  <c:v>2019</c:v>
                </c:pt>
                <c:pt idx="436">
                  <c:v>2019</c:v>
                </c:pt>
                <c:pt idx="437">
                  <c:v>2017</c:v>
                </c:pt>
                <c:pt idx="438">
                  <c:v>2018</c:v>
                </c:pt>
                <c:pt idx="439">
                  <c:v>2020</c:v>
                </c:pt>
                <c:pt idx="440">
                  <c:v>2020</c:v>
                </c:pt>
                <c:pt idx="441">
                  <c:v>2019</c:v>
                </c:pt>
                <c:pt idx="442">
                  <c:v>2019</c:v>
                </c:pt>
                <c:pt idx="443">
                  <c:v>2020</c:v>
                </c:pt>
                <c:pt idx="444">
                  <c:v>2021</c:v>
                </c:pt>
                <c:pt idx="445">
                  <c:v>2021</c:v>
                </c:pt>
                <c:pt idx="446">
                  <c:v>2021</c:v>
                </c:pt>
                <c:pt idx="447">
                  <c:v>2020</c:v>
                </c:pt>
                <c:pt idx="448">
                  <c:v>2021</c:v>
                </c:pt>
                <c:pt idx="449">
                  <c:v>2021</c:v>
                </c:pt>
                <c:pt idx="450">
                  <c:v>2020</c:v>
                </c:pt>
                <c:pt idx="451">
                  <c:v>2014</c:v>
                </c:pt>
                <c:pt idx="452">
                  <c:v>2021</c:v>
                </c:pt>
                <c:pt idx="453">
                  <c:v>2021</c:v>
                </c:pt>
                <c:pt idx="454">
                  <c:v>2021</c:v>
                </c:pt>
                <c:pt idx="455">
                  <c:v>2020</c:v>
                </c:pt>
                <c:pt idx="456">
                  <c:v>2020</c:v>
                </c:pt>
                <c:pt idx="457">
                  <c:v>2021</c:v>
                </c:pt>
                <c:pt idx="458">
                  <c:v>2020</c:v>
                </c:pt>
                <c:pt idx="459">
                  <c:v>2020</c:v>
                </c:pt>
                <c:pt idx="460">
                  <c:v>2019</c:v>
                </c:pt>
                <c:pt idx="461">
                  <c:v>2020</c:v>
                </c:pt>
                <c:pt idx="462">
                  <c:v>2019</c:v>
                </c:pt>
                <c:pt idx="463">
                  <c:v>2020</c:v>
                </c:pt>
                <c:pt idx="464">
                  <c:v>2020</c:v>
                </c:pt>
                <c:pt idx="465">
                  <c:v>2019</c:v>
                </c:pt>
                <c:pt idx="466">
                  <c:v>2021</c:v>
                </c:pt>
                <c:pt idx="467">
                  <c:v>2021</c:v>
                </c:pt>
                <c:pt idx="468">
                  <c:v>2021</c:v>
                </c:pt>
                <c:pt idx="469">
                  <c:v>2013</c:v>
                </c:pt>
                <c:pt idx="470">
                  <c:v>2020</c:v>
                </c:pt>
                <c:pt idx="471">
                  <c:v>2020</c:v>
                </c:pt>
                <c:pt idx="472">
                  <c:v>1995</c:v>
                </c:pt>
                <c:pt idx="473">
                  <c:v>2020</c:v>
                </c:pt>
                <c:pt idx="474">
                  <c:v>2020</c:v>
                </c:pt>
                <c:pt idx="475">
                  <c:v>2020</c:v>
                </c:pt>
                <c:pt idx="476">
                  <c:v>1995</c:v>
                </c:pt>
                <c:pt idx="477">
                  <c:v>2020</c:v>
                </c:pt>
                <c:pt idx="478">
                  <c:v>2017</c:v>
                </c:pt>
                <c:pt idx="479">
                  <c:v>2020</c:v>
                </c:pt>
                <c:pt idx="480">
                  <c:v>2020</c:v>
                </c:pt>
                <c:pt idx="481">
                  <c:v>2020</c:v>
                </c:pt>
                <c:pt idx="482">
                  <c:v>2020</c:v>
                </c:pt>
                <c:pt idx="483">
                  <c:v>2020</c:v>
                </c:pt>
                <c:pt idx="484">
                  <c:v>2019</c:v>
                </c:pt>
                <c:pt idx="485">
                  <c:v>2019</c:v>
                </c:pt>
                <c:pt idx="486">
                  <c:v>2019</c:v>
                </c:pt>
                <c:pt idx="487">
                  <c:v>2019</c:v>
                </c:pt>
                <c:pt idx="488">
                  <c:v>2019</c:v>
                </c:pt>
                <c:pt idx="489">
                  <c:v>2019</c:v>
                </c:pt>
                <c:pt idx="490">
                  <c:v>2018</c:v>
                </c:pt>
                <c:pt idx="491">
                  <c:v>2020</c:v>
                </c:pt>
                <c:pt idx="492">
                  <c:v>2021</c:v>
                </c:pt>
                <c:pt idx="493">
                  <c:v>2021</c:v>
                </c:pt>
                <c:pt idx="494">
                  <c:v>2020</c:v>
                </c:pt>
                <c:pt idx="495">
                  <c:v>2020</c:v>
                </c:pt>
                <c:pt idx="496">
                  <c:v>2019</c:v>
                </c:pt>
                <c:pt idx="497">
                  <c:v>2021</c:v>
                </c:pt>
                <c:pt idx="498">
                  <c:v>2021</c:v>
                </c:pt>
                <c:pt idx="499">
                  <c:v>2021</c:v>
                </c:pt>
                <c:pt idx="500">
                  <c:v>1991</c:v>
                </c:pt>
                <c:pt idx="501">
                  <c:v>2020</c:v>
                </c:pt>
                <c:pt idx="502">
                  <c:v>2020</c:v>
                </c:pt>
                <c:pt idx="503">
                  <c:v>2020</c:v>
                </c:pt>
                <c:pt idx="504">
                  <c:v>2021</c:v>
                </c:pt>
                <c:pt idx="505">
                  <c:v>2020</c:v>
                </c:pt>
                <c:pt idx="506">
                  <c:v>2020</c:v>
                </c:pt>
                <c:pt idx="507">
                  <c:v>2014</c:v>
                </c:pt>
                <c:pt idx="508">
                  <c:v>2020</c:v>
                </c:pt>
                <c:pt idx="509">
                  <c:v>2018</c:v>
                </c:pt>
                <c:pt idx="510">
                  <c:v>2021</c:v>
                </c:pt>
                <c:pt idx="511">
                  <c:v>2020</c:v>
                </c:pt>
                <c:pt idx="512">
                  <c:v>2020</c:v>
                </c:pt>
                <c:pt idx="513">
                  <c:v>2019</c:v>
                </c:pt>
                <c:pt idx="514">
                  <c:v>2020</c:v>
                </c:pt>
                <c:pt idx="515">
                  <c:v>2019</c:v>
                </c:pt>
                <c:pt idx="516">
                  <c:v>2020</c:v>
                </c:pt>
                <c:pt idx="517">
                  <c:v>2020</c:v>
                </c:pt>
                <c:pt idx="518">
                  <c:v>2020</c:v>
                </c:pt>
                <c:pt idx="519">
                  <c:v>2020</c:v>
                </c:pt>
                <c:pt idx="520">
                  <c:v>2019</c:v>
                </c:pt>
                <c:pt idx="521">
                  <c:v>2013</c:v>
                </c:pt>
                <c:pt idx="522">
                  <c:v>2019</c:v>
                </c:pt>
                <c:pt idx="523">
                  <c:v>2020</c:v>
                </c:pt>
                <c:pt idx="524">
                  <c:v>2021</c:v>
                </c:pt>
                <c:pt idx="525">
                  <c:v>2019</c:v>
                </c:pt>
                <c:pt idx="526">
                  <c:v>2019</c:v>
                </c:pt>
                <c:pt idx="527">
                  <c:v>2020</c:v>
                </c:pt>
                <c:pt idx="528">
                  <c:v>2020</c:v>
                </c:pt>
                <c:pt idx="529">
                  <c:v>2020</c:v>
                </c:pt>
                <c:pt idx="530">
                  <c:v>2021</c:v>
                </c:pt>
                <c:pt idx="531">
                  <c:v>2020</c:v>
                </c:pt>
                <c:pt idx="532">
                  <c:v>2020</c:v>
                </c:pt>
                <c:pt idx="533">
                  <c:v>2018</c:v>
                </c:pt>
                <c:pt idx="534">
                  <c:v>2019</c:v>
                </c:pt>
                <c:pt idx="535">
                  <c:v>2020</c:v>
                </c:pt>
                <c:pt idx="536">
                  <c:v>2011</c:v>
                </c:pt>
                <c:pt idx="537">
                  <c:v>2019</c:v>
                </c:pt>
                <c:pt idx="538">
                  <c:v>2019</c:v>
                </c:pt>
                <c:pt idx="539">
                  <c:v>2020</c:v>
                </c:pt>
                <c:pt idx="540">
                  <c:v>2020</c:v>
                </c:pt>
                <c:pt idx="541">
                  <c:v>2020</c:v>
                </c:pt>
                <c:pt idx="542">
                  <c:v>2019</c:v>
                </c:pt>
                <c:pt idx="543">
                  <c:v>2019</c:v>
                </c:pt>
                <c:pt idx="544">
                  <c:v>2019</c:v>
                </c:pt>
                <c:pt idx="545">
                  <c:v>2019</c:v>
                </c:pt>
                <c:pt idx="546">
                  <c:v>2020</c:v>
                </c:pt>
                <c:pt idx="547">
                  <c:v>2018</c:v>
                </c:pt>
                <c:pt idx="548">
                  <c:v>2018</c:v>
                </c:pt>
                <c:pt idx="549">
                  <c:v>2019</c:v>
                </c:pt>
                <c:pt idx="550">
                  <c:v>2020</c:v>
                </c:pt>
                <c:pt idx="551">
                  <c:v>2019</c:v>
                </c:pt>
                <c:pt idx="552">
                  <c:v>2019</c:v>
                </c:pt>
                <c:pt idx="553">
                  <c:v>2021</c:v>
                </c:pt>
                <c:pt idx="554">
                  <c:v>2020</c:v>
                </c:pt>
                <c:pt idx="555">
                  <c:v>2020</c:v>
                </c:pt>
                <c:pt idx="556">
                  <c:v>2021</c:v>
                </c:pt>
                <c:pt idx="557">
                  <c:v>2021</c:v>
                </c:pt>
                <c:pt idx="558">
                  <c:v>2020</c:v>
                </c:pt>
                <c:pt idx="559">
                  <c:v>2021</c:v>
                </c:pt>
                <c:pt idx="560">
                  <c:v>2021</c:v>
                </c:pt>
                <c:pt idx="561">
                  <c:v>2021</c:v>
                </c:pt>
                <c:pt idx="562">
                  <c:v>2020</c:v>
                </c:pt>
                <c:pt idx="563">
                  <c:v>2021</c:v>
                </c:pt>
                <c:pt idx="564">
                  <c:v>2021</c:v>
                </c:pt>
                <c:pt idx="565">
                  <c:v>2020</c:v>
                </c:pt>
                <c:pt idx="566">
                  <c:v>2021</c:v>
                </c:pt>
                <c:pt idx="567">
                  <c:v>2021</c:v>
                </c:pt>
                <c:pt idx="568">
                  <c:v>2021</c:v>
                </c:pt>
                <c:pt idx="569">
                  <c:v>2020</c:v>
                </c:pt>
                <c:pt idx="570">
                  <c:v>2020</c:v>
                </c:pt>
                <c:pt idx="571">
                  <c:v>2020</c:v>
                </c:pt>
                <c:pt idx="572">
                  <c:v>2021</c:v>
                </c:pt>
                <c:pt idx="573">
                  <c:v>2020</c:v>
                </c:pt>
                <c:pt idx="574">
                  <c:v>2019</c:v>
                </c:pt>
                <c:pt idx="575">
                  <c:v>2021</c:v>
                </c:pt>
                <c:pt idx="576">
                  <c:v>2020</c:v>
                </c:pt>
                <c:pt idx="577">
                  <c:v>2021</c:v>
                </c:pt>
                <c:pt idx="578">
                  <c:v>2021</c:v>
                </c:pt>
                <c:pt idx="579">
                  <c:v>2020</c:v>
                </c:pt>
                <c:pt idx="580">
                  <c:v>2020</c:v>
                </c:pt>
                <c:pt idx="581">
                  <c:v>2011</c:v>
                </c:pt>
                <c:pt idx="582">
                  <c:v>2021</c:v>
                </c:pt>
                <c:pt idx="583">
                  <c:v>2019</c:v>
                </c:pt>
                <c:pt idx="584">
                  <c:v>2020</c:v>
                </c:pt>
                <c:pt idx="585">
                  <c:v>2020</c:v>
                </c:pt>
                <c:pt idx="586">
                  <c:v>2019</c:v>
                </c:pt>
                <c:pt idx="587">
                  <c:v>2019</c:v>
                </c:pt>
                <c:pt idx="588">
                  <c:v>2021</c:v>
                </c:pt>
                <c:pt idx="589">
                  <c:v>2019</c:v>
                </c:pt>
                <c:pt idx="590">
                  <c:v>2020</c:v>
                </c:pt>
                <c:pt idx="591">
                  <c:v>2019</c:v>
                </c:pt>
                <c:pt idx="592">
                  <c:v>2020</c:v>
                </c:pt>
                <c:pt idx="593">
                  <c:v>2018</c:v>
                </c:pt>
                <c:pt idx="594">
                  <c:v>2020</c:v>
                </c:pt>
                <c:pt idx="595">
                  <c:v>2020</c:v>
                </c:pt>
                <c:pt idx="596">
                  <c:v>2020</c:v>
                </c:pt>
                <c:pt idx="597">
                  <c:v>2020</c:v>
                </c:pt>
                <c:pt idx="598">
                  <c:v>2019</c:v>
                </c:pt>
                <c:pt idx="599">
                  <c:v>2020</c:v>
                </c:pt>
                <c:pt idx="600">
                  <c:v>2020</c:v>
                </c:pt>
                <c:pt idx="601">
                  <c:v>2019</c:v>
                </c:pt>
                <c:pt idx="602">
                  <c:v>2019</c:v>
                </c:pt>
                <c:pt idx="603">
                  <c:v>2019</c:v>
                </c:pt>
                <c:pt idx="604">
                  <c:v>2020</c:v>
                </c:pt>
                <c:pt idx="605">
                  <c:v>2020</c:v>
                </c:pt>
                <c:pt idx="606">
                  <c:v>2020</c:v>
                </c:pt>
                <c:pt idx="607">
                  <c:v>2020</c:v>
                </c:pt>
                <c:pt idx="608">
                  <c:v>2018</c:v>
                </c:pt>
                <c:pt idx="609">
                  <c:v>2019</c:v>
                </c:pt>
                <c:pt idx="610">
                  <c:v>2020</c:v>
                </c:pt>
                <c:pt idx="611">
                  <c:v>2019</c:v>
                </c:pt>
                <c:pt idx="612">
                  <c:v>2019</c:v>
                </c:pt>
                <c:pt idx="613">
                  <c:v>2019</c:v>
                </c:pt>
                <c:pt idx="614">
                  <c:v>2020</c:v>
                </c:pt>
                <c:pt idx="615">
                  <c:v>2019</c:v>
                </c:pt>
                <c:pt idx="616">
                  <c:v>2020</c:v>
                </c:pt>
                <c:pt idx="617">
                  <c:v>2020</c:v>
                </c:pt>
                <c:pt idx="618">
                  <c:v>2019</c:v>
                </c:pt>
                <c:pt idx="619">
                  <c:v>2021</c:v>
                </c:pt>
                <c:pt idx="620">
                  <c:v>2021</c:v>
                </c:pt>
                <c:pt idx="621">
                  <c:v>2021</c:v>
                </c:pt>
                <c:pt idx="622">
                  <c:v>2020</c:v>
                </c:pt>
                <c:pt idx="623">
                  <c:v>2020</c:v>
                </c:pt>
                <c:pt idx="624">
                  <c:v>2021</c:v>
                </c:pt>
                <c:pt idx="625">
                  <c:v>2021</c:v>
                </c:pt>
                <c:pt idx="626">
                  <c:v>2021</c:v>
                </c:pt>
                <c:pt idx="627">
                  <c:v>2021</c:v>
                </c:pt>
                <c:pt idx="628">
                  <c:v>2021</c:v>
                </c:pt>
                <c:pt idx="629">
                  <c:v>2020</c:v>
                </c:pt>
                <c:pt idx="630">
                  <c:v>2021</c:v>
                </c:pt>
                <c:pt idx="631">
                  <c:v>2020</c:v>
                </c:pt>
                <c:pt idx="632">
                  <c:v>2021</c:v>
                </c:pt>
                <c:pt idx="633">
                  <c:v>2018</c:v>
                </c:pt>
                <c:pt idx="634">
                  <c:v>2021</c:v>
                </c:pt>
                <c:pt idx="635">
                  <c:v>2019</c:v>
                </c:pt>
                <c:pt idx="636">
                  <c:v>2021</c:v>
                </c:pt>
                <c:pt idx="637">
                  <c:v>2021</c:v>
                </c:pt>
                <c:pt idx="638">
                  <c:v>2004</c:v>
                </c:pt>
                <c:pt idx="639">
                  <c:v>2021</c:v>
                </c:pt>
                <c:pt idx="640">
                  <c:v>2021</c:v>
                </c:pt>
                <c:pt idx="641">
                  <c:v>2020</c:v>
                </c:pt>
                <c:pt idx="642">
                  <c:v>2020</c:v>
                </c:pt>
                <c:pt idx="643">
                  <c:v>2019</c:v>
                </c:pt>
                <c:pt idx="644">
                  <c:v>2020</c:v>
                </c:pt>
                <c:pt idx="645">
                  <c:v>2021</c:v>
                </c:pt>
                <c:pt idx="646">
                  <c:v>2020</c:v>
                </c:pt>
                <c:pt idx="647">
                  <c:v>2020</c:v>
                </c:pt>
                <c:pt idx="648">
                  <c:v>2019</c:v>
                </c:pt>
                <c:pt idx="649">
                  <c:v>2005</c:v>
                </c:pt>
                <c:pt idx="650">
                  <c:v>2019</c:v>
                </c:pt>
                <c:pt idx="651">
                  <c:v>2019</c:v>
                </c:pt>
                <c:pt idx="652">
                  <c:v>2021</c:v>
                </c:pt>
                <c:pt idx="653">
                  <c:v>2020</c:v>
                </c:pt>
                <c:pt idx="654">
                  <c:v>2020</c:v>
                </c:pt>
                <c:pt idx="655">
                  <c:v>2020</c:v>
                </c:pt>
                <c:pt idx="656">
                  <c:v>2021</c:v>
                </c:pt>
                <c:pt idx="657">
                  <c:v>2019</c:v>
                </c:pt>
                <c:pt idx="658">
                  <c:v>2020</c:v>
                </c:pt>
                <c:pt idx="659">
                  <c:v>2020</c:v>
                </c:pt>
                <c:pt idx="660">
                  <c:v>2020</c:v>
                </c:pt>
                <c:pt idx="661">
                  <c:v>2021</c:v>
                </c:pt>
                <c:pt idx="662">
                  <c:v>2020</c:v>
                </c:pt>
                <c:pt idx="663">
                  <c:v>2020</c:v>
                </c:pt>
                <c:pt idx="664">
                  <c:v>2020</c:v>
                </c:pt>
                <c:pt idx="665">
                  <c:v>2020</c:v>
                </c:pt>
                <c:pt idx="666">
                  <c:v>2019</c:v>
                </c:pt>
                <c:pt idx="667">
                  <c:v>2013</c:v>
                </c:pt>
                <c:pt idx="668">
                  <c:v>2020</c:v>
                </c:pt>
                <c:pt idx="669">
                  <c:v>2020</c:v>
                </c:pt>
                <c:pt idx="670">
                  <c:v>2020</c:v>
                </c:pt>
                <c:pt idx="671">
                  <c:v>2020</c:v>
                </c:pt>
                <c:pt idx="672">
                  <c:v>2020</c:v>
                </c:pt>
                <c:pt idx="673">
                  <c:v>2012</c:v>
                </c:pt>
                <c:pt idx="674">
                  <c:v>2019</c:v>
                </c:pt>
                <c:pt idx="675">
                  <c:v>2020</c:v>
                </c:pt>
                <c:pt idx="676">
                  <c:v>2020</c:v>
                </c:pt>
                <c:pt idx="677">
                  <c:v>2020</c:v>
                </c:pt>
                <c:pt idx="678">
                  <c:v>2020</c:v>
                </c:pt>
                <c:pt idx="679">
                  <c:v>2019</c:v>
                </c:pt>
                <c:pt idx="680">
                  <c:v>2019</c:v>
                </c:pt>
                <c:pt idx="681">
                  <c:v>2020</c:v>
                </c:pt>
                <c:pt idx="682">
                  <c:v>2020</c:v>
                </c:pt>
                <c:pt idx="683">
                  <c:v>2019</c:v>
                </c:pt>
                <c:pt idx="684">
                  <c:v>2019</c:v>
                </c:pt>
                <c:pt idx="685">
                  <c:v>2020</c:v>
                </c:pt>
                <c:pt idx="686">
                  <c:v>2021</c:v>
                </c:pt>
                <c:pt idx="687">
                  <c:v>2018</c:v>
                </c:pt>
                <c:pt idx="688">
                  <c:v>2021</c:v>
                </c:pt>
                <c:pt idx="689">
                  <c:v>2014</c:v>
                </c:pt>
                <c:pt idx="690">
                  <c:v>2020</c:v>
                </c:pt>
                <c:pt idx="691">
                  <c:v>1975</c:v>
                </c:pt>
                <c:pt idx="692">
                  <c:v>2019</c:v>
                </c:pt>
                <c:pt idx="693">
                  <c:v>2021</c:v>
                </c:pt>
                <c:pt idx="694">
                  <c:v>2014</c:v>
                </c:pt>
                <c:pt idx="695">
                  <c:v>2021</c:v>
                </c:pt>
                <c:pt idx="696">
                  <c:v>2021</c:v>
                </c:pt>
                <c:pt idx="697">
                  <c:v>2020</c:v>
                </c:pt>
                <c:pt idx="698">
                  <c:v>2020</c:v>
                </c:pt>
                <c:pt idx="699">
                  <c:v>2021</c:v>
                </c:pt>
                <c:pt idx="700">
                  <c:v>2020</c:v>
                </c:pt>
                <c:pt idx="701">
                  <c:v>2021</c:v>
                </c:pt>
                <c:pt idx="702">
                  <c:v>2021</c:v>
                </c:pt>
                <c:pt idx="703">
                  <c:v>2019</c:v>
                </c:pt>
                <c:pt idx="704">
                  <c:v>2020</c:v>
                </c:pt>
                <c:pt idx="705">
                  <c:v>2020</c:v>
                </c:pt>
                <c:pt idx="706">
                  <c:v>1980</c:v>
                </c:pt>
                <c:pt idx="707">
                  <c:v>2019</c:v>
                </c:pt>
                <c:pt idx="708">
                  <c:v>2020</c:v>
                </c:pt>
                <c:pt idx="709">
                  <c:v>2021</c:v>
                </c:pt>
                <c:pt idx="710">
                  <c:v>2020</c:v>
                </c:pt>
                <c:pt idx="711">
                  <c:v>2021</c:v>
                </c:pt>
                <c:pt idx="712">
                  <c:v>2019</c:v>
                </c:pt>
                <c:pt idx="713">
                  <c:v>2012</c:v>
                </c:pt>
                <c:pt idx="714">
                  <c:v>2020</c:v>
                </c:pt>
                <c:pt idx="715">
                  <c:v>2019</c:v>
                </c:pt>
                <c:pt idx="716">
                  <c:v>2020</c:v>
                </c:pt>
                <c:pt idx="717">
                  <c:v>2020</c:v>
                </c:pt>
                <c:pt idx="718">
                  <c:v>2019</c:v>
                </c:pt>
                <c:pt idx="719">
                  <c:v>2019</c:v>
                </c:pt>
                <c:pt idx="720">
                  <c:v>2020</c:v>
                </c:pt>
                <c:pt idx="721">
                  <c:v>2020</c:v>
                </c:pt>
                <c:pt idx="722">
                  <c:v>2020</c:v>
                </c:pt>
                <c:pt idx="723">
                  <c:v>2019</c:v>
                </c:pt>
                <c:pt idx="724">
                  <c:v>2020</c:v>
                </c:pt>
                <c:pt idx="725">
                  <c:v>2019</c:v>
                </c:pt>
                <c:pt idx="726">
                  <c:v>2020</c:v>
                </c:pt>
                <c:pt idx="727">
                  <c:v>2020</c:v>
                </c:pt>
                <c:pt idx="728">
                  <c:v>2019</c:v>
                </c:pt>
                <c:pt idx="729">
                  <c:v>2020</c:v>
                </c:pt>
                <c:pt idx="730">
                  <c:v>2019</c:v>
                </c:pt>
                <c:pt idx="731">
                  <c:v>1978</c:v>
                </c:pt>
                <c:pt idx="732">
                  <c:v>2020</c:v>
                </c:pt>
                <c:pt idx="733">
                  <c:v>2020</c:v>
                </c:pt>
                <c:pt idx="734">
                  <c:v>2020</c:v>
                </c:pt>
                <c:pt idx="735">
                  <c:v>2019</c:v>
                </c:pt>
                <c:pt idx="736">
                  <c:v>2020</c:v>
                </c:pt>
                <c:pt idx="737">
                  <c:v>2020</c:v>
                </c:pt>
                <c:pt idx="738">
                  <c:v>2021</c:v>
                </c:pt>
                <c:pt idx="739">
                  <c:v>2020</c:v>
                </c:pt>
                <c:pt idx="740">
                  <c:v>2019</c:v>
                </c:pt>
                <c:pt idx="741">
                  <c:v>2007</c:v>
                </c:pt>
                <c:pt idx="742">
                  <c:v>2021</c:v>
                </c:pt>
                <c:pt idx="743">
                  <c:v>2020</c:v>
                </c:pt>
                <c:pt idx="744">
                  <c:v>2021</c:v>
                </c:pt>
                <c:pt idx="745">
                  <c:v>2020</c:v>
                </c:pt>
                <c:pt idx="746">
                  <c:v>2021</c:v>
                </c:pt>
                <c:pt idx="747">
                  <c:v>2021</c:v>
                </c:pt>
                <c:pt idx="748">
                  <c:v>2021</c:v>
                </c:pt>
                <c:pt idx="749">
                  <c:v>2020</c:v>
                </c:pt>
                <c:pt idx="750">
                  <c:v>2021</c:v>
                </c:pt>
                <c:pt idx="751">
                  <c:v>2021</c:v>
                </c:pt>
                <c:pt idx="752">
                  <c:v>2021</c:v>
                </c:pt>
                <c:pt idx="753">
                  <c:v>2020</c:v>
                </c:pt>
                <c:pt idx="754">
                  <c:v>2012</c:v>
                </c:pt>
                <c:pt idx="755">
                  <c:v>2020</c:v>
                </c:pt>
                <c:pt idx="756">
                  <c:v>2020</c:v>
                </c:pt>
                <c:pt idx="757">
                  <c:v>2021</c:v>
                </c:pt>
                <c:pt idx="758">
                  <c:v>1983</c:v>
                </c:pt>
                <c:pt idx="759">
                  <c:v>2019</c:v>
                </c:pt>
                <c:pt idx="760">
                  <c:v>2021</c:v>
                </c:pt>
                <c:pt idx="761">
                  <c:v>2021</c:v>
                </c:pt>
                <c:pt idx="762">
                  <c:v>2020</c:v>
                </c:pt>
                <c:pt idx="763">
                  <c:v>2020</c:v>
                </c:pt>
                <c:pt idx="764">
                  <c:v>2021</c:v>
                </c:pt>
                <c:pt idx="765">
                  <c:v>2019</c:v>
                </c:pt>
                <c:pt idx="766">
                  <c:v>2020</c:v>
                </c:pt>
                <c:pt idx="767">
                  <c:v>2019</c:v>
                </c:pt>
                <c:pt idx="768">
                  <c:v>2021</c:v>
                </c:pt>
                <c:pt idx="769">
                  <c:v>2020</c:v>
                </c:pt>
                <c:pt idx="770">
                  <c:v>2020</c:v>
                </c:pt>
                <c:pt idx="771">
                  <c:v>2020</c:v>
                </c:pt>
                <c:pt idx="772">
                  <c:v>2020</c:v>
                </c:pt>
                <c:pt idx="773">
                  <c:v>2020</c:v>
                </c:pt>
                <c:pt idx="774">
                  <c:v>2020</c:v>
                </c:pt>
                <c:pt idx="775">
                  <c:v>2021</c:v>
                </c:pt>
                <c:pt idx="776">
                  <c:v>2019</c:v>
                </c:pt>
                <c:pt idx="777">
                  <c:v>2019</c:v>
                </c:pt>
                <c:pt idx="778">
                  <c:v>2020</c:v>
                </c:pt>
                <c:pt idx="779">
                  <c:v>2019</c:v>
                </c:pt>
                <c:pt idx="780">
                  <c:v>2020</c:v>
                </c:pt>
                <c:pt idx="781">
                  <c:v>2020</c:v>
                </c:pt>
                <c:pt idx="782">
                  <c:v>2020</c:v>
                </c:pt>
                <c:pt idx="783">
                  <c:v>2020</c:v>
                </c:pt>
                <c:pt idx="784">
                  <c:v>2020</c:v>
                </c:pt>
                <c:pt idx="785">
                  <c:v>2020</c:v>
                </c:pt>
                <c:pt idx="786">
                  <c:v>2020</c:v>
                </c:pt>
                <c:pt idx="787">
                  <c:v>2020</c:v>
                </c:pt>
                <c:pt idx="788">
                  <c:v>2020</c:v>
                </c:pt>
                <c:pt idx="789">
                  <c:v>2019</c:v>
                </c:pt>
                <c:pt idx="790">
                  <c:v>2020</c:v>
                </c:pt>
                <c:pt idx="791">
                  <c:v>2019</c:v>
                </c:pt>
                <c:pt idx="792">
                  <c:v>2019</c:v>
                </c:pt>
                <c:pt idx="793">
                  <c:v>2021</c:v>
                </c:pt>
                <c:pt idx="794">
                  <c:v>2020</c:v>
                </c:pt>
                <c:pt idx="795">
                  <c:v>2020</c:v>
                </c:pt>
                <c:pt idx="796">
                  <c:v>2020</c:v>
                </c:pt>
                <c:pt idx="797">
                  <c:v>2020</c:v>
                </c:pt>
                <c:pt idx="798">
                  <c:v>2020</c:v>
                </c:pt>
                <c:pt idx="799">
                  <c:v>2020</c:v>
                </c:pt>
                <c:pt idx="800">
                  <c:v>2020</c:v>
                </c:pt>
                <c:pt idx="801">
                  <c:v>2021</c:v>
                </c:pt>
                <c:pt idx="802">
                  <c:v>2021</c:v>
                </c:pt>
                <c:pt idx="803">
                  <c:v>2020</c:v>
                </c:pt>
                <c:pt idx="804">
                  <c:v>2020</c:v>
                </c:pt>
                <c:pt idx="805">
                  <c:v>2020</c:v>
                </c:pt>
                <c:pt idx="806">
                  <c:v>2021</c:v>
                </c:pt>
                <c:pt idx="807">
                  <c:v>2020</c:v>
                </c:pt>
                <c:pt idx="808">
                  <c:v>1998</c:v>
                </c:pt>
                <c:pt idx="809">
                  <c:v>2021</c:v>
                </c:pt>
                <c:pt idx="810">
                  <c:v>2020</c:v>
                </c:pt>
                <c:pt idx="811">
                  <c:v>2019</c:v>
                </c:pt>
                <c:pt idx="812">
                  <c:v>2021</c:v>
                </c:pt>
                <c:pt idx="813">
                  <c:v>2019</c:v>
                </c:pt>
                <c:pt idx="814">
                  <c:v>2020</c:v>
                </c:pt>
                <c:pt idx="815">
                  <c:v>2021</c:v>
                </c:pt>
                <c:pt idx="816">
                  <c:v>2020</c:v>
                </c:pt>
                <c:pt idx="817">
                  <c:v>2020</c:v>
                </c:pt>
                <c:pt idx="818">
                  <c:v>2019</c:v>
                </c:pt>
                <c:pt idx="819">
                  <c:v>2021</c:v>
                </c:pt>
                <c:pt idx="820">
                  <c:v>2020</c:v>
                </c:pt>
                <c:pt idx="821">
                  <c:v>2021</c:v>
                </c:pt>
                <c:pt idx="822">
                  <c:v>2019</c:v>
                </c:pt>
                <c:pt idx="823">
                  <c:v>2020</c:v>
                </c:pt>
                <c:pt idx="824">
                  <c:v>2020</c:v>
                </c:pt>
                <c:pt idx="825">
                  <c:v>2021</c:v>
                </c:pt>
                <c:pt idx="826">
                  <c:v>2019</c:v>
                </c:pt>
                <c:pt idx="827">
                  <c:v>2021</c:v>
                </c:pt>
                <c:pt idx="828">
                  <c:v>2020</c:v>
                </c:pt>
                <c:pt idx="829">
                  <c:v>2020</c:v>
                </c:pt>
                <c:pt idx="830">
                  <c:v>2020</c:v>
                </c:pt>
                <c:pt idx="831">
                  <c:v>2020</c:v>
                </c:pt>
                <c:pt idx="832">
                  <c:v>2021</c:v>
                </c:pt>
                <c:pt idx="833">
                  <c:v>2017</c:v>
                </c:pt>
                <c:pt idx="834">
                  <c:v>2020</c:v>
                </c:pt>
                <c:pt idx="835">
                  <c:v>2020</c:v>
                </c:pt>
                <c:pt idx="836">
                  <c:v>2020</c:v>
                </c:pt>
                <c:pt idx="837">
                  <c:v>2020</c:v>
                </c:pt>
                <c:pt idx="838">
                  <c:v>2020</c:v>
                </c:pt>
                <c:pt idx="839">
                  <c:v>2020</c:v>
                </c:pt>
                <c:pt idx="840">
                  <c:v>2019</c:v>
                </c:pt>
                <c:pt idx="841">
                  <c:v>2020</c:v>
                </c:pt>
                <c:pt idx="842">
                  <c:v>2020</c:v>
                </c:pt>
                <c:pt idx="843">
                  <c:v>2020</c:v>
                </c:pt>
                <c:pt idx="844">
                  <c:v>2020</c:v>
                </c:pt>
                <c:pt idx="845">
                  <c:v>2020</c:v>
                </c:pt>
                <c:pt idx="846">
                  <c:v>2020</c:v>
                </c:pt>
                <c:pt idx="847">
                  <c:v>2020</c:v>
                </c:pt>
                <c:pt idx="848">
                  <c:v>2020</c:v>
                </c:pt>
                <c:pt idx="849">
                  <c:v>2020</c:v>
                </c:pt>
                <c:pt idx="850">
                  <c:v>2020</c:v>
                </c:pt>
                <c:pt idx="851">
                  <c:v>2020</c:v>
                </c:pt>
                <c:pt idx="852">
                  <c:v>2020</c:v>
                </c:pt>
                <c:pt idx="853">
                  <c:v>2021</c:v>
                </c:pt>
                <c:pt idx="854">
                  <c:v>2020</c:v>
                </c:pt>
                <c:pt idx="855">
                  <c:v>2020</c:v>
                </c:pt>
                <c:pt idx="856">
                  <c:v>2020</c:v>
                </c:pt>
                <c:pt idx="857">
                  <c:v>2021</c:v>
                </c:pt>
                <c:pt idx="858">
                  <c:v>2021</c:v>
                </c:pt>
                <c:pt idx="859">
                  <c:v>2020</c:v>
                </c:pt>
                <c:pt idx="860">
                  <c:v>2020</c:v>
                </c:pt>
                <c:pt idx="861">
                  <c:v>2021</c:v>
                </c:pt>
                <c:pt idx="862">
                  <c:v>2020</c:v>
                </c:pt>
                <c:pt idx="863">
                  <c:v>2021</c:v>
                </c:pt>
                <c:pt idx="864">
                  <c:v>2020</c:v>
                </c:pt>
                <c:pt idx="865">
                  <c:v>2021</c:v>
                </c:pt>
                <c:pt idx="866">
                  <c:v>2016</c:v>
                </c:pt>
                <c:pt idx="867">
                  <c:v>2020</c:v>
                </c:pt>
                <c:pt idx="868">
                  <c:v>2020</c:v>
                </c:pt>
                <c:pt idx="869">
                  <c:v>2018</c:v>
                </c:pt>
                <c:pt idx="870">
                  <c:v>2020</c:v>
                </c:pt>
                <c:pt idx="871">
                  <c:v>2021</c:v>
                </c:pt>
                <c:pt idx="872">
                  <c:v>2020</c:v>
                </c:pt>
                <c:pt idx="873">
                  <c:v>2020</c:v>
                </c:pt>
                <c:pt idx="874">
                  <c:v>2021</c:v>
                </c:pt>
                <c:pt idx="875">
                  <c:v>2020</c:v>
                </c:pt>
                <c:pt idx="876">
                  <c:v>2020</c:v>
                </c:pt>
                <c:pt idx="877">
                  <c:v>2020</c:v>
                </c:pt>
                <c:pt idx="878">
                  <c:v>2020</c:v>
                </c:pt>
                <c:pt idx="879">
                  <c:v>2020</c:v>
                </c:pt>
                <c:pt idx="880">
                  <c:v>2021</c:v>
                </c:pt>
                <c:pt idx="881">
                  <c:v>2020</c:v>
                </c:pt>
                <c:pt idx="882">
                  <c:v>2019</c:v>
                </c:pt>
                <c:pt idx="883">
                  <c:v>2020</c:v>
                </c:pt>
                <c:pt idx="884">
                  <c:v>2020</c:v>
                </c:pt>
                <c:pt idx="885">
                  <c:v>2018</c:v>
                </c:pt>
                <c:pt idx="886">
                  <c:v>2020</c:v>
                </c:pt>
                <c:pt idx="887">
                  <c:v>2020</c:v>
                </c:pt>
                <c:pt idx="888">
                  <c:v>2020</c:v>
                </c:pt>
                <c:pt idx="889">
                  <c:v>2016</c:v>
                </c:pt>
                <c:pt idx="890">
                  <c:v>2020</c:v>
                </c:pt>
                <c:pt idx="891">
                  <c:v>2020</c:v>
                </c:pt>
                <c:pt idx="892">
                  <c:v>2020</c:v>
                </c:pt>
                <c:pt idx="893">
                  <c:v>2020</c:v>
                </c:pt>
                <c:pt idx="894">
                  <c:v>2020</c:v>
                </c:pt>
                <c:pt idx="895">
                  <c:v>2020</c:v>
                </c:pt>
                <c:pt idx="896">
                  <c:v>2020</c:v>
                </c:pt>
                <c:pt idx="897">
                  <c:v>2020</c:v>
                </c:pt>
                <c:pt idx="898">
                  <c:v>2020</c:v>
                </c:pt>
                <c:pt idx="899">
                  <c:v>2016</c:v>
                </c:pt>
                <c:pt idx="900">
                  <c:v>2021</c:v>
                </c:pt>
                <c:pt idx="901">
                  <c:v>2020</c:v>
                </c:pt>
                <c:pt idx="902">
                  <c:v>2021</c:v>
                </c:pt>
                <c:pt idx="903">
                  <c:v>2020</c:v>
                </c:pt>
                <c:pt idx="904">
                  <c:v>2020</c:v>
                </c:pt>
                <c:pt idx="905">
                  <c:v>2020</c:v>
                </c:pt>
                <c:pt idx="906">
                  <c:v>2020</c:v>
                </c:pt>
                <c:pt idx="907">
                  <c:v>2020</c:v>
                </c:pt>
                <c:pt idx="908">
                  <c:v>2021</c:v>
                </c:pt>
                <c:pt idx="909">
                  <c:v>2020</c:v>
                </c:pt>
                <c:pt idx="910">
                  <c:v>2020</c:v>
                </c:pt>
                <c:pt idx="911">
                  <c:v>2020</c:v>
                </c:pt>
                <c:pt idx="912">
                  <c:v>2019</c:v>
                </c:pt>
                <c:pt idx="913">
                  <c:v>2020</c:v>
                </c:pt>
                <c:pt idx="914">
                  <c:v>2020</c:v>
                </c:pt>
                <c:pt idx="915">
                  <c:v>2020</c:v>
                </c:pt>
                <c:pt idx="916">
                  <c:v>2021</c:v>
                </c:pt>
                <c:pt idx="917">
                  <c:v>2020</c:v>
                </c:pt>
                <c:pt idx="918">
                  <c:v>2019</c:v>
                </c:pt>
                <c:pt idx="919">
                  <c:v>2020</c:v>
                </c:pt>
                <c:pt idx="920">
                  <c:v>2020</c:v>
                </c:pt>
                <c:pt idx="921">
                  <c:v>2021</c:v>
                </c:pt>
                <c:pt idx="922">
                  <c:v>2020</c:v>
                </c:pt>
                <c:pt idx="923">
                  <c:v>2020</c:v>
                </c:pt>
                <c:pt idx="924">
                  <c:v>2020</c:v>
                </c:pt>
                <c:pt idx="925">
                  <c:v>2021</c:v>
                </c:pt>
                <c:pt idx="926">
                  <c:v>2020</c:v>
                </c:pt>
                <c:pt idx="927">
                  <c:v>2021</c:v>
                </c:pt>
                <c:pt idx="928">
                  <c:v>2021</c:v>
                </c:pt>
                <c:pt idx="929">
                  <c:v>2019</c:v>
                </c:pt>
                <c:pt idx="930">
                  <c:v>2020</c:v>
                </c:pt>
                <c:pt idx="931">
                  <c:v>2021</c:v>
                </c:pt>
                <c:pt idx="932">
                  <c:v>2020</c:v>
                </c:pt>
                <c:pt idx="933">
                  <c:v>2020</c:v>
                </c:pt>
                <c:pt idx="934">
                  <c:v>2020</c:v>
                </c:pt>
                <c:pt idx="935">
                  <c:v>2020</c:v>
                </c:pt>
                <c:pt idx="936">
                  <c:v>2020</c:v>
                </c:pt>
                <c:pt idx="937">
                  <c:v>2020</c:v>
                </c:pt>
                <c:pt idx="938">
                  <c:v>2020</c:v>
                </c:pt>
                <c:pt idx="939">
                  <c:v>2020</c:v>
                </c:pt>
                <c:pt idx="940">
                  <c:v>2019</c:v>
                </c:pt>
                <c:pt idx="941">
                  <c:v>2020</c:v>
                </c:pt>
                <c:pt idx="942">
                  <c:v>2020</c:v>
                </c:pt>
                <c:pt idx="943">
                  <c:v>2020</c:v>
                </c:pt>
                <c:pt idx="944">
                  <c:v>2020</c:v>
                </c:pt>
                <c:pt idx="945">
                  <c:v>2020</c:v>
                </c:pt>
                <c:pt idx="946">
                  <c:v>2020</c:v>
                </c:pt>
                <c:pt idx="947">
                  <c:v>2020</c:v>
                </c:pt>
                <c:pt idx="948">
                  <c:v>2019</c:v>
                </c:pt>
                <c:pt idx="949">
                  <c:v>2020</c:v>
                </c:pt>
                <c:pt idx="950">
                  <c:v>2020</c:v>
                </c:pt>
                <c:pt idx="951">
                  <c:v>2020</c:v>
                </c:pt>
                <c:pt idx="952">
                  <c:v>2020</c:v>
                </c:pt>
                <c:pt idx="953">
                  <c:v>2020</c:v>
                </c:pt>
                <c:pt idx="954">
                  <c:v>2019</c:v>
                </c:pt>
                <c:pt idx="955">
                  <c:v>2021</c:v>
                </c:pt>
                <c:pt idx="956">
                  <c:v>2021</c:v>
                </c:pt>
                <c:pt idx="957">
                  <c:v>2020</c:v>
                </c:pt>
                <c:pt idx="958">
                  <c:v>2020</c:v>
                </c:pt>
                <c:pt idx="959">
                  <c:v>2020</c:v>
                </c:pt>
                <c:pt idx="960">
                  <c:v>2020</c:v>
                </c:pt>
                <c:pt idx="961">
                  <c:v>2019</c:v>
                </c:pt>
                <c:pt idx="962">
                  <c:v>2021</c:v>
                </c:pt>
                <c:pt idx="963">
                  <c:v>2021</c:v>
                </c:pt>
                <c:pt idx="964">
                  <c:v>2019</c:v>
                </c:pt>
                <c:pt idx="965">
                  <c:v>2021</c:v>
                </c:pt>
                <c:pt idx="966">
                  <c:v>2020</c:v>
                </c:pt>
                <c:pt idx="967">
                  <c:v>2020</c:v>
                </c:pt>
                <c:pt idx="968">
                  <c:v>2020</c:v>
                </c:pt>
                <c:pt idx="969">
                  <c:v>2019</c:v>
                </c:pt>
                <c:pt idx="970">
                  <c:v>2020</c:v>
                </c:pt>
                <c:pt idx="971">
                  <c:v>2020</c:v>
                </c:pt>
                <c:pt idx="972">
                  <c:v>2021</c:v>
                </c:pt>
                <c:pt idx="973">
                  <c:v>2020</c:v>
                </c:pt>
                <c:pt idx="974">
                  <c:v>2020</c:v>
                </c:pt>
                <c:pt idx="975">
                  <c:v>2021</c:v>
                </c:pt>
                <c:pt idx="976">
                  <c:v>2021</c:v>
                </c:pt>
                <c:pt idx="977">
                  <c:v>2020</c:v>
                </c:pt>
                <c:pt idx="978">
                  <c:v>2020</c:v>
                </c:pt>
                <c:pt idx="979">
                  <c:v>2020</c:v>
                </c:pt>
                <c:pt idx="980">
                  <c:v>2020</c:v>
                </c:pt>
                <c:pt idx="981">
                  <c:v>2021</c:v>
                </c:pt>
                <c:pt idx="982">
                  <c:v>2020</c:v>
                </c:pt>
                <c:pt idx="983">
                  <c:v>2020</c:v>
                </c:pt>
                <c:pt idx="984">
                  <c:v>2020</c:v>
                </c:pt>
                <c:pt idx="985">
                  <c:v>2015</c:v>
                </c:pt>
                <c:pt idx="986">
                  <c:v>2019</c:v>
                </c:pt>
                <c:pt idx="987">
                  <c:v>2020</c:v>
                </c:pt>
                <c:pt idx="988">
                  <c:v>2020</c:v>
                </c:pt>
                <c:pt idx="989">
                  <c:v>2020</c:v>
                </c:pt>
                <c:pt idx="990">
                  <c:v>2020</c:v>
                </c:pt>
                <c:pt idx="991">
                  <c:v>2020</c:v>
                </c:pt>
                <c:pt idx="992">
                  <c:v>2020</c:v>
                </c:pt>
                <c:pt idx="993">
                  <c:v>2020</c:v>
                </c:pt>
                <c:pt idx="994">
                  <c:v>2020</c:v>
                </c:pt>
                <c:pt idx="995">
                  <c:v>2020</c:v>
                </c:pt>
                <c:pt idx="996">
                  <c:v>2020</c:v>
                </c:pt>
                <c:pt idx="997">
                  <c:v>2020</c:v>
                </c:pt>
                <c:pt idx="998">
                  <c:v>2020</c:v>
                </c:pt>
                <c:pt idx="999">
                  <c:v>2020</c:v>
                </c:pt>
                <c:pt idx="1000">
                  <c:v>2020</c:v>
                </c:pt>
                <c:pt idx="1001">
                  <c:v>2020</c:v>
                </c:pt>
                <c:pt idx="1002">
                  <c:v>2019</c:v>
                </c:pt>
                <c:pt idx="1003">
                  <c:v>2020</c:v>
                </c:pt>
                <c:pt idx="1004">
                  <c:v>2020</c:v>
                </c:pt>
                <c:pt idx="1005">
                  <c:v>2020</c:v>
                </c:pt>
                <c:pt idx="1006">
                  <c:v>2020</c:v>
                </c:pt>
                <c:pt idx="1007">
                  <c:v>2020</c:v>
                </c:pt>
                <c:pt idx="1008">
                  <c:v>2020</c:v>
                </c:pt>
                <c:pt idx="1009">
                  <c:v>2020</c:v>
                </c:pt>
                <c:pt idx="1010">
                  <c:v>2019</c:v>
                </c:pt>
                <c:pt idx="1011">
                  <c:v>2020</c:v>
                </c:pt>
                <c:pt idx="1012">
                  <c:v>2021</c:v>
                </c:pt>
                <c:pt idx="1013">
                  <c:v>2021</c:v>
                </c:pt>
                <c:pt idx="1014">
                  <c:v>2020</c:v>
                </c:pt>
                <c:pt idx="1015">
                  <c:v>2019</c:v>
                </c:pt>
                <c:pt idx="1016">
                  <c:v>2017</c:v>
                </c:pt>
                <c:pt idx="1017">
                  <c:v>2020</c:v>
                </c:pt>
                <c:pt idx="1018">
                  <c:v>2020</c:v>
                </c:pt>
                <c:pt idx="1019">
                  <c:v>2019</c:v>
                </c:pt>
                <c:pt idx="1020">
                  <c:v>2020</c:v>
                </c:pt>
                <c:pt idx="1021">
                  <c:v>2020</c:v>
                </c:pt>
                <c:pt idx="1022">
                  <c:v>2020</c:v>
                </c:pt>
                <c:pt idx="1023">
                  <c:v>2020</c:v>
                </c:pt>
                <c:pt idx="1024">
                  <c:v>2019</c:v>
                </c:pt>
                <c:pt idx="1025">
                  <c:v>2020</c:v>
                </c:pt>
                <c:pt idx="1026">
                  <c:v>2020</c:v>
                </c:pt>
                <c:pt idx="1027">
                  <c:v>2020</c:v>
                </c:pt>
                <c:pt idx="1028">
                  <c:v>2020</c:v>
                </c:pt>
                <c:pt idx="1029">
                  <c:v>2019</c:v>
                </c:pt>
                <c:pt idx="1030">
                  <c:v>2021</c:v>
                </c:pt>
                <c:pt idx="1031">
                  <c:v>2020</c:v>
                </c:pt>
                <c:pt idx="1032">
                  <c:v>2019</c:v>
                </c:pt>
                <c:pt idx="1033">
                  <c:v>2020</c:v>
                </c:pt>
                <c:pt idx="1034">
                  <c:v>2020</c:v>
                </c:pt>
                <c:pt idx="1035">
                  <c:v>2020</c:v>
                </c:pt>
                <c:pt idx="1036">
                  <c:v>2020</c:v>
                </c:pt>
                <c:pt idx="1037">
                  <c:v>2020</c:v>
                </c:pt>
                <c:pt idx="1038">
                  <c:v>2020</c:v>
                </c:pt>
                <c:pt idx="1039">
                  <c:v>2020</c:v>
                </c:pt>
                <c:pt idx="1040">
                  <c:v>2020</c:v>
                </c:pt>
                <c:pt idx="1041">
                  <c:v>2020</c:v>
                </c:pt>
                <c:pt idx="1042">
                  <c:v>2020</c:v>
                </c:pt>
                <c:pt idx="1043">
                  <c:v>2020</c:v>
                </c:pt>
                <c:pt idx="1044">
                  <c:v>2020</c:v>
                </c:pt>
                <c:pt idx="1045">
                  <c:v>2020</c:v>
                </c:pt>
                <c:pt idx="1046">
                  <c:v>2020</c:v>
                </c:pt>
                <c:pt idx="1047">
                  <c:v>2010</c:v>
                </c:pt>
                <c:pt idx="1048">
                  <c:v>2020</c:v>
                </c:pt>
                <c:pt idx="1049">
                  <c:v>2020</c:v>
                </c:pt>
                <c:pt idx="1050">
                  <c:v>2020</c:v>
                </c:pt>
                <c:pt idx="1051">
                  <c:v>2020</c:v>
                </c:pt>
                <c:pt idx="1052">
                  <c:v>2020</c:v>
                </c:pt>
                <c:pt idx="1053">
                  <c:v>2020</c:v>
                </c:pt>
                <c:pt idx="1054">
                  <c:v>2020</c:v>
                </c:pt>
                <c:pt idx="1055">
                  <c:v>2020</c:v>
                </c:pt>
                <c:pt idx="1056">
                  <c:v>2020</c:v>
                </c:pt>
                <c:pt idx="1057">
                  <c:v>2020</c:v>
                </c:pt>
                <c:pt idx="1058">
                  <c:v>2019</c:v>
                </c:pt>
                <c:pt idx="1059">
                  <c:v>2020</c:v>
                </c:pt>
                <c:pt idx="1060">
                  <c:v>2020</c:v>
                </c:pt>
                <c:pt idx="1061">
                  <c:v>2013</c:v>
                </c:pt>
                <c:pt idx="1062">
                  <c:v>2021</c:v>
                </c:pt>
                <c:pt idx="1063">
                  <c:v>2020</c:v>
                </c:pt>
                <c:pt idx="1064">
                  <c:v>2020</c:v>
                </c:pt>
                <c:pt idx="1065">
                  <c:v>2019</c:v>
                </c:pt>
                <c:pt idx="1066">
                  <c:v>2020</c:v>
                </c:pt>
                <c:pt idx="1067">
                  <c:v>2019</c:v>
                </c:pt>
                <c:pt idx="1068">
                  <c:v>2021</c:v>
                </c:pt>
                <c:pt idx="1069">
                  <c:v>2021</c:v>
                </c:pt>
                <c:pt idx="1070">
                  <c:v>2021</c:v>
                </c:pt>
                <c:pt idx="1071">
                  <c:v>2020</c:v>
                </c:pt>
                <c:pt idx="1072">
                  <c:v>2020</c:v>
                </c:pt>
                <c:pt idx="1073">
                  <c:v>2021</c:v>
                </c:pt>
                <c:pt idx="1074">
                  <c:v>2020</c:v>
                </c:pt>
                <c:pt idx="1075">
                  <c:v>2021</c:v>
                </c:pt>
                <c:pt idx="1076">
                  <c:v>2020</c:v>
                </c:pt>
                <c:pt idx="1077">
                  <c:v>2020</c:v>
                </c:pt>
                <c:pt idx="1078">
                  <c:v>2020</c:v>
                </c:pt>
                <c:pt idx="1079">
                  <c:v>2020</c:v>
                </c:pt>
                <c:pt idx="1080">
                  <c:v>2019</c:v>
                </c:pt>
                <c:pt idx="1081">
                  <c:v>2020</c:v>
                </c:pt>
                <c:pt idx="1082">
                  <c:v>2020</c:v>
                </c:pt>
                <c:pt idx="1083">
                  <c:v>2020</c:v>
                </c:pt>
                <c:pt idx="1084">
                  <c:v>2020</c:v>
                </c:pt>
                <c:pt idx="1085">
                  <c:v>2020</c:v>
                </c:pt>
                <c:pt idx="1086">
                  <c:v>2021</c:v>
                </c:pt>
                <c:pt idx="1087">
                  <c:v>2020</c:v>
                </c:pt>
                <c:pt idx="1088">
                  <c:v>2020</c:v>
                </c:pt>
                <c:pt idx="1089">
                  <c:v>2020</c:v>
                </c:pt>
                <c:pt idx="1090">
                  <c:v>2020</c:v>
                </c:pt>
                <c:pt idx="1091">
                  <c:v>2020</c:v>
                </c:pt>
                <c:pt idx="1092">
                  <c:v>2020</c:v>
                </c:pt>
                <c:pt idx="1093">
                  <c:v>2020</c:v>
                </c:pt>
                <c:pt idx="1094">
                  <c:v>2020</c:v>
                </c:pt>
                <c:pt idx="1095">
                  <c:v>2020</c:v>
                </c:pt>
                <c:pt idx="1096">
                  <c:v>2020</c:v>
                </c:pt>
                <c:pt idx="1097">
                  <c:v>2020</c:v>
                </c:pt>
                <c:pt idx="1098">
                  <c:v>2020</c:v>
                </c:pt>
                <c:pt idx="1099">
                  <c:v>2020</c:v>
                </c:pt>
                <c:pt idx="1100">
                  <c:v>2021</c:v>
                </c:pt>
                <c:pt idx="1101">
                  <c:v>2020</c:v>
                </c:pt>
                <c:pt idx="1102">
                  <c:v>2020</c:v>
                </c:pt>
                <c:pt idx="1103">
                  <c:v>2020</c:v>
                </c:pt>
                <c:pt idx="1104">
                  <c:v>2021</c:v>
                </c:pt>
                <c:pt idx="1105">
                  <c:v>2021</c:v>
                </c:pt>
                <c:pt idx="1106">
                  <c:v>2020</c:v>
                </c:pt>
                <c:pt idx="1107">
                  <c:v>2020</c:v>
                </c:pt>
                <c:pt idx="1108">
                  <c:v>2020</c:v>
                </c:pt>
                <c:pt idx="1109">
                  <c:v>2020</c:v>
                </c:pt>
                <c:pt idx="1110">
                  <c:v>2021</c:v>
                </c:pt>
                <c:pt idx="1111">
                  <c:v>2019</c:v>
                </c:pt>
                <c:pt idx="1112">
                  <c:v>2020</c:v>
                </c:pt>
                <c:pt idx="1113">
                  <c:v>2020</c:v>
                </c:pt>
                <c:pt idx="1114">
                  <c:v>2020</c:v>
                </c:pt>
                <c:pt idx="1115">
                  <c:v>2020</c:v>
                </c:pt>
                <c:pt idx="1116">
                  <c:v>2020</c:v>
                </c:pt>
                <c:pt idx="1117">
                  <c:v>2020</c:v>
                </c:pt>
                <c:pt idx="1118">
                  <c:v>2020</c:v>
                </c:pt>
                <c:pt idx="1119">
                  <c:v>2021</c:v>
                </c:pt>
                <c:pt idx="1120">
                  <c:v>2020</c:v>
                </c:pt>
                <c:pt idx="1121">
                  <c:v>2019</c:v>
                </c:pt>
                <c:pt idx="1122">
                  <c:v>2020</c:v>
                </c:pt>
                <c:pt idx="1123">
                  <c:v>2020</c:v>
                </c:pt>
                <c:pt idx="1124">
                  <c:v>2020</c:v>
                </c:pt>
                <c:pt idx="1125">
                  <c:v>2020</c:v>
                </c:pt>
                <c:pt idx="1126">
                  <c:v>2020</c:v>
                </c:pt>
                <c:pt idx="1127">
                  <c:v>2019</c:v>
                </c:pt>
                <c:pt idx="1128">
                  <c:v>2020</c:v>
                </c:pt>
                <c:pt idx="1129">
                  <c:v>2021</c:v>
                </c:pt>
                <c:pt idx="1130">
                  <c:v>2019</c:v>
                </c:pt>
                <c:pt idx="1131">
                  <c:v>2020</c:v>
                </c:pt>
                <c:pt idx="1132">
                  <c:v>2020</c:v>
                </c:pt>
                <c:pt idx="1133">
                  <c:v>2020</c:v>
                </c:pt>
                <c:pt idx="1134">
                  <c:v>2020</c:v>
                </c:pt>
                <c:pt idx="1135">
                  <c:v>2019</c:v>
                </c:pt>
                <c:pt idx="1136">
                  <c:v>2020</c:v>
                </c:pt>
                <c:pt idx="1137">
                  <c:v>2020</c:v>
                </c:pt>
                <c:pt idx="1138">
                  <c:v>2018</c:v>
                </c:pt>
                <c:pt idx="1139">
                  <c:v>2019</c:v>
                </c:pt>
                <c:pt idx="1140">
                  <c:v>1994</c:v>
                </c:pt>
                <c:pt idx="1141">
                  <c:v>2020</c:v>
                </c:pt>
                <c:pt idx="1142">
                  <c:v>2020</c:v>
                </c:pt>
                <c:pt idx="1143">
                  <c:v>2021</c:v>
                </c:pt>
                <c:pt idx="1144">
                  <c:v>2021</c:v>
                </c:pt>
                <c:pt idx="1145">
                  <c:v>2021</c:v>
                </c:pt>
                <c:pt idx="1146">
                  <c:v>2020</c:v>
                </c:pt>
                <c:pt idx="1147">
                  <c:v>2020</c:v>
                </c:pt>
                <c:pt idx="1148">
                  <c:v>2020</c:v>
                </c:pt>
                <c:pt idx="1149">
                  <c:v>2020</c:v>
                </c:pt>
                <c:pt idx="1150">
                  <c:v>2021</c:v>
                </c:pt>
                <c:pt idx="1151">
                  <c:v>2020</c:v>
                </c:pt>
                <c:pt idx="1152">
                  <c:v>2020</c:v>
                </c:pt>
                <c:pt idx="1153">
                  <c:v>2020</c:v>
                </c:pt>
                <c:pt idx="1154">
                  <c:v>2021</c:v>
                </c:pt>
                <c:pt idx="1155">
                  <c:v>2020</c:v>
                </c:pt>
                <c:pt idx="1156">
                  <c:v>2020</c:v>
                </c:pt>
                <c:pt idx="1157">
                  <c:v>2020</c:v>
                </c:pt>
                <c:pt idx="1158">
                  <c:v>2021</c:v>
                </c:pt>
                <c:pt idx="1159">
                  <c:v>2020</c:v>
                </c:pt>
                <c:pt idx="1160">
                  <c:v>2020</c:v>
                </c:pt>
                <c:pt idx="1161">
                  <c:v>2019</c:v>
                </c:pt>
                <c:pt idx="1162">
                  <c:v>2020</c:v>
                </c:pt>
                <c:pt idx="1163">
                  <c:v>2020</c:v>
                </c:pt>
                <c:pt idx="1164">
                  <c:v>2020</c:v>
                </c:pt>
                <c:pt idx="1165">
                  <c:v>2020</c:v>
                </c:pt>
                <c:pt idx="1166">
                  <c:v>2020</c:v>
                </c:pt>
                <c:pt idx="1167">
                  <c:v>2020</c:v>
                </c:pt>
                <c:pt idx="1168">
                  <c:v>2020</c:v>
                </c:pt>
                <c:pt idx="1169">
                  <c:v>2020</c:v>
                </c:pt>
                <c:pt idx="1170">
                  <c:v>2020</c:v>
                </c:pt>
                <c:pt idx="1171">
                  <c:v>2020</c:v>
                </c:pt>
                <c:pt idx="1172">
                  <c:v>2020</c:v>
                </c:pt>
                <c:pt idx="1173">
                  <c:v>2020</c:v>
                </c:pt>
                <c:pt idx="1174">
                  <c:v>2020</c:v>
                </c:pt>
                <c:pt idx="1175">
                  <c:v>2020</c:v>
                </c:pt>
                <c:pt idx="1176">
                  <c:v>2020</c:v>
                </c:pt>
                <c:pt idx="1177">
                  <c:v>2020</c:v>
                </c:pt>
                <c:pt idx="1178">
                  <c:v>2020</c:v>
                </c:pt>
                <c:pt idx="1179">
                  <c:v>2020</c:v>
                </c:pt>
                <c:pt idx="1180">
                  <c:v>2020</c:v>
                </c:pt>
                <c:pt idx="1181">
                  <c:v>2020</c:v>
                </c:pt>
                <c:pt idx="1182">
                  <c:v>2020</c:v>
                </c:pt>
                <c:pt idx="1183">
                  <c:v>2020</c:v>
                </c:pt>
                <c:pt idx="1184">
                  <c:v>2021</c:v>
                </c:pt>
                <c:pt idx="1185">
                  <c:v>2020</c:v>
                </c:pt>
                <c:pt idx="1186">
                  <c:v>2021</c:v>
                </c:pt>
                <c:pt idx="1187">
                  <c:v>2021</c:v>
                </c:pt>
                <c:pt idx="1188">
                  <c:v>2020</c:v>
                </c:pt>
                <c:pt idx="1189">
                  <c:v>2020</c:v>
                </c:pt>
                <c:pt idx="1190">
                  <c:v>2021</c:v>
                </c:pt>
                <c:pt idx="1191">
                  <c:v>2020</c:v>
                </c:pt>
                <c:pt idx="1192">
                  <c:v>2020</c:v>
                </c:pt>
                <c:pt idx="1193">
                  <c:v>2020</c:v>
                </c:pt>
                <c:pt idx="1194">
                  <c:v>2020</c:v>
                </c:pt>
                <c:pt idx="1195">
                  <c:v>2020</c:v>
                </c:pt>
                <c:pt idx="1196">
                  <c:v>2020</c:v>
                </c:pt>
                <c:pt idx="1197">
                  <c:v>2021</c:v>
                </c:pt>
                <c:pt idx="1198">
                  <c:v>2020</c:v>
                </c:pt>
                <c:pt idx="1199">
                  <c:v>2019</c:v>
                </c:pt>
                <c:pt idx="1200">
                  <c:v>2020</c:v>
                </c:pt>
                <c:pt idx="1201">
                  <c:v>2019</c:v>
                </c:pt>
                <c:pt idx="1202">
                  <c:v>2020</c:v>
                </c:pt>
                <c:pt idx="1203">
                  <c:v>2020</c:v>
                </c:pt>
                <c:pt idx="1204">
                  <c:v>2020</c:v>
                </c:pt>
                <c:pt idx="1205">
                  <c:v>2020</c:v>
                </c:pt>
                <c:pt idx="1206">
                  <c:v>2020</c:v>
                </c:pt>
                <c:pt idx="1207">
                  <c:v>1984</c:v>
                </c:pt>
                <c:pt idx="1208">
                  <c:v>2020</c:v>
                </c:pt>
                <c:pt idx="1209">
                  <c:v>2020</c:v>
                </c:pt>
                <c:pt idx="1210">
                  <c:v>2020</c:v>
                </c:pt>
                <c:pt idx="1211">
                  <c:v>2020</c:v>
                </c:pt>
                <c:pt idx="1212">
                  <c:v>2020</c:v>
                </c:pt>
                <c:pt idx="1213">
                  <c:v>2020</c:v>
                </c:pt>
                <c:pt idx="1214">
                  <c:v>2020</c:v>
                </c:pt>
                <c:pt idx="1215">
                  <c:v>2020</c:v>
                </c:pt>
                <c:pt idx="1216">
                  <c:v>2020</c:v>
                </c:pt>
                <c:pt idx="1217">
                  <c:v>2020</c:v>
                </c:pt>
                <c:pt idx="1218">
                  <c:v>2020</c:v>
                </c:pt>
                <c:pt idx="1219">
                  <c:v>2020</c:v>
                </c:pt>
                <c:pt idx="1220">
                  <c:v>2020</c:v>
                </c:pt>
                <c:pt idx="1221">
                  <c:v>2021</c:v>
                </c:pt>
                <c:pt idx="1222">
                  <c:v>2021</c:v>
                </c:pt>
                <c:pt idx="1223">
                  <c:v>2020</c:v>
                </c:pt>
                <c:pt idx="1224">
                  <c:v>2020</c:v>
                </c:pt>
                <c:pt idx="1225">
                  <c:v>2020</c:v>
                </c:pt>
                <c:pt idx="1226">
                  <c:v>2020</c:v>
                </c:pt>
                <c:pt idx="1227">
                  <c:v>2020</c:v>
                </c:pt>
                <c:pt idx="1228">
                  <c:v>2019</c:v>
                </c:pt>
                <c:pt idx="1229">
                  <c:v>2020</c:v>
                </c:pt>
                <c:pt idx="1230">
                  <c:v>2020</c:v>
                </c:pt>
                <c:pt idx="1231">
                  <c:v>2020</c:v>
                </c:pt>
                <c:pt idx="1232">
                  <c:v>2020</c:v>
                </c:pt>
                <c:pt idx="1233">
                  <c:v>2020</c:v>
                </c:pt>
                <c:pt idx="1234">
                  <c:v>2020</c:v>
                </c:pt>
                <c:pt idx="1235">
                  <c:v>2020</c:v>
                </c:pt>
                <c:pt idx="1236">
                  <c:v>2020</c:v>
                </c:pt>
                <c:pt idx="1237">
                  <c:v>2020</c:v>
                </c:pt>
                <c:pt idx="1238">
                  <c:v>2009</c:v>
                </c:pt>
                <c:pt idx="1239">
                  <c:v>2020</c:v>
                </c:pt>
                <c:pt idx="1240">
                  <c:v>2020</c:v>
                </c:pt>
                <c:pt idx="1241">
                  <c:v>2020</c:v>
                </c:pt>
                <c:pt idx="1242">
                  <c:v>2020</c:v>
                </c:pt>
                <c:pt idx="1243">
                  <c:v>2020</c:v>
                </c:pt>
                <c:pt idx="1244">
                  <c:v>2020</c:v>
                </c:pt>
                <c:pt idx="1245">
                  <c:v>2020</c:v>
                </c:pt>
                <c:pt idx="1246">
                  <c:v>2020</c:v>
                </c:pt>
                <c:pt idx="1247">
                  <c:v>2020</c:v>
                </c:pt>
                <c:pt idx="1248">
                  <c:v>2020</c:v>
                </c:pt>
                <c:pt idx="1249">
                  <c:v>2020</c:v>
                </c:pt>
                <c:pt idx="1250">
                  <c:v>2020</c:v>
                </c:pt>
                <c:pt idx="1251">
                  <c:v>2020</c:v>
                </c:pt>
                <c:pt idx="1252">
                  <c:v>2020</c:v>
                </c:pt>
                <c:pt idx="1253">
                  <c:v>2020</c:v>
                </c:pt>
                <c:pt idx="1254">
                  <c:v>2020</c:v>
                </c:pt>
                <c:pt idx="1255">
                  <c:v>2020</c:v>
                </c:pt>
                <c:pt idx="1256">
                  <c:v>2020</c:v>
                </c:pt>
                <c:pt idx="1257">
                  <c:v>2020</c:v>
                </c:pt>
                <c:pt idx="1258">
                  <c:v>2020</c:v>
                </c:pt>
                <c:pt idx="1259">
                  <c:v>2020</c:v>
                </c:pt>
                <c:pt idx="1260">
                  <c:v>2020</c:v>
                </c:pt>
                <c:pt idx="1261">
                  <c:v>2020</c:v>
                </c:pt>
                <c:pt idx="1262">
                  <c:v>2020</c:v>
                </c:pt>
                <c:pt idx="1263">
                  <c:v>2020</c:v>
                </c:pt>
                <c:pt idx="1264">
                  <c:v>2021</c:v>
                </c:pt>
                <c:pt idx="1265">
                  <c:v>2021</c:v>
                </c:pt>
                <c:pt idx="1266">
                  <c:v>2020</c:v>
                </c:pt>
                <c:pt idx="1267">
                  <c:v>2020</c:v>
                </c:pt>
                <c:pt idx="1268">
                  <c:v>2020</c:v>
                </c:pt>
                <c:pt idx="1269">
                  <c:v>2020</c:v>
                </c:pt>
                <c:pt idx="1270">
                  <c:v>2019</c:v>
                </c:pt>
                <c:pt idx="1271">
                  <c:v>2020</c:v>
                </c:pt>
                <c:pt idx="1272">
                  <c:v>2020</c:v>
                </c:pt>
                <c:pt idx="1273">
                  <c:v>2020</c:v>
                </c:pt>
                <c:pt idx="1274">
                  <c:v>2020</c:v>
                </c:pt>
                <c:pt idx="1275">
                  <c:v>2014</c:v>
                </c:pt>
                <c:pt idx="1276">
                  <c:v>2020</c:v>
                </c:pt>
                <c:pt idx="1277">
                  <c:v>2020</c:v>
                </c:pt>
                <c:pt idx="1278">
                  <c:v>2020</c:v>
                </c:pt>
                <c:pt idx="1279">
                  <c:v>2020</c:v>
                </c:pt>
                <c:pt idx="1280">
                  <c:v>2020</c:v>
                </c:pt>
                <c:pt idx="1281">
                  <c:v>2020</c:v>
                </c:pt>
                <c:pt idx="1282">
                  <c:v>2020</c:v>
                </c:pt>
                <c:pt idx="1283">
                  <c:v>2020</c:v>
                </c:pt>
                <c:pt idx="1284">
                  <c:v>2020</c:v>
                </c:pt>
                <c:pt idx="1285">
                  <c:v>2020</c:v>
                </c:pt>
                <c:pt idx="1286">
                  <c:v>2020</c:v>
                </c:pt>
                <c:pt idx="1287">
                  <c:v>2020</c:v>
                </c:pt>
                <c:pt idx="1288">
                  <c:v>2020</c:v>
                </c:pt>
                <c:pt idx="1289">
                  <c:v>2020</c:v>
                </c:pt>
                <c:pt idx="1290">
                  <c:v>2020</c:v>
                </c:pt>
                <c:pt idx="1291">
                  <c:v>2020</c:v>
                </c:pt>
                <c:pt idx="1292">
                  <c:v>2020</c:v>
                </c:pt>
                <c:pt idx="1293">
                  <c:v>2020</c:v>
                </c:pt>
                <c:pt idx="1294">
                  <c:v>2020</c:v>
                </c:pt>
                <c:pt idx="1295">
                  <c:v>2019</c:v>
                </c:pt>
                <c:pt idx="1296">
                  <c:v>2020</c:v>
                </c:pt>
                <c:pt idx="1297">
                  <c:v>2020</c:v>
                </c:pt>
                <c:pt idx="1298">
                  <c:v>2020</c:v>
                </c:pt>
                <c:pt idx="1299">
                  <c:v>2020</c:v>
                </c:pt>
                <c:pt idx="1300">
                  <c:v>2020</c:v>
                </c:pt>
                <c:pt idx="1301">
                  <c:v>2020</c:v>
                </c:pt>
                <c:pt idx="1302">
                  <c:v>2020</c:v>
                </c:pt>
                <c:pt idx="1303">
                  <c:v>2020</c:v>
                </c:pt>
                <c:pt idx="1304">
                  <c:v>2020</c:v>
                </c:pt>
                <c:pt idx="1305">
                  <c:v>2020</c:v>
                </c:pt>
                <c:pt idx="1306">
                  <c:v>2020</c:v>
                </c:pt>
                <c:pt idx="1307">
                  <c:v>2020</c:v>
                </c:pt>
                <c:pt idx="1308">
                  <c:v>2020</c:v>
                </c:pt>
                <c:pt idx="1309">
                  <c:v>2020</c:v>
                </c:pt>
                <c:pt idx="1310">
                  <c:v>2017</c:v>
                </c:pt>
                <c:pt idx="1311">
                  <c:v>2020</c:v>
                </c:pt>
                <c:pt idx="1312">
                  <c:v>2020</c:v>
                </c:pt>
                <c:pt idx="1313">
                  <c:v>2020</c:v>
                </c:pt>
                <c:pt idx="1314">
                  <c:v>2020</c:v>
                </c:pt>
                <c:pt idx="1315">
                  <c:v>2020</c:v>
                </c:pt>
                <c:pt idx="1316">
                  <c:v>2020</c:v>
                </c:pt>
                <c:pt idx="1317">
                  <c:v>2020</c:v>
                </c:pt>
                <c:pt idx="1318">
                  <c:v>2020</c:v>
                </c:pt>
                <c:pt idx="1319">
                  <c:v>2020</c:v>
                </c:pt>
                <c:pt idx="1320">
                  <c:v>2020</c:v>
                </c:pt>
                <c:pt idx="1321">
                  <c:v>2020</c:v>
                </c:pt>
                <c:pt idx="1322">
                  <c:v>2020</c:v>
                </c:pt>
                <c:pt idx="1323">
                  <c:v>2020</c:v>
                </c:pt>
                <c:pt idx="1324">
                  <c:v>2020</c:v>
                </c:pt>
                <c:pt idx="1325">
                  <c:v>2020</c:v>
                </c:pt>
                <c:pt idx="1326">
                  <c:v>2019</c:v>
                </c:pt>
                <c:pt idx="1327">
                  <c:v>2020</c:v>
                </c:pt>
                <c:pt idx="1328">
                  <c:v>2020</c:v>
                </c:pt>
                <c:pt idx="1329">
                  <c:v>2011</c:v>
                </c:pt>
                <c:pt idx="1330">
                  <c:v>2020</c:v>
                </c:pt>
                <c:pt idx="1331">
                  <c:v>2020</c:v>
                </c:pt>
                <c:pt idx="1332">
                  <c:v>2020</c:v>
                </c:pt>
                <c:pt idx="1333">
                  <c:v>2020</c:v>
                </c:pt>
                <c:pt idx="1334">
                  <c:v>2020</c:v>
                </c:pt>
                <c:pt idx="1335">
                  <c:v>2020</c:v>
                </c:pt>
                <c:pt idx="1336">
                  <c:v>2020</c:v>
                </c:pt>
                <c:pt idx="1337">
                  <c:v>2020</c:v>
                </c:pt>
                <c:pt idx="1338">
                  <c:v>2020</c:v>
                </c:pt>
                <c:pt idx="1339">
                  <c:v>2020</c:v>
                </c:pt>
                <c:pt idx="1340">
                  <c:v>2020</c:v>
                </c:pt>
                <c:pt idx="1341">
                  <c:v>2020</c:v>
                </c:pt>
                <c:pt idx="1342">
                  <c:v>2020</c:v>
                </c:pt>
                <c:pt idx="1343">
                  <c:v>2020</c:v>
                </c:pt>
                <c:pt idx="1344">
                  <c:v>2020</c:v>
                </c:pt>
                <c:pt idx="1345">
                  <c:v>2020</c:v>
                </c:pt>
                <c:pt idx="1346">
                  <c:v>2019</c:v>
                </c:pt>
                <c:pt idx="1347">
                  <c:v>2020</c:v>
                </c:pt>
                <c:pt idx="1348">
                  <c:v>2020</c:v>
                </c:pt>
                <c:pt idx="1349">
                  <c:v>2020</c:v>
                </c:pt>
                <c:pt idx="1350">
                  <c:v>2020</c:v>
                </c:pt>
                <c:pt idx="1351">
                  <c:v>2019</c:v>
                </c:pt>
                <c:pt idx="1352">
                  <c:v>2020</c:v>
                </c:pt>
                <c:pt idx="1353">
                  <c:v>1964</c:v>
                </c:pt>
                <c:pt idx="1354">
                  <c:v>2020</c:v>
                </c:pt>
                <c:pt idx="1355">
                  <c:v>2020</c:v>
                </c:pt>
                <c:pt idx="1356">
                  <c:v>2020</c:v>
                </c:pt>
                <c:pt idx="1357">
                  <c:v>2020</c:v>
                </c:pt>
                <c:pt idx="1358">
                  <c:v>2020</c:v>
                </c:pt>
                <c:pt idx="1359">
                  <c:v>2020</c:v>
                </c:pt>
                <c:pt idx="1360">
                  <c:v>2020</c:v>
                </c:pt>
                <c:pt idx="1361">
                  <c:v>2020</c:v>
                </c:pt>
                <c:pt idx="1362">
                  <c:v>2020</c:v>
                </c:pt>
                <c:pt idx="1363">
                  <c:v>2020</c:v>
                </c:pt>
                <c:pt idx="1364">
                  <c:v>2020</c:v>
                </c:pt>
                <c:pt idx="1365">
                  <c:v>2020</c:v>
                </c:pt>
                <c:pt idx="1366">
                  <c:v>2020</c:v>
                </c:pt>
                <c:pt idx="1367">
                  <c:v>2020</c:v>
                </c:pt>
                <c:pt idx="1368">
                  <c:v>2020</c:v>
                </c:pt>
                <c:pt idx="1369">
                  <c:v>2020</c:v>
                </c:pt>
                <c:pt idx="1370">
                  <c:v>2020</c:v>
                </c:pt>
                <c:pt idx="1371">
                  <c:v>2020</c:v>
                </c:pt>
                <c:pt idx="1372">
                  <c:v>2020</c:v>
                </c:pt>
                <c:pt idx="1373">
                  <c:v>2020</c:v>
                </c:pt>
                <c:pt idx="1374">
                  <c:v>2020</c:v>
                </c:pt>
                <c:pt idx="1375">
                  <c:v>2021</c:v>
                </c:pt>
                <c:pt idx="1376">
                  <c:v>2020</c:v>
                </c:pt>
                <c:pt idx="1377">
                  <c:v>2020</c:v>
                </c:pt>
                <c:pt idx="1378">
                  <c:v>2020</c:v>
                </c:pt>
                <c:pt idx="1379">
                  <c:v>2020</c:v>
                </c:pt>
                <c:pt idx="1380">
                  <c:v>2020</c:v>
                </c:pt>
                <c:pt idx="1381">
                  <c:v>2020</c:v>
                </c:pt>
                <c:pt idx="1382">
                  <c:v>2020</c:v>
                </c:pt>
                <c:pt idx="1383">
                  <c:v>2020</c:v>
                </c:pt>
                <c:pt idx="1384">
                  <c:v>2020</c:v>
                </c:pt>
                <c:pt idx="1385">
                  <c:v>2019</c:v>
                </c:pt>
                <c:pt idx="1386">
                  <c:v>2020</c:v>
                </c:pt>
                <c:pt idx="1387">
                  <c:v>2020</c:v>
                </c:pt>
                <c:pt idx="1388">
                  <c:v>2020</c:v>
                </c:pt>
                <c:pt idx="1389">
                  <c:v>2020</c:v>
                </c:pt>
                <c:pt idx="1390">
                  <c:v>2020</c:v>
                </c:pt>
                <c:pt idx="1391">
                  <c:v>2020</c:v>
                </c:pt>
                <c:pt idx="1392">
                  <c:v>2020</c:v>
                </c:pt>
                <c:pt idx="1393">
                  <c:v>2020</c:v>
                </c:pt>
                <c:pt idx="1394">
                  <c:v>1957</c:v>
                </c:pt>
                <c:pt idx="1395">
                  <c:v>2020</c:v>
                </c:pt>
                <c:pt idx="1396">
                  <c:v>2021</c:v>
                </c:pt>
                <c:pt idx="1397">
                  <c:v>2020</c:v>
                </c:pt>
                <c:pt idx="1398">
                  <c:v>2020</c:v>
                </c:pt>
                <c:pt idx="1399">
                  <c:v>2020</c:v>
                </c:pt>
                <c:pt idx="1400">
                  <c:v>2020</c:v>
                </c:pt>
                <c:pt idx="1401">
                  <c:v>2019</c:v>
                </c:pt>
                <c:pt idx="1402">
                  <c:v>2020</c:v>
                </c:pt>
                <c:pt idx="1403">
                  <c:v>2020</c:v>
                </c:pt>
                <c:pt idx="1404">
                  <c:v>2020</c:v>
                </c:pt>
                <c:pt idx="1405">
                  <c:v>2020</c:v>
                </c:pt>
                <c:pt idx="1406">
                  <c:v>2020</c:v>
                </c:pt>
                <c:pt idx="1407">
                  <c:v>2012</c:v>
                </c:pt>
                <c:pt idx="1408">
                  <c:v>1963</c:v>
                </c:pt>
                <c:pt idx="1409">
                  <c:v>2020</c:v>
                </c:pt>
                <c:pt idx="1410">
                  <c:v>2020</c:v>
                </c:pt>
                <c:pt idx="1411">
                  <c:v>2020</c:v>
                </c:pt>
                <c:pt idx="1412">
                  <c:v>1988</c:v>
                </c:pt>
                <c:pt idx="1413">
                  <c:v>2021</c:v>
                </c:pt>
                <c:pt idx="1414">
                  <c:v>2021</c:v>
                </c:pt>
                <c:pt idx="1415">
                  <c:v>2020</c:v>
                </c:pt>
                <c:pt idx="1416">
                  <c:v>2020</c:v>
                </c:pt>
                <c:pt idx="1417">
                  <c:v>2020</c:v>
                </c:pt>
                <c:pt idx="1418">
                  <c:v>2020</c:v>
                </c:pt>
                <c:pt idx="1419">
                  <c:v>1959</c:v>
                </c:pt>
                <c:pt idx="1420">
                  <c:v>2020</c:v>
                </c:pt>
                <c:pt idx="1421">
                  <c:v>2020</c:v>
                </c:pt>
                <c:pt idx="1422">
                  <c:v>2021</c:v>
                </c:pt>
                <c:pt idx="1423">
                  <c:v>2020</c:v>
                </c:pt>
                <c:pt idx="1424">
                  <c:v>2020</c:v>
                </c:pt>
                <c:pt idx="1425">
                  <c:v>2020</c:v>
                </c:pt>
                <c:pt idx="1426">
                  <c:v>2020</c:v>
                </c:pt>
                <c:pt idx="1427">
                  <c:v>2021</c:v>
                </c:pt>
                <c:pt idx="1428">
                  <c:v>2021</c:v>
                </c:pt>
                <c:pt idx="1429">
                  <c:v>2020</c:v>
                </c:pt>
                <c:pt idx="1430">
                  <c:v>2020</c:v>
                </c:pt>
                <c:pt idx="1431">
                  <c:v>1994</c:v>
                </c:pt>
                <c:pt idx="1432">
                  <c:v>2016</c:v>
                </c:pt>
                <c:pt idx="1433">
                  <c:v>2010</c:v>
                </c:pt>
                <c:pt idx="1434">
                  <c:v>1962</c:v>
                </c:pt>
                <c:pt idx="1435">
                  <c:v>2020</c:v>
                </c:pt>
                <c:pt idx="1436">
                  <c:v>2020</c:v>
                </c:pt>
                <c:pt idx="1437">
                  <c:v>2021</c:v>
                </c:pt>
                <c:pt idx="1438">
                  <c:v>2020</c:v>
                </c:pt>
                <c:pt idx="1439">
                  <c:v>2020</c:v>
                </c:pt>
                <c:pt idx="1440">
                  <c:v>2019</c:v>
                </c:pt>
                <c:pt idx="1441">
                  <c:v>2020</c:v>
                </c:pt>
                <c:pt idx="1442">
                  <c:v>2020</c:v>
                </c:pt>
                <c:pt idx="1443">
                  <c:v>2020</c:v>
                </c:pt>
                <c:pt idx="1444">
                  <c:v>2004</c:v>
                </c:pt>
                <c:pt idx="1445">
                  <c:v>1980</c:v>
                </c:pt>
                <c:pt idx="1446">
                  <c:v>1980</c:v>
                </c:pt>
                <c:pt idx="1447">
                  <c:v>1990</c:v>
                </c:pt>
                <c:pt idx="1448">
                  <c:v>2020</c:v>
                </c:pt>
                <c:pt idx="1449">
                  <c:v>1942</c:v>
                </c:pt>
                <c:pt idx="1450">
                  <c:v>2020</c:v>
                </c:pt>
                <c:pt idx="1451">
                  <c:v>2020</c:v>
                </c:pt>
                <c:pt idx="1452">
                  <c:v>2020</c:v>
                </c:pt>
                <c:pt idx="1453">
                  <c:v>1963</c:v>
                </c:pt>
                <c:pt idx="1454">
                  <c:v>2020</c:v>
                </c:pt>
                <c:pt idx="1455">
                  <c:v>2013</c:v>
                </c:pt>
                <c:pt idx="1456">
                  <c:v>2002</c:v>
                </c:pt>
                <c:pt idx="1457">
                  <c:v>2021</c:v>
                </c:pt>
                <c:pt idx="1458">
                  <c:v>2018</c:v>
                </c:pt>
                <c:pt idx="1459">
                  <c:v>1965</c:v>
                </c:pt>
                <c:pt idx="1460">
                  <c:v>1957</c:v>
                </c:pt>
                <c:pt idx="1461">
                  <c:v>1999</c:v>
                </c:pt>
                <c:pt idx="1462">
                  <c:v>2020</c:v>
                </c:pt>
                <c:pt idx="1463">
                  <c:v>2012</c:v>
                </c:pt>
                <c:pt idx="1464">
                  <c:v>2020</c:v>
                </c:pt>
                <c:pt idx="1465">
                  <c:v>2019</c:v>
                </c:pt>
                <c:pt idx="1466">
                  <c:v>2014</c:v>
                </c:pt>
                <c:pt idx="1467">
                  <c:v>2020</c:v>
                </c:pt>
                <c:pt idx="1468">
                  <c:v>1991</c:v>
                </c:pt>
                <c:pt idx="1469">
                  <c:v>2020</c:v>
                </c:pt>
                <c:pt idx="1470">
                  <c:v>2014</c:v>
                </c:pt>
                <c:pt idx="1471">
                  <c:v>2020</c:v>
                </c:pt>
                <c:pt idx="1472">
                  <c:v>2015</c:v>
                </c:pt>
                <c:pt idx="1473">
                  <c:v>1963</c:v>
                </c:pt>
                <c:pt idx="1474">
                  <c:v>2016</c:v>
                </c:pt>
                <c:pt idx="1475">
                  <c:v>2017</c:v>
                </c:pt>
                <c:pt idx="1476">
                  <c:v>2012</c:v>
                </c:pt>
                <c:pt idx="1477">
                  <c:v>1970</c:v>
                </c:pt>
                <c:pt idx="1478">
                  <c:v>1959</c:v>
                </c:pt>
                <c:pt idx="1479">
                  <c:v>1981</c:v>
                </c:pt>
                <c:pt idx="1480">
                  <c:v>2006</c:v>
                </c:pt>
                <c:pt idx="1481">
                  <c:v>1994</c:v>
                </c:pt>
                <c:pt idx="1482">
                  <c:v>1983</c:v>
                </c:pt>
                <c:pt idx="1483">
                  <c:v>2000</c:v>
                </c:pt>
                <c:pt idx="1484">
                  <c:v>1973</c:v>
                </c:pt>
                <c:pt idx="1485">
                  <c:v>2020</c:v>
                </c:pt>
                <c:pt idx="1486">
                  <c:v>2013</c:v>
                </c:pt>
                <c:pt idx="1487">
                  <c:v>1990</c:v>
                </c:pt>
                <c:pt idx="1488">
                  <c:v>2010</c:v>
                </c:pt>
                <c:pt idx="1489">
                  <c:v>2002</c:v>
                </c:pt>
                <c:pt idx="1490">
                  <c:v>1959</c:v>
                </c:pt>
                <c:pt idx="1491">
                  <c:v>2018</c:v>
                </c:pt>
                <c:pt idx="1492">
                  <c:v>1998</c:v>
                </c:pt>
                <c:pt idx="1493">
                  <c:v>2020</c:v>
                </c:pt>
                <c:pt idx="1494">
                  <c:v>2020</c:v>
                </c:pt>
                <c:pt idx="1495">
                  <c:v>1957</c:v>
                </c:pt>
                <c:pt idx="1496">
                  <c:v>1957</c:v>
                </c:pt>
                <c:pt idx="1497">
                  <c:v>2020</c:v>
                </c:pt>
                <c:pt idx="1498">
                  <c:v>2014</c:v>
                </c:pt>
                <c:pt idx="1499">
                  <c:v>2019</c:v>
                </c:pt>
                <c:pt idx="1500">
                  <c:v>2021</c:v>
                </c:pt>
                <c:pt idx="1501">
                  <c:v>2021</c:v>
                </c:pt>
                <c:pt idx="1502">
                  <c:v>2021</c:v>
                </c:pt>
                <c:pt idx="1503">
                  <c:v>2021</c:v>
                </c:pt>
                <c:pt idx="1504">
                  <c:v>2021</c:v>
                </c:pt>
                <c:pt idx="1505">
                  <c:v>2021</c:v>
                </c:pt>
                <c:pt idx="1506">
                  <c:v>2021</c:v>
                </c:pt>
                <c:pt idx="1507">
                  <c:v>2021</c:v>
                </c:pt>
                <c:pt idx="1508">
                  <c:v>2021</c:v>
                </c:pt>
                <c:pt idx="1509">
                  <c:v>2021</c:v>
                </c:pt>
                <c:pt idx="1510">
                  <c:v>2021</c:v>
                </c:pt>
                <c:pt idx="1511">
                  <c:v>2021</c:v>
                </c:pt>
                <c:pt idx="1512">
                  <c:v>2021</c:v>
                </c:pt>
                <c:pt idx="1513">
                  <c:v>2021</c:v>
                </c:pt>
                <c:pt idx="1514">
                  <c:v>2021</c:v>
                </c:pt>
                <c:pt idx="1515">
                  <c:v>2021</c:v>
                </c:pt>
                <c:pt idx="1516">
                  <c:v>2021</c:v>
                </c:pt>
                <c:pt idx="1517">
                  <c:v>2021</c:v>
                </c:pt>
                <c:pt idx="1518">
                  <c:v>2021</c:v>
                </c:pt>
                <c:pt idx="1519">
                  <c:v>2021</c:v>
                </c:pt>
                <c:pt idx="1520">
                  <c:v>2021</c:v>
                </c:pt>
                <c:pt idx="1521">
                  <c:v>2021</c:v>
                </c:pt>
                <c:pt idx="1522">
                  <c:v>2021</c:v>
                </c:pt>
                <c:pt idx="1523">
                  <c:v>2021</c:v>
                </c:pt>
                <c:pt idx="1524">
                  <c:v>2021</c:v>
                </c:pt>
                <c:pt idx="1525">
                  <c:v>2021</c:v>
                </c:pt>
                <c:pt idx="1526">
                  <c:v>2021</c:v>
                </c:pt>
                <c:pt idx="1527">
                  <c:v>2021</c:v>
                </c:pt>
                <c:pt idx="1528">
                  <c:v>2021</c:v>
                </c:pt>
                <c:pt idx="1529">
                  <c:v>2021</c:v>
                </c:pt>
                <c:pt idx="1530">
                  <c:v>2021</c:v>
                </c:pt>
                <c:pt idx="1531">
                  <c:v>2021</c:v>
                </c:pt>
                <c:pt idx="1532">
                  <c:v>2021</c:v>
                </c:pt>
                <c:pt idx="1533">
                  <c:v>2021</c:v>
                </c:pt>
                <c:pt idx="1534">
                  <c:v>2021</c:v>
                </c:pt>
                <c:pt idx="1535">
                  <c:v>2021</c:v>
                </c:pt>
                <c:pt idx="1536">
                  <c:v>2021</c:v>
                </c:pt>
                <c:pt idx="1537">
                  <c:v>2021</c:v>
                </c:pt>
                <c:pt idx="1538">
                  <c:v>2021</c:v>
                </c:pt>
                <c:pt idx="1539">
                  <c:v>2021</c:v>
                </c:pt>
                <c:pt idx="1540">
                  <c:v>2021</c:v>
                </c:pt>
                <c:pt idx="1541">
                  <c:v>2021</c:v>
                </c:pt>
                <c:pt idx="1542">
                  <c:v>2021</c:v>
                </c:pt>
                <c:pt idx="1543">
                  <c:v>2021</c:v>
                </c:pt>
                <c:pt idx="1544">
                  <c:v>2021</c:v>
                </c:pt>
                <c:pt idx="1545">
                  <c:v>1900</c:v>
                </c:pt>
                <c:pt idx="1546">
                  <c:v>1900</c:v>
                </c:pt>
                <c:pt idx="1547">
                  <c:v>1900</c:v>
                </c:pt>
                <c:pt idx="1548">
                  <c:v>1900</c:v>
                </c:pt>
                <c:pt idx="1549">
                  <c:v>1900</c:v>
                </c:pt>
                <c:pt idx="1550">
                  <c:v>1900</c:v>
                </c:pt>
                <c:pt idx="1551">
                  <c:v>1900</c:v>
                </c:pt>
                <c:pt idx="1552">
                  <c:v>1900</c:v>
                </c:pt>
                <c:pt idx="1553">
                  <c:v>1900</c:v>
                </c:pt>
                <c:pt idx="1554">
                  <c:v>1900</c:v>
                </c:pt>
                <c:pt idx="1555">
                  <c:v>1900</c:v>
                </c:pt>
              </c:numCache>
            </c:numRef>
          </c:yVal>
          <c:smooth val="0"/>
          <c:extLst>
            <c:ext xmlns:c16="http://schemas.microsoft.com/office/drawing/2014/chart" uri="{C3380CC4-5D6E-409C-BE32-E72D297353CC}">
              <c16:uniqueId val="{00000000-60B9-4409-A63A-03F469579532}"/>
            </c:ext>
          </c:extLst>
        </c:ser>
        <c:dLbls>
          <c:showLegendKey val="0"/>
          <c:showVal val="0"/>
          <c:showCatName val="0"/>
          <c:showSerName val="0"/>
          <c:showPercent val="0"/>
          <c:showBubbleSize val="0"/>
        </c:dLbls>
        <c:axId val="780979535"/>
        <c:axId val="780985295"/>
      </c:scatterChart>
      <c:valAx>
        <c:axId val="7809795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Dansabilité</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80985295"/>
        <c:crosses val="autoZero"/>
        <c:crossBetween val="midCat"/>
      </c:valAx>
      <c:valAx>
        <c:axId val="780985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positivité</a:t>
                </a:r>
              </a:p>
              <a:p>
                <a:pPr>
                  <a:defRPr/>
                </a:pPr>
                <a:endParaRPr lang="fr-F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8097953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rapport entre l'Intensité et l'Energie d'une chanson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3692847769028871"/>
          <c:y val="0.18977663230240549"/>
          <c:w val="0.78262007874015749"/>
          <c:h val="0.65470343913196416"/>
        </c:manualLayout>
      </c:layout>
      <c:scatterChart>
        <c:scatterStyle val="lineMarker"/>
        <c:varyColors val="0"/>
        <c:ser>
          <c:idx val="0"/>
          <c:order val="0"/>
          <c:tx>
            <c:strRef>
              <c:f>Données!$T$1</c:f>
              <c:strCache>
                <c:ptCount val="1"/>
                <c:pt idx="0">
                  <c:v>Intensité</c:v>
                </c:pt>
              </c:strCache>
            </c:strRef>
          </c:tx>
          <c:spPr>
            <a:ln w="19050" cap="rnd">
              <a:noFill/>
              <a:round/>
            </a:ln>
            <a:effectLst/>
          </c:spPr>
          <c:marker>
            <c:symbol val="circle"/>
            <c:size val="5"/>
            <c:spPr>
              <a:solidFill>
                <a:schemeClr val="accent1"/>
              </a:solidFill>
              <a:ln w="9525">
                <a:solidFill>
                  <a:schemeClr val="accent1"/>
                </a:solidFill>
              </a:ln>
              <a:effectLst/>
            </c:spPr>
          </c:marker>
          <c:xVal>
            <c:numRef>
              <c:f>Données!$R$2:$R$1558</c:f>
              <c:numCache>
                <c:formatCode>0.00</c:formatCode>
                <c:ptCount val="1557"/>
                <c:pt idx="0">
                  <c:v>0.35899999999999999</c:v>
                </c:pt>
                <c:pt idx="1">
                  <c:v>0.10299999999999999</c:v>
                </c:pt>
                <c:pt idx="2">
                  <c:v>8.4900000000000003E-2</c:v>
                </c:pt>
                <c:pt idx="3">
                  <c:v>0.36399999999999999</c:v>
                </c:pt>
                <c:pt idx="4">
                  <c:v>0.38400000000000001</c:v>
                </c:pt>
                <c:pt idx="5">
                  <c:v>5.0099999999999999E-2</c:v>
                </c:pt>
                <c:pt idx="6">
                  <c:v>0.13500000000000001</c:v>
                </c:pt>
                <c:pt idx="7">
                  <c:v>9.3200000000000005E-2</c:v>
                </c:pt>
                <c:pt idx="8">
                  <c:v>0.17799999999999999</c:v>
                </c:pt>
                <c:pt idx="9">
                  <c:v>0.17299999999999999</c:v>
                </c:pt>
                <c:pt idx="10">
                  <c:v>0.33700000000000002</c:v>
                </c:pt>
                <c:pt idx="11">
                  <c:v>9.06E-2</c:v>
                </c:pt>
                <c:pt idx="12">
                  <c:v>0.123</c:v>
                </c:pt>
                <c:pt idx="13">
                  <c:v>0.42</c:v>
                </c:pt>
                <c:pt idx="14">
                  <c:v>0.12</c:v>
                </c:pt>
                <c:pt idx="15">
                  <c:v>9.3600000000000003E-2</c:v>
                </c:pt>
                <c:pt idx="16">
                  <c:v>9.3600000000000003E-2</c:v>
                </c:pt>
                <c:pt idx="17">
                  <c:v>0.37</c:v>
                </c:pt>
                <c:pt idx="18">
                  <c:v>7.6399999999999996E-2</c:v>
                </c:pt>
                <c:pt idx="19">
                  <c:v>0.106</c:v>
                </c:pt>
                <c:pt idx="20">
                  <c:v>8.9700000000000002E-2</c:v>
                </c:pt>
                <c:pt idx="21">
                  <c:v>8.3900000000000002E-2</c:v>
                </c:pt>
                <c:pt idx="22">
                  <c:v>0.128</c:v>
                </c:pt>
                <c:pt idx="23">
                  <c:v>0.30299999999999999</c:v>
                </c:pt>
                <c:pt idx="24">
                  <c:v>9.2700000000000005E-2</c:v>
                </c:pt>
                <c:pt idx="25">
                  <c:v>0.113</c:v>
                </c:pt>
                <c:pt idx="26">
                  <c:v>0.14699999999999999</c:v>
                </c:pt>
                <c:pt idx="27">
                  <c:v>9.4799999999999995E-2</c:v>
                </c:pt>
                <c:pt idx="28">
                  <c:v>9.2600000000000002E-2</c:v>
                </c:pt>
                <c:pt idx="29">
                  <c:v>0.34699999999999998</c:v>
                </c:pt>
                <c:pt idx="30">
                  <c:v>9.98E-2</c:v>
                </c:pt>
                <c:pt idx="31">
                  <c:v>0.33500000000000002</c:v>
                </c:pt>
                <c:pt idx="32">
                  <c:v>0.28599999999999998</c:v>
                </c:pt>
                <c:pt idx="33">
                  <c:v>6.1400000000000003E-2</c:v>
                </c:pt>
                <c:pt idx="34">
                  <c:v>0.112</c:v>
                </c:pt>
                <c:pt idx="35">
                  <c:v>6.7400000000000002E-2</c:v>
                </c:pt>
                <c:pt idx="36">
                  <c:v>0.15</c:v>
                </c:pt>
                <c:pt idx="37">
                  <c:v>0.129</c:v>
                </c:pt>
                <c:pt idx="38">
                  <c:v>8.4500000000000006E-2</c:v>
                </c:pt>
                <c:pt idx="39">
                  <c:v>0.29199999999999998</c:v>
                </c:pt>
                <c:pt idx="40">
                  <c:v>0.377</c:v>
                </c:pt>
                <c:pt idx="41">
                  <c:v>9.3600000000000003E-2</c:v>
                </c:pt>
                <c:pt idx="42">
                  <c:v>6.08E-2</c:v>
                </c:pt>
                <c:pt idx="43">
                  <c:v>0.32400000000000001</c:v>
                </c:pt>
                <c:pt idx="44">
                  <c:v>0.13700000000000001</c:v>
                </c:pt>
                <c:pt idx="45">
                  <c:v>0.11799999999999999</c:v>
                </c:pt>
                <c:pt idx="46">
                  <c:v>0.34699999999999998</c:v>
                </c:pt>
                <c:pt idx="47">
                  <c:v>0.11799999999999999</c:v>
                </c:pt>
                <c:pt idx="48">
                  <c:v>5.11E-2</c:v>
                </c:pt>
                <c:pt idx="49">
                  <c:v>0.28000000000000003</c:v>
                </c:pt>
                <c:pt idx="50">
                  <c:v>0.377</c:v>
                </c:pt>
                <c:pt idx="51">
                  <c:v>6.7400000000000002E-2</c:v>
                </c:pt>
                <c:pt idx="52">
                  <c:v>0.29199999999999998</c:v>
                </c:pt>
                <c:pt idx="53">
                  <c:v>4.4200000000000003E-2</c:v>
                </c:pt>
                <c:pt idx="54">
                  <c:v>0.14499999999999999</c:v>
                </c:pt>
                <c:pt idx="55">
                  <c:v>7.4300000000000005E-2</c:v>
                </c:pt>
                <c:pt idx="56">
                  <c:v>0.154</c:v>
                </c:pt>
                <c:pt idx="57">
                  <c:v>0.14799999999999999</c:v>
                </c:pt>
                <c:pt idx="58">
                  <c:v>0.17299999999999999</c:v>
                </c:pt>
                <c:pt idx="59">
                  <c:v>0.115</c:v>
                </c:pt>
                <c:pt idx="60">
                  <c:v>0.20300000000000001</c:v>
                </c:pt>
                <c:pt idx="61">
                  <c:v>0.112</c:v>
                </c:pt>
                <c:pt idx="62">
                  <c:v>0.12</c:v>
                </c:pt>
                <c:pt idx="63">
                  <c:v>0.30299999999999999</c:v>
                </c:pt>
                <c:pt idx="64">
                  <c:v>0.107</c:v>
                </c:pt>
                <c:pt idx="65">
                  <c:v>0.10100000000000001</c:v>
                </c:pt>
                <c:pt idx="66">
                  <c:v>0.15</c:v>
                </c:pt>
                <c:pt idx="67">
                  <c:v>0.108</c:v>
                </c:pt>
                <c:pt idx="68">
                  <c:v>8.9399999999999993E-2</c:v>
                </c:pt>
                <c:pt idx="69">
                  <c:v>8.6099999999999996E-2</c:v>
                </c:pt>
                <c:pt idx="70">
                  <c:v>0.122</c:v>
                </c:pt>
                <c:pt idx="71">
                  <c:v>0.13400000000000001</c:v>
                </c:pt>
                <c:pt idx="72">
                  <c:v>0.11899999999999999</c:v>
                </c:pt>
                <c:pt idx="73">
                  <c:v>0.124</c:v>
                </c:pt>
                <c:pt idx="74">
                  <c:v>4.8899999999999999E-2</c:v>
                </c:pt>
                <c:pt idx="75">
                  <c:v>0.33300000000000002</c:v>
                </c:pt>
                <c:pt idx="76">
                  <c:v>7.6999999999999999E-2</c:v>
                </c:pt>
                <c:pt idx="77">
                  <c:v>0.17199999999999999</c:v>
                </c:pt>
                <c:pt idx="78">
                  <c:v>8.6300000000000002E-2</c:v>
                </c:pt>
                <c:pt idx="79">
                  <c:v>0.124</c:v>
                </c:pt>
                <c:pt idx="80">
                  <c:v>0.124</c:v>
                </c:pt>
                <c:pt idx="81">
                  <c:v>0.113</c:v>
                </c:pt>
                <c:pt idx="82">
                  <c:v>0.105</c:v>
                </c:pt>
                <c:pt idx="83">
                  <c:v>0.42399999999999999</c:v>
                </c:pt>
                <c:pt idx="84">
                  <c:v>9.3100000000000002E-2</c:v>
                </c:pt>
                <c:pt idx="85">
                  <c:v>0.27800000000000002</c:v>
                </c:pt>
                <c:pt idx="86">
                  <c:v>0.11700000000000001</c:v>
                </c:pt>
                <c:pt idx="87">
                  <c:v>0.14000000000000001</c:v>
                </c:pt>
                <c:pt idx="88">
                  <c:v>8.1000000000000003E-2</c:v>
                </c:pt>
                <c:pt idx="89">
                  <c:v>0.29899999999999999</c:v>
                </c:pt>
                <c:pt idx="90">
                  <c:v>0.23899999999999999</c:v>
                </c:pt>
                <c:pt idx="91">
                  <c:v>6.54E-2</c:v>
                </c:pt>
                <c:pt idx="92">
                  <c:v>9.5000000000000001E-2</c:v>
                </c:pt>
                <c:pt idx="93">
                  <c:v>0.249</c:v>
                </c:pt>
                <c:pt idx="94">
                  <c:v>0.33800000000000002</c:v>
                </c:pt>
                <c:pt idx="95">
                  <c:v>0.106</c:v>
                </c:pt>
                <c:pt idx="96">
                  <c:v>8.6599999999999996E-2</c:v>
                </c:pt>
                <c:pt idx="97">
                  <c:v>0.10100000000000001</c:v>
                </c:pt>
                <c:pt idx="98">
                  <c:v>0.32200000000000001</c:v>
                </c:pt>
                <c:pt idx="99">
                  <c:v>9.06E-2</c:v>
                </c:pt>
                <c:pt idx="100">
                  <c:v>0.219</c:v>
                </c:pt>
                <c:pt idx="101">
                  <c:v>9.2100000000000001E-2</c:v>
                </c:pt>
                <c:pt idx="102">
                  <c:v>0.12</c:v>
                </c:pt>
                <c:pt idx="103">
                  <c:v>0.156</c:v>
                </c:pt>
                <c:pt idx="104">
                  <c:v>7.8100000000000003E-2</c:v>
                </c:pt>
                <c:pt idx="105">
                  <c:v>0.28699999999999998</c:v>
                </c:pt>
                <c:pt idx="106">
                  <c:v>8.9099999999999999E-2</c:v>
                </c:pt>
                <c:pt idx="107">
                  <c:v>9.3100000000000002E-2</c:v>
                </c:pt>
                <c:pt idx="108">
                  <c:v>0.23400000000000001</c:v>
                </c:pt>
                <c:pt idx="109">
                  <c:v>0.249</c:v>
                </c:pt>
                <c:pt idx="110">
                  <c:v>0.123</c:v>
                </c:pt>
                <c:pt idx="111">
                  <c:v>0.84699999999999998</c:v>
                </c:pt>
                <c:pt idx="112">
                  <c:v>8.2100000000000006E-2</c:v>
                </c:pt>
                <c:pt idx="113">
                  <c:v>0.14599999999999999</c:v>
                </c:pt>
                <c:pt idx="114">
                  <c:v>0.24299999999999999</c:v>
                </c:pt>
                <c:pt idx="115">
                  <c:v>9.6199999999999994E-2</c:v>
                </c:pt>
                <c:pt idx="116">
                  <c:v>0.20899999999999999</c:v>
                </c:pt>
                <c:pt idx="117">
                  <c:v>9.01E-2</c:v>
                </c:pt>
                <c:pt idx="118">
                  <c:v>0.39800000000000002</c:v>
                </c:pt>
                <c:pt idx="119">
                  <c:v>0.23400000000000001</c:v>
                </c:pt>
                <c:pt idx="120">
                  <c:v>0.13300000000000001</c:v>
                </c:pt>
                <c:pt idx="121">
                  <c:v>0.34</c:v>
                </c:pt>
                <c:pt idx="122">
                  <c:v>0.13500000000000001</c:v>
                </c:pt>
                <c:pt idx="123">
                  <c:v>0.126</c:v>
                </c:pt>
                <c:pt idx="124">
                  <c:v>9.1600000000000001E-2</c:v>
                </c:pt>
                <c:pt idx="125">
                  <c:v>0.69599999999999995</c:v>
                </c:pt>
                <c:pt idx="126">
                  <c:v>0.112</c:v>
                </c:pt>
                <c:pt idx="127">
                  <c:v>0.16500000000000001</c:v>
                </c:pt>
                <c:pt idx="128">
                  <c:v>8.8099999999999998E-2</c:v>
                </c:pt>
                <c:pt idx="129">
                  <c:v>0.112</c:v>
                </c:pt>
                <c:pt idx="130">
                  <c:v>0.13900000000000001</c:v>
                </c:pt>
                <c:pt idx="131">
                  <c:v>0.13500000000000001</c:v>
                </c:pt>
                <c:pt idx="132">
                  <c:v>0.37</c:v>
                </c:pt>
                <c:pt idx="133">
                  <c:v>9.4600000000000004E-2</c:v>
                </c:pt>
                <c:pt idx="134">
                  <c:v>6.7799999999999999E-2</c:v>
                </c:pt>
                <c:pt idx="135">
                  <c:v>0.51100000000000001</c:v>
                </c:pt>
                <c:pt idx="136">
                  <c:v>0.215</c:v>
                </c:pt>
                <c:pt idx="137">
                  <c:v>0.112</c:v>
                </c:pt>
                <c:pt idx="138">
                  <c:v>0.161</c:v>
                </c:pt>
                <c:pt idx="139">
                  <c:v>9.6600000000000005E-2</c:v>
                </c:pt>
                <c:pt idx="140">
                  <c:v>0.161</c:v>
                </c:pt>
                <c:pt idx="141">
                  <c:v>7.2800000000000004E-2</c:v>
                </c:pt>
                <c:pt idx="142">
                  <c:v>0.10299999999999999</c:v>
                </c:pt>
                <c:pt idx="143">
                  <c:v>0.193</c:v>
                </c:pt>
                <c:pt idx="144">
                  <c:v>8.2400000000000001E-2</c:v>
                </c:pt>
                <c:pt idx="145">
                  <c:v>6.7799999999999999E-2</c:v>
                </c:pt>
                <c:pt idx="146">
                  <c:v>0.128</c:v>
                </c:pt>
                <c:pt idx="147">
                  <c:v>9.0200000000000002E-2</c:v>
                </c:pt>
                <c:pt idx="148">
                  <c:v>0.106</c:v>
                </c:pt>
                <c:pt idx="149">
                  <c:v>0.29699999999999999</c:v>
                </c:pt>
                <c:pt idx="150">
                  <c:v>0.32900000000000001</c:v>
                </c:pt>
                <c:pt idx="151">
                  <c:v>0.10199999999999999</c:v>
                </c:pt>
                <c:pt idx="152">
                  <c:v>0.79</c:v>
                </c:pt>
                <c:pt idx="153">
                  <c:v>8.8200000000000001E-2</c:v>
                </c:pt>
                <c:pt idx="154">
                  <c:v>0.12</c:v>
                </c:pt>
                <c:pt idx="155">
                  <c:v>0.13200000000000001</c:v>
                </c:pt>
                <c:pt idx="156">
                  <c:v>0.496</c:v>
                </c:pt>
                <c:pt idx="157">
                  <c:v>0.38200000000000001</c:v>
                </c:pt>
                <c:pt idx="158">
                  <c:v>0.14599999999999999</c:v>
                </c:pt>
                <c:pt idx="159">
                  <c:v>0.16700000000000001</c:v>
                </c:pt>
                <c:pt idx="160">
                  <c:v>0.13500000000000001</c:v>
                </c:pt>
                <c:pt idx="161">
                  <c:v>0.68799999999999994</c:v>
                </c:pt>
                <c:pt idx="162">
                  <c:v>0.123</c:v>
                </c:pt>
                <c:pt idx="163">
                  <c:v>0.16300000000000001</c:v>
                </c:pt>
                <c:pt idx="164">
                  <c:v>8.09E-2</c:v>
                </c:pt>
                <c:pt idx="165">
                  <c:v>9.2200000000000004E-2</c:v>
                </c:pt>
                <c:pt idx="166">
                  <c:v>0.129</c:v>
                </c:pt>
                <c:pt idx="167">
                  <c:v>0.21</c:v>
                </c:pt>
                <c:pt idx="168">
                  <c:v>9.2799999999999994E-2</c:v>
                </c:pt>
                <c:pt idx="169">
                  <c:v>0.13800000000000001</c:v>
                </c:pt>
                <c:pt idx="170">
                  <c:v>0.111</c:v>
                </c:pt>
                <c:pt idx="171">
                  <c:v>4.5400000000000003E-2</c:v>
                </c:pt>
                <c:pt idx="172">
                  <c:v>0.217</c:v>
                </c:pt>
                <c:pt idx="173">
                  <c:v>5.6500000000000002E-2</c:v>
                </c:pt>
                <c:pt idx="174">
                  <c:v>0.124</c:v>
                </c:pt>
                <c:pt idx="175">
                  <c:v>0.25700000000000001</c:v>
                </c:pt>
                <c:pt idx="176">
                  <c:v>0.11899999999999999</c:v>
                </c:pt>
                <c:pt idx="177">
                  <c:v>0.14899999999999999</c:v>
                </c:pt>
                <c:pt idx="178">
                  <c:v>8.8499999999999995E-2</c:v>
                </c:pt>
                <c:pt idx="179">
                  <c:v>0.106</c:v>
                </c:pt>
                <c:pt idx="180">
                  <c:v>0.183</c:v>
                </c:pt>
                <c:pt idx="181">
                  <c:v>0.10299999999999999</c:v>
                </c:pt>
                <c:pt idx="182">
                  <c:v>4.6100000000000002E-2</c:v>
                </c:pt>
                <c:pt idx="183">
                  <c:v>9.4E-2</c:v>
                </c:pt>
                <c:pt idx="184">
                  <c:v>0.23100000000000001</c:v>
                </c:pt>
                <c:pt idx="185">
                  <c:v>9.8400000000000001E-2</c:v>
                </c:pt>
                <c:pt idx="186">
                  <c:v>0.92</c:v>
                </c:pt>
                <c:pt idx="187">
                  <c:v>0.121</c:v>
                </c:pt>
                <c:pt idx="188">
                  <c:v>7.85E-2</c:v>
                </c:pt>
                <c:pt idx="189">
                  <c:v>7.1400000000000005E-2</c:v>
                </c:pt>
                <c:pt idx="190">
                  <c:v>8.5599999999999996E-2</c:v>
                </c:pt>
                <c:pt idx="191">
                  <c:v>0.108</c:v>
                </c:pt>
                <c:pt idx="192">
                  <c:v>0.13700000000000001</c:v>
                </c:pt>
                <c:pt idx="193">
                  <c:v>0.13100000000000001</c:v>
                </c:pt>
                <c:pt idx="194">
                  <c:v>8.8999999999999996E-2</c:v>
                </c:pt>
                <c:pt idx="195">
                  <c:v>8.3199999999999996E-2</c:v>
                </c:pt>
                <c:pt idx="196">
                  <c:v>5.8400000000000001E-2</c:v>
                </c:pt>
                <c:pt idx="197">
                  <c:v>0.13700000000000001</c:v>
                </c:pt>
                <c:pt idx="198">
                  <c:v>0.17199999999999999</c:v>
                </c:pt>
                <c:pt idx="199">
                  <c:v>0.17299999999999999</c:v>
                </c:pt>
                <c:pt idx="200">
                  <c:v>0.109</c:v>
                </c:pt>
                <c:pt idx="201">
                  <c:v>0.317</c:v>
                </c:pt>
                <c:pt idx="202">
                  <c:v>0.29199999999999998</c:v>
                </c:pt>
                <c:pt idx="203">
                  <c:v>0.26700000000000002</c:v>
                </c:pt>
                <c:pt idx="204">
                  <c:v>6.7299999999999999E-2</c:v>
                </c:pt>
                <c:pt idx="205">
                  <c:v>0.13100000000000001</c:v>
                </c:pt>
                <c:pt idx="206">
                  <c:v>0.156</c:v>
                </c:pt>
                <c:pt idx="207">
                  <c:v>0.40799999999999997</c:v>
                </c:pt>
                <c:pt idx="208">
                  <c:v>6.8400000000000002E-2</c:v>
                </c:pt>
                <c:pt idx="209">
                  <c:v>8.6199999999999999E-2</c:v>
                </c:pt>
                <c:pt idx="210">
                  <c:v>9.7699999999999995E-2</c:v>
                </c:pt>
                <c:pt idx="211">
                  <c:v>0.26</c:v>
                </c:pt>
                <c:pt idx="212">
                  <c:v>0.14099999999999999</c:v>
                </c:pt>
                <c:pt idx="213">
                  <c:v>0.158</c:v>
                </c:pt>
                <c:pt idx="214">
                  <c:v>0.153</c:v>
                </c:pt>
                <c:pt idx="215">
                  <c:v>0.13</c:v>
                </c:pt>
                <c:pt idx="216">
                  <c:v>0.19</c:v>
                </c:pt>
                <c:pt idx="217">
                  <c:v>0.10199999999999999</c:v>
                </c:pt>
                <c:pt idx="218">
                  <c:v>0.38500000000000001</c:v>
                </c:pt>
                <c:pt idx="219">
                  <c:v>9.8599999999999993E-2</c:v>
                </c:pt>
                <c:pt idx="220">
                  <c:v>0.108</c:v>
                </c:pt>
                <c:pt idx="221">
                  <c:v>0.40500000000000003</c:v>
                </c:pt>
                <c:pt idx="222">
                  <c:v>0.107</c:v>
                </c:pt>
                <c:pt idx="223">
                  <c:v>6.0199999999999997E-2</c:v>
                </c:pt>
                <c:pt idx="224">
                  <c:v>0.111</c:v>
                </c:pt>
                <c:pt idx="225">
                  <c:v>0.20899999999999999</c:v>
                </c:pt>
                <c:pt idx="226">
                  <c:v>0.112</c:v>
                </c:pt>
                <c:pt idx="227">
                  <c:v>6.4699999999999994E-2</c:v>
                </c:pt>
                <c:pt idx="228">
                  <c:v>0.14699999999999999</c:v>
                </c:pt>
                <c:pt idx="229">
                  <c:v>0.111</c:v>
                </c:pt>
                <c:pt idx="230">
                  <c:v>0.214</c:v>
                </c:pt>
                <c:pt idx="231">
                  <c:v>0.111</c:v>
                </c:pt>
                <c:pt idx="232">
                  <c:v>7.0300000000000001E-2</c:v>
                </c:pt>
                <c:pt idx="233">
                  <c:v>9.4500000000000001E-2</c:v>
                </c:pt>
                <c:pt idx="234">
                  <c:v>0.309</c:v>
                </c:pt>
                <c:pt idx="235">
                  <c:v>9.8599999999999993E-2</c:v>
                </c:pt>
                <c:pt idx="236">
                  <c:v>6.5500000000000003E-2</c:v>
                </c:pt>
                <c:pt idx="237">
                  <c:v>0.14099999999999999</c:v>
                </c:pt>
                <c:pt idx="238">
                  <c:v>2.7300000000000001E-2</c:v>
                </c:pt>
                <c:pt idx="239">
                  <c:v>0.28199999999999997</c:v>
                </c:pt>
                <c:pt idx="240">
                  <c:v>0.112</c:v>
                </c:pt>
                <c:pt idx="241">
                  <c:v>0.192</c:v>
                </c:pt>
                <c:pt idx="242">
                  <c:v>6.7400000000000002E-2</c:v>
                </c:pt>
                <c:pt idx="243">
                  <c:v>0.214</c:v>
                </c:pt>
                <c:pt idx="244">
                  <c:v>0.11799999999999999</c:v>
                </c:pt>
                <c:pt idx="245">
                  <c:v>0.108</c:v>
                </c:pt>
                <c:pt idx="246">
                  <c:v>8.7599999999999997E-2</c:v>
                </c:pt>
                <c:pt idx="247">
                  <c:v>0.109</c:v>
                </c:pt>
                <c:pt idx="248">
                  <c:v>0.46</c:v>
                </c:pt>
                <c:pt idx="249">
                  <c:v>0.10100000000000001</c:v>
                </c:pt>
                <c:pt idx="250">
                  <c:v>0.26900000000000002</c:v>
                </c:pt>
                <c:pt idx="251">
                  <c:v>9.0399999999999994E-2</c:v>
                </c:pt>
                <c:pt idx="252">
                  <c:v>0.154</c:v>
                </c:pt>
                <c:pt idx="253">
                  <c:v>7.2599999999999998E-2</c:v>
                </c:pt>
                <c:pt idx="254">
                  <c:v>0.10100000000000001</c:v>
                </c:pt>
                <c:pt idx="255">
                  <c:v>0.115</c:v>
                </c:pt>
                <c:pt idx="256">
                  <c:v>8.48E-2</c:v>
                </c:pt>
                <c:pt idx="257">
                  <c:v>0.10100000000000001</c:v>
                </c:pt>
                <c:pt idx="258">
                  <c:v>0.35399999999999998</c:v>
                </c:pt>
                <c:pt idx="259">
                  <c:v>0.184</c:v>
                </c:pt>
                <c:pt idx="260">
                  <c:v>0.26700000000000002</c:v>
                </c:pt>
                <c:pt idx="261">
                  <c:v>0.104</c:v>
                </c:pt>
                <c:pt idx="262">
                  <c:v>8.5599999999999996E-2</c:v>
                </c:pt>
                <c:pt idx="263">
                  <c:v>0.13100000000000001</c:v>
                </c:pt>
                <c:pt idx="264">
                  <c:v>5.96E-2</c:v>
                </c:pt>
                <c:pt idx="265">
                  <c:v>8.7999999999999995E-2</c:v>
                </c:pt>
                <c:pt idx="266">
                  <c:v>0.17</c:v>
                </c:pt>
                <c:pt idx="267">
                  <c:v>0.64900000000000002</c:v>
                </c:pt>
                <c:pt idx="268">
                  <c:v>0.106</c:v>
                </c:pt>
                <c:pt idx="269">
                  <c:v>0.14399999999999999</c:v>
                </c:pt>
                <c:pt idx="270">
                  <c:v>0.16400000000000001</c:v>
                </c:pt>
                <c:pt idx="271">
                  <c:v>0.124</c:v>
                </c:pt>
                <c:pt idx="272">
                  <c:v>0.191</c:v>
                </c:pt>
                <c:pt idx="273">
                  <c:v>0.16700000000000001</c:v>
                </c:pt>
                <c:pt idx="274">
                  <c:v>0.19600000000000001</c:v>
                </c:pt>
                <c:pt idx="275">
                  <c:v>0.55200000000000005</c:v>
                </c:pt>
                <c:pt idx="276">
                  <c:v>0.14000000000000001</c:v>
                </c:pt>
                <c:pt idx="277">
                  <c:v>0.104</c:v>
                </c:pt>
                <c:pt idx="278">
                  <c:v>0.124</c:v>
                </c:pt>
                <c:pt idx="279">
                  <c:v>0.109</c:v>
                </c:pt>
                <c:pt idx="280">
                  <c:v>0.14000000000000001</c:v>
                </c:pt>
                <c:pt idx="281">
                  <c:v>0.33100000000000002</c:v>
                </c:pt>
                <c:pt idx="282">
                  <c:v>0.14000000000000001</c:v>
                </c:pt>
                <c:pt idx="283">
                  <c:v>9.5600000000000004E-2</c:v>
                </c:pt>
                <c:pt idx="284">
                  <c:v>6.6299999999999998E-2</c:v>
                </c:pt>
                <c:pt idx="285">
                  <c:v>0.10100000000000001</c:v>
                </c:pt>
                <c:pt idx="286">
                  <c:v>0.33200000000000002</c:v>
                </c:pt>
                <c:pt idx="287">
                  <c:v>0.28199999999999997</c:v>
                </c:pt>
                <c:pt idx="288">
                  <c:v>0.24099999999999999</c:v>
                </c:pt>
                <c:pt idx="289">
                  <c:v>0.11899999999999999</c:v>
                </c:pt>
                <c:pt idx="290">
                  <c:v>6.6400000000000001E-2</c:v>
                </c:pt>
                <c:pt idx="291">
                  <c:v>0.16200000000000001</c:v>
                </c:pt>
                <c:pt idx="292">
                  <c:v>0.13</c:v>
                </c:pt>
                <c:pt idx="293">
                  <c:v>9.2999999999999999E-2</c:v>
                </c:pt>
                <c:pt idx="294">
                  <c:v>6.13E-2</c:v>
                </c:pt>
                <c:pt idx="295">
                  <c:v>0.34399999999999997</c:v>
                </c:pt>
                <c:pt idx="296">
                  <c:v>0.11</c:v>
                </c:pt>
                <c:pt idx="297">
                  <c:v>0.32400000000000001</c:v>
                </c:pt>
                <c:pt idx="298">
                  <c:v>0.152</c:v>
                </c:pt>
                <c:pt idx="299">
                  <c:v>0.32</c:v>
                </c:pt>
                <c:pt idx="300">
                  <c:v>0.11</c:v>
                </c:pt>
                <c:pt idx="301">
                  <c:v>0.15</c:v>
                </c:pt>
                <c:pt idx="302">
                  <c:v>0.255</c:v>
                </c:pt>
                <c:pt idx="303">
                  <c:v>0.33800000000000002</c:v>
                </c:pt>
                <c:pt idx="304">
                  <c:v>0.23300000000000001</c:v>
                </c:pt>
                <c:pt idx="305">
                  <c:v>0.109</c:v>
                </c:pt>
                <c:pt idx="306">
                  <c:v>0.42199999999999999</c:v>
                </c:pt>
                <c:pt idx="307">
                  <c:v>8.9800000000000005E-2</c:v>
                </c:pt>
                <c:pt idx="308">
                  <c:v>7.3599999999999999E-2</c:v>
                </c:pt>
                <c:pt idx="309">
                  <c:v>0.1</c:v>
                </c:pt>
                <c:pt idx="310">
                  <c:v>0.127</c:v>
                </c:pt>
                <c:pt idx="311">
                  <c:v>0.375</c:v>
                </c:pt>
                <c:pt idx="312">
                  <c:v>0.23100000000000001</c:v>
                </c:pt>
                <c:pt idx="313">
                  <c:v>0.27100000000000002</c:v>
                </c:pt>
                <c:pt idx="314">
                  <c:v>0.27300000000000002</c:v>
                </c:pt>
                <c:pt idx="315">
                  <c:v>0.39300000000000002</c:v>
                </c:pt>
                <c:pt idx="316">
                  <c:v>0.113</c:v>
                </c:pt>
                <c:pt idx="317">
                  <c:v>0.13700000000000001</c:v>
                </c:pt>
                <c:pt idx="318">
                  <c:v>0.19400000000000001</c:v>
                </c:pt>
                <c:pt idx="319">
                  <c:v>0.113</c:v>
                </c:pt>
                <c:pt idx="320">
                  <c:v>0.11899999999999999</c:v>
                </c:pt>
                <c:pt idx="321">
                  <c:v>0.13200000000000001</c:v>
                </c:pt>
                <c:pt idx="322">
                  <c:v>0.20200000000000001</c:v>
                </c:pt>
                <c:pt idx="323">
                  <c:v>7.7899999999999997E-2</c:v>
                </c:pt>
                <c:pt idx="324">
                  <c:v>8.14E-2</c:v>
                </c:pt>
                <c:pt idx="325">
                  <c:v>0.106</c:v>
                </c:pt>
                <c:pt idx="326">
                  <c:v>0.13200000000000001</c:v>
                </c:pt>
                <c:pt idx="327">
                  <c:v>0.16600000000000001</c:v>
                </c:pt>
                <c:pt idx="328">
                  <c:v>0.13500000000000001</c:v>
                </c:pt>
                <c:pt idx="329">
                  <c:v>6.4000000000000001E-2</c:v>
                </c:pt>
                <c:pt idx="330">
                  <c:v>0.44700000000000001</c:v>
                </c:pt>
                <c:pt idx="331">
                  <c:v>0.24299999999999999</c:v>
                </c:pt>
                <c:pt idx="332">
                  <c:v>0.21</c:v>
                </c:pt>
                <c:pt idx="333">
                  <c:v>9.8400000000000001E-2</c:v>
                </c:pt>
                <c:pt idx="334">
                  <c:v>0.14399999999999999</c:v>
                </c:pt>
                <c:pt idx="335">
                  <c:v>0.185</c:v>
                </c:pt>
                <c:pt idx="336">
                  <c:v>8.9399999999999993E-2</c:v>
                </c:pt>
                <c:pt idx="337">
                  <c:v>0.13400000000000001</c:v>
                </c:pt>
                <c:pt idx="338">
                  <c:v>0.154</c:v>
                </c:pt>
                <c:pt idx="339">
                  <c:v>0.105</c:v>
                </c:pt>
                <c:pt idx="340">
                  <c:v>8.3299999999999999E-2</c:v>
                </c:pt>
                <c:pt idx="341">
                  <c:v>5.74E-2</c:v>
                </c:pt>
                <c:pt idx="342">
                  <c:v>0.105</c:v>
                </c:pt>
                <c:pt idx="343">
                  <c:v>0.16600000000000001</c:v>
                </c:pt>
                <c:pt idx="344">
                  <c:v>0.104</c:v>
                </c:pt>
                <c:pt idx="345">
                  <c:v>0.14499999999999999</c:v>
                </c:pt>
                <c:pt idx="346">
                  <c:v>0.26900000000000002</c:v>
                </c:pt>
                <c:pt idx="347">
                  <c:v>0.115</c:v>
                </c:pt>
                <c:pt idx="348">
                  <c:v>9.1499999999999998E-2</c:v>
                </c:pt>
                <c:pt idx="349">
                  <c:v>0.19600000000000001</c:v>
                </c:pt>
                <c:pt idx="350">
                  <c:v>0.307</c:v>
                </c:pt>
                <c:pt idx="351">
                  <c:v>6.2600000000000003E-2</c:v>
                </c:pt>
                <c:pt idx="352">
                  <c:v>0.28399999999999997</c:v>
                </c:pt>
                <c:pt idx="353">
                  <c:v>0.11600000000000001</c:v>
                </c:pt>
                <c:pt idx="354">
                  <c:v>8.2500000000000004E-2</c:v>
                </c:pt>
                <c:pt idx="355">
                  <c:v>0.318</c:v>
                </c:pt>
                <c:pt idx="356">
                  <c:v>0.27300000000000002</c:v>
                </c:pt>
                <c:pt idx="357">
                  <c:v>0.13300000000000001</c:v>
                </c:pt>
                <c:pt idx="358">
                  <c:v>0.10100000000000001</c:v>
                </c:pt>
                <c:pt idx="359">
                  <c:v>0.112</c:v>
                </c:pt>
                <c:pt idx="360">
                  <c:v>0.315</c:v>
                </c:pt>
                <c:pt idx="361">
                  <c:v>6.5799999999999997E-2</c:v>
                </c:pt>
                <c:pt idx="362">
                  <c:v>0.155</c:v>
                </c:pt>
                <c:pt idx="363">
                  <c:v>6.7900000000000002E-2</c:v>
                </c:pt>
                <c:pt idx="364">
                  <c:v>8.7599999999999997E-2</c:v>
                </c:pt>
                <c:pt idx="365">
                  <c:v>9.7500000000000003E-2</c:v>
                </c:pt>
                <c:pt idx="366">
                  <c:v>0.16600000000000001</c:v>
                </c:pt>
                <c:pt idx="367">
                  <c:v>8.9399999999999993E-2</c:v>
                </c:pt>
                <c:pt idx="368">
                  <c:v>9.3299999999999994E-2</c:v>
                </c:pt>
                <c:pt idx="369">
                  <c:v>0.34899999999999998</c:v>
                </c:pt>
                <c:pt idx="370">
                  <c:v>0.20499999999999999</c:v>
                </c:pt>
                <c:pt idx="371">
                  <c:v>8.1299999999999997E-2</c:v>
                </c:pt>
                <c:pt idx="372">
                  <c:v>7.1400000000000005E-2</c:v>
                </c:pt>
                <c:pt idx="373">
                  <c:v>0.25</c:v>
                </c:pt>
                <c:pt idx="374">
                  <c:v>0.28399999999999997</c:v>
                </c:pt>
                <c:pt idx="375">
                  <c:v>0.113</c:v>
                </c:pt>
                <c:pt idx="376">
                  <c:v>5.4100000000000002E-2</c:v>
                </c:pt>
                <c:pt idx="377">
                  <c:v>0.60299999999999998</c:v>
                </c:pt>
                <c:pt idx="378">
                  <c:v>9.3299999999999994E-2</c:v>
                </c:pt>
                <c:pt idx="379">
                  <c:v>0.185</c:v>
                </c:pt>
                <c:pt idx="380">
                  <c:v>0.224</c:v>
                </c:pt>
                <c:pt idx="381">
                  <c:v>0.307</c:v>
                </c:pt>
                <c:pt idx="382">
                  <c:v>0.155</c:v>
                </c:pt>
                <c:pt idx="383">
                  <c:v>0.13400000000000001</c:v>
                </c:pt>
                <c:pt idx="384">
                  <c:v>8.0799999999999997E-2</c:v>
                </c:pt>
                <c:pt idx="385">
                  <c:v>0.186</c:v>
                </c:pt>
                <c:pt idx="386">
                  <c:v>0.129</c:v>
                </c:pt>
                <c:pt idx="387">
                  <c:v>0.151</c:v>
                </c:pt>
                <c:pt idx="388">
                  <c:v>0.105</c:v>
                </c:pt>
                <c:pt idx="389">
                  <c:v>0.124</c:v>
                </c:pt>
                <c:pt idx="390">
                  <c:v>0.16500000000000001</c:v>
                </c:pt>
                <c:pt idx="391">
                  <c:v>0.10299999999999999</c:v>
                </c:pt>
                <c:pt idx="392">
                  <c:v>0.55000000000000004</c:v>
                </c:pt>
                <c:pt idx="393">
                  <c:v>8.6900000000000005E-2</c:v>
                </c:pt>
                <c:pt idx="394">
                  <c:v>0.153</c:v>
                </c:pt>
                <c:pt idx="395">
                  <c:v>6.4000000000000001E-2</c:v>
                </c:pt>
                <c:pt idx="396">
                  <c:v>0.126</c:v>
                </c:pt>
                <c:pt idx="397">
                  <c:v>0.121</c:v>
                </c:pt>
                <c:pt idx="398">
                  <c:v>0.25</c:v>
                </c:pt>
                <c:pt idx="399">
                  <c:v>0.184</c:v>
                </c:pt>
                <c:pt idx="400">
                  <c:v>9.4799999999999995E-2</c:v>
                </c:pt>
                <c:pt idx="401">
                  <c:v>0.16600000000000001</c:v>
                </c:pt>
                <c:pt idx="402">
                  <c:v>0.61699999999999999</c:v>
                </c:pt>
                <c:pt idx="403">
                  <c:v>0.35099999999999998</c:v>
                </c:pt>
                <c:pt idx="404">
                  <c:v>0.252</c:v>
                </c:pt>
                <c:pt idx="405">
                  <c:v>9.4500000000000001E-2</c:v>
                </c:pt>
                <c:pt idx="406">
                  <c:v>0.107</c:v>
                </c:pt>
                <c:pt idx="407">
                  <c:v>0.23</c:v>
                </c:pt>
                <c:pt idx="408">
                  <c:v>0.34899999999999998</c:v>
                </c:pt>
                <c:pt idx="409">
                  <c:v>0.13100000000000001</c:v>
                </c:pt>
                <c:pt idx="410">
                  <c:v>0.27100000000000002</c:v>
                </c:pt>
                <c:pt idx="411">
                  <c:v>4.1000000000000002E-2</c:v>
                </c:pt>
                <c:pt idx="412">
                  <c:v>0.47199999999999998</c:v>
                </c:pt>
                <c:pt idx="413">
                  <c:v>0.109</c:v>
                </c:pt>
                <c:pt idx="414">
                  <c:v>0.121</c:v>
                </c:pt>
                <c:pt idx="415">
                  <c:v>0.13200000000000001</c:v>
                </c:pt>
                <c:pt idx="416">
                  <c:v>0.79500000000000004</c:v>
                </c:pt>
                <c:pt idx="417">
                  <c:v>8.2799999999999999E-2</c:v>
                </c:pt>
                <c:pt idx="418">
                  <c:v>0.254</c:v>
                </c:pt>
                <c:pt idx="419">
                  <c:v>0.217</c:v>
                </c:pt>
                <c:pt idx="420">
                  <c:v>0.32300000000000001</c:v>
                </c:pt>
                <c:pt idx="421">
                  <c:v>7.0099999999999996E-2</c:v>
                </c:pt>
                <c:pt idx="422">
                  <c:v>0.14299999999999999</c:v>
                </c:pt>
                <c:pt idx="423">
                  <c:v>6.0100000000000001E-2</c:v>
                </c:pt>
                <c:pt idx="424">
                  <c:v>0.14499999999999999</c:v>
                </c:pt>
                <c:pt idx="425">
                  <c:v>9.3600000000000003E-2</c:v>
                </c:pt>
                <c:pt idx="426">
                  <c:v>7.6100000000000001E-2</c:v>
                </c:pt>
                <c:pt idx="427">
                  <c:v>0.123</c:v>
                </c:pt>
                <c:pt idx="428">
                  <c:v>0.157</c:v>
                </c:pt>
                <c:pt idx="429">
                  <c:v>7.9299999999999995E-2</c:v>
                </c:pt>
                <c:pt idx="430">
                  <c:v>0.17</c:v>
                </c:pt>
                <c:pt idx="431">
                  <c:v>0.11799999999999999</c:v>
                </c:pt>
                <c:pt idx="432">
                  <c:v>0.1</c:v>
                </c:pt>
                <c:pt idx="433">
                  <c:v>0.25900000000000001</c:v>
                </c:pt>
                <c:pt idx="434">
                  <c:v>0.252</c:v>
                </c:pt>
                <c:pt idx="435">
                  <c:v>0.27100000000000002</c:v>
                </c:pt>
                <c:pt idx="436">
                  <c:v>8.0199999999999994E-2</c:v>
                </c:pt>
                <c:pt idx="437">
                  <c:v>0.153</c:v>
                </c:pt>
                <c:pt idx="438">
                  <c:v>0.114</c:v>
                </c:pt>
                <c:pt idx="439">
                  <c:v>0.124</c:v>
                </c:pt>
                <c:pt idx="440">
                  <c:v>0.129</c:v>
                </c:pt>
                <c:pt idx="441">
                  <c:v>7.3999999999999996E-2</c:v>
                </c:pt>
                <c:pt idx="442">
                  <c:v>0.10100000000000001</c:v>
                </c:pt>
                <c:pt idx="443">
                  <c:v>8.2199999999999995E-2</c:v>
                </c:pt>
                <c:pt idx="444">
                  <c:v>0.53500000000000003</c:v>
                </c:pt>
                <c:pt idx="445">
                  <c:v>3.9800000000000002E-2</c:v>
                </c:pt>
                <c:pt idx="446">
                  <c:v>0.10299999999999999</c:v>
                </c:pt>
                <c:pt idx="447">
                  <c:v>9.2700000000000005E-2</c:v>
                </c:pt>
                <c:pt idx="448">
                  <c:v>0.252</c:v>
                </c:pt>
                <c:pt idx="449">
                  <c:v>9.06E-2</c:v>
                </c:pt>
                <c:pt idx="450">
                  <c:v>0.124</c:v>
                </c:pt>
                <c:pt idx="451">
                  <c:v>0.151</c:v>
                </c:pt>
                <c:pt idx="452">
                  <c:v>9.9199999999999997E-2</c:v>
                </c:pt>
                <c:pt idx="453">
                  <c:v>0.114</c:v>
                </c:pt>
                <c:pt idx="454">
                  <c:v>5.8999999999999997E-2</c:v>
                </c:pt>
                <c:pt idx="455">
                  <c:v>0.61199999999999999</c:v>
                </c:pt>
                <c:pt idx="456">
                  <c:v>6.0699999999999997E-2</c:v>
                </c:pt>
                <c:pt idx="457">
                  <c:v>0.10100000000000001</c:v>
                </c:pt>
                <c:pt idx="458">
                  <c:v>0.11</c:v>
                </c:pt>
                <c:pt idx="459">
                  <c:v>8.6599999999999996E-2</c:v>
                </c:pt>
                <c:pt idx="460">
                  <c:v>0.222</c:v>
                </c:pt>
                <c:pt idx="461">
                  <c:v>0.19500000000000001</c:v>
                </c:pt>
                <c:pt idx="462">
                  <c:v>0.10299999999999999</c:v>
                </c:pt>
                <c:pt idx="463">
                  <c:v>5.21E-2</c:v>
                </c:pt>
                <c:pt idx="464">
                  <c:v>0.156</c:v>
                </c:pt>
                <c:pt idx="465">
                  <c:v>6.3700000000000007E-2</c:v>
                </c:pt>
                <c:pt idx="466">
                  <c:v>0.308</c:v>
                </c:pt>
                <c:pt idx="467">
                  <c:v>0.192</c:v>
                </c:pt>
                <c:pt idx="468">
                  <c:v>0.16900000000000001</c:v>
                </c:pt>
                <c:pt idx="469">
                  <c:v>9.4600000000000004E-2</c:v>
                </c:pt>
                <c:pt idx="470">
                  <c:v>6.0400000000000002E-2</c:v>
                </c:pt>
                <c:pt idx="471">
                  <c:v>0.114</c:v>
                </c:pt>
                <c:pt idx="472">
                  <c:v>0.187</c:v>
                </c:pt>
                <c:pt idx="473">
                  <c:v>9.5500000000000002E-2</c:v>
                </c:pt>
                <c:pt idx="474">
                  <c:v>9.5000000000000001E-2</c:v>
                </c:pt>
                <c:pt idx="475">
                  <c:v>0.16700000000000001</c:v>
                </c:pt>
                <c:pt idx="476">
                  <c:v>0.187</c:v>
                </c:pt>
                <c:pt idx="477">
                  <c:v>0.112</c:v>
                </c:pt>
                <c:pt idx="478">
                  <c:v>0.11600000000000001</c:v>
                </c:pt>
                <c:pt idx="479">
                  <c:v>0.129</c:v>
                </c:pt>
                <c:pt idx="480">
                  <c:v>0.19400000000000001</c:v>
                </c:pt>
                <c:pt idx="481">
                  <c:v>7.8299999999999995E-2</c:v>
                </c:pt>
                <c:pt idx="482">
                  <c:v>0.34399999999999997</c:v>
                </c:pt>
                <c:pt idx="483">
                  <c:v>5.21E-2</c:v>
                </c:pt>
                <c:pt idx="484">
                  <c:v>0.23699999999999999</c:v>
                </c:pt>
                <c:pt idx="485">
                  <c:v>7.3800000000000004E-2</c:v>
                </c:pt>
                <c:pt idx="486">
                  <c:v>0.10299999999999999</c:v>
                </c:pt>
                <c:pt idx="487">
                  <c:v>0.10100000000000001</c:v>
                </c:pt>
                <c:pt idx="488">
                  <c:v>8.8700000000000001E-2</c:v>
                </c:pt>
                <c:pt idx="489">
                  <c:v>0.122</c:v>
                </c:pt>
                <c:pt idx="490">
                  <c:v>9.4100000000000003E-2</c:v>
                </c:pt>
                <c:pt idx="491">
                  <c:v>0.10199999999999999</c:v>
                </c:pt>
                <c:pt idx="492">
                  <c:v>0.48199999999999998</c:v>
                </c:pt>
                <c:pt idx="493">
                  <c:v>0.122</c:v>
                </c:pt>
                <c:pt idx="494">
                  <c:v>0.121</c:v>
                </c:pt>
                <c:pt idx="495">
                  <c:v>0.123</c:v>
                </c:pt>
                <c:pt idx="496">
                  <c:v>0.16300000000000001</c:v>
                </c:pt>
                <c:pt idx="497">
                  <c:v>0.152</c:v>
                </c:pt>
                <c:pt idx="498">
                  <c:v>0.23799999999999999</c:v>
                </c:pt>
                <c:pt idx="499">
                  <c:v>0.38</c:v>
                </c:pt>
                <c:pt idx="500">
                  <c:v>0.106</c:v>
                </c:pt>
                <c:pt idx="501">
                  <c:v>0.14799999999999999</c:v>
                </c:pt>
                <c:pt idx="502">
                  <c:v>8.2400000000000001E-2</c:v>
                </c:pt>
                <c:pt idx="503">
                  <c:v>0.1</c:v>
                </c:pt>
                <c:pt idx="504">
                  <c:v>0.107</c:v>
                </c:pt>
                <c:pt idx="505">
                  <c:v>0.14199999999999999</c:v>
                </c:pt>
                <c:pt idx="506">
                  <c:v>0.125</c:v>
                </c:pt>
                <c:pt idx="507">
                  <c:v>0.10299999999999999</c:v>
                </c:pt>
                <c:pt idx="508">
                  <c:v>0.24199999999999999</c:v>
                </c:pt>
                <c:pt idx="509">
                  <c:v>9.2799999999999994E-2</c:v>
                </c:pt>
                <c:pt idx="510">
                  <c:v>0.121</c:v>
                </c:pt>
                <c:pt idx="511">
                  <c:v>9.5500000000000002E-2</c:v>
                </c:pt>
                <c:pt idx="512">
                  <c:v>0.33800000000000002</c:v>
                </c:pt>
                <c:pt idx="513">
                  <c:v>8.6499999999999994E-2</c:v>
                </c:pt>
                <c:pt idx="514">
                  <c:v>0.372</c:v>
                </c:pt>
                <c:pt idx="515">
                  <c:v>0.32500000000000001</c:v>
                </c:pt>
                <c:pt idx="516">
                  <c:v>6.9099999999999995E-2</c:v>
                </c:pt>
                <c:pt idx="517">
                  <c:v>0.34</c:v>
                </c:pt>
                <c:pt idx="518">
                  <c:v>0.26600000000000001</c:v>
                </c:pt>
                <c:pt idx="519">
                  <c:v>0.14199999999999999</c:v>
                </c:pt>
                <c:pt idx="520">
                  <c:v>0.36199999999999999</c:v>
                </c:pt>
                <c:pt idx="521">
                  <c:v>0.38700000000000001</c:v>
                </c:pt>
                <c:pt idx="522">
                  <c:v>0.123</c:v>
                </c:pt>
                <c:pt idx="523">
                  <c:v>0.107</c:v>
                </c:pt>
                <c:pt idx="524">
                  <c:v>7.9500000000000001E-2</c:v>
                </c:pt>
                <c:pt idx="525">
                  <c:v>0.123</c:v>
                </c:pt>
                <c:pt idx="526">
                  <c:v>0.10199999999999999</c:v>
                </c:pt>
                <c:pt idx="527">
                  <c:v>9.3100000000000002E-2</c:v>
                </c:pt>
                <c:pt idx="528">
                  <c:v>0.156</c:v>
                </c:pt>
                <c:pt idx="529">
                  <c:v>0.10199999999999999</c:v>
                </c:pt>
                <c:pt idx="530">
                  <c:v>0.14499999999999999</c:v>
                </c:pt>
                <c:pt idx="531">
                  <c:v>0.107</c:v>
                </c:pt>
                <c:pt idx="532">
                  <c:v>0.11</c:v>
                </c:pt>
                <c:pt idx="533">
                  <c:v>0.14299999999999999</c:v>
                </c:pt>
                <c:pt idx="534">
                  <c:v>0.11799999999999999</c:v>
                </c:pt>
                <c:pt idx="535">
                  <c:v>9.9599999999999994E-2</c:v>
                </c:pt>
                <c:pt idx="536">
                  <c:v>9.9599999999999994E-2</c:v>
                </c:pt>
                <c:pt idx="537">
                  <c:v>8.2199999999999995E-2</c:v>
                </c:pt>
                <c:pt idx="538">
                  <c:v>7.8100000000000003E-2</c:v>
                </c:pt>
                <c:pt idx="539">
                  <c:v>5.3199999999999997E-2</c:v>
                </c:pt>
                <c:pt idx="540">
                  <c:v>0.10199999999999999</c:v>
                </c:pt>
                <c:pt idx="541">
                  <c:v>0.17399999999999999</c:v>
                </c:pt>
                <c:pt idx="542">
                  <c:v>0.3</c:v>
                </c:pt>
                <c:pt idx="543">
                  <c:v>9.6699999999999994E-2</c:v>
                </c:pt>
                <c:pt idx="544">
                  <c:v>0.13700000000000001</c:v>
                </c:pt>
                <c:pt idx="545">
                  <c:v>9.35E-2</c:v>
                </c:pt>
                <c:pt idx="546">
                  <c:v>0.10299999999999999</c:v>
                </c:pt>
                <c:pt idx="547">
                  <c:v>0.104</c:v>
                </c:pt>
                <c:pt idx="548">
                  <c:v>0.11600000000000001</c:v>
                </c:pt>
                <c:pt idx="549">
                  <c:v>0.13300000000000001</c:v>
                </c:pt>
                <c:pt idx="550">
                  <c:v>7.7299999999999994E-2</c:v>
                </c:pt>
                <c:pt idx="551">
                  <c:v>0.10100000000000001</c:v>
                </c:pt>
                <c:pt idx="552">
                  <c:v>0.15</c:v>
                </c:pt>
                <c:pt idx="553">
                  <c:v>0.52700000000000002</c:v>
                </c:pt>
                <c:pt idx="554">
                  <c:v>0.32400000000000001</c:v>
                </c:pt>
                <c:pt idx="555">
                  <c:v>7.1800000000000003E-2</c:v>
                </c:pt>
                <c:pt idx="556">
                  <c:v>0.104</c:v>
                </c:pt>
                <c:pt idx="557">
                  <c:v>0.64700000000000002</c:v>
                </c:pt>
                <c:pt idx="558">
                  <c:v>0.13</c:v>
                </c:pt>
                <c:pt idx="559">
                  <c:v>0.214</c:v>
                </c:pt>
                <c:pt idx="560">
                  <c:v>0.13800000000000001</c:v>
                </c:pt>
                <c:pt idx="561">
                  <c:v>8.7400000000000005E-2</c:v>
                </c:pt>
                <c:pt idx="562">
                  <c:v>0.106</c:v>
                </c:pt>
                <c:pt idx="563">
                  <c:v>5.67E-2</c:v>
                </c:pt>
                <c:pt idx="564">
                  <c:v>0.27800000000000002</c:v>
                </c:pt>
                <c:pt idx="565">
                  <c:v>0.69199999999999995</c:v>
                </c:pt>
                <c:pt idx="566">
                  <c:v>0.113</c:v>
                </c:pt>
                <c:pt idx="567">
                  <c:v>0.17100000000000001</c:v>
                </c:pt>
                <c:pt idx="568">
                  <c:v>0.17</c:v>
                </c:pt>
                <c:pt idx="569">
                  <c:v>0.2</c:v>
                </c:pt>
                <c:pt idx="570">
                  <c:v>0.378</c:v>
                </c:pt>
                <c:pt idx="571">
                  <c:v>0.20300000000000001</c:v>
                </c:pt>
                <c:pt idx="572">
                  <c:v>0.124</c:v>
                </c:pt>
                <c:pt idx="573">
                  <c:v>8.5800000000000001E-2</c:v>
                </c:pt>
                <c:pt idx="574">
                  <c:v>0.752</c:v>
                </c:pt>
                <c:pt idx="575">
                  <c:v>0.10299999999999999</c:v>
                </c:pt>
                <c:pt idx="576">
                  <c:v>0.247</c:v>
                </c:pt>
                <c:pt idx="577">
                  <c:v>0.107</c:v>
                </c:pt>
                <c:pt idx="578">
                  <c:v>0.14399999999999999</c:v>
                </c:pt>
                <c:pt idx="579">
                  <c:v>0.121</c:v>
                </c:pt>
                <c:pt idx="580">
                  <c:v>8.2199999999999995E-2</c:v>
                </c:pt>
                <c:pt idx="581">
                  <c:v>9.9199999999999997E-2</c:v>
                </c:pt>
                <c:pt idx="582">
                  <c:v>0.22600000000000001</c:v>
                </c:pt>
                <c:pt idx="583">
                  <c:v>9.1200000000000003E-2</c:v>
                </c:pt>
                <c:pt idx="584">
                  <c:v>0.372</c:v>
                </c:pt>
                <c:pt idx="585">
                  <c:v>0.29499999999999998</c:v>
                </c:pt>
                <c:pt idx="586">
                  <c:v>8.5400000000000004E-2</c:v>
                </c:pt>
                <c:pt idx="587">
                  <c:v>0.127</c:v>
                </c:pt>
                <c:pt idx="588">
                  <c:v>0.126</c:v>
                </c:pt>
                <c:pt idx="589">
                  <c:v>8.6199999999999999E-2</c:v>
                </c:pt>
                <c:pt idx="590">
                  <c:v>0.20300000000000001</c:v>
                </c:pt>
                <c:pt idx="591">
                  <c:v>9.0999999999999998E-2</c:v>
                </c:pt>
                <c:pt idx="592">
                  <c:v>0.219</c:v>
                </c:pt>
                <c:pt idx="593">
                  <c:v>0.14299999999999999</c:v>
                </c:pt>
                <c:pt idx="594">
                  <c:v>0.14599999999999999</c:v>
                </c:pt>
                <c:pt idx="595">
                  <c:v>8.77E-2</c:v>
                </c:pt>
                <c:pt idx="596">
                  <c:v>0.109</c:v>
                </c:pt>
                <c:pt idx="597">
                  <c:v>8.5800000000000001E-2</c:v>
                </c:pt>
                <c:pt idx="598">
                  <c:v>0.41799999999999998</c:v>
                </c:pt>
                <c:pt idx="599">
                  <c:v>0.13300000000000001</c:v>
                </c:pt>
                <c:pt idx="600">
                  <c:v>0.10199999999999999</c:v>
                </c:pt>
                <c:pt idx="601">
                  <c:v>6.7500000000000004E-2</c:v>
                </c:pt>
                <c:pt idx="602">
                  <c:v>0.107</c:v>
                </c:pt>
                <c:pt idx="603">
                  <c:v>0.35599999999999998</c:v>
                </c:pt>
                <c:pt idx="604">
                  <c:v>0.214</c:v>
                </c:pt>
                <c:pt idx="605">
                  <c:v>9.2499999999999999E-2</c:v>
                </c:pt>
                <c:pt idx="606">
                  <c:v>0.46300000000000002</c:v>
                </c:pt>
                <c:pt idx="607">
                  <c:v>0.20699999999999999</c:v>
                </c:pt>
                <c:pt idx="608">
                  <c:v>0.189</c:v>
                </c:pt>
                <c:pt idx="609">
                  <c:v>8.0100000000000005E-2</c:v>
                </c:pt>
                <c:pt idx="610">
                  <c:v>0.28100000000000003</c:v>
                </c:pt>
                <c:pt idx="611">
                  <c:v>0.14399999999999999</c:v>
                </c:pt>
                <c:pt idx="612">
                  <c:v>0.14699999999999999</c:v>
                </c:pt>
                <c:pt idx="613">
                  <c:v>0.22500000000000001</c:v>
                </c:pt>
                <c:pt idx="614">
                  <c:v>9.9000000000000005E-2</c:v>
                </c:pt>
                <c:pt idx="615">
                  <c:v>7.6300000000000007E-2</c:v>
                </c:pt>
                <c:pt idx="616">
                  <c:v>9.2100000000000001E-2</c:v>
                </c:pt>
                <c:pt idx="617">
                  <c:v>9.9000000000000005E-2</c:v>
                </c:pt>
                <c:pt idx="618">
                  <c:v>0.13</c:v>
                </c:pt>
                <c:pt idx="619">
                  <c:v>0.84399999999999997</c:v>
                </c:pt>
                <c:pt idx="620">
                  <c:v>8.9499999999999996E-2</c:v>
                </c:pt>
                <c:pt idx="621">
                  <c:v>0.219</c:v>
                </c:pt>
                <c:pt idx="622">
                  <c:v>7.8200000000000006E-2</c:v>
                </c:pt>
                <c:pt idx="623">
                  <c:v>6.9400000000000003E-2</c:v>
                </c:pt>
                <c:pt idx="624">
                  <c:v>8.5599999999999996E-2</c:v>
                </c:pt>
                <c:pt idx="625">
                  <c:v>4.36E-2</c:v>
                </c:pt>
                <c:pt idx="626">
                  <c:v>5.7099999999999998E-2</c:v>
                </c:pt>
                <c:pt idx="627">
                  <c:v>0.72699999999999998</c:v>
                </c:pt>
                <c:pt idx="628">
                  <c:v>0.105</c:v>
                </c:pt>
                <c:pt idx="629">
                  <c:v>0.24399999999999999</c:v>
                </c:pt>
                <c:pt idx="630">
                  <c:v>0.16900000000000001</c:v>
                </c:pt>
                <c:pt idx="631">
                  <c:v>0.16900000000000001</c:v>
                </c:pt>
                <c:pt idx="632">
                  <c:v>9.98E-2</c:v>
                </c:pt>
                <c:pt idx="633">
                  <c:v>0.11600000000000001</c:v>
                </c:pt>
                <c:pt idx="634">
                  <c:v>0.13100000000000001</c:v>
                </c:pt>
                <c:pt idx="635">
                  <c:v>0.31900000000000001</c:v>
                </c:pt>
                <c:pt idx="636">
                  <c:v>0.252</c:v>
                </c:pt>
                <c:pt idx="637">
                  <c:v>0.112</c:v>
                </c:pt>
                <c:pt idx="638">
                  <c:v>9.5299999999999996E-2</c:v>
                </c:pt>
                <c:pt idx="639">
                  <c:v>0.106</c:v>
                </c:pt>
                <c:pt idx="640">
                  <c:v>0.104</c:v>
                </c:pt>
                <c:pt idx="641">
                  <c:v>0.112</c:v>
                </c:pt>
                <c:pt idx="642">
                  <c:v>0.127</c:v>
                </c:pt>
                <c:pt idx="643">
                  <c:v>0.14699999999999999</c:v>
                </c:pt>
                <c:pt idx="644">
                  <c:v>0.126</c:v>
                </c:pt>
                <c:pt idx="645">
                  <c:v>0.111</c:v>
                </c:pt>
                <c:pt idx="646">
                  <c:v>0.124</c:v>
                </c:pt>
                <c:pt idx="647">
                  <c:v>6.93E-2</c:v>
                </c:pt>
                <c:pt idx="648">
                  <c:v>0.107</c:v>
                </c:pt>
                <c:pt idx="649">
                  <c:v>0.35899999999999999</c:v>
                </c:pt>
                <c:pt idx="650">
                  <c:v>0.437</c:v>
                </c:pt>
                <c:pt idx="651">
                  <c:v>0.17699999999999999</c:v>
                </c:pt>
                <c:pt idx="652">
                  <c:v>0.41099999999999998</c:v>
                </c:pt>
                <c:pt idx="653">
                  <c:v>9.4299999999999995E-2</c:v>
                </c:pt>
                <c:pt idx="654">
                  <c:v>0.106</c:v>
                </c:pt>
                <c:pt idx="655">
                  <c:v>0.123</c:v>
                </c:pt>
                <c:pt idx="656">
                  <c:v>0.104</c:v>
                </c:pt>
                <c:pt idx="657">
                  <c:v>5.0099999999999999E-2</c:v>
                </c:pt>
                <c:pt idx="658">
                  <c:v>0.13300000000000001</c:v>
                </c:pt>
                <c:pt idx="659">
                  <c:v>0.114</c:v>
                </c:pt>
                <c:pt idx="660">
                  <c:v>9.0999999999999998E-2</c:v>
                </c:pt>
                <c:pt idx="661">
                  <c:v>0.13100000000000001</c:v>
                </c:pt>
                <c:pt idx="662">
                  <c:v>0.113</c:v>
                </c:pt>
                <c:pt idx="663">
                  <c:v>0.13400000000000001</c:v>
                </c:pt>
                <c:pt idx="664">
                  <c:v>0.151</c:v>
                </c:pt>
                <c:pt idx="665">
                  <c:v>8.7300000000000003E-2</c:v>
                </c:pt>
                <c:pt idx="666">
                  <c:v>0.17899999999999999</c:v>
                </c:pt>
                <c:pt idx="667">
                  <c:v>9.6299999999999997E-2</c:v>
                </c:pt>
                <c:pt idx="668">
                  <c:v>0.13200000000000001</c:v>
                </c:pt>
                <c:pt idx="669">
                  <c:v>0.115</c:v>
                </c:pt>
                <c:pt idx="670">
                  <c:v>9.8900000000000002E-2</c:v>
                </c:pt>
                <c:pt idx="671">
                  <c:v>7.5499999999999998E-2</c:v>
                </c:pt>
                <c:pt idx="672">
                  <c:v>0.32300000000000001</c:v>
                </c:pt>
                <c:pt idx="673">
                  <c:v>0.224</c:v>
                </c:pt>
                <c:pt idx="674">
                  <c:v>0.10199999999999999</c:v>
                </c:pt>
                <c:pt idx="675">
                  <c:v>5.3100000000000001E-2</c:v>
                </c:pt>
                <c:pt idx="676">
                  <c:v>0.108</c:v>
                </c:pt>
                <c:pt idx="677">
                  <c:v>0.121</c:v>
                </c:pt>
                <c:pt idx="678">
                  <c:v>9.6000000000000002E-2</c:v>
                </c:pt>
                <c:pt idx="679">
                  <c:v>7.3400000000000007E-2</c:v>
                </c:pt>
                <c:pt idx="680">
                  <c:v>5.6899999999999999E-2</c:v>
                </c:pt>
                <c:pt idx="681">
                  <c:v>0.34899999999999998</c:v>
                </c:pt>
                <c:pt idx="682">
                  <c:v>0.18099999999999999</c:v>
                </c:pt>
                <c:pt idx="683">
                  <c:v>0.19</c:v>
                </c:pt>
                <c:pt idx="684">
                  <c:v>0.14099999999999999</c:v>
                </c:pt>
                <c:pt idx="685">
                  <c:v>8.2699999999999996E-2</c:v>
                </c:pt>
                <c:pt idx="686">
                  <c:v>0.30099999999999999</c:v>
                </c:pt>
                <c:pt idx="687">
                  <c:v>0.106</c:v>
                </c:pt>
                <c:pt idx="688">
                  <c:v>9.9400000000000002E-2</c:v>
                </c:pt>
                <c:pt idx="689">
                  <c:v>0.11600000000000001</c:v>
                </c:pt>
                <c:pt idx="690">
                  <c:v>7.6499999999999999E-2</c:v>
                </c:pt>
                <c:pt idx="691">
                  <c:v>0.24299999999999999</c:v>
                </c:pt>
                <c:pt idx="692">
                  <c:v>0.13800000000000001</c:v>
                </c:pt>
                <c:pt idx="693">
                  <c:v>0.13100000000000001</c:v>
                </c:pt>
                <c:pt idx="694">
                  <c:v>0.115</c:v>
                </c:pt>
                <c:pt idx="695">
                  <c:v>0.112</c:v>
                </c:pt>
                <c:pt idx="696">
                  <c:v>6.6699999999999995E-2</c:v>
                </c:pt>
                <c:pt idx="697">
                  <c:v>5.96E-2</c:v>
                </c:pt>
                <c:pt idx="698">
                  <c:v>0.115</c:v>
                </c:pt>
                <c:pt idx="699">
                  <c:v>9.2700000000000005E-2</c:v>
                </c:pt>
                <c:pt idx="700">
                  <c:v>0.155</c:v>
                </c:pt>
                <c:pt idx="701">
                  <c:v>0.377</c:v>
                </c:pt>
                <c:pt idx="702">
                  <c:v>0.10299999999999999</c:v>
                </c:pt>
                <c:pt idx="703">
                  <c:v>0.253</c:v>
                </c:pt>
                <c:pt idx="704">
                  <c:v>6.1800000000000001E-2</c:v>
                </c:pt>
                <c:pt idx="705">
                  <c:v>9.2499999999999999E-2</c:v>
                </c:pt>
                <c:pt idx="706">
                  <c:v>0.16300000000000001</c:v>
                </c:pt>
                <c:pt idx="707">
                  <c:v>0.14299999999999999</c:v>
                </c:pt>
                <c:pt idx="708">
                  <c:v>0.17499999999999999</c:v>
                </c:pt>
                <c:pt idx="709">
                  <c:v>9.7100000000000006E-2</c:v>
                </c:pt>
                <c:pt idx="710">
                  <c:v>0.151</c:v>
                </c:pt>
                <c:pt idx="711">
                  <c:v>0.112</c:v>
                </c:pt>
                <c:pt idx="712">
                  <c:v>0.13600000000000001</c:v>
                </c:pt>
                <c:pt idx="713">
                  <c:v>0.37</c:v>
                </c:pt>
                <c:pt idx="714">
                  <c:v>9.6500000000000002E-2</c:v>
                </c:pt>
                <c:pt idx="715">
                  <c:v>6.9199999999999998E-2</c:v>
                </c:pt>
                <c:pt idx="716">
                  <c:v>8.2299999999999998E-2</c:v>
                </c:pt>
                <c:pt idx="717">
                  <c:v>0.104</c:v>
                </c:pt>
                <c:pt idx="718">
                  <c:v>6.4500000000000002E-2</c:v>
                </c:pt>
                <c:pt idx="719">
                  <c:v>0.13200000000000001</c:v>
                </c:pt>
                <c:pt idx="720">
                  <c:v>9.3100000000000002E-2</c:v>
                </c:pt>
                <c:pt idx="721">
                  <c:v>0.124</c:v>
                </c:pt>
                <c:pt idx="722">
                  <c:v>0.16600000000000001</c:v>
                </c:pt>
                <c:pt idx="723">
                  <c:v>0.106</c:v>
                </c:pt>
                <c:pt idx="724">
                  <c:v>0.153</c:v>
                </c:pt>
                <c:pt idx="725">
                  <c:v>0.123</c:v>
                </c:pt>
                <c:pt idx="726">
                  <c:v>0.16200000000000001</c:v>
                </c:pt>
                <c:pt idx="727">
                  <c:v>0.19500000000000001</c:v>
                </c:pt>
                <c:pt idx="728">
                  <c:v>6.0199999999999997E-2</c:v>
                </c:pt>
                <c:pt idx="729">
                  <c:v>0.153</c:v>
                </c:pt>
                <c:pt idx="730">
                  <c:v>0.316</c:v>
                </c:pt>
                <c:pt idx="731">
                  <c:v>0.77</c:v>
                </c:pt>
                <c:pt idx="732">
                  <c:v>9.9599999999999994E-2</c:v>
                </c:pt>
                <c:pt idx="733">
                  <c:v>0.52700000000000002</c:v>
                </c:pt>
                <c:pt idx="734">
                  <c:v>6.3200000000000006E-2</c:v>
                </c:pt>
                <c:pt idx="735">
                  <c:v>6.6500000000000004E-2</c:v>
                </c:pt>
                <c:pt idx="736">
                  <c:v>7.1300000000000002E-2</c:v>
                </c:pt>
                <c:pt idx="737">
                  <c:v>0.216</c:v>
                </c:pt>
                <c:pt idx="738">
                  <c:v>8.8499999999999995E-2</c:v>
                </c:pt>
                <c:pt idx="739">
                  <c:v>0.112</c:v>
                </c:pt>
                <c:pt idx="740">
                  <c:v>0.13700000000000001</c:v>
                </c:pt>
                <c:pt idx="741">
                  <c:v>7.1900000000000006E-2</c:v>
                </c:pt>
                <c:pt idx="742">
                  <c:v>0.16700000000000001</c:v>
                </c:pt>
                <c:pt idx="743">
                  <c:v>8.0399999999999999E-2</c:v>
                </c:pt>
                <c:pt idx="744">
                  <c:v>0.182</c:v>
                </c:pt>
                <c:pt idx="745">
                  <c:v>8.5999999999999993E-2</c:v>
                </c:pt>
                <c:pt idx="746">
                  <c:v>8.4500000000000006E-2</c:v>
                </c:pt>
                <c:pt idx="747">
                  <c:v>0.19500000000000001</c:v>
                </c:pt>
                <c:pt idx="748">
                  <c:v>9.1999999999999998E-2</c:v>
                </c:pt>
                <c:pt idx="749">
                  <c:v>0.32300000000000001</c:v>
                </c:pt>
                <c:pt idx="750">
                  <c:v>0.113</c:v>
                </c:pt>
                <c:pt idx="751">
                  <c:v>0.13</c:v>
                </c:pt>
                <c:pt idx="752">
                  <c:v>0.19600000000000001</c:v>
                </c:pt>
                <c:pt idx="753">
                  <c:v>7.0300000000000001E-2</c:v>
                </c:pt>
                <c:pt idx="754">
                  <c:v>0.10299999999999999</c:v>
                </c:pt>
                <c:pt idx="755">
                  <c:v>8.8900000000000007E-2</c:v>
                </c:pt>
                <c:pt idx="756">
                  <c:v>7.7299999999999994E-2</c:v>
                </c:pt>
                <c:pt idx="757">
                  <c:v>0.11899999999999999</c:v>
                </c:pt>
                <c:pt idx="758">
                  <c:v>9.1399999999999995E-2</c:v>
                </c:pt>
                <c:pt idx="759">
                  <c:v>0.126</c:v>
                </c:pt>
                <c:pt idx="760">
                  <c:v>0.11</c:v>
                </c:pt>
                <c:pt idx="761">
                  <c:v>9.1999999999999998E-2</c:v>
                </c:pt>
                <c:pt idx="762">
                  <c:v>7.5399999999999995E-2</c:v>
                </c:pt>
                <c:pt idx="763">
                  <c:v>0.113</c:v>
                </c:pt>
                <c:pt idx="764">
                  <c:v>8.43E-2</c:v>
                </c:pt>
                <c:pt idx="765">
                  <c:v>0.23100000000000001</c:v>
                </c:pt>
                <c:pt idx="766">
                  <c:v>7.7299999999999994E-2</c:v>
                </c:pt>
                <c:pt idx="767">
                  <c:v>0.13700000000000001</c:v>
                </c:pt>
                <c:pt idx="768">
                  <c:v>0.125</c:v>
                </c:pt>
                <c:pt idx="769">
                  <c:v>0.107</c:v>
                </c:pt>
                <c:pt idx="770">
                  <c:v>9.4399999999999998E-2</c:v>
                </c:pt>
                <c:pt idx="771">
                  <c:v>9.2999999999999999E-2</c:v>
                </c:pt>
                <c:pt idx="772">
                  <c:v>0.26800000000000002</c:v>
                </c:pt>
                <c:pt idx="773">
                  <c:v>0.109</c:v>
                </c:pt>
                <c:pt idx="774">
                  <c:v>0.185</c:v>
                </c:pt>
                <c:pt idx="775">
                  <c:v>9.4899999999999998E-2</c:v>
                </c:pt>
                <c:pt idx="776">
                  <c:v>5.9900000000000002E-2</c:v>
                </c:pt>
                <c:pt idx="777">
                  <c:v>9.1600000000000001E-2</c:v>
                </c:pt>
                <c:pt idx="778">
                  <c:v>0.128</c:v>
                </c:pt>
                <c:pt idx="779">
                  <c:v>0.105</c:v>
                </c:pt>
                <c:pt idx="780">
                  <c:v>0.23200000000000001</c:v>
                </c:pt>
                <c:pt idx="781">
                  <c:v>0.114</c:v>
                </c:pt>
                <c:pt idx="782">
                  <c:v>0.106</c:v>
                </c:pt>
                <c:pt idx="783">
                  <c:v>6.9500000000000006E-2</c:v>
                </c:pt>
                <c:pt idx="784">
                  <c:v>0.108</c:v>
                </c:pt>
                <c:pt idx="785">
                  <c:v>0.127</c:v>
                </c:pt>
                <c:pt idx="786">
                  <c:v>0.109</c:v>
                </c:pt>
                <c:pt idx="787">
                  <c:v>7.9799999999999996E-2</c:v>
                </c:pt>
                <c:pt idx="788">
                  <c:v>0.28299999999999997</c:v>
                </c:pt>
                <c:pt idx="789">
                  <c:v>0.34499999999999997</c:v>
                </c:pt>
                <c:pt idx="790">
                  <c:v>7.8700000000000006E-2</c:v>
                </c:pt>
                <c:pt idx="791">
                  <c:v>0.155</c:v>
                </c:pt>
                <c:pt idx="792">
                  <c:v>0.17599999999999999</c:v>
                </c:pt>
                <c:pt idx="793">
                  <c:v>0.312</c:v>
                </c:pt>
                <c:pt idx="794">
                  <c:v>0.28699999999999998</c:v>
                </c:pt>
                <c:pt idx="795">
                  <c:v>9.0399999999999994E-2</c:v>
                </c:pt>
                <c:pt idx="796">
                  <c:v>5.0900000000000001E-2</c:v>
                </c:pt>
                <c:pt idx="797">
                  <c:v>0.11</c:v>
                </c:pt>
                <c:pt idx="798">
                  <c:v>5.3600000000000002E-2</c:v>
                </c:pt>
                <c:pt idx="799">
                  <c:v>0.108</c:v>
                </c:pt>
                <c:pt idx="800">
                  <c:v>0.191</c:v>
                </c:pt>
                <c:pt idx="801">
                  <c:v>0.108</c:v>
                </c:pt>
                <c:pt idx="802">
                  <c:v>0.30199999999999999</c:v>
                </c:pt>
                <c:pt idx="803">
                  <c:v>0.29799999999999999</c:v>
                </c:pt>
                <c:pt idx="804">
                  <c:v>9.4899999999999998E-2</c:v>
                </c:pt>
                <c:pt idx="805">
                  <c:v>0.35899999999999999</c:v>
                </c:pt>
                <c:pt idx="806">
                  <c:v>0.27400000000000002</c:v>
                </c:pt>
                <c:pt idx="807">
                  <c:v>9.8100000000000007E-2</c:v>
                </c:pt>
                <c:pt idx="808">
                  <c:v>0.20100000000000001</c:v>
                </c:pt>
                <c:pt idx="809">
                  <c:v>9.7500000000000003E-2</c:v>
                </c:pt>
                <c:pt idx="810">
                  <c:v>0.10199999999999999</c:v>
                </c:pt>
                <c:pt idx="811">
                  <c:v>0.246</c:v>
                </c:pt>
                <c:pt idx="812">
                  <c:v>6.7500000000000004E-2</c:v>
                </c:pt>
                <c:pt idx="813">
                  <c:v>0.12</c:v>
                </c:pt>
                <c:pt idx="814">
                  <c:v>0.32400000000000001</c:v>
                </c:pt>
                <c:pt idx="815">
                  <c:v>0.112</c:v>
                </c:pt>
                <c:pt idx="816">
                  <c:v>0.27700000000000002</c:v>
                </c:pt>
                <c:pt idx="817">
                  <c:v>0.10199999999999999</c:v>
                </c:pt>
                <c:pt idx="818">
                  <c:v>0.123</c:v>
                </c:pt>
                <c:pt idx="819">
                  <c:v>0.11799999999999999</c:v>
                </c:pt>
                <c:pt idx="820">
                  <c:v>9.2600000000000002E-2</c:v>
                </c:pt>
                <c:pt idx="821">
                  <c:v>0.10100000000000001</c:v>
                </c:pt>
                <c:pt idx="822">
                  <c:v>0.125</c:v>
                </c:pt>
                <c:pt idx="823">
                  <c:v>0.13300000000000001</c:v>
                </c:pt>
                <c:pt idx="824">
                  <c:v>7.4999999999999997E-2</c:v>
                </c:pt>
                <c:pt idx="825">
                  <c:v>0.249</c:v>
                </c:pt>
                <c:pt idx="826">
                  <c:v>8.09E-2</c:v>
                </c:pt>
                <c:pt idx="827">
                  <c:v>0.11</c:v>
                </c:pt>
                <c:pt idx="828">
                  <c:v>6.4299999999999996E-2</c:v>
                </c:pt>
                <c:pt idx="829">
                  <c:v>0.17199999999999999</c:v>
                </c:pt>
                <c:pt idx="830">
                  <c:v>0.121</c:v>
                </c:pt>
                <c:pt idx="831">
                  <c:v>0.20399999999999999</c:v>
                </c:pt>
                <c:pt idx="832">
                  <c:v>0.4</c:v>
                </c:pt>
                <c:pt idx="833">
                  <c:v>0.16900000000000001</c:v>
                </c:pt>
                <c:pt idx="834">
                  <c:v>0.10299999999999999</c:v>
                </c:pt>
                <c:pt idx="835">
                  <c:v>0.23799999999999999</c:v>
                </c:pt>
                <c:pt idx="836">
                  <c:v>8.6300000000000002E-2</c:v>
                </c:pt>
                <c:pt idx="837">
                  <c:v>0.247</c:v>
                </c:pt>
                <c:pt idx="838">
                  <c:v>0.497</c:v>
                </c:pt>
                <c:pt idx="839">
                  <c:v>0.63200000000000001</c:v>
                </c:pt>
                <c:pt idx="840">
                  <c:v>0.13200000000000001</c:v>
                </c:pt>
                <c:pt idx="841">
                  <c:v>0.114</c:v>
                </c:pt>
                <c:pt idx="842">
                  <c:v>0.126</c:v>
                </c:pt>
                <c:pt idx="843">
                  <c:v>0.182</c:v>
                </c:pt>
                <c:pt idx="844">
                  <c:v>0.11600000000000001</c:v>
                </c:pt>
                <c:pt idx="845">
                  <c:v>3.7699999999999997E-2</c:v>
                </c:pt>
                <c:pt idx="846">
                  <c:v>8.6199999999999999E-2</c:v>
                </c:pt>
                <c:pt idx="847">
                  <c:v>0.10299999999999999</c:v>
                </c:pt>
                <c:pt idx="848">
                  <c:v>0.13500000000000001</c:v>
                </c:pt>
                <c:pt idx="849">
                  <c:v>0.10100000000000001</c:v>
                </c:pt>
                <c:pt idx="850">
                  <c:v>0.154</c:v>
                </c:pt>
                <c:pt idx="851">
                  <c:v>7.4200000000000002E-2</c:v>
                </c:pt>
                <c:pt idx="852">
                  <c:v>0.157</c:v>
                </c:pt>
                <c:pt idx="853">
                  <c:v>0.629</c:v>
                </c:pt>
                <c:pt idx="854">
                  <c:v>0.56499999999999995</c:v>
                </c:pt>
                <c:pt idx="855">
                  <c:v>8.43E-2</c:v>
                </c:pt>
                <c:pt idx="856">
                  <c:v>0.14399999999999999</c:v>
                </c:pt>
                <c:pt idx="857">
                  <c:v>0.312</c:v>
                </c:pt>
                <c:pt idx="858">
                  <c:v>0.21299999999999999</c:v>
                </c:pt>
                <c:pt idx="859">
                  <c:v>0.182</c:v>
                </c:pt>
                <c:pt idx="860">
                  <c:v>8.0799999999999997E-2</c:v>
                </c:pt>
                <c:pt idx="861">
                  <c:v>0.124</c:v>
                </c:pt>
                <c:pt idx="862">
                  <c:v>0.122</c:v>
                </c:pt>
                <c:pt idx="863">
                  <c:v>8.3299999999999999E-2</c:v>
                </c:pt>
                <c:pt idx="864">
                  <c:v>0.17699999999999999</c:v>
                </c:pt>
                <c:pt idx="865">
                  <c:v>0.307</c:v>
                </c:pt>
                <c:pt idx="866">
                  <c:v>0.73499999999999999</c:v>
                </c:pt>
                <c:pt idx="867">
                  <c:v>8.6999999999999994E-2</c:v>
                </c:pt>
                <c:pt idx="868">
                  <c:v>0.107</c:v>
                </c:pt>
                <c:pt idx="869">
                  <c:v>0.16300000000000001</c:v>
                </c:pt>
                <c:pt idx="870">
                  <c:v>0.11899999999999999</c:v>
                </c:pt>
                <c:pt idx="871">
                  <c:v>7.6799999999999993E-2</c:v>
                </c:pt>
                <c:pt idx="872">
                  <c:v>0.24299999999999999</c:v>
                </c:pt>
                <c:pt idx="873">
                  <c:v>7.5399999999999995E-2</c:v>
                </c:pt>
                <c:pt idx="874">
                  <c:v>0.35</c:v>
                </c:pt>
                <c:pt idx="875">
                  <c:v>9.7600000000000006E-2</c:v>
                </c:pt>
                <c:pt idx="876">
                  <c:v>7.4899999999999994E-2</c:v>
                </c:pt>
                <c:pt idx="877">
                  <c:v>7.8799999999999995E-2</c:v>
                </c:pt>
                <c:pt idx="878">
                  <c:v>0.16700000000000001</c:v>
                </c:pt>
                <c:pt idx="879">
                  <c:v>0.18099999999999999</c:v>
                </c:pt>
                <c:pt idx="880">
                  <c:v>0.41499999999999998</c:v>
                </c:pt>
                <c:pt idx="881">
                  <c:v>9.2899999999999996E-2</c:v>
                </c:pt>
                <c:pt idx="882">
                  <c:v>6.4199999999999993E-2</c:v>
                </c:pt>
                <c:pt idx="883">
                  <c:v>3.1099999999999999E-2</c:v>
                </c:pt>
                <c:pt idx="884">
                  <c:v>0.17199999999999999</c:v>
                </c:pt>
                <c:pt idx="885">
                  <c:v>0.35399999999999998</c:v>
                </c:pt>
                <c:pt idx="886">
                  <c:v>0.112</c:v>
                </c:pt>
                <c:pt idx="887">
                  <c:v>7.1599999999999997E-2</c:v>
                </c:pt>
                <c:pt idx="888">
                  <c:v>7.6799999999999993E-2</c:v>
                </c:pt>
                <c:pt idx="889">
                  <c:v>0.439</c:v>
                </c:pt>
                <c:pt idx="890">
                  <c:v>0.316</c:v>
                </c:pt>
                <c:pt idx="891">
                  <c:v>0.30299999999999999</c:v>
                </c:pt>
                <c:pt idx="892">
                  <c:v>0.63400000000000001</c:v>
                </c:pt>
                <c:pt idx="893">
                  <c:v>0.11</c:v>
                </c:pt>
                <c:pt idx="894">
                  <c:v>9.2700000000000005E-2</c:v>
                </c:pt>
                <c:pt idx="895">
                  <c:v>0.65900000000000003</c:v>
                </c:pt>
                <c:pt idx="896">
                  <c:v>0.108</c:v>
                </c:pt>
                <c:pt idx="897">
                  <c:v>0.109</c:v>
                </c:pt>
                <c:pt idx="898">
                  <c:v>0.10199999999999999</c:v>
                </c:pt>
                <c:pt idx="899">
                  <c:v>0.73499999999999999</c:v>
                </c:pt>
                <c:pt idx="900">
                  <c:v>0.17100000000000001</c:v>
                </c:pt>
                <c:pt idx="901">
                  <c:v>9.9400000000000002E-2</c:v>
                </c:pt>
                <c:pt idx="902">
                  <c:v>0.35299999999999998</c:v>
                </c:pt>
                <c:pt idx="903">
                  <c:v>0.14499999999999999</c:v>
                </c:pt>
                <c:pt idx="904">
                  <c:v>0.12</c:v>
                </c:pt>
                <c:pt idx="905">
                  <c:v>0.46200000000000002</c:v>
                </c:pt>
                <c:pt idx="906">
                  <c:v>0.10199999999999999</c:v>
                </c:pt>
                <c:pt idx="907">
                  <c:v>0.121</c:v>
                </c:pt>
                <c:pt idx="908">
                  <c:v>0.14199999999999999</c:v>
                </c:pt>
                <c:pt idx="909">
                  <c:v>0.215</c:v>
                </c:pt>
                <c:pt idx="910">
                  <c:v>0.13800000000000001</c:v>
                </c:pt>
                <c:pt idx="911">
                  <c:v>0.23799999999999999</c:v>
                </c:pt>
                <c:pt idx="912">
                  <c:v>7.4300000000000005E-2</c:v>
                </c:pt>
                <c:pt idx="913">
                  <c:v>0.111</c:v>
                </c:pt>
                <c:pt idx="914">
                  <c:v>9.8000000000000004E-2</c:v>
                </c:pt>
                <c:pt idx="915">
                  <c:v>9.8599999999999993E-2</c:v>
                </c:pt>
                <c:pt idx="916">
                  <c:v>0.35299999999999998</c:v>
                </c:pt>
                <c:pt idx="917">
                  <c:v>0.54200000000000004</c:v>
                </c:pt>
                <c:pt idx="918">
                  <c:v>0.115</c:v>
                </c:pt>
                <c:pt idx="919">
                  <c:v>5.9400000000000001E-2</c:v>
                </c:pt>
                <c:pt idx="920">
                  <c:v>0.30099999999999999</c:v>
                </c:pt>
                <c:pt idx="921">
                  <c:v>0.125</c:v>
                </c:pt>
                <c:pt idx="922">
                  <c:v>0.123</c:v>
                </c:pt>
                <c:pt idx="923">
                  <c:v>0.106</c:v>
                </c:pt>
                <c:pt idx="924">
                  <c:v>0.123</c:v>
                </c:pt>
                <c:pt idx="925">
                  <c:v>0.26800000000000002</c:v>
                </c:pt>
                <c:pt idx="926">
                  <c:v>0.23</c:v>
                </c:pt>
                <c:pt idx="927">
                  <c:v>0.10100000000000001</c:v>
                </c:pt>
                <c:pt idx="928">
                  <c:v>9.2600000000000002E-2</c:v>
                </c:pt>
                <c:pt idx="929">
                  <c:v>0.10299999999999999</c:v>
                </c:pt>
                <c:pt idx="930">
                  <c:v>0.17100000000000001</c:v>
                </c:pt>
                <c:pt idx="931">
                  <c:v>0.13400000000000001</c:v>
                </c:pt>
                <c:pt idx="932">
                  <c:v>0.106</c:v>
                </c:pt>
                <c:pt idx="933">
                  <c:v>0.53700000000000003</c:v>
                </c:pt>
                <c:pt idx="934">
                  <c:v>0.32100000000000001</c:v>
                </c:pt>
                <c:pt idx="935">
                  <c:v>0.13800000000000001</c:v>
                </c:pt>
                <c:pt idx="936">
                  <c:v>0.59899999999999998</c:v>
                </c:pt>
                <c:pt idx="937">
                  <c:v>0.107</c:v>
                </c:pt>
                <c:pt idx="938">
                  <c:v>0.129</c:v>
                </c:pt>
                <c:pt idx="939">
                  <c:v>0.38600000000000001</c:v>
                </c:pt>
                <c:pt idx="940">
                  <c:v>0.193</c:v>
                </c:pt>
                <c:pt idx="941">
                  <c:v>7.4700000000000003E-2</c:v>
                </c:pt>
                <c:pt idx="942">
                  <c:v>0.251</c:v>
                </c:pt>
                <c:pt idx="943">
                  <c:v>0.105</c:v>
                </c:pt>
                <c:pt idx="944">
                  <c:v>0.254</c:v>
                </c:pt>
                <c:pt idx="945">
                  <c:v>0.24399999999999999</c:v>
                </c:pt>
                <c:pt idx="946">
                  <c:v>0.157</c:v>
                </c:pt>
                <c:pt idx="947">
                  <c:v>0.11700000000000001</c:v>
                </c:pt>
                <c:pt idx="948">
                  <c:v>8.6199999999999999E-2</c:v>
                </c:pt>
                <c:pt idx="949">
                  <c:v>0.17299999999999999</c:v>
                </c:pt>
                <c:pt idx="950">
                  <c:v>0.48899999999999999</c:v>
                </c:pt>
                <c:pt idx="951">
                  <c:v>9.8000000000000004E-2</c:v>
                </c:pt>
                <c:pt idx="952">
                  <c:v>8.4699999999999998E-2</c:v>
                </c:pt>
                <c:pt idx="953">
                  <c:v>0.27700000000000002</c:v>
                </c:pt>
                <c:pt idx="954">
                  <c:v>0.14099999999999999</c:v>
                </c:pt>
                <c:pt idx="955">
                  <c:v>0.33300000000000002</c:v>
                </c:pt>
                <c:pt idx="956">
                  <c:v>8.9499999999999996E-2</c:v>
                </c:pt>
                <c:pt idx="957">
                  <c:v>0.20899999999999999</c:v>
                </c:pt>
                <c:pt idx="958">
                  <c:v>0.10299999999999999</c:v>
                </c:pt>
                <c:pt idx="959">
                  <c:v>9.9299999999999999E-2</c:v>
                </c:pt>
                <c:pt idx="960">
                  <c:v>9.98E-2</c:v>
                </c:pt>
                <c:pt idx="961">
                  <c:v>0.35299999999999998</c:v>
                </c:pt>
                <c:pt idx="962">
                  <c:v>0.85399999999999998</c:v>
                </c:pt>
                <c:pt idx="963">
                  <c:v>0.112</c:v>
                </c:pt>
                <c:pt idx="964">
                  <c:v>0.10199999999999999</c:v>
                </c:pt>
                <c:pt idx="965">
                  <c:v>0.219</c:v>
                </c:pt>
                <c:pt idx="966">
                  <c:v>0.432</c:v>
                </c:pt>
                <c:pt idx="967">
                  <c:v>0.11</c:v>
                </c:pt>
                <c:pt idx="968">
                  <c:v>0.153</c:v>
                </c:pt>
                <c:pt idx="969">
                  <c:v>0.372</c:v>
                </c:pt>
                <c:pt idx="970">
                  <c:v>9.0999999999999998E-2</c:v>
                </c:pt>
                <c:pt idx="971">
                  <c:v>0.254</c:v>
                </c:pt>
                <c:pt idx="972">
                  <c:v>0.113</c:v>
                </c:pt>
                <c:pt idx="973">
                  <c:v>0.14199999999999999</c:v>
                </c:pt>
                <c:pt idx="974">
                  <c:v>0.182</c:v>
                </c:pt>
                <c:pt idx="975">
                  <c:v>5.5399999999999998E-2</c:v>
                </c:pt>
                <c:pt idx="976">
                  <c:v>0.158</c:v>
                </c:pt>
                <c:pt idx="977">
                  <c:v>0.14000000000000001</c:v>
                </c:pt>
                <c:pt idx="978">
                  <c:v>8.0100000000000005E-2</c:v>
                </c:pt>
                <c:pt idx="979">
                  <c:v>9.9500000000000005E-2</c:v>
                </c:pt>
                <c:pt idx="980">
                  <c:v>9.7100000000000006E-2</c:v>
                </c:pt>
                <c:pt idx="981">
                  <c:v>0.105</c:v>
                </c:pt>
                <c:pt idx="982">
                  <c:v>0.125</c:v>
                </c:pt>
                <c:pt idx="983">
                  <c:v>0.13</c:v>
                </c:pt>
                <c:pt idx="984">
                  <c:v>0.151</c:v>
                </c:pt>
                <c:pt idx="985">
                  <c:v>7.7100000000000002E-2</c:v>
                </c:pt>
                <c:pt idx="986">
                  <c:v>0.31900000000000001</c:v>
                </c:pt>
                <c:pt idx="987">
                  <c:v>9.9000000000000005E-2</c:v>
                </c:pt>
                <c:pt idx="988">
                  <c:v>0.32</c:v>
                </c:pt>
                <c:pt idx="989">
                  <c:v>0.68400000000000005</c:v>
                </c:pt>
                <c:pt idx="990">
                  <c:v>0.152</c:v>
                </c:pt>
                <c:pt idx="991">
                  <c:v>0.224</c:v>
                </c:pt>
                <c:pt idx="992">
                  <c:v>0.13400000000000001</c:v>
                </c:pt>
                <c:pt idx="993">
                  <c:v>0.129</c:v>
                </c:pt>
                <c:pt idx="994">
                  <c:v>0.31900000000000001</c:v>
                </c:pt>
                <c:pt idx="995">
                  <c:v>0.109</c:v>
                </c:pt>
                <c:pt idx="996">
                  <c:v>0.31900000000000001</c:v>
                </c:pt>
                <c:pt idx="997">
                  <c:v>0.108</c:v>
                </c:pt>
                <c:pt idx="998">
                  <c:v>0.105</c:v>
                </c:pt>
                <c:pt idx="999">
                  <c:v>0.13100000000000001</c:v>
                </c:pt>
                <c:pt idx="1000">
                  <c:v>8.72E-2</c:v>
                </c:pt>
                <c:pt idx="1001">
                  <c:v>0.123</c:v>
                </c:pt>
                <c:pt idx="1002">
                  <c:v>0.17799999999999999</c:v>
                </c:pt>
                <c:pt idx="1003">
                  <c:v>0.1</c:v>
                </c:pt>
                <c:pt idx="1004">
                  <c:v>0.42699999999999999</c:v>
                </c:pt>
                <c:pt idx="1005">
                  <c:v>0.255</c:v>
                </c:pt>
                <c:pt idx="1006">
                  <c:v>8.43E-2</c:v>
                </c:pt>
                <c:pt idx="1007">
                  <c:v>7.7399999999999997E-2</c:v>
                </c:pt>
                <c:pt idx="1008">
                  <c:v>0.18099999999999999</c:v>
                </c:pt>
                <c:pt idx="1009">
                  <c:v>0.20399999999999999</c:v>
                </c:pt>
                <c:pt idx="1010">
                  <c:v>9.9199999999999997E-2</c:v>
                </c:pt>
                <c:pt idx="1011">
                  <c:v>0.108</c:v>
                </c:pt>
                <c:pt idx="1012">
                  <c:v>6.6799999999999998E-2</c:v>
                </c:pt>
                <c:pt idx="1013">
                  <c:v>8.2400000000000001E-2</c:v>
                </c:pt>
                <c:pt idx="1014">
                  <c:v>0.151</c:v>
                </c:pt>
                <c:pt idx="1015">
                  <c:v>0.39500000000000002</c:v>
                </c:pt>
                <c:pt idx="1016">
                  <c:v>0.84699999999999998</c:v>
                </c:pt>
                <c:pt idx="1017">
                  <c:v>9.9599999999999994E-2</c:v>
                </c:pt>
                <c:pt idx="1018">
                  <c:v>0.14899999999999999</c:v>
                </c:pt>
                <c:pt idx="1019">
                  <c:v>0.10100000000000001</c:v>
                </c:pt>
                <c:pt idx="1020">
                  <c:v>0.10299999999999999</c:v>
                </c:pt>
                <c:pt idx="1021">
                  <c:v>0.13200000000000001</c:v>
                </c:pt>
                <c:pt idx="1022">
                  <c:v>0.14799999999999999</c:v>
                </c:pt>
                <c:pt idx="1023">
                  <c:v>0.312</c:v>
                </c:pt>
                <c:pt idx="1024">
                  <c:v>0.13500000000000001</c:v>
                </c:pt>
                <c:pt idx="1025">
                  <c:v>0.10199999999999999</c:v>
                </c:pt>
                <c:pt idx="1026">
                  <c:v>0.10299999999999999</c:v>
                </c:pt>
                <c:pt idx="1027">
                  <c:v>0.23</c:v>
                </c:pt>
                <c:pt idx="1028">
                  <c:v>0.13100000000000001</c:v>
                </c:pt>
                <c:pt idx="1029">
                  <c:v>8.0600000000000005E-2</c:v>
                </c:pt>
                <c:pt idx="1030">
                  <c:v>0.108</c:v>
                </c:pt>
                <c:pt idx="1031">
                  <c:v>0.122</c:v>
                </c:pt>
                <c:pt idx="1032">
                  <c:v>9.2399999999999996E-2</c:v>
                </c:pt>
                <c:pt idx="1033">
                  <c:v>0.28199999999999997</c:v>
                </c:pt>
                <c:pt idx="1034">
                  <c:v>8.7400000000000005E-2</c:v>
                </c:pt>
                <c:pt idx="1035">
                  <c:v>0.17299999999999999</c:v>
                </c:pt>
                <c:pt idx="1036">
                  <c:v>9.8199999999999996E-2</c:v>
                </c:pt>
                <c:pt idx="1037">
                  <c:v>0.69399999999999995</c:v>
                </c:pt>
                <c:pt idx="1038">
                  <c:v>0.15</c:v>
                </c:pt>
                <c:pt idx="1039">
                  <c:v>0.127</c:v>
                </c:pt>
                <c:pt idx="1040">
                  <c:v>0.254</c:v>
                </c:pt>
                <c:pt idx="1041">
                  <c:v>0.22700000000000001</c:v>
                </c:pt>
                <c:pt idx="1042">
                  <c:v>9.5600000000000004E-2</c:v>
                </c:pt>
                <c:pt idx="1043">
                  <c:v>0.113</c:v>
                </c:pt>
                <c:pt idx="1044">
                  <c:v>0.155</c:v>
                </c:pt>
                <c:pt idx="1045">
                  <c:v>0.38200000000000001</c:v>
                </c:pt>
                <c:pt idx="1046">
                  <c:v>0.115</c:v>
                </c:pt>
                <c:pt idx="1047">
                  <c:v>0.29799999999999999</c:v>
                </c:pt>
                <c:pt idx="1048">
                  <c:v>0.15</c:v>
                </c:pt>
                <c:pt idx="1049">
                  <c:v>0.12</c:v>
                </c:pt>
                <c:pt idx="1050">
                  <c:v>6.2600000000000003E-2</c:v>
                </c:pt>
                <c:pt idx="1051">
                  <c:v>0.114</c:v>
                </c:pt>
                <c:pt idx="1052">
                  <c:v>0.13100000000000001</c:v>
                </c:pt>
                <c:pt idx="1053">
                  <c:v>0.13400000000000001</c:v>
                </c:pt>
                <c:pt idx="1054">
                  <c:v>7.9699999999999993E-2</c:v>
                </c:pt>
                <c:pt idx="1055">
                  <c:v>0.14599999999999999</c:v>
                </c:pt>
                <c:pt idx="1056">
                  <c:v>6.1400000000000003E-2</c:v>
                </c:pt>
                <c:pt idx="1057">
                  <c:v>0.28699999999999998</c:v>
                </c:pt>
                <c:pt idx="1058">
                  <c:v>0.10100000000000001</c:v>
                </c:pt>
                <c:pt idx="1059">
                  <c:v>0.36799999999999999</c:v>
                </c:pt>
                <c:pt idx="1060">
                  <c:v>9.1800000000000007E-2</c:v>
                </c:pt>
                <c:pt idx="1061">
                  <c:v>9.4100000000000003E-2</c:v>
                </c:pt>
                <c:pt idx="1062">
                  <c:v>9.1999999999999998E-2</c:v>
                </c:pt>
                <c:pt idx="1063">
                  <c:v>0.68500000000000005</c:v>
                </c:pt>
                <c:pt idx="1064">
                  <c:v>0.14699999999999999</c:v>
                </c:pt>
                <c:pt idx="1065">
                  <c:v>0.17899999999999999</c:v>
                </c:pt>
                <c:pt idx="1066">
                  <c:v>7.6399999999999996E-2</c:v>
                </c:pt>
                <c:pt idx="1067">
                  <c:v>0.23100000000000001</c:v>
                </c:pt>
                <c:pt idx="1068">
                  <c:v>8.4699999999999998E-2</c:v>
                </c:pt>
                <c:pt idx="1069">
                  <c:v>0.125</c:v>
                </c:pt>
                <c:pt idx="1070">
                  <c:v>7.7799999999999994E-2</c:v>
                </c:pt>
                <c:pt idx="1071">
                  <c:v>0.39800000000000002</c:v>
                </c:pt>
                <c:pt idx="1072">
                  <c:v>0.19900000000000001</c:v>
                </c:pt>
                <c:pt idx="1073">
                  <c:v>7.2300000000000003E-2</c:v>
                </c:pt>
                <c:pt idx="1074">
                  <c:v>0.14399999999999999</c:v>
                </c:pt>
                <c:pt idx="1075">
                  <c:v>9.3100000000000002E-2</c:v>
                </c:pt>
                <c:pt idx="1076">
                  <c:v>9.1800000000000007E-2</c:v>
                </c:pt>
                <c:pt idx="1077">
                  <c:v>0.14599999999999999</c:v>
                </c:pt>
                <c:pt idx="1078">
                  <c:v>9.8000000000000004E-2</c:v>
                </c:pt>
                <c:pt idx="1079">
                  <c:v>9.3100000000000002E-2</c:v>
                </c:pt>
                <c:pt idx="1080">
                  <c:v>0.14299999999999999</c:v>
                </c:pt>
                <c:pt idx="1081">
                  <c:v>0.11700000000000001</c:v>
                </c:pt>
                <c:pt idx="1082">
                  <c:v>0.154</c:v>
                </c:pt>
                <c:pt idx="1083">
                  <c:v>0.26</c:v>
                </c:pt>
                <c:pt idx="1084">
                  <c:v>9.6000000000000002E-2</c:v>
                </c:pt>
                <c:pt idx="1085">
                  <c:v>0.11</c:v>
                </c:pt>
                <c:pt idx="1086">
                  <c:v>0.11700000000000001</c:v>
                </c:pt>
                <c:pt idx="1087">
                  <c:v>0.10299999999999999</c:v>
                </c:pt>
                <c:pt idx="1088">
                  <c:v>0.12</c:v>
                </c:pt>
                <c:pt idx="1089">
                  <c:v>0.55800000000000005</c:v>
                </c:pt>
                <c:pt idx="1090">
                  <c:v>0.125</c:v>
                </c:pt>
                <c:pt idx="1091">
                  <c:v>0.38300000000000001</c:v>
                </c:pt>
                <c:pt idx="1092">
                  <c:v>5.2699999999999997E-2</c:v>
                </c:pt>
                <c:pt idx="1093">
                  <c:v>8.4000000000000005E-2</c:v>
                </c:pt>
                <c:pt idx="1094">
                  <c:v>6.4600000000000005E-2</c:v>
                </c:pt>
                <c:pt idx="1095">
                  <c:v>0.28599999999999998</c:v>
                </c:pt>
                <c:pt idx="1096">
                  <c:v>9.2100000000000001E-2</c:v>
                </c:pt>
                <c:pt idx="1097">
                  <c:v>0.111</c:v>
                </c:pt>
                <c:pt idx="1098">
                  <c:v>9.7199999999999995E-2</c:v>
                </c:pt>
                <c:pt idx="1099">
                  <c:v>0.32400000000000001</c:v>
                </c:pt>
                <c:pt idx="1100">
                  <c:v>0.16</c:v>
                </c:pt>
                <c:pt idx="1101">
                  <c:v>9.7100000000000006E-2</c:v>
                </c:pt>
                <c:pt idx="1102">
                  <c:v>0.112</c:v>
                </c:pt>
                <c:pt idx="1103">
                  <c:v>0.105</c:v>
                </c:pt>
                <c:pt idx="1104">
                  <c:v>0.32</c:v>
                </c:pt>
                <c:pt idx="1105">
                  <c:v>9.3399999999999997E-2</c:v>
                </c:pt>
                <c:pt idx="1106">
                  <c:v>0.19500000000000001</c:v>
                </c:pt>
                <c:pt idx="1107">
                  <c:v>0.59699999999999998</c:v>
                </c:pt>
                <c:pt idx="1108">
                  <c:v>0.17199999999999999</c:v>
                </c:pt>
                <c:pt idx="1109">
                  <c:v>9.2899999999999996E-2</c:v>
                </c:pt>
                <c:pt idx="1110">
                  <c:v>0.14299999999999999</c:v>
                </c:pt>
                <c:pt idx="1111">
                  <c:v>0.92300000000000004</c:v>
                </c:pt>
                <c:pt idx="1112">
                  <c:v>8.5800000000000001E-2</c:v>
                </c:pt>
                <c:pt idx="1113">
                  <c:v>0.17199999999999999</c:v>
                </c:pt>
                <c:pt idx="1114">
                  <c:v>0.24399999999999999</c:v>
                </c:pt>
                <c:pt idx="1115">
                  <c:v>0.115</c:v>
                </c:pt>
                <c:pt idx="1116">
                  <c:v>9.7900000000000001E-2</c:v>
                </c:pt>
                <c:pt idx="1117">
                  <c:v>0.309</c:v>
                </c:pt>
                <c:pt idx="1118">
                  <c:v>0.129</c:v>
                </c:pt>
                <c:pt idx="1119">
                  <c:v>0.11</c:v>
                </c:pt>
                <c:pt idx="1120">
                  <c:v>9.1899999999999996E-2</c:v>
                </c:pt>
                <c:pt idx="1121">
                  <c:v>0.129</c:v>
                </c:pt>
                <c:pt idx="1122">
                  <c:v>0.121</c:v>
                </c:pt>
                <c:pt idx="1123">
                  <c:v>0.13300000000000001</c:v>
                </c:pt>
                <c:pt idx="1124">
                  <c:v>0.253</c:v>
                </c:pt>
                <c:pt idx="1125">
                  <c:v>0.41</c:v>
                </c:pt>
                <c:pt idx="1126">
                  <c:v>0.372</c:v>
                </c:pt>
                <c:pt idx="1127">
                  <c:v>0.36699999999999999</c:v>
                </c:pt>
                <c:pt idx="1128">
                  <c:v>0.11899999999999999</c:v>
                </c:pt>
                <c:pt idx="1129">
                  <c:v>6.5699999999999995E-2</c:v>
                </c:pt>
                <c:pt idx="1130">
                  <c:v>0.96199999999999997</c:v>
                </c:pt>
                <c:pt idx="1131">
                  <c:v>0.14399999999999999</c:v>
                </c:pt>
                <c:pt idx="1132">
                  <c:v>6.2799999999999995E-2</c:v>
                </c:pt>
                <c:pt idx="1133">
                  <c:v>0.13800000000000001</c:v>
                </c:pt>
                <c:pt idx="1134">
                  <c:v>8.9200000000000002E-2</c:v>
                </c:pt>
                <c:pt idx="1135">
                  <c:v>0.33300000000000002</c:v>
                </c:pt>
                <c:pt idx="1136">
                  <c:v>0.60499999999999998</c:v>
                </c:pt>
                <c:pt idx="1137">
                  <c:v>0.154</c:v>
                </c:pt>
                <c:pt idx="1138">
                  <c:v>0.13</c:v>
                </c:pt>
                <c:pt idx="1139">
                  <c:v>8.72E-2</c:v>
                </c:pt>
                <c:pt idx="1140">
                  <c:v>7.0800000000000002E-2</c:v>
                </c:pt>
                <c:pt idx="1141">
                  <c:v>0.114</c:v>
                </c:pt>
                <c:pt idx="1142">
                  <c:v>0.113</c:v>
                </c:pt>
                <c:pt idx="1143">
                  <c:v>9.3100000000000002E-2</c:v>
                </c:pt>
                <c:pt idx="1144">
                  <c:v>0.32100000000000001</c:v>
                </c:pt>
                <c:pt idx="1145">
                  <c:v>0.10100000000000001</c:v>
                </c:pt>
                <c:pt idx="1146">
                  <c:v>0.64300000000000002</c:v>
                </c:pt>
                <c:pt idx="1147">
                  <c:v>0.32900000000000001</c:v>
                </c:pt>
                <c:pt idx="1148">
                  <c:v>0.19600000000000001</c:v>
                </c:pt>
                <c:pt idx="1149">
                  <c:v>0.115</c:v>
                </c:pt>
                <c:pt idx="1150">
                  <c:v>0.17699999999999999</c:v>
                </c:pt>
                <c:pt idx="1151">
                  <c:v>8.5099999999999995E-2</c:v>
                </c:pt>
                <c:pt idx="1152">
                  <c:v>0.39400000000000002</c:v>
                </c:pt>
                <c:pt idx="1153">
                  <c:v>0.17100000000000001</c:v>
                </c:pt>
                <c:pt idx="1154">
                  <c:v>8.7900000000000006E-2</c:v>
                </c:pt>
                <c:pt idx="1155">
                  <c:v>0.46899999999999997</c:v>
                </c:pt>
                <c:pt idx="1156">
                  <c:v>0.30599999999999999</c:v>
                </c:pt>
                <c:pt idx="1157">
                  <c:v>9.7600000000000006E-2</c:v>
                </c:pt>
                <c:pt idx="1158">
                  <c:v>0.109</c:v>
                </c:pt>
                <c:pt idx="1159">
                  <c:v>0.107</c:v>
                </c:pt>
                <c:pt idx="1160">
                  <c:v>5.7000000000000002E-2</c:v>
                </c:pt>
                <c:pt idx="1161">
                  <c:v>0.14899999999999999</c:v>
                </c:pt>
                <c:pt idx="1162">
                  <c:v>0.107</c:v>
                </c:pt>
                <c:pt idx="1163">
                  <c:v>0.70599999999999996</c:v>
                </c:pt>
                <c:pt idx="1164">
                  <c:v>0.155</c:v>
                </c:pt>
                <c:pt idx="1165">
                  <c:v>0.11</c:v>
                </c:pt>
                <c:pt idx="1166">
                  <c:v>0.18</c:v>
                </c:pt>
                <c:pt idx="1167">
                  <c:v>0.28599999999999998</c:v>
                </c:pt>
                <c:pt idx="1168">
                  <c:v>0.129</c:v>
                </c:pt>
                <c:pt idx="1169">
                  <c:v>0.14199999999999999</c:v>
                </c:pt>
                <c:pt idx="1170">
                  <c:v>0.123</c:v>
                </c:pt>
                <c:pt idx="1171">
                  <c:v>0.115</c:v>
                </c:pt>
                <c:pt idx="1172">
                  <c:v>0.39300000000000002</c:v>
                </c:pt>
                <c:pt idx="1173">
                  <c:v>6.3200000000000006E-2</c:v>
                </c:pt>
                <c:pt idx="1174">
                  <c:v>0.32500000000000001</c:v>
                </c:pt>
                <c:pt idx="1175">
                  <c:v>6.4000000000000001E-2</c:v>
                </c:pt>
                <c:pt idx="1176">
                  <c:v>7.9600000000000004E-2</c:v>
                </c:pt>
                <c:pt idx="1177">
                  <c:v>7.0300000000000001E-2</c:v>
                </c:pt>
                <c:pt idx="1178">
                  <c:v>0.111</c:v>
                </c:pt>
                <c:pt idx="1179">
                  <c:v>0.115</c:v>
                </c:pt>
                <c:pt idx="1180">
                  <c:v>0.104</c:v>
                </c:pt>
                <c:pt idx="1181">
                  <c:v>0.109</c:v>
                </c:pt>
                <c:pt idx="1182">
                  <c:v>0.435</c:v>
                </c:pt>
                <c:pt idx="1183">
                  <c:v>0.104</c:v>
                </c:pt>
                <c:pt idx="1184">
                  <c:v>0.16800000000000001</c:v>
                </c:pt>
                <c:pt idx="1185">
                  <c:v>9.4600000000000004E-2</c:v>
                </c:pt>
                <c:pt idx="1186">
                  <c:v>0.22800000000000001</c:v>
                </c:pt>
                <c:pt idx="1187">
                  <c:v>7.0000000000000007E-2</c:v>
                </c:pt>
                <c:pt idx="1188">
                  <c:v>0.372</c:v>
                </c:pt>
                <c:pt idx="1189">
                  <c:v>0.372</c:v>
                </c:pt>
                <c:pt idx="1190">
                  <c:v>0.123</c:v>
                </c:pt>
                <c:pt idx="1191">
                  <c:v>9.98E-2</c:v>
                </c:pt>
                <c:pt idx="1192">
                  <c:v>0.39100000000000001</c:v>
                </c:pt>
                <c:pt idx="1193">
                  <c:v>0.30399999999999999</c:v>
                </c:pt>
                <c:pt idx="1194">
                  <c:v>0.254</c:v>
                </c:pt>
                <c:pt idx="1195">
                  <c:v>0.108</c:v>
                </c:pt>
                <c:pt idx="1196">
                  <c:v>0.1</c:v>
                </c:pt>
                <c:pt idx="1197">
                  <c:v>7.7899999999999997E-2</c:v>
                </c:pt>
                <c:pt idx="1198">
                  <c:v>9.2499999999999999E-2</c:v>
                </c:pt>
                <c:pt idx="1199">
                  <c:v>1.9699999999999999E-2</c:v>
                </c:pt>
                <c:pt idx="1200">
                  <c:v>7.3700000000000002E-2</c:v>
                </c:pt>
                <c:pt idx="1201">
                  <c:v>0.223</c:v>
                </c:pt>
                <c:pt idx="1202">
                  <c:v>0.32200000000000001</c:v>
                </c:pt>
                <c:pt idx="1203">
                  <c:v>0.20300000000000001</c:v>
                </c:pt>
                <c:pt idx="1204">
                  <c:v>0.11600000000000001</c:v>
                </c:pt>
                <c:pt idx="1205">
                  <c:v>0.111</c:v>
                </c:pt>
                <c:pt idx="1206">
                  <c:v>0.189</c:v>
                </c:pt>
                <c:pt idx="1207">
                  <c:v>0.35499999999999998</c:v>
                </c:pt>
                <c:pt idx="1208">
                  <c:v>0.151</c:v>
                </c:pt>
                <c:pt idx="1209">
                  <c:v>0.35199999999999998</c:v>
                </c:pt>
                <c:pt idx="1210">
                  <c:v>9.1700000000000004E-2</c:v>
                </c:pt>
                <c:pt idx="1211">
                  <c:v>0.14799999999999999</c:v>
                </c:pt>
                <c:pt idx="1212">
                  <c:v>0.58799999999999997</c:v>
                </c:pt>
                <c:pt idx="1213">
                  <c:v>0.187</c:v>
                </c:pt>
                <c:pt idx="1214">
                  <c:v>9.2999999999999999E-2</c:v>
                </c:pt>
                <c:pt idx="1215">
                  <c:v>0.21199999999999999</c:v>
                </c:pt>
                <c:pt idx="1216">
                  <c:v>0.33500000000000002</c:v>
                </c:pt>
                <c:pt idx="1217">
                  <c:v>0.94399999999999995</c:v>
                </c:pt>
                <c:pt idx="1218">
                  <c:v>0.13900000000000001</c:v>
                </c:pt>
                <c:pt idx="1219">
                  <c:v>0.107</c:v>
                </c:pt>
                <c:pt idx="1220">
                  <c:v>0.33400000000000002</c:v>
                </c:pt>
                <c:pt idx="1221">
                  <c:v>9.8000000000000004E-2</c:v>
                </c:pt>
                <c:pt idx="1222">
                  <c:v>0.33300000000000002</c:v>
                </c:pt>
                <c:pt idx="1223">
                  <c:v>8.8599999999999998E-2</c:v>
                </c:pt>
                <c:pt idx="1224">
                  <c:v>9.1700000000000004E-2</c:v>
                </c:pt>
                <c:pt idx="1225">
                  <c:v>0.11899999999999999</c:v>
                </c:pt>
                <c:pt idx="1226">
                  <c:v>9.4600000000000004E-2</c:v>
                </c:pt>
                <c:pt idx="1227">
                  <c:v>0.41699999999999998</c:v>
                </c:pt>
                <c:pt idx="1228">
                  <c:v>0.33800000000000002</c:v>
                </c:pt>
                <c:pt idx="1229">
                  <c:v>7.1400000000000005E-2</c:v>
                </c:pt>
                <c:pt idx="1230">
                  <c:v>0.224</c:v>
                </c:pt>
                <c:pt idx="1231">
                  <c:v>0.24399999999999999</c:v>
                </c:pt>
                <c:pt idx="1232">
                  <c:v>9.4799999999999995E-2</c:v>
                </c:pt>
                <c:pt idx="1233">
                  <c:v>9.0499999999999997E-2</c:v>
                </c:pt>
                <c:pt idx="1234">
                  <c:v>0.10299999999999999</c:v>
                </c:pt>
                <c:pt idx="1235">
                  <c:v>0.216</c:v>
                </c:pt>
                <c:pt idx="1236">
                  <c:v>0.155</c:v>
                </c:pt>
                <c:pt idx="1237">
                  <c:v>7.3400000000000007E-2</c:v>
                </c:pt>
                <c:pt idx="1238">
                  <c:v>0.105</c:v>
                </c:pt>
                <c:pt idx="1239">
                  <c:v>7.2099999999999997E-2</c:v>
                </c:pt>
                <c:pt idx="1240">
                  <c:v>0.17499999999999999</c:v>
                </c:pt>
                <c:pt idx="1241">
                  <c:v>0.13400000000000001</c:v>
                </c:pt>
                <c:pt idx="1242">
                  <c:v>0.38200000000000001</c:v>
                </c:pt>
                <c:pt idx="1243">
                  <c:v>0.33</c:v>
                </c:pt>
                <c:pt idx="1244">
                  <c:v>7.0300000000000001E-2</c:v>
                </c:pt>
                <c:pt idx="1245">
                  <c:v>7.4899999999999994E-2</c:v>
                </c:pt>
                <c:pt idx="1246">
                  <c:v>7.9399999999999998E-2</c:v>
                </c:pt>
                <c:pt idx="1247">
                  <c:v>0.38500000000000001</c:v>
                </c:pt>
                <c:pt idx="1248">
                  <c:v>7.4899999999999994E-2</c:v>
                </c:pt>
                <c:pt idx="1249">
                  <c:v>0.48599999999999999</c:v>
                </c:pt>
                <c:pt idx="1250">
                  <c:v>0.113</c:v>
                </c:pt>
                <c:pt idx="1251">
                  <c:v>8.8400000000000006E-2</c:v>
                </c:pt>
                <c:pt idx="1252">
                  <c:v>0.113</c:v>
                </c:pt>
                <c:pt idx="1253">
                  <c:v>0.12</c:v>
                </c:pt>
                <c:pt idx="1254">
                  <c:v>7.5399999999999995E-2</c:v>
                </c:pt>
                <c:pt idx="1255">
                  <c:v>0.252</c:v>
                </c:pt>
                <c:pt idx="1256">
                  <c:v>0.61499999999999999</c:v>
                </c:pt>
                <c:pt idx="1257">
                  <c:v>0.114</c:v>
                </c:pt>
                <c:pt idx="1258">
                  <c:v>9.6299999999999997E-2</c:v>
                </c:pt>
                <c:pt idx="1259">
                  <c:v>9.0899999999999995E-2</c:v>
                </c:pt>
                <c:pt idx="1260">
                  <c:v>0.20799999999999999</c:v>
                </c:pt>
                <c:pt idx="1261">
                  <c:v>7.6799999999999993E-2</c:v>
                </c:pt>
                <c:pt idx="1262">
                  <c:v>0.187</c:v>
                </c:pt>
                <c:pt idx="1263">
                  <c:v>8.9200000000000002E-2</c:v>
                </c:pt>
                <c:pt idx="1264">
                  <c:v>0.11</c:v>
                </c:pt>
                <c:pt idx="1265">
                  <c:v>0.112</c:v>
                </c:pt>
                <c:pt idx="1266">
                  <c:v>0.316</c:v>
                </c:pt>
                <c:pt idx="1267">
                  <c:v>0.23400000000000001</c:v>
                </c:pt>
                <c:pt idx="1268">
                  <c:v>0.20200000000000001</c:v>
                </c:pt>
                <c:pt idx="1269">
                  <c:v>0.114</c:v>
                </c:pt>
                <c:pt idx="1270">
                  <c:v>0.16800000000000001</c:v>
                </c:pt>
                <c:pt idx="1271">
                  <c:v>0.38500000000000001</c:v>
                </c:pt>
                <c:pt idx="1272">
                  <c:v>0.10299999999999999</c:v>
                </c:pt>
                <c:pt idx="1273">
                  <c:v>6.2100000000000002E-2</c:v>
                </c:pt>
                <c:pt idx="1274">
                  <c:v>6.5699999999999995E-2</c:v>
                </c:pt>
                <c:pt idx="1275">
                  <c:v>0.29399999999999998</c:v>
                </c:pt>
                <c:pt idx="1276">
                  <c:v>0.13500000000000001</c:v>
                </c:pt>
                <c:pt idx="1277">
                  <c:v>0.32100000000000001</c:v>
                </c:pt>
                <c:pt idx="1278">
                  <c:v>0.107</c:v>
                </c:pt>
                <c:pt idx="1279">
                  <c:v>0.25700000000000001</c:v>
                </c:pt>
                <c:pt idx="1280">
                  <c:v>9.5000000000000001E-2</c:v>
                </c:pt>
                <c:pt idx="1281">
                  <c:v>0.16400000000000001</c:v>
                </c:pt>
                <c:pt idx="1282">
                  <c:v>0.215</c:v>
                </c:pt>
                <c:pt idx="1283">
                  <c:v>0.26800000000000002</c:v>
                </c:pt>
                <c:pt idx="1284">
                  <c:v>0.124</c:v>
                </c:pt>
                <c:pt idx="1285">
                  <c:v>0.11700000000000001</c:v>
                </c:pt>
                <c:pt idx="1286">
                  <c:v>0.13900000000000001</c:v>
                </c:pt>
                <c:pt idx="1287">
                  <c:v>0.107</c:v>
                </c:pt>
                <c:pt idx="1288">
                  <c:v>0.11</c:v>
                </c:pt>
                <c:pt idx="1289">
                  <c:v>0.217</c:v>
                </c:pt>
                <c:pt idx="1290">
                  <c:v>0.122</c:v>
                </c:pt>
                <c:pt idx="1291">
                  <c:v>0.107</c:v>
                </c:pt>
                <c:pt idx="1292">
                  <c:v>0.29399999999999998</c:v>
                </c:pt>
                <c:pt idx="1293">
                  <c:v>0.24099999999999999</c:v>
                </c:pt>
                <c:pt idx="1294">
                  <c:v>0.154</c:v>
                </c:pt>
                <c:pt idx="1295">
                  <c:v>7.3300000000000004E-2</c:v>
                </c:pt>
                <c:pt idx="1296">
                  <c:v>6.4600000000000005E-2</c:v>
                </c:pt>
                <c:pt idx="1297">
                  <c:v>0.114</c:v>
                </c:pt>
                <c:pt idx="1298">
                  <c:v>0.17599999999999999</c:v>
                </c:pt>
                <c:pt idx="1299">
                  <c:v>9.9599999999999994E-2</c:v>
                </c:pt>
                <c:pt idx="1300">
                  <c:v>0.20399999999999999</c:v>
                </c:pt>
                <c:pt idx="1301">
                  <c:v>0.11</c:v>
                </c:pt>
                <c:pt idx="1302">
                  <c:v>0.222</c:v>
                </c:pt>
                <c:pt idx="1303">
                  <c:v>0.90800000000000003</c:v>
                </c:pt>
                <c:pt idx="1304">
                  <c:v>0.111</c:v>
                </c:pt>
                <c:pt idx="1305">
                  <c:v>0.53800000000000003</c:v>
                </c:pt>
                <c:pt idx="1306">
                  <c:v>4.5100000000000001E-2</c:v>
                </c:pt>
                <c:pt idx="1307">
                  <c:v>0.68</c:v>
                </c:pt>
                <c:pt idx="1308">
                  <c:v>0.36</c:v>
                </c:pt>
                <c:pt idx="1309">
                  <c:v>0.27200000000000002</c:v>
                </c:pt>
                <c:pt idx="1310">
                  <c:v>0.33900000000000002</c:v>
                </c:pt>
                <c:pt idx="1311">
                  <c:v>0.33</c:v>
                </c:pt>
                <c:pt idx="1312">
                  <c:v>0.11</c:v>
                </c:pt>
                <c:pt idx="1313">
                  <c:v>0.15</c:v>
                </c:pt>
                <c:pt idx="1314">
                  <c:v>0.46400000000000002</c:v>
                </c:pt>
                <c:pt idx="1315">
                  <c:v>8.3500000000000005E-2</c:v>
                </c:pt>
                <c:pt idx="1316">
                  <c:v>0.106</c:v>
                </c:pt>
                <c:pt idx="1317">
                  <c:v>0.41</c:v>
                </c:pt>
                <c:pt idx="1318">
                  <c:v>0.13800000000000001</c:v>
                </c:pt>
                <c:pt idx="1319">
                  <c:v>0.11600000000000001</c:v>
                </c:pt>
                <c:pt idx="1320">
                  <c:v>0.159</c:v>
                </c:pt>
                <c:pt idx="1321">
                  <c:v>0.104</c:v>
                </c:pt>
                <c:pt idx="1322">
                  <c:v>0.18099999999999999</c:v>
                </c:pt>
                <c:pt idx="1323">
                  <c:v>0.19900000000000001</c:v>
                </c:pt>
                <c:pt idx="1324">
                  <c:v>0.152</c:v>
                </c:pt>
                <c:pt idx="1325">
                  <c:v>0.46</c:v>
                </c:pt>
                <c:pt idx="1326">
                  <c:v>0.182</c:v>
                </c:pt>
                <c:pt idx="1327">
                  <c:v>0.113</c:v>
                </c:pt>
                <c:pt idx="1328">
                  <c:v>0.124</c:v>
                </c:pt>
                <c:pt idx="1329">
                  <c:v>7.9399999999999998E-2</c:v>
                </c:pt>
                <c:pt idx="1330">
                  <c:v>9.2299999999999993E-2</c:v>
                </c:pt>
                <c:pt idx="1331">
                  <c:v>0.69399999999999995</c:v>
                </c:pt>
                <c:pt idx="1332">
                  <c:v>9.8599999999999993E-2</c:v>
                </c:pt>
                <c:pt idx="1333">
                  <c:v>7.6499999999999999E-2</c:v>
                </c:pt>
                <c:pt idx="1334">
                  <c:v>0.113</c:v>
                </c:pt>
                <c:pt idx="1335">
                  <c:v>0.54500000000000004</c:v>
                </c:pt>
                <c:pt idx="1336">
                  <c:v>0.28599999999999998</c:v>
                </c:pt>
                <c:pt idx="1337">
                  <c:v>0.253</c:v>
                </c:pt>
                <c:pt idx="1338">
                  <c:v>9.3399999999999997E-2</c:v>
                </c:pt>
                <c:pt idx="1339">
                  <c:v>0.105</c:v>
                </c:pt>
                <c:pt idx="1340">
                  <c:v>8.5099999999999995E-2</c:v>
                </c:pt>
                <c:pt idx="1341">
                  <c:v>0.55800000000000005</c:v>
                </c:pt>
                <c:pt idx="1342">
                  <c:v>0.32300000000000001</c:v>
                </c:pt>
                <c:pt idx="1343">
                  <c:v>0.56799999999999995</c:v>
                </c:pt>
                <c:pt idx="1344">
                  <c:v>0.12</c:v>
                </c:pt>
                <c:pt idx="1345">
                  <c:v>0.16500000000000001</c:v>
                </c:pt>
                <c:pt idx="1346">
                  <c:v>8.2799999999999999E-2</c:v>
                </c:pt>
                <c:pt idx="1347">
                  <c:v>0.13100000000000001</c:v>
                </c:pt>
                <c:pt idx="1348">
                  <c:v>0.193</c:v>
                </c:pt>
                <c:pt idx="1349">
                  <c:v>0.11799999999999999</c:v>
                </c:pt>
                <c:pt idx="1350">
                  <c:v>0.16400000000000001</c:v>
                </c:pt>
                <c:pt idx="1351">
                  <c:v>8.8400000000000006E-2</c:v>
                </c:pt>
                <c:pt idx="1352">
                  <c:v>9.2700000000000005E-2</c:v>
                </c:pt>
                <c:pt idx="1353">
                  <c:v>0.505</c:v>
                </c:pt>
                <c:pt idx="1354">
                  <c:v>0.78500000000000003</c:v>
                </c:pt>
                <c:pt idx="1355">
                  <c:v>0.60499999999999998</c:v>
                </c:pt>
                <c:pt idx="1356">
                  <c:v>0.14000000000000001</c:v>
                </c:pt>
                <c:pt idx="1357">
                  <c:v>8.6900000000000005E-2</c:v>
                </c:pt>
                <c:pt idx="1358">
                  <c:v>0.129</c:v>
                </c:pt>
                <c:pt idx="1359">
                  <c:v>8.72E-2</c:v>
                </c:pt>
                <c:pt idx="1360">
                  <c:v>0.52700000000000002</c:v>
                </c:pt>
                <c:pt idx="1361">
                  <c:v>0.61199999999999999</c:v>
                </c:pt>
                <c:pt idx="1362">
                  <c:v>0.52700000000000002</c:v>
                </c:pt>
                <c:pt idx="1363">
                  <c:v>0.151</c:v>
                </c:pt>
                <c:pt idx="1364">
                  <c:v>0.47399999999999998</c:v>
                </c:pt>
                <c:pt idx="1365">
                  <c:v>0.16500000000000001</c:v>
                </c:pt>
                <c:pt idx="1366">
                  <c:v>0.127</c:v>
                </c:pt>
                <c:pt idx="1367">
                  <c:v>0.159</c:v>
                </c:pt>
                <c:pt idx="1368">
                  <c:v>0.254</c:v>
                </c:pt>
                <c:pt idx="1369">
                  <c:v>0.26500000000000001</c:v>
                </c:pt>
                <c:pt idx="1370">
                  <c:v>9.2799999999999994E-2</c:v>
                </c:pt>
                <c:pt idx="1371">
                  <c:v>0.129</c:v>
                </c:pt>
                <c:pt idx="1372">
                  <c:v>0.16700000000000001</c:v>
                </c:pt>
                <c:pt idx="1373">
                  <c:v>0.92300000000000004</c:v>
                </c:pt>
                <c:pt idx="1374">
                  <c:v>0.123</c:v>
                </c:pt>
                <c:pt idx="1375">
                  <c:v>0.34899999999999998</c:v>
                </c:pt>
                <c:pt idx="1376">
                  <c:v>0.105</c:v>
                </c:pt>
                <c:pt idx="1377">
                  <c:v>0.27900000000000003</c:v>
                </c:pt>
                <c:pt idx="1378">
                  <c:v>0.41299999999999998</c:v>
                </c:pt>
                <c:pt idx="1379">
                  <c:v>0.42499999999999999</c:v>
                </c:pt>
                <c:pt idx="1380">
                  <c:v>0.42399999999999999</c:v>
                </c:pt>
                <c:pt idx="1381">
                  <c:v>0.254</c:v>
                </c:pt>
                <c:pt idx="1382">
                  <c:v>0.217</c:v>
                </c:pt>
                <c:pt idx="1383">
                  <c:v>9.7199999999999995E-2</c:v>
                </c:pt>
                <c:pt idx="1384">
                  <c:v>9.9400000000000002E-2</c:v>
                </c:pt>
                <c:pt idx="1385">
                  <c:v>0.30599999999999999</c:v>
                </c:pt>
                <c:pt idx="1386">
                  <c:v>0.27900000000000003</c:v>
                </c:pt>
                <c:pt idx="1387">
                  <c:v>0.14499999999999999</c:v>
                </c:pt>
                <c:pt idx="1388">
                  <c:v>0.183</c:v>
                </c:pt>
                <c:pt idx="1389">
                  <c:v>0.156</c:v>
                </c:pt>
                <c:pt idx="1390">
                  <c:v>0.104</c:v>
                </c:pt>
                <c:pt idx="1391">
                  <c:v>6.2E-2</c:v>
                </c:pt>
                <c:pt idx="1392">
                  <c:v>0.115</c:v>
                </c:pt>
                <c:pt idx="1393">
                  <c:v>0.14099999999999999</c:v>
                </c:pt>
                <c:pt idx="1394">
                  <c:v>6.5199999999999994E-2</c:v>
                </c:pt>
                <c:pt idx="1395">
                  <c:v>0.192</c:v>
                </c:pt>
                <c:pt idx="1396">
                  <c:v>9.7199999999999995E-2</c:v>
                </c:pt>
                <c:pt idx="1397">
                  <c:v>9.3799999999999994E-2</c:v>
                </c:pt>
                <c:pt idx="1398">
                  <c:v>0.35199999999999998</c:v>
                </c:pt>
                <c:pt idx="1399">
                  <c:v>0.14399999999999999</c:v>
                </c:pt>
                <c:pt idx="1400">
                  <c:v>0.20399999999999999</c:v>
                </c:pt>
                <c:pt idx="1401">
                  <c:v>0.111</c:v>
                </c:pt>
                <c:pt idx="1402">
                  <c:v>0.28399999999999997</c:v>
                </c:pt>
                <c:pt idx="1403">
                  <c:v>0.11899999999999999</c:v>
                </c:pt>
                <c:pt idx="1404">
                  <c:v>0.111</c:v>
                </c:pt>
                <c:pt idx="1405">
                  <c:v>0.115</c:v>
                </c:pt>
                <c:pt idx="1406">
                  <c:v>8.1900000000000001E-2</c:v>
                </c:pt>
                <c:pt idx="1407">
                  <c:v>0.34100000000000003</c:v>
                </c:pt>
                <c:pt idx="1408">
                  <c:v>0.11700000000000001</c:v>
                </c:pt>
                <c:pt idx="1409">
                  <c:v>0.156</c:v>
                </c:pt>
                <c:pt idx="1410">
                  <c:v>7.3800000000000004E-2</c:v>
                </c:pt>
                <c:pt idx="1411">
                  <c:v>0.10299999999999999</c:v>
                </c:pt>
                <c:pt idx="1412">
                  <c:v>0.25600000000000001</c:v>
                </c:pt>
                <c:pt idx="1413">
                  <c:v>0.152</c:v>
                </c:pt>
                <c:pt idx="1414">
                  <c:v>0.14000000000000001</c:v>
                </c:pt>
                <c:pt idx="1415">
                  <c:v>0.27200000000000002</c:v>
                </c:pt>
                <c:pt idx="1416">
                  <c:v>0.112</c:v>
                </c:pt>
                <c:pt idx="1417">
                  <c:v>0.35599999999999998</c:v>
                </c:pt>
                <c:pt idx="1418">
                  <c:v>0.121</c:v>
                </c:pt>
                <c:pt idx="1419">
                  <c:v>0.17499999999999999</c:v>
                </c:pt>
                <c:pt idx="1420">
                  <c:v>0.112</c:v>
                </c:pt>
                <c:pt idx="1421">
                  <c:v>0.111</c:v>
                </c:pt>
                <c:pt idx="1422">
                  <c:v>7.9500000000000001E-2</c:v>
                </c:pt>
                <c:pt idx="1423">
                  <c:v>0.88200000000000001</c:v>
                </c:pt>
                <c:pt idx="1424">
                  <c:v>0.12</c:v>
                </c:pt>
                <c:pt idx="1425">
                  <c:v>9.7600000000000006E-2</c:v>
                </c:pt>
                <c:pt idx="1426">
                  <c:v>0.104</c:v>
                </c:pt>
                <c:pt idx="1427">
                  <c:v>0.65500000000000003</c:v>
                </c:pt>
                <c:pt idx="1428">
                  <c:v>0.253</c:v>
                </c:pt>
                <c:pt idx="1429">
                  <c:v>0.25800000000000001</c:v>
                </c:pt>
                <c:pt idx="1430">
                  <c:v>0.19600000000000001</c:v>
                </c:pt>
                <c:pt idx="1431">
                  <c:v>0.36199999999999999</c:v>
                </c:pt>
                <c:pt idx="1432">
                  <c:v>0.85799999999999998</c:v>
                </c:pt>
                <c:pt idx="1433">
                  <c:v>0.71799999999999997</c:v>
                </c:pt>
                <c:pt idx="1434">
                  <c:v>0.13800000000000001</c:v>
                </c:pt>
                <c:pt idx="1435">
                  <c:v>0.315</c:v>
                </c:pt>
                <c:pt idx="1436">
                  <c:v>0.111</c:v>
                </c:pt>
                <c:pt idx="1437">
                  <c:v>0.26100000000000001</c:v>
                </c:pt>
                <c:pt idx="1438">
                  <c:v>0.14599999999999999</c:v>
                </c:pt>
                <c:pt idx="1439">
                  <c:v>9.1399999999999995E-2</c:v>
                </c:pt>
                <c:pt idx="1440">
                  <c:v>0.32400000000000001</c:v>
                </c:pt>
                <c:pt idx="1441">
                  <c:v>0.108</c:v>
                </c:pt>
                <c:pt idx="1442">
                  <c:v>8.8300000000000003E-2</c:v>
                </c:pt>
                <c:pt idx="1443">
                  <c:v>0.104</c:v>
                </c:pt>
                <c:pt idx="1444">
                  <c:v>9.9199999999999997E-2</c:v>
                </c:pt>
                <c:pt idx="1445">
                  <c:v>6.7199999999999996E-2</c:v>
                </c:pt>
                <c:pt idx="1446">
                  <c:v>6.7199999999999996E-2</c:v>
                </c:pt>
                <c:pt idx="1447">
                  <c:v>0.17899999999999999</c:v>
                </c:pt>
                <c:pt idx="1448">
                  <c:v>0.114</c:v>
                </c:pt>
                <c:pt idx="1449">
                  <c:v>0.33800000000000002</c:v>
                </c:pt>
                <c:pt idx="1450">
                  <c:v>0.185</c:v>
                </c:pt>
                <c:pt idx="1451">
                  <c:v>0.215</c:v>
                </c:pt>
                <c:pt idx="1452">
                  <c:v>9.0999999999999998E-2</c:v>
                </c:pt>
                <c:pt idx="1453">
                  <c:v>0.316</c:v>
                </c:pt>
                <c:pt idx="1454">
                  <c:v>0.123</c:v>
                </c:pt>
                <c:pt idx="1455">
                  <c:v>0.214</c:v>
                </c:pt>
                <c:pt idx="1456">
                  <c:v>0.33600000000000002</c:v>
                </c:pt>
                <c:pt idx="1457">
                  <c:v>3.5299999999999998E-2</c:v>
                </c:pt>
                <c:pt idx="1458">
                  <c:v>4.7500000000000001E-2</c:v>
                </c:pt>
                <c:pt idx="1459">
                  <c:v>7.5999999999999998E-2</c:v>
                </c:pt>
                <c:pt idx="1460">
                  <c:v>0.14499999999999999</c:v>
                </c:pt>
                <c:pt idx="1461">
                  <c:v>0.11600000000000001</c:v>
                </c:pt>
                <c:pt idx="1462">
                  <c:v>0.183</c:v>
                </c:pt>
                <c:pt idx="1463">
                  <c:v>8.8200000000000001E-2</c:v>
                </c:pt>
                <c:pt idx="1464">
                  <c:v>0.129</c:v>
                </c:pt>
                <c:pt idx="1465">
                  <c:v>5.1900000000000002E-2</c:v>
                </c:pt>
                <c:pt idx="1466">
                  <c:v>0.28100000000000003</c:v>
                </c:pt>
                <c:pt idx="1467">
                  <c:v>5.6399999999999999E-2</c:v>
                </c:pt>
                <c:pt idx="1468">
                  <c:v>0.128</c:v>
                </c:pt>
                <c:pt idx="1469">
                  <c:v>0.17599999999999999</c:v>
                </c:pt>
                <c:pt idx="1470">
                  <c:v>0.316</c:v>
                </c:pt>
                <c:pt idx="1471">
                  <c:v>0.11</c:v>
                </c:pt>
                <c:pt idx="1472">
                  <c:v>0.108</c:v>
                </c:pt>
                <c:pt idx="1473">
                  <c:v>7.7299999999999994E-2</c:v>
                </c:pt>
                <c:pt idx="1474">
                  <c:v>0.26600000000000001</c:v>
                </c:pt>
                <c:pt idx="1475">
                  <c:v>0.11799999999999999</c:v>
                </c:pt>
                <c:pt idx="1476">
                  <c:v>3.1300000000000001E-2</c:v>
                </c:pt>
                <c:pt idx="1477">
                  <c:v>0.81699999999999995</c:v>
                </c:pt>
                <c:pt idx="1478">
                  <c:v>5.1299999999999998E-2</c:v>
                </c:pt>
                <c:pt idx="1479">
                  <c:v>0.72699999999999998</c:v>
                </c:pt>
                <c:pt idx="1480">
                  <c:v>0.19500000000000001</c:v>
                </c:pt>
                <c:pt idx="1481">
                  <c:v>5.6099999999999997E-2</c:v>
                </c:pt>
                <c:pt idx="1482">
                  <c:v>0.113</c:v>
                </c:pt>
                <c:pt idx="1483">
                  <c:v>0.19500000000000001</c:v>
                </c:pt>
                <c:pt idx="1484">
                  <c:v>0.30499999999999999</c:v>
                </c:pt>
                <c:pt idx="1485">
                  <c:v>0.13700000000000001</c:v>
                </c:pt>
                <c:pt idx="1486">
                  <c:v>0.34399999999999997</c:v>
                </c:pt>
                <c:pt idx="1487">
                  <c:v>0.246</c:v>
                </c:pt>
                <c:pt idx="1488">
                  <c:v>0.14199999999999999</c:v>
                </c:pt>
                <c:pt idx="1489">
                  <c:v>0.185</c:v>
                </c:pt>
                <c:pt idx="1490">
                  <c:v>8.5400000000000004E-2</c:v>
                </c:pt>
                <c:pt idx="1491">
                  <c:v>8.9499999999999996E-2</c:v>
                </c:pt>
                <c:pt idx="1492">
                  <c:v>0.88100000000000001</c:v>
                </c:pt>
                <c:pt idx="1493">
                  <c:v>9.69E-2</c:v>
                </c:pt>
                <c:pt idx="1494">
                  <c:v>5.3900000000000003E-2</c:v>
                </c:pt>
                <c:pt idx="1495">
                  <c:v>7.5999999999999998E-2</c:v>
                </c:pt>
                <c:pt idx="1496">
                  <c:v>9.7699999999999995E-2</c:v>
                </c:pt>
                <c:pt idx="1497">
                  <c:v>0.112</c:v>
                </c:pt>
                <c:pt idx="1498">
                  <c:v>0.10199999999999999</c:v>
                </c:pt>
                <c:pt idx="1499">
                  <c:v>7.2599999999999998E-2</c:v>
                </c:pt>
                <c:pt idx="1500">
                  <c:v>0.246</c:v>
                </c:pt>
                <c:pt idx="1501">
                  <c:v>5.74E-2</c:v>
                </c:pt>
                <c:pt idx="1502">
                  <c:v>9.4200000000000006E-2</c:v>
                </c:pt>
                <c:pt idx="1503">
                  <c:v>0.109</c:v>
                </c:pt>
                <c:pt idx="1504">
                  <c:v>0.106</c:v>
                </c:pt>
                <c:pt idx="1505">
                  <c:v>0.23200000000000001</c:v>
                </c:pt>
                <c:pt idx="1506">
                  <c:v>7.2999999999999995E-2</c:v>
                </c:pt>
                <c:pt idx="1507">
                  <c:v>8.77E-2</c:v>
                </c:pt>
                <c:pt idx="1508">
                  <c:v>6.7799999999999999E-2</c:v>
                </c:pt>
                <c:pt idx="1509">
                  <c:v>9.5100000000000004E-2</c:v>
                </c:pt>
                <c:pt idx="1510">
                  <c:v>0.14000000000000001</c:v>
                </c:pt>
                <c:pt idx="1511">
                  <c:v>0.1</c:v>
                </c:pt>
                <c:pt idx="1512">
                  <c:v>0.1</c:v>
                </c:pt>
                <c:pt idx="1513">
                  <c:v>5.1200000000000002E-2</c:v>
                </c:pt>
                <c:pt idx="1514">
                  <c:v>0.13200000000000001</c:v>
                </c:pt>
                <c:pt idx="1515">
                  <c:v>0.153</c:v>
                </c:pt>
                <c:pt idx="1516">
                  <c:v>0.26</c:v>
                </c:pt>
                <c:pt idx="1517">
                  <c:v>0.33</c:v>
                </c:pt>
                <c:pt idx="1518">
                  <c:v>0.13800000000000001</c:v>
                </c:pt>
                <c:pt idx="1519">
                  <c:v>0.14899999999999999</c:v>
                </c:pt>
                <c:pt idx="1520">
                  <c:v>0.157</c:v>
                </c:pt>
                <c:pt idx="1521">
                  <c:v>8.9499999999999996E-2</c:v>
                </c:pt>
                <c:pt idx="1522">
                  <c:v>0.106</c:v>
                </c:pt>
                <c:pt idx="1523">
                  <c:v>0.1</c:v>
                </c:pt>
                <c:pt idx="1524">
                  <c:v>0.106</c:v>
                </c:pt>
                <c:pt idx="1525">
                  <c:v>5.5E-2</c:v>
                </c:pt>
                <c:pt idx="1526">
                  <c:v>0.16</c:v>
                </c:pt>
                <c:pt idx="1527">
                  <c:v>3.27E-2</c:v>
                </c:pt>
                <c:pt idx="1528">
                  <c:v>5.7700000000000001E-2</c:v>
                </c:pt>
                <c:pt idx="1529">
                  <c:v>0.10299999999999999</c:v>
                </c:pt>
                <c:pt idx="1530">
                  <c:v>0.26100000000000001</c:v>
                </c:pt>
                <c:pt idx="1531">
                  <c:v>0.113</c:v>
                </c:pt>
                <c:pt idx="1532">
                  <c:v>0.35899999999999999</c:v>
                </c:pt>
                <c:pt idx="1533">
                  <c:v>0.14799999999999999</c:v>
                </c:pt>
                <c:pt idx="1534">
                  <c:v>7.4300000000000005E-2</c:v>
                </c:pt>
                <c:pt idx="1535">
                  <c:v>0.32800000000000001</c:v>
                </c:pt>
                <c:pt idx="1536">
                  <c:v>0.29499999999999998</c:v>
                </c:pt>
                <c:pt idx="1537">
                  <c:v>0.109</c:v>
                </c:pt>
                <c:pt idx="1538">
                  <c:v>0.158</c:v>
                </c:pt>
                <c:pt idx="1539">
                  <c:v>8.3599999999999994E-2</c:v>
                </c:pt>
                <c:pt idx="1540">
                  <c:v>0.155</c:v>
                </c:pt>
                <c:pt idx="1541">
                  <c:v>0.27</c:v>
                </c:pt>
                <c:pt idx="1542">
                  <c:v>0.28399999999999997</c:v>
                </c:pt>
                <c:pt idx="1543">
                  <c:v>7.8399999999999997E-2</c:v>
                </c:pt>
                <c:pt idx="1544">
                  <c:v>0.38600000000000001</c:v>
                </c:pt>
              </c:numCache>
            </c:numRef>
          </c:xVal>
          <c:yVal>
            <c:numRef>
              <c:f>Données!$W$2:$W$1558</c:f>
              <c:numCache>
                <c:formatCode>0.00</c:formatCode>
                <c:ptCount val="155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numCache>
            </c:numRef>
          </c:yVal>
          <c:smooth val="0"/>
          <c:extLst>
            <c:ext xmlns:c16="http://schemas.microsoft.com/office/drawing/2014/chart" uri="{C3380CC4-5D6E-409C-BE32-E72D297353CC}">
              <c16:uniqueId val="{00000000-71B4-4FB0-B0CB-F3BE45CED08C}"/>
            </c:ext>
          </c:extLst>
        </c:ser>
        <c:dLbls>
          <c:showLegendKey val="0"/>
          <c:showVal val="0"/>
          <c:showCatName val="0"/>
          <c:showSerName val="0"/>
          <c:showPercent val="0"/>
          <c:showBubbleSize val="0"/>
        </c:dLbls>
        <c:axId val="548726287"/>
        <c:axId val="548727247"/>
      </c:scatterChart>
      <c:valAx>
        <c:axId val="5487262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Energie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48727247"/>
        <c:crosses val="autoZero"/>
        <c:crossBetween val="midCat"/>
      </c:valAx>
      <c:valAx>
        <c:axId val="548727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Intensité</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4872628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[données_spotify.xlsx]Analyse khi2!Tableau croisé dynamique1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'Analyse khi2'!$C$2:$C$3</c:f>
              <c:strCache>
                <c:ptCount val="1"/>
                <c:pt idx="0">
                  <c:v>FAIBLE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 khi2'!$B$4:$B$10</c:f>
              <c:strCache>
                <c:ptCount val="6"/>
                <c:pt idx="0">
                  <c:v>AUTRE</c:v>
                </c:pt>
                <c:pt idx="1">
                  <c:v>COUNTRY</c:v>
                </c:pt>
                <c:pt idx="2">
                  <c:v>HIP HOP</c:v>
                </c:pt>
                <c:pt idx="3">
                  <c:v>POP</c:v>
                </c:pt>
                <c:pt idx="4">
                  <c:v>RAP</c:v>
                </c:pt>
                <c:pt idx="5">
                  <c:v>ROCK</c:v>
                </c:pt>
              </c:strCache>
            </c:strRef>
          </c:cat>
          <c:val>
            <c:numRef>
              <c:f>'Analyse khi2'!$C$4:$C$10</c:f>
              <c:numCache>
                <c:formatCode>General</c:formatCode>
                <c:ptCount val="6"/>
                <c:pt idx="0">
                  <c:v>208</c:v>
                </c:pt>
                <c:pt idx="1">
                  <c:v>2</c:v>
                </c:pt>
                <c:pt idx="2">
                  <c:v>149</c:v>
                </c:pt>
                <c:pt idx="3">
                  <c:v>158</c:v>
                </c:pt>
                <c:pt idx="4">
                  <c:v>75</c:v>
                </c:pt>
                <c:pt idx="5">
                  <c:v>9</c:v>
                </c:pt>
              </c:numCache>
            </c:numRef>
          </c:val>
          <c:extLst>
            <c:ext xmlns:c16="http://schemas.microsoft.com/office/drawing/2014/chart" uri="{C3380CC4-5D6E-409C-BE32-E72D297353CC}">
              <c16:uniqueId val="{00000000-A4B5-4EA8-87DE-7C1490D980CA}"/>
            </c:ext>
          </c:extLst>
        </c:ser>
        <c:ser>
          <c:idx val="1"/>
          <c:order val="1"/>
          <c:tx>
            <c:strRef>
              <c:f>'Analyse khi2'!$D$2:$D$3</c:f>
              <c:strCache>
                <c:ptCount val="1"/>
                <c:pt idx="0">
                  <c:v>FORTE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 khi2'!$B$4:$B$10</c:f>
              <c:strCache>
                <c:ptCount val="6"/>
                <c:pt idx="0">
                  <c:v>AUTRE</c:v>
                </c:pt>
                <c:pt idx="1">
                  <c:v>COUNTRY</c:v>
                </c:pt>
                <c:pt idx="2">
                  <c:v>HIP HOP</c:v>
                </c:pt>
                <c:pt idx="3">
                  <c:v>POP</c:v>
                </c:pt>
                <c:pt idx="4">
                  <c:v>RAP</c:v>
                </c:pt>
                <c:pt idx="5">
                  <c:v>ROCK</c:v>
                </c:pt>
              </c:strCache>
            </c:strRef>
          </c:cat>
          <c:val>
            <c:numRef>
              <c:f>'Analyse khi2'!$D$4:$D$10</c:f>
              <c:numCache>
                <c:formatCode>General</c:formatCode>
                <c:ptCount val="6"/>
                <c:pt idx="0">
                  <c:v>293</c:v>
                </c:pt>
                <c:pt idx="1">
                  <c:v>11</c:v>
                </c:pt>
                <c:pt idx="2">
                  <c:v>144</c:v>
                </c:pt>
                <c:pt idx="3">
                  <c:v>345</c:v>
                </c:pt>
                <c:pt idx="4">
                  <c:v>131</c:v>
                </c:pt>
                <c:pt idx="5">
                  <c:v>31</c:v>
                </c:pt>
              </c:numCache>
            </c:numRef>
          </c:val>
          <c:extLst>
            <c:ext xmlns:c16="http://schemas.microsoft.com/office/drawing/2014/chart" uri="{C3380CC4-5D6E-409C-BE32-E72D297353CC}">
              <c16:uniqueId val="{00000001-A4B5-4EA8-87DE-7C1490D980CA}"/>
            </c:ext>
          </c:extLst>
        </c:ser>
        <c:dLbls>
          <c:dLblPos val="ctr"/>
          <c:showLegendKey val="0"/>
          <c:showVal val="1"/>
          <c:showCatName val="0"/>
          <c:showSerName val="0"/>
          <c:showPercent val="0"/>
          <c:showBubbleSize val="0"/>
        </c:dLbls>
        <c:gapWidth val="150"/>
        <c:overlap val="100"/>
        <c:axId val="975416639"/>
        <c:axId val="975417119"/>
      </c:barChart>
      <c:catAx>
        <c:axId val="975416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75417119"/>
        <c:crosses val="autoZero"/>
        <c:auto val="1"/>
        <c:lblAlgn val="ctr"/>
        <c:lblOffset val="100"/>
        <c:noMultiLvlLbl val="0"/>
      </c:catAx>
      <c:valAx>
        <c:axId val="975417119"/>
        <c:scaling>
          <c:orientation val="minMax"/>
        </c:scaling>
        <c:delete val="1"/>
        <c:axPos val="l"/>
        <c:numFmt formatCode="0%" sourceLinked="1"/>
        <c:majorTickMark val="none"/>
        <c:minorTickMark val="none"/>
        <c:tickLblPos val="nextTo"/>
        <c:crossAx val="975416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percentStacked"/>
        <c:varyColors val="0"/>
        <c:ser>
          <c:idx val="0"/>
          <c:order val="0"/>
          <c:tx>
            <c:strRef>
              <c:f>'Analyse khi2'!$C$14</c:f>
              <c:strCache>
                <c:ptCount val="1"/>
                <c:pt idx="0">
                  <c:v>FAIBLE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 khi2'!$B$15:$B$20</c:f>
              <c:strCache>
                <c:ptCount val="6"/>
                <c:pt idx="0">
                  <c:v>AUTRE</c:v>
                </c:pt>
                <c:pt idx="1">
                  <c:v>COUNTRY</c:v>
                </c:pt>
                <c:pt idx="2">
                  <c:v>HIP HOP</c:v>
                </c:pt>
                <c:pt idx="3">
                  <c:v>POP</c:v>
                </c:pt>
                <c:pt idx="4">
                  <c:v>RAP</c:v>
                </c:pt>
                <c:pt idx="5">
                  <c:v>ROCK</c:v>
                </c:pt>
              </c:strCache>
            </c:strRef>
          </c:cat>
          <c:val>
            <c:numRef>
              <c:f>'Analyse khi2'!$C$15:$C$20</c:f>
              <c:numCache>
                <c:formatCode>General</c:formatCode>
                <c:ptCount val="6"/>
                <c:pt idx="0">
                  <c:v>193.50964010282777</c:v>
                </c:pt>
                <c:pt idx="1">
                  <c:v>5.0212082262210798</c:v>
                </c:pt>
                <c:pt idx="2">
                  <c:v>113.1703084832905</c:v>
                </c:pt>
                <c:pt idx="3">
                  <c:v>194.28213367609254</c:v>
                </c:pt>
                <c:pt idx="4">
                  <c:v>79.566838046272494</c:v>
                </c:pt>
                <c:pt idx="5">
                  <c:v>15.449871465295629</c:v>
                </c:pt>
              </c:numCache>
            </c:numRef>
          </c:val>
          <c:extLst>
            <c:ext xmlns:c16="http://schemas.microsoft.com/office/drawing/2014/chart" uri="{C3380CC4-5D6E-409C-BE32-E72D297353CC}">
              <c16:uniqueId val="{00000000-39E6-4FCD-9430-D6DEE794AF10}"/>
            </c:ext>
          </c:extLst>
        </c:ser>
        <c:ser>
          <c:idx val="1"/>
          <c:order val="1"/>
          <c:tx>
            <c:strRef>
              <c:f>'Analyse khi2'!$D$14</c:f>
              <c:strCache>
                <c:ptCount val="1"/>
                <c:pt idx="0">
                  <c:v>FORTE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 khi2'!$B$15:$B$20</c:f>
              <c:strCache>
                <c:ptCount val="6"/>
                <c:pt idx="0">
                  <c:v>AUTRE</c:v>
                </c:pt>
                <c:pt idx="1">
                  <c:v>COUNTRY</c:v>
                </c:pt>
                <c:pt idx="2">
                  <c:v>HIP HOP</c:v>
                </c:pt>
                <c:pt idx="3">
                  <c:v>POP</c:v>
                </c:pt>
                <c:pt idx="4">
                  <c:v>RAP</c:v>
                </c:pt>
                <c:pt idx="5">
                  <c:v>ROCK</c:v>
                </c:pt>
              </c:strCache>
            </c:strRef>
          </c:cat>
          <c:val>
            <c:numRef>
              <c:f>'Analyse khi2'!$D$15:$D$20</c:f>
              <c:numCache>
                <c:formatCode>General</c:formatCode>
                <c:ptCount val="6"/>
                <c:pt idx="0">
                  <c:v>307.49035989717225</c:v>
                </c:pt>
                <c:pt idx="1">
                  <c:v>7.9787917737789202</c:v>
                </c:pt>
                <c:pt idx="2">
                  <c:v>179.82969151670952</c:v>
                </c:pt>
                <c:pt idx="3">
                  <c:v>308.71786632390746</c:v>
                </c:pt>
                <c:pt idx="4">
                  <c:v>126.43316195372751</c:v>
                </c:pt>
                <c:pt idx="5">
                  <c:v>24.550128534704371</c:v>
                </c:pt>
              </c:numCache>
            </c:numRef>
          </c:val>
          <c:extLst>
            <c:ext xmlns:c16="http://schemas.microsoft.com/office/drawing/2014/chart" uri="{C3380CC4-5D6E-409C-BE32-E72D297353CC}">
              <c16:uniqueId val="{00000001-39E6-4FCD-9430-D6DEE794AF10}"/>
            </c:ext>
          </c:extLst>
        </c:ser>
        <c:dLbls>
          <c:dLblPos val="ctr"/>
          <c:showLegendKey val="0"/>
          <c:showVal val="1"/>
          <c:showCatName val="0"/>
          <c:showSerName val="0"/>
          <c:showPercent val="0"/>
          <c:showBubbleSize val="0"/>
        </c:dLbls>
        <c:gapWidth val="150"/>
        <c:overlap val="100"/>
        <c:axId val="1159282143"/>
        <c:axId val="1159279263"/>
      </c:barChart>
      <c:catAx>
        <c:axId val="115928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59279263"/>
        <c:crosses val="autoZero"/>
        <c:auto val="1"/>
        <c:lblAlgn val="ctr"/>
        <c:lblOffset val="100"/>
        <c:noMultiLvlLbl val="0"/>
      </c:catAx>
      <c:valAx>
        <c:axId val="1159279263"/>
        <c:scaling>
          <c:orientation val="minMax"/>
        </c:scaling>
        <c:delete val="1"/>
        <c:axPos val="l"/>
        <c:numFmt formatCode="0%" sourceLinked="1"/>
        <c:majorTickMark val="none"/>
        <c:minorTickMark val="none"/>
        <c:tickLblPos val="nextTo"/>
        <c:crossAx val="11592821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[données_spotify.xlsx]Analyse khi2!Tableau croisé dynamique2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'Analyse khi2'!$C$35:$C$36</c:f>
              <c:strCache>
                <c:ptCount val="1"/>
                <c:pt idx="0">
                  <c:v>FAIBLE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 khi2'!$B$37:$B$43</c:f>
              <c:strCache>
                <c:ptCount val="6"/>
                <c:pt idx="0">
                  <c:v>AUTRE</c:v>
                </c:pt>
                <c:pt idx="1">
                  <c:v>COUNTRY</c:v>
                </c:pt>
                <c:pt idx="2">
                  <c:v>HIP HOP</c:v>
                </c:pt>
                <c:pt idx="3">
                  <c:v>POP</c:v>
                </c:pt>
                <c:pt idx="4">
                  <c:v>RAP</c:v>
                </c:pt>
                <c:pt idx="5">
                  <c:v>ROCK</c:v>
                </c:pt>
              </c:strCache>
            </c:strRef>
          </c:cat>
          <c:val>
            <c:numRef>
              <c:f>'Analyse khi2'!$C$37:$C$43</c:f>
              <c:numCache>
                <c:formatCode>General</c:formatCode>
                <c:ptCount val="6"/>
                <c:pt idx="0">
                  <c:v>203</c:v>
                </c:pt>
                <c:pt idx="1">
                  <c:v>6</c:v>
                </c:pt>
                <c:pt idx="2">
                  <c:v>142</c:v>
                </c:pt>
                <c:pt idx="3">
                  <c:v>256</c:v>
                </c:pt>
                <c:pt idx="4">
                  <c:v>121</c:v>
                </c:pt>
                <c:pt idx="5">
                  <c:v>15</c:v>
                </c:pt>
              </c:numCache>
            </c:numRef>
          </c:val>
          <c:extLst>
            <c:ext xmlns:c16="http://schemas.microsoft.com/office/drawing/2014/chart" uri="{C3380CC4-5D6E-409C-BE32-E72D297353CC}">
              <c16:uniqueId val="{00000000-845A-4800-9E17-7BC561B5F0BC}"/>
            </c:ext>
          </c:extLst>
        </c:ser>
        <c:ser>
          <c:idx val="1"/>
          <c:order val="1"/>
          <c:tx>
            <c:strRef>
              <c:f>'Analyse khi2'!$D$35:$D$36</c:f>
              <c:strCache>
                <c:ptCount val="1"/>
                <c:pt idx="0">
                  <c:v>FORTE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 khi2'!$B$37:$B$43</c:f>
              <c:strCache>
                <c:ptCount val="6"/>
                <c:pt idx="0">
                  <c:v>AUTRE</c:v>
                </c:pt>
                <c:pt idx="1">
                  <c:v>COUNTRY</c:v>
                </c:pt>
                <c:pt idx="2">
                  <c:v>HIP HOP</c:v>
                </c:pt>
                <c:pt idx="3">
                  <c:v>POP</c:v>
                </c:pt>
                <c:pt idx="4">
                  <c:v>RAP</c:v>
                </c:pt>
                <c:pt idx="5">
                  <c:v>ROCK</c:v>
                </c:pt>
              </c:strCache>
            </c:strRef>
          </c:cat>
          <c:val>
            <c:numRef>
              <c:f>'Analyse khi2'!$D$37:$D$43</c:f>
              <c:numCache>
                <c:formatCode>General</c:formatCode>
                <c:ptCount val="6"/>
                <c:pt idx="0">
                  <c:v>298</c:v>
                </c:pt>
                <c:pt idx="1">
                  <c:v>7</c:v>
                </c:pt>
                <c:pt idx="2">
                  <c:v>151</c:v>
                </c:pt>
                <c:pt idx="3">
                  <c:v>247</c:v>
                </c:pt>
                <c:pt idx="4">
                  <c:v>85</c:v>
                </c:pt>
                <c:pt idx="5">
                  <c:v>25</c:v>
                </c:pt>
              </c:numCache>
            </c:numRef>
          </c:val>
          <c:extLst>
            <c:ext xmlns:c16="http://schemas.microsoft.com/office/drawing/2014/chart" uri="{C3380CC4-5D6E-409C-BE32-E72D297353CC}">
              <c16:uniqueId val="{00000001-845A-4800-9E17-7BC561B5F0BC}"/>
            </c:ext>
          </c:extLst>
        </c:ser>
        <c:dLbls>
          <c:dLblPos val="ctr"/>
          <c:showLegendKey val="0"/>
          <c:showVal val="1"/>
          <c:showCatName val="0"/>
          <c:showSerName val="0"/>
          <c:showPercent val="0"/>
          <c:showBubbleSize val="0"/>
        </c:dLbls>
        <c:gapWidth val="150"/>
        <c:overlap val="100"/>
        <c:axId val="1159298943"/>
        <c:axId val="1159300383"/>
      </c:barChart>
      <c:catAx>
        <c:axId val="115929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59300383"/>
        <c:crosses val="autoZero"/>
        <c:auto val="1"/>
        <c:lblAlgn val="ctr"/>
        <c:lblOffset val="100"/>
        <c:noMultiLvlLbl val="0"/>
      </c:catAx>
      <c:valAx>
        <c:axId val="1159300383"/>
        <c:scaling>
          <c:orientation val="minMax"/>
        </c:scaling>
        <c:delete val="1"/>
        <c:axPos val="l"/>
        <c:numFmt formatCode="0%" sourceLinked="1"/>
        <c:majorTickMark val="none"/>
        <c:minorTickMark val="none"/>
        <c:tickLblPos val="nextTo"/>
        <c:crossAx val="115929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percentStacked"/>
        <c:varyColors val="0"/>
        <c:ser>
          <c:idx val="0"/>
          <c:order val="0"/>
          <c:tx>
            <c:strRef>
              <c:f>'Analyse khi2'!$C$45</c:f>
              <c:strCache>
                <c:ptCount val="1"/>
                <c:pt idx="0">
                  <c:v>FAIBLE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 khi2'!$B$46:$B$51</c:f>
              <c:strCache>
                <c:ptCount val="6"/>
                <c:pt idx="0">
                  <c:v>AUTRE</c:v>
                </c:pt>
                <c:pt idx="1">
                  <c:v>COUNTRY</c:v>
                </c:pt>
                <c:pt idx="2">
                  <c:v>HIP HOP</c:v>
                </c:pt>
                <c:pt idx="3">
                  <c:v>POP</c:v>
                </c:pt>
                <c:pt idx="4">
                  <c:v>RAP</c:v>
                </c:pt>
                <c:pt idx="5">
                  <c:v>ROCK</c:v>
                </c:pt>
              </c:strCache>
            </c:strRef>
          </c:cat>
          <c:val>
            <c:numRef>
              <c:f>'Analyse khi2'!$C$46:$C$51</c:f>
              <c:numCache>
                <c:formatCode>General</c:formatCode>
                <c:ptCount val="6"/>
                <c:pt idx="0">
                  <c:v>239.23071979434448</c:v>
                </c:pt>
                <c:pt idx="1">
                  <c:v>6.2075835475578414</c:v>
                </c:pt>
                <c:pt idx="2">
                  <c:v>139.90938303341903</c:v>
                </c:pt>
                <c:pt idx="3">
                  <c:v>240.18573264781492</c:v>
                </c:pt>
                <c:pt idx="4">
                  <c:v>98.366323907455012</c:v>
                </c:pt>
                <c:pt idx="5">
                  <c:v>19.100257069408741</c:v>
                </c:pt>
              </c:numCache>
            </c:numRef>
          </c:val>
          <c:extLst>
            <c:ext xmlns:c16="http://schemas.microsoft.com/office/drawing/2014/chart" uri="{C3380CC4-5D6E-409C-BE32-E72D297353CC}">
              <c16:uniqueId val="{00000000-D39D-4A1F-BE6E-EC796B89DD30}"/>
            </c:ext>
          </c:extLst>
        </c:ser>
        <c:ser>
          <c:idx val="1"/>
          <c:order val="1"/>
          <c:tx>
            <c:strRef>
              <c:f>'Analyse khi2'!$D$45</c:f>
              <c:strCache>
                <c:ptCount val="1"/>
                <c:pt idx="0">
                  <c:v>FORTE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 khi2'!$B$46:$B$51</c:f>
              <c:strCache>
                <c:ptCount val="6"/>
                <c:pt idx="0">
                  <c:v>AUTRE</c:v>
                </c:pt>
                <c:pt idx="1">
                  <c:v>COUNTRY</c:v>
                </c:pt>
                <c:pt idx="2">
                  <c:v>HIP HOP</c:v>
                </c:pt>
                <c:pt idx="3">
                  <c:v>POP</c:v>
                </c:pt>
                <c:pt idx="4">
                  <c:v>RAP</c:v>
                </c:pt>
                <c:pt idx="5">
                  <c:v>ROCK</c:v>
                </c:pt>
              </c:strCache>
            </c:strRef>
          </c:cat>
          <c:val>
            <c:numRef>
              <c:f>'Analyse khi2'!$D$46:$D$51</c:f>
              <c:numCache>
                <c:formatCode>General</c:formatCode>
                <c:ptCount val="6"/>
                <c:pt idx="0">
                  <c:v>261.76928020565555</c:v>
                </c:pt>
                <c:pt idx="1">
                  <c:v>6.7924164524421595</c:v>
                </c:pt>
                <c:pt idx="2">
                  <c:v>153.090616966581</c:v>
                </c:pt>
                <c:pt idx="3">
                  <c:v>262.81426735218508</c:v>
                </c:pt>
                <c:pt idx="4">
                  <c:v>107.63367609254499</c:v>
                </c:pt>
                <c:pt idx="5">
                  <c:v>20.899742930591259</c:v>
                </c:pt>
              </c:numCache>
            </c:numRef>
          </c:val>
          <c:extLst>
            <c:ext xmlns:c16="http://schemas.microsoft.com/office/drawing/2014/chart" uri="{C3380CC4-5D6E-409C-BE32-E72D297353CC}">
              <c16:uniqueId val="{00000001-D39D-4A1F-BE6E-EC796B89DD30}"/>
            </c:ext>
          </c:extLst>
        </c:ser>
        <c:dLbls>
          <c:dLblPos val="ctr"/>
          <c:showLegendKey val="0"/>
          <c:showVal val="1"/>
          <c:showCatName val="0"/>
          <c:showSerName val="0"/>
          <c:showPercent val="0"/>
          <c:showBubbleSize val="0"/>
        </c:dLbls>
        <c:gapWidth val="150"/>
        <c:overlap val="100"/>
        <c:axId val="1159307583"/>
        <c:axId val="1159314303"/>
      </c:barChart>
      <c:catAx>
        <c:axId val="115930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59314303"/>
        <c:crosses val="autoZero"/>
        <c:auto val="1"/>
        <c:lblAlgn val="ctr"/>
        <c:lblOffset val="100"/>
        <c:noMultiLvlLbl val="0"/>
      </c:catAx>
      <c:valAx>
        <c:axId val="1159314303"/>
        <c:scaling>
          <c:orientation val="minMax"/>
        </c:scaling>
        <c:delete val="1"/>
        <c:axPos val="l"/>
        <c:numFmt formatCode="0%" sourceLinked="1"/>
        <c:majorTickMark val="none"/>
        <c:minorTickMark val="none"/>
        <c:tickLblPos val="nextTo"/>
        <c:crossAx val="11593075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Répartition des classements</cx:v>
        </cx:txData>
      </cx:tx>
      <cx:txPr>
        <a:bodyPr spcFirstLastPara="1" vertOverflow="ellipsis" horzOverflow="overflow" wrap="square" lIns="0" tIns="0" rIns="0" bIns="0" anchor="ctr" anchorCtr="1"/>
        <a:lstStyle/>
        <a:p>
          <a:pPr algn="ctr" rtl="0">
            <a:defRPr/>
          </a:pPr>
          <a:r>
            <a:rPr lang="fr-FR" sz="1400" b="0" i="0" u="none" strike="noStrike" baseline="0">
              <a:solidFill>
                <a:sysClr val="windowText" lastClr="000000">
                  <a:lumMod val="65000"/>
                  <a:lumOff val="35000"/>
                </a:sysClr>
              </a:solidFill>
              <a:latin typeface="Calibri" panose="020F0502020204030204"/>
            </a:rPr>
            <a:t>Répartition des classements</a:t>
          </a:r>
        </a:p>
      </cx:txPr>
    </cx:title>
    <cx:plotArea>
      <cx:plotAreaRegion>
        <cx:series layoutId="clusteredColumn" uniqueId="{40DB6585-88EC-414F-B725-B03A84ADF867}">
          <cx:tx>
            <cx:txData>
              <cx:f>_xlchart.v1.0</cx:f>
              <cx:v>Nombre d'apparitions dans les charts</cx:v>
            </cx:txData>
          </cx:tx>
          <cx:dataId val="0"/>
          <cx:layoutPr>
            <cx:binning intervalClosed="r">
              <cx:binSize val="2"/>
            </cx:binning>
          </cx:layoutPr>
        </cx:series>
      </cx:plotAreaRegion>
      <cx:axis id="0">
        <cx:catScaling gapWidth="0"/>
        <cx:title>
          <cx:tx>
            <cx:txData>
              <cx:v>Encadrement des positions</cx:v>
            </cx:txData>
          </cx:tx>
          <cx:txPr>
            <a:bodyPr spcFirstLastPara="1" vertOverflow="ellipsis" horzOverflow="overflow" wrap="square" lIns="0" tIns="0" rIns="0" bIns="0" anchor="ctr" anchorCtr="1"/>
            <a:lstStyle/>
            <a:p>
              <a:pPr algn="ctr" rtl="0">
                <a:defRPr/>
              </a:pPr>
              <a:r>
                <a:rPr lang="fr-FR" sz="900" b="0" i="0" u="none" strike="noStrike" baseline="0">
                  <a:solidFill>
                    <a:sysClr val="windowText" lastClr="000000">
                      <a:lumMod val="65000"/>
                      <a:lumOff val="35000"/>
                    </a:sysClr>
                  </a:solidFill>
                  <a:latin typeface="Calibri" panose="020F0502020204030204"/>
                </a:rPr>
                <a:t>Encadrement des positions</a:t>
              </a:r>
            </a:p>
          </cx:txPr>
        </cx:title>
        <cx:tickLabels/>
      </cx:axis>
      <cx:axis id="1">
        <cx:valScaling/>
        <cx:title>
          <cx:tx>
            <cx:txData>
              <cx:v>occurence</cx:v>
            </cx:txData>
          </cx:tx>
          <cx:txPr>
            <a:bodyPr spcFirstLastPara="1" vertOverflow="ellipsis" horzOverflow="overflow" wrap="square" lIns="0" tIns="0" rIns="0" bIns="0" anchor="ctr" anchorCtr="1"/>
            <a:lstStyle/>
            <a:p>
              <a:pPr algn="ctr" rtl="0">
                <a:defRPr/>
              </a:pPr>
              <a:r>
                <a:rPr lang="fr-FR" sz="900" b="0" i="0" u="none" strike="noStrike" baseline="0">
                  <a:solidFill>
                    <a:sysClr val="windowText" lastClr="000000">
                      <a:lumMod val="65000"/>
                      <a:lumOff val="35000"/>
                    </a:sysClr>
                  </a:solidFill>
                  <a:latin typeface="Calibri" panose="020F0502020204030204"/>
                </a:rPr>
                <a:t>occurence</a:t>
              </a:r>
            </a:p>
          </cx:txPr>
        </cx:title>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chartData>
  <cx:chart>
    <cx:plotArea>
      <cx:plotAreaRegion>
        <cx:series layoutId="clusteredColumn" uniqueId="{39F086C9-EA9D-4117-9B6C-9B5399A3744F}">
          <cx:tx>
            <cx:txData>
              <cx:f>_xlchart.v1.10</cx:f>
              <cx:v> Followers </cx:v>
            </cx:txData>
          </cx:tx>
          <cx:dataId val="0"/>
          <cx:layoutPr>
            <cx:binning intervalClosed="r">
              <cx:binCount val="50"/>
            </cx:binning>
          </cx:layoutPr>
        </cx:series>
      </cx:plotAreaRegion>
      <cx:axis id="0">
        <cx:catScaling gapWidth="0"/>
        <cx:tickLabels/>
      </cx:axis>
      <cx:axis id="1">
        <cx:valScaling/>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rich>
          <a:bodyPr spcFirstLastPara="1" vertOverflow="ellipsis" horzOverflow="overflow" wrap="square" lIns="0" tIns="0" rIns="0" bIns="0" anchor="ctr" anchorCtr="1"/>
          <a:lstStyle/>
          <a:p>
            <a:pPr algn="ctr" rtl="0">
              <a:defRPr/>
            </a:pPr>
            <a:r>
              <a:rPr lang="fr-FR" sz="1400" b="0" i="0" u="none" strike="noStrike" baseline="0">
                <a:solidFill>
                  <a:sysClr val="windowText" lastClr="000000">
                    <a:lumMod val="65000"/>
                    <a:lumOff val="35000"/>
                  </a:sysClr>
                </a:solidFill>
                <a:latin typeface="Calibri" panose="020F0502020204030204"/>
              </a:rPr>
              <a:t>Distribution de l'Energie</a:t>
            </a:r>
          </a:p>
          <a:p>
            <a:pPr algn="ctr" rtl="0">
              <a:defRPr/>
            </a:pPr>
            <a:endParaRPr lang="fr-FR" sz="1400" b="0" i="0" u="none" strike="noStrike" baseline="0">
              <a:solidFill>
                <a:sysClr val="windowText" lastClr="000000">
                  <a:lumMod val="65000"/>
                  <a:lumOff val="35000"/>
                </a:sysClr>
              </a:solidFill>
              <a:latin typeface="Calibri" panose="020F0502020204030204"/>
            </a:endParaRPr>
          </a:p>
        </cx:rich>
      </cx:tx>
    </cx:title>
    <cx:plotArea>
      <cx:plotAreaRegion>
        <cx:series layoutId="boxWhisker" uniqueId="{9282BDFE-C351-4E68-A38F-29E38747FB12}">
          <cx:tx>
            <cx:txData>
              <cx:f>_xlchart.v1.6</cx:f>
              <cx:v>Energie</cx:v>
            </cx:txData>
          </cx:tx>
          <cx:dataLabels>
            <cx:visibility seriesName="0" categoryName="0" value="1"/>
          </cx:dataLabels>
          <cx:dataId val="0"/>
          <cx:layoutPr>
            <cx:visibility meanLine="0" meanMarker="1" nonoutliers="0" outliers="1"/>
            <cx:statistics quartileMethod="exclusive"/>
          </cx:layoutPr>
        </cx:series>
      </cx:plotAreaRegion>
      <cx:axis id="0" hidden="1">
        <cx:catScaling gapWidth="1"/>
        <cx:tickLabels/>
      </cx:axis>
      <cx:axis id="1">
        <cx:valScaling/>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Distribution de l'Energie</cx:v>
        </cx:txData>
      </cx:tx>
      <cx:txPr>
        <a:bodyPr spcFirstLastPara="1" vertOverflow="ellipsis" horzOverflow="overflow" wrap="square" lIns="0" tIns="0" rIns="0" bIns="0" anchor="ctr" anchorCtr="1"/>
        <a:lstStyle/>
        <a:p>
          <a:pPr algn="ctr" rtl="0">
            <a:defRPr/>
          </a:pPr>
          <a:r>
            <a:rPr lang="fr-FR" sz="1400" b="0" i="0" u="none" strike="noStrike" baseline="0">
              <a:solidFill>
                <a:sysClr val="windowText" lastClr="000000">
                  <a:lumMod val="65000"/>
                  <a:lumOff val="35000"/>
                </a:sysClr>
              </a:solidFill>
              <a:latin typeface="Calibri" panose="020F0502020204030204"/>
            </a:rPr>
            <a:t>Distribution de l'Energie</a:t>
          </a:r>
        </a:p>
      </cx:txPr>
    </cx:title>
    <cx:plotArea>
      <cx:plotAreaRegion>
        <cx:series layoutId="clusteredColumn" uniqueId="{D8D56F33-B574-4290-A22B-2B1F37C445AE}">
          <cx:tx>
            <cx:txData>
              <cx:f>_xlchart.v1.8</cx:f>
              <cx:v>Energie</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data id="1">
      <cx:numDim type="val">
        <cx:f>_xlchart.v1.15</cx:f>
      </cx:numDim>
    </cx:data>
    <cx:data id="2">
      <cx:numDim type="val">
        <cx:f>_xlchart.v1.17</cx:f>
      </cx:numDim>
    </cx:data>
    <cx:data id="3">
      <cx:numDim type="val">
        <cx:f>_xlchart.v1.19</cx:f>
      </cx:numDim>
    </cx:data>
    <cx:data id="4">
      <cx:numDim type="val">
        <cx:f>_xlchart.v1.21</cx:f>
      </cx:numDim>
    </cx:data>
    <cx:data id="5">
      <cx:numDim type="val">
        <cx:f>_xlchart.v1.23</cx:f>
      </cx:numDim>
    </cx:data>
  </cx:chartData>
  <cx:chart>
    <cx:title pos="t" align="ctr" overlay="0">
      <cx:tx>
        <cx:txData>
          <cx:v>Distribution des facteurs principaux</cx:v>
        </cx:txData>
      </cx:tx>
      <cx:txPr>
        <a:bodyPr spcFirstLastPara="1" vertOverflow="ellipsis" horzOverflow="overflow" wrap="square" lIns="0" tIns="0" rIns="0" bIns="0" anchor="ctr" anchorCtr="1"/>
        <a:lstStyle/>
        <a:p>
          <a:pPr algn="ctr" rtl="0">
            <a:defRPr/>
          </a:pPr>
          <a:r>
            <a:rPr lang="fr-FR" sz="1400" b="0" i="0" u="none" strike="noStrike" baseline="0">
              <a:solidFill>
                <a:sysClr val="windowText" lastClr="000000">
                  <a:lumMod val="65000"/>
                  <a:lumOff val="35000"/>
                </a:sysClr>
              </a:solidFill>
              <a:latin typeface="Calibri" panose="020F0502020204030204"/>
            </a:rPr>
            <a:t>Distribution des facteurs principaux</a:t>
          </a:r>
        </a:p>
      </cx:txPr>
    </cx:title>
    <cx:plotArea>
      <cx:plotAreaRegion>
        <cx:series layoutId="boxWhisker" uniqueId="{39D66F2B-E648-4244-AE8E-B69DFCF4ED85}">
          <cx:tx>
            <cx:txData>
              <cx:f>_xlchart.v1.12</cx:f>
              <cx:v>Dansabilité</cx:v>
            </cx:txData>
          </cx:tx>
          <cx:dataId val="0"/>
          <cx:layoutPr>
            <cx:visibility meanLine="0" meanMarker="1" nonoutliers="0" outliers="1"/>
            <cx:statistics quartileMethod="exclusive"/>
          </cx:layoutPr>
        </cx:series>
        <cx:series layoutId="boxWhisker" uniqueId="{25C6E5F4-150D-4AFF-A21F-97C33CDDBDEC}">
          <cx:tx>
            <cx:txData>
              <cx:f>_xlchart.v1.14</cx:f>
              <cx:v>Energie</cx:v>
            </cx:txData>
          </cx:tx>
          <cx:dataId val="1"/>
          <cx:layoutPr>
            <cx:visibility meanLine="0" meanMarker="1" nonoutliers="0" outliers="1"/>
            <cx:statistics quartileMethod="exclusive"/>
          </cx:layoutPr>
        </cx:series>
        <cx:series layoutId="boxWhisker" uniqueId="{81D9323A-5684-4406-B849-0AA39CBA5063}">
          <cx:tx>
            <cx:txData>
              <cx:f>_xlchart.v1.16</cx:f>
              <cx:v>Paroles</cx:v>
            </cx:txData>
          </cx:tx>
          <cx:dataId val="2"/>
          <cx:layoutPr>
            <cx:visibility meanLine="0" meanMarker="1" nonoutliers="0" outliers="1"/>
            <cx:statistics quartileMethod="exclusive"/>
          </cx:layoutPr>
        </cx:series>
        <cx:series layoutId="boxWhisker" uniqueId="{86DCF6F7-4C44-4B7F-A438-DA86AED8321B}">
          <cx:tx>
            <cx:txData>
              <cx:f>_xlchart.v1.18</cx:f>
              <cx:v>Acousticité</cx:v>
            </cx:txData>
          </cx:tx>
          <cx:dataId val="3"/>
          <cx:layoutPr>
            <cx:visibility meanLine="0" meanMarker="1" nonoutliers="0" outliers="1"/>
            <cx:statistics quartileMethod="exclusive"/>
          </cx:layoutPr>
        </cx:series>
        <cx:series layoutId="boxWhisker" uniqueId="{9C3BE63D-26B5-4F82-A523-DDAB3DEF9D80}">
          <cx:tx>
            <cx:txData>
              <cx:f>_xlchart.v1.20</cx:f>
              <cx:v>Concert</cx:v>
            </cx:txData>
          </cx:tx>
          <cx:dataId val="4"/>
          <cx:layoutPr>
            <cx:visibility meanLine="0" meanMarker="1" nonoutliers="0" outliers="1"/>
            <cx:statistics quartileMethod="exclusive"/>
          </cx:layoutPr>
        </cx:series>
        <cx:series layoutId="boxWhisker" uniqueId="{2BEEFD0B-95F9-4AC8-BC7C-FA00E09CC4AB}">
          <cx:tx>
            <cx:txData>
              <cx:f>_xlchart.v1.22</cx:f>
              <cx:v>Positivité</cx:v>
            </cx:txData>
          </cx:tx>
          <cx:dataId val="5"/>
          <cx:layoutPr>
            <cx:visibility meanLine="0" meanMarker="1" nonoutliers="0" outliers="1"/>
            <cx:statistics quartileMethod="exclusive"/>
          </cx:layoutPr>
        </cx:series>
      </cx:plotAreaRegion>
      <cx:axis id="0" hidden="1">
        <cx:catScaling gapWidth="1"/>
        <cx:tickLabels/>
      </cx:axis>
      <cx:axis id="1">
        <cx:valScaling/>
        <cx:majorGridlines/>
        <cx:tickLabels/>
      </cx:axis>
    </cx:plotArea>
    <cx:legend pos="t" align="ctr" overlay="0"/>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plotArea>
      <cx:plotAreaRegion>
        <cx:series layoutId="boxWhisker" uniqueId="{1C6B26B9-B9AC-4C88-BBB7-E9C2C571BE97}">
          <cx:tx>
            <cx:txData>
              <cx:f>_xlchart.v1.4</cx:f>
              <cx:v>Position la plus élevée dans les charts</cx:v>
            </cx:txData>
          </cx:tx>
          <cx:dataLabels>
            <cx:visibility seriesName="0" categoryName="0" value="1"/>
          </cx:dataLabels>
          <cx:dataId val="0"/>
          <cx:layoutPr>
            <cx:visibility meanLine="0" meanMarker="1" nonoutliers="0" outliers="1"/>
            <cx:statistics quartileMethod="exclusive"/>
          </cx:layoutPr>
        </cx:series>
      </cx:plotAreaRegion>
      <cx:axis id="0" hidden="1">
        <cx:catScaling gapWidth="1"/>
        <cx:tickLabels/>
      </cx:axis>
      <cx:axis id="1">
        <cx:valScaling/>
        <cx:majorGridlines/>
        <cx:tickLabels/>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Distribution des positions dans les charts</cx:v>
        </cx:txData>
      </cx:tx>
      <cx:txPr>
        <a:bodyPr spcFirstLastPara="1" vertOverflow="ellipsis" horzOverflow="overflow" wrap="square" lIns="0" tIns="0" rIns="0" bIns="0" anchor="ctr" anchorCtr="1"/>
        <a:lstStyle/>
        <a:p>
          <a:pPr algn="ctr" rtl="0">
            <a:defRPr/>
          </a:pPr>
          <a:r>
            <a:rPr lang="fr-FR" sz="1400" b="0" i="0" u="none" strike="noStrike" baseline="0">
              <a:solidFill>
                <a:sysClr val="windowText" lastClr="000000">
                  <a:lumMod val="65000"/>
                  <a:lumOff val="35000"/>
                </a:sysClr>
              </a:solidFill>
              <a:latin typeface="Calibri" panose="020F0502020204030204"/>
            </a:rPr>
            <a:t>Distribution des positions dans les charts</a:t>
          </a:r>
        </a:p>
      </cx:txPr>
    </cx:title>
    <cx:plotArea>
      <cx:plotAreaRegion>
        <cx:series layoutId="clusteredColumn" uniqueId="{0ABC605D-CBED-47C9-9998-FA069939FA3C}">
          <cx:tx>
            <cx:txData>
              <cx:f>_xlchart.v1.2</cx:f>
              <cx:v>Position la plus élevée dans les charts</cx:v>
            </cx:txData>
          </cx:tx>
          <cx:dataId val="0"/>
          <cx:layoutPr>
            <cx:binning intervalClosed="r">
              <cx:binSize val="2"/>
            </cx:binning>
          </cx:layoutPr>
        </cx:series>
      </cx:plotAreaRegion>
      <cx:axis id="0">
        <cx:catScaling gapWidth="0"/>
        <cx:tickLabels/>
      </cx:axis>
      <cx:axis id="1">
        <cx:valScaling/>
        <cx:majorGridlines/>
        <cx:tickLabels/>
      </cx:axis>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_xlchart.v1.30</cx:f>
      </cx:strDim>
      <cx:numDim type="val">
        <cx:f>_xlchart.v1.32</cx:f>
      </cx:numDim>
    </cx:data>
  </cx:chartData>
  <cx:chart>
    <cx:title pos="t" align="ctr" overlay="0">
      <cx:tx>
        <cx:txData>
          <cx:v>Genre de musique en fonction de leurs volume de paroles</cx:v>
        </cx:txData>
      </cx:tx>
      <cx:txPr>
        <a:bodyPr spcFirstLastPara="1" vertOverflow="ellipsis" horzOverflow="overflow" wrap="square" lIns="0" tIns="0" rIns="0" bIns="0" anchor="ctr" anchorCtr="1"/>
        <a:lstStyle/>
        <a:p>
          <a:pPr algn="ctr" rtl="0">
            <a:defRPr/>
          </a:pPr>
          <a:r>
            <a:rPr lang="fr-FR" sz="1400" b="0" i="0" u="none" strike="noStrike" baseline="0">
              <a:solidFill>
                <a:sysClr val="windowText" lastClr="000000">
                  <a:lumMod val="65000"/>
                  <a:lumOff val="35000"/>
                </a:sysClr>
              </a:solidFill>
              <a:latin typeface="Calibri" panose="020F0502020204030204"/>
            </a:rPr>
            <a:t>Genre de musique en fonction de leurs volume de paroles</a:t>
          </a:r>
        </a:p>
      </cx:txPr>
    </cx:title>
    <cx:plotArea>
      <cx:plotAreaRegion>
        <cx:series layoutId="boxWhisker" uniqueId="{AAAF434B-6133-4DB2-882D-11BAD9F3933D}">
          <cx:tx>
            <cx:txData>
              <cx:f>_xlchart.v1.31</cx:f>
              <cx:v>Paroles</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strDim type="cat">
        <cx:f>_xlchart.v1.24</cx:f>
      </cx:strDim>
      <cx:numDim type="val">
        <cx:f>_xlchart.v1.26</cx:f>
      </cx:numDim>
    </cx:data>
  </cx:chartData>
  <cx:chart>
    <cx:title pos="t" align="ctr" overlay="0">
      <cx:tx>
        <cx:txData>
          <cx:v>Followers par genre de musique</cx:v>
        </cx:txData>
      </cx:tx>
      <cx:txPr>
        <a:bodyPr spcFirstLastPara="1" vertOverflow="ellipsis" horzOverflow="overflow" wrap="square" lIns="0" tIns="0" rIns="0" bIns="0" anchor="ctr" anchorCtr="1"/>
        <a:lstStyle/>
        <a:p>
          <a:pPr algn="ctr" rtl="0">
            <a:defRPr/>
          </a:pPr>
          <a:r>
            <a:rPr lang="fr-FR" sz="1400" b="0" i="0" u="none" strike="noStrike" baseline="0">
              <a:solidFill>
                <a:sysClr val="windowText" lastClr="000000">
                  <a:lumMod val="65000"/>
                  <a:lumOff val="35000"/>
                </a:sysClr>
              </a:solidFill>
              <a:latin typeface="Calibri" panose="020F0502020204030204"/>
            </a:rPr>
            <a:t>Followers par genre de musique</a:t>
          </a:r>
        </a:p>
      </cx:txPr>
    </cx:title>
    <cx:plotArea>
      <cx:plotAreaRegion>
        <cx:series layoutId="boxWhisker" uniqueId="{70D94E73-6DF3-488B-AE7D-4D99268498A0}">
          <cx:tx>
            <cx:txData>
              <cx:f>_xlchart.v1.25</cx:f>
              <cx:v> Followers </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strDim type="cat">
        <cx:f>_xlchart.v1.33</cx:f>
      </cx:strDim>
      <cx:numDim type="val">
        <cx:f>_xlchart.v1.35</cx:f>
      </cx:numDim>
    </cx:data>
  </cx:chartData>
  <cx:chart>
    <cx:title pos="t" align="ctr" overlay="0">
      <cx:tx>
        <cx:rich>
          <a:bodyPr spcFirstLastPara="1" vertOverflow="ellipsis" horzOverflow="overflow" wrap="square" lIns="0" tIns="0" rIns="0" bIns="0" anchor="ctr" anchorCtr="1"/>
          <a:lstStyle/>
          <a:p>
            <a:pPr algn="ctr" rtl="0">
              <a:defRPr/>
            </a:pPr>
            <a:r>
              <a:rPr lang="fr-FR" sz="1400" b="0" i="0" u="none" strike="noStrike" baseline="0">
                <a:solidFill>
                  <a:sysClr val="windowText" lastClr="000000">
                    <a:lumMod val="65000"/>
                    <a:lumOff val="35000"/>
                  </a:sysClr>
                </a:solidFill>
                <a:latin typeface="Calibri" panose="020F0502020204030204"/>
              </a:rPr>
              <a:t>Volume d'écoutes par genre de musique</a:t>
            </a:r>
          </a:p>
          <a:p>
            <a:pPr algn="ctr" rtl="0">
              <a:defRPr/>
            </a:pPr>
            <a:endParaRPr lang="fr-FR" sz="1400" b="0" i="0" u="none" strike="noStrike" baseline="0">
              <a:solidFill>
                <a:sysClr val="windowText" lastClr="000000">
                  <a:lumMod val="65000"/>
                  <a:lumOff val="35000"/>
                </a:sysClr>
              </a:solidFill>
              <a:latin typeface="Calibri" panose="020F0502020204030204"/>
            </a:endParaRPr>
          </a:p>
        </cx:rich>
      </cx:tx>
    </cx:title>
    <cx:plotArea>
      <cx:plotAreaRegion>
        <cx:series layoutId="boxWhisker" uniqueId="{FA25FBE0-E87E-4BC8-8CD2-64CF75FACAC9}">
          <cx:tx>
            <cx:txData>
              <cx:f>_xlchart.v1.34</cx:f>
              <cx:v>Ecoutes</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11.xml><?xml version="1.0" encoding="utf-8"?>
<cx:chartSpace xmlns:a="http://schemas.openxmlformats.org/drawingml/2006/main" xmlns:r="http://schemas.openxmlformats.org/officeDocument/2006/relationships" xmlns:cx="http://schemas.microsoft.com/office/drawing/2014/chartex">
  <cx:chartData>
    <cx:data id="0">
      <cx:strDim type="cat">
        <cx:f>_xlchart.v1.27</cx:f>
      </cx:strDim>
      <cx:numDim type="val">
        <cx:f>_xlchart.v1.29</cx:f>
      </cx:numDim>
    </cx:data>
  </cx:chartData>
  <cx:chart>
    <cx:plotArea>
      <cx:plotAreaRegion>
        <cx:series layoutId="boxWhisker" uniqueId="{E5CEF80F-B867-4839-979B-AF87E4D9AA12}">
          <cx:tx>
            <cx:txData>
              <cx:f>_xlchart.v1.28</cx:f>
              <cx:v>Acousticité</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3.xml"/><Relationship Id="rId7" Type="http://schemas.microsoft.com/office/2014/relationships/chartEx" Target="../charts/chartEx7.xml"/><Relationship Id="rId2" Type="http://schemas.microsoft.com/office/2014/relationships/chartEx" Target="../charts/chartEx2.xml"/><Relationship Id="rId1" Type="http://schemas.microsoft.com/office/2014/relationships/chartEx" Target="../charts/chartEx1.xml"/><Relationship Id="rId6" Type="http://schemas.microsoft.com/office/2014/relationships/chartEx" Target="../charts/chartEx6.xml"/><Relationship Id="rId5" Type="http://schemas.microsoft.com/office/2014/relationships/chartEx" Target="../charts/chartEx5.xml"/><Relationship Id="rId4" Type="http://schemas.microsoft.com/office/2014/relationships/chartEx" Target="../charts/chartEx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microsoft.com/office/2014/relationships/chartEx" Target="../charts/chartEx10.xml"/><Relationship Id="rId2" Type="http://schemas.microsoft.com/office/2014/relationships/chartEx" Target="../charts/chartEx9.xml"/><Relationship Id="rId1" Type="http://schemas.microsoft.com/office/2014/relationships/chartEx" Target="../charts/chartEx8.xml"/><Relationship Id="rId4" Type="http://schemas.microsoft.com/office/2014/relationships/chartEx" Target="../charts/chartEx1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0</xdr:colOff>
      <xdr:row>35</xdr:row>
      <xdr:rowOff>43962</xdr:rowOff>
    </xdr:from>
    <xdr:to>
      <xdr:col>3</xdr:col>
      <xdr:colOff>21981</xdr:colOff>
      <xdr:row>50</xdr:row>
      <xdr:rowOff>164123</xdr:rowOff>
    </xdr:to>
    <mc:AlternateContent xmlns:mc="http://schemas.openxmlformats.org/markup-compatibility/2006">
      <mc:Choice xmlns:cx1="http://schemas.microsoft.com/office/drawing/2015/9/8/chartex" Requires="cx1">
        <xdr:graphicFrame macro="">
          <xdr:nvGraphicFramePr>
            <xdr:cNvPr id="6" name="Graphique 5">
              <a:extLst>
                <a:ext uri="{FF2B5EF4-FFF2-40B4-BE49-F238E27FC236}">
                  <a16:creationId xmlns:a16="http://schemas.microsoft.com/office/drawing/2014/main" id="{EFCCB460-812D-4F42-815C-514A54D7CF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9575" y="7035312"/>
              <a:ext cx="6108456" cy="3168161"/>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0</xdr:col>
      <xdr:colOff>417635</xdr:colOff>
      <xdr:row>58</xdr:row>
      <xdr:rowOff>51289</xdr:rowOff>
    </xdr:from>
    <xdr:to>
      <xdr:col>4</xdr:col>
      <xdr:colOff>14655</xdr:colOff>
      <xdr:row>73</xdr:row>
      <xdr:rowOff>46893</xdr:rowOff>
    </xdr:to>
    <mc:AlternateContent xmlns:mc="http://schemas.openxmlformats.org/markup-compatibility/2006">
      <mc:Choice xmlns:cx1="http://schemas.microsoft.com/office/drawing/2015/9/8/chartex" Requires="cx1">
        <xdr:graphicFrame macro="">
          <xdr:nvGraphicFramePr>
            <xdr:cNvPr id="8" name="Graphique 7">
              <a:extLst>
                <a:ext uri="{FF2B5EF4-FFF2-40B4-BE49-F238E27FC236}">
                  <a16:creationId xmlns:a16="http://schemas.microsoft.com/office/drawing/2014/main" id="{8ED1CDC4-AF21-4DA6-BFF1-ECE6F3038F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08110" y="11852764"/>
              <a:ext cx="7397995" cy="2853104"/>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1</xdr:col>
      <xdr:colOff>307731</xdr:colOff>
      <xdr:row>82</xdr:row>
      <xdr:rowOff>80596</xdr:rowOff>
    </xdr:from>
    <xdr:to>
      <xdr:col>3</xdr:col>
      <xdr:colOff>1194288</xdr:colOff>
      <xdr:row>98</xdr:row>
      <xdr:rowOff>21981</xdr:rowOff>
    </xdr:to>
    <mc:AlternateContent xmlns:mc="http://schemas.openxmlformats.org/markup-compatibility/2006">
      <mc:Choice xmlns:cx1="http://schemas.microsoft.com/office/drawing/2015/9/8/chartex" Requires="cx1">
        <xdr:graphicFrame macro="">
          <xdr:nvGraphicFramePr>
            <xdr:cNvPr id="9" name="Graphique 8">
              <a:extLst>
                <a:ext uri="{FF2B5EF4-FFF2-40B4-BE49-F238E27FC236}">
                  <a16:creationId xmlns:a16="http://schemas.microsoft.com/office/drawing/2014/main" id="{A3968059-C81F-496E-B34B-6A43C8F6E1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17306" y="16454071"/>
              <a:ext cx="6973032" cy="2989385"/>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4</xdr:col>
      <xdr:colOff>43961</xdr:colOff>
      <xdr:row>82</xdr:row>
      <xdr:rowOff>95250</xdr:rowOff>
    </xdr:from>
    <xdr:to>
      <xdr:col>9</xdr:col>
      <xdr:colOff>571499</xdr:colOff>
      <xdr:row>97</xdr:row>
      <xdr:rowOff>90854</xdr:rowOff>
    </xdr:to>
    <mc:AlternateContent xmlns:mc="http://schemas.openxmlformats.org/markup-compatibility/2006">
      <mc:Choice xmlns:cx1="http://schemas.microsoft.com/office/drawing/2015/9/8/chartex" Requires="cx1">
        <xdr:graphicFrame macro="">
          <xdr:nvGraphicFramePr>
            <xdr:cNvPr id="10" name="Graphique 9">
              <a:extLst>
                <a:ext uri="{FF2B5EF4-FFF2-40B4-BE49-F238E27FC236}">
                  <a16:creationId xmlns:a16="http://schemas.microsoft.com/office/drawing/2014/main" id="{E55B76AF-DEE3-428E-A8BC-A18F282A12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835411" y="16468725"/>
              <a:ext cx="4423263" cy="2853104"/>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1</xdr:col>
      <xdr:colOff>14654</xdr:colOff>
      <xdr:row>116</xdr:row>
      <xdr:rowOff>80595</xdr:rowOff>
    </xdr:from>
    <xdr:to>
      <xdr:col>4</xdr:col>
      <xdr:colOff>300404</xdr:colOff>
      <xdr:row>131</xdr:row>
      <xdr:rowOff>131885</xdr:rowOff>
    </xdr:to>
    <mc:AlternateContent xmlns:mc="http://schemas.openxmlformats.org/markup-compatibility/2006">
      <mc:Choice xmlns:cx1="http://schemas.microsoft.com/office/drawing/2015/9/8/chartex" Requires="cx1">
        <xdr:graphicFrame macro="">
          <xdr:nvGraphicFramePr>
            <xdr:cNvPr id="11" name="Graphique 10">
              <a:extLst>
                <a:ext uri="{FF2B5EF4-FFF2-40B4-BE49-F238E27FC236}">
                  <a16:creationId xmlns:a16="http://schemas.microsoft.com/office/drawing/2014/main" id="{D224BB41-C957-4856-8D35-246924C151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24229" y="22931070"/>
              <a:ext cx="7667625" cy="349934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3</xdr:col>
      <xdr:colOff>1040422</xdr:colOff>
      <xdr:row>146</xdr:row>
      <xdr:rowOff>95250</xdr:rowOff>
    </xdr:from>
    <xdr:to>
      <xdr:col>9</xdr:col>
      <xdr:colOff>241787</xdr:colOff>
      <xdr:row>161</xdr:row>
      <xdr:rowOff>90854</xdr:rowOff>
    </xdr:to>
    <mc:AlternateContent xmlns:mc="http://schemas.openxmlformats.org/markup-compatibility/2006">
      <mc:Choice xmlns:cx1="http://schemas.microsoft.com/office/drawing/2015/9/8/chartex" Requires="cx1">
        <xdr:graphicFrame macro="">
          <xdr:nvGraphicFramePr>
            <xdr:cNvPr id="12" name="Graphique 11">
              <a:extLst>
                <a:ext uri="{FF2B5EF4-FFF2-40B4-BE49-F238E27FC236}">
                  <a16:creationId xmlns:a16="http://schemas.microsoft.com/office/drawing/2014/main" id="{F4CFC9E2-DB10-4D9C-8D67-5F082C15AB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536472" y="29251275"/>
              <a:ext cx="4392490" cy="2853104"/>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1</xdr:col>
      <xdr:colOff>468924</xdr:colOff>
      <xdr:row>146</xdr:row>
      <xdr:rowOff>139211</xdr:rowOff>
    </xdr:from>
    <xdr:to>
      <xdr:col>1</xdr:col>
      <xdr:colOff>5040924</xdr:colOff>
      <xdr:row>161</xdr:row>
      <xdr:rowOff>134815</xdr:rowOff>
    </xdr:to>
    <mc:AlternateContent xmlns:mc="http://schemas.openxmlformats.org/markup-compatibility/2006">
      <mc:Choice xmlns:cx1="http://schemas.microsoft.com/office/drawing/2015/9/8/chartex" Requires="cx1">
        <xdr:graphicFrame macro="">
          <xdr:nvGraphicFramePr>
            <xdr:cNvPr id="13" name="Graphique 12">
              <a:extLst>
                <a:ext uri="{FF2B5EF4-FFF2-40B4-BE49-F238E27FC236}">
                  <a16:creationId xmlns:a16="http://schemas.microsoft.com/office/drawing/2014/main" id="{6E7E3AE0-063A-4DAA-9D3A-B7F5D59FA7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78499" y="29295236"/>
              <a:ext cx="4572000" cy="2853104"/>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480060</xdr:colOff>
      <xdr:row>28</xdr:row>
      <xdr:rowOff>133350</xdr:rowOff>
    </xdr:from>
    <xdr:to>
      <xdr:col>9</xdr:col>
      <xdr:colOff>76200</xdr:colOff>
      <xdr:row>43</xdr:row>
      <xdr:rowOff>102870</xdr:rowOff>
    </xdr:to>
    <xdr:graphicFrame macro="">
      <xdr:nvGraphicFramePr>
        <xdr:cNvPr id="4" name="Graphique 3">
          <a:extLst>
            <a:ext uri="{FF2B5EF4-FFF2-40B4-BE49-F238E27FC236}">
              <a16:creationId xmlns:a16="http://schemas.microsoft.com/office/drawing/2014/main" id="{8D1B5BD7-9E26-AE2A-7343-10EF43884B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91440</xdr:colOff>
      <xdr:row>3</xdr:row>
      <xdr:rowOff>106680</xdr:rowOff>
    </xdr:from>
    <xdr:to>
      <xdr:col>6</xdr:col>
      <xdr:colOff>594360</xdr:colOff>
      <xdr:row>18</xdr:row>
      <xdr:rowOff>106680</xdr:rowOff>
    </xdr:to>
    <xdr:graphicFrame macro="">
      <xdr:nvGraphicFramePr>
        <xdr:cNvPr id="5" name="Graphique 4">
          <a:extLst>
            <a:ext uri="{FF2B5EF4-FFF2-40B4-BE49-F238E27FC236}">
              <a16:creationId xmlns:a16="http://schemas.microsoft.com/office/drawing/2014/main" id="{BA3F5741-6FDF-4D26-83D5-E45C29BBA7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23</xdr:row>
      <xdr:rowOff>0</xdr:rowOff>
    </xdr:from>
    <xdr:to>
      <xdr:col>6</xdr:col>
      <xdr:colOff>502920</xdr:colOff>
      <xdr:row>37</xdr:row>
      <xdr:rowOff>7620</xdr:rowOff>
    </xdr:to>
    <xdr:graphicFrame macro="">
      <xdr:nvGraphicFramePr>
        <xdr:cNvPr id="6" name="Graphique 5">
          <a:extLst>
            <a:ext uri="{FF2B5EF4-FFF2-40B4-BE49-F238E27FC236}">
              <a16:creationId xmlns:a16="http://schemas.microsoft.com/office/drawing/2014/main" id="{87E886FD-AA45-41E0-B128-1BE5B90C6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42</xdr:row>
      <xdr:rowOff>0</xdr:rowOff>
    </xdr:from>
    <xdr:to>
      <xdr:col>6</xdr:col>
      <xdr:colOff>502920</xdr:colOff>
      <xdr:row>58</xdr:row>
      <xdr:rowOff>30480</xdr:rowOff>
    </xdr:to>
    <xdr:graphicFrame macro="">
      <xdr:nvGraphicFramePr>
        <xdr:cNvPr id="7" name="Graphique 6">
          <a:extLst>
            <a:ext uri="{FF2B5EF4-FFF2-40B4-BE49-F238E27FC236}">
              <a16:creationId xmlns:a16="http://schemas.microsoft.com/office/drawing/2014/main" id="{FB8A7578-7995-478C-85EB-502AF9835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2</xdr:row>
      <xdr:rowOff>0</xdr:rowOff>
    </xdr:from>
    <xdr:to>
      <xdr:col>6</xdr:col>
      <xdr:colOff>609600</xdr:colOff>
      <xdr:row>17</xdr:row>
      <xdr:rowOff>0</xdr:rowOff>
    </xdr:to>
    <mc:AlternateContent xmlns:mc="http://schemas.openxmlformats.org/markup-compatibility/2006">
      <mc:Choice xmlns:cx1="http://schemas.microsoft.com/office/drawing/2015/9/8/chartex" Requires="cx1">
        <xdr:graphicFrame macro="">
          <xdr:nvGraphicFramePr>
            <xdr:cNvPr id="5" name="Graphique 4">
              <a:extLst>
                <a:ext uri="{FF2B5EF4-FFF2-40B4-BE49-F238E27FC236}">
                  <a16:creationId xmlns:a16="http://schemas.microsoft.com/office/drawing/2014/main" id="{E7C93A44-CD1C-4A98-83D6-491BC45230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7200" y="457200"/>
              <a:ext cx="4419600" cy="285750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1</xdr:col>
      <xdr:colOff>0</xdr:colOff>
      <xdr:row>24</xdr:row>
      <xdr:rowOff>0</xdr:rowOff>
    </xdr:from>
    <xdr:to>
      <xdr:col>6</xdr:col>
      <xdr:colOff>609600</xdr:colOff>
      <xdr:row>40</xdr:row>
      <xdr:rowOff>0</xdr:rowOff>
    </xdr:to>
    <mc:AlternateContent xmlns:mc="http://schemas.openxmlformats.org/markup-compatibility/2006">
      <mc:Choice xmlns:cx1="http://schemas.microsoft.com/office/drawing/2015/9/8/chartex" Requires="cx1">
        <xdr:graphicFrame macro="">
          <xdr:nvGraphicFramePr>
            <xdr:cNvPr id="6" name="Graphique 5">
              <a:extLst>
                <a:ext uri="{FF2B5EF4-FFF2-40B4-BE49-F238E27FC236}">
                  <a16:creationId xmlns:a16="http://schemas.microsoft.com/office/drawing/2014/main" id="{1269B525-D29D-4A45-A66E-712744B69F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57200" y="4724400"/>
              <a:ext cx="4419600" cy="304800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1</xdr:col>
      <xdr:colOff>0</xdr:colOff>
      <xdr:row>45</xdr:row>
      <xdr:rowOff>0</xdr:rowOff>
    </xdr:from>
    <xdr:to>
      <xdr:col>6</xdr:col>
      <xdr:colOff>758825</xdr:colOff>
      <xdr:row>61</xdr:row>
      <xdr:rowOff>28575</xdr:rowOff>
    </xdr:to>
    <mc:AlternateContent xmlns:mc="http://schemas.openxmlformats.org/markup-compatibility/2006">
      <mc:Choice xmlns:cx1="http://schemas.microsoft.com/office/drawing/2015/9/8/chartex" Requires="cx1">
        <xdr:graphicFrame macro="">
          <xdr:nvGraphicFramePr>
            <xdr:cNvPr id="2" name="Graphique 1">
              <a:extLst>
                <a:ext uri="{FF2B5EF4-FFF2-40B4-BE49-F238E27FC236}">
                  <a16:creationId xmlns:a16="http://schemas.microsoft.com/office/drawing/2014/main" id="{28914E72-DA7E-48E9-BC56-551ECB69AF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57200" y="8801100"/>
              <a:ext cx="4568825" cy="3076575"/>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1</xdr:col>
      <xdr:colOff>0</xdr:colOff>
      <xdr:row>66</xdr:row>
      <xdr:rowOff>0</xdr:rowOff>
    </xdr:from>
    <xdr:to>
      <xdr:col>7</xdr:col>
      <xdr:colOff>3175</xdr:colOff>
      <xdr:row>81</xdr:row>
      <xdr:rowOff>28575</xdr:rowOff>
    </xdr:to>
    <mc:AlternateContent xmlns:mc="http://schemas.openxmlformats.org/markup-compatibility/2006">
      <mc:Choice xmlns:cx1="http://schemas.microsoft.com/office/drawing/2015/9/8/chartex" Requires="cx1">
        <xdr:graphicFrame macro="">
          <xdr:nvGraphicFramePr>
            <xdr:cNvPr id="3" name="Graphique 2">
              <a:extLst>
                <a:ext uri="{FF2B5EF4-FFF2-40B4-BE49-F238E27FC236}">
                  <a16:creationId xmlns:a16="http://schemas.microsoft.com/office/drawing/2014/main" id="{85A55AFE-D910-4F93-9663-1A724074CB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57200" y="12877800"/>
              <a:ext cx="4575175" cy="2886075"/>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8</xdr:col>
      <xdr:colOff>109537</xdr:colOff>
      <xdr:row>1</xdr:row>
      <xdr:rowOff>119062</xdr:rowOff>
    </xdr:from>
    <xdr:to>
      <xdr:col>14</xdr:col>
      <xdr:colOff>109537</xdr:colOff>
      <xdr:row>16</xdr:row>
      <xdr:rowOff>4762</xdr:rowOff>
    </xdr:to>
    <xdr:graphicFrame macro="">
      <xdr:nvGraphicFramePr>
        <xdr:cNvPr id="2" name="Graphique 1">
          <a:extLst>
            <a:ext uri="{FF2B5EF4-FFF2-40B4-BE49-F238E27FC236}">
              <a16:creationId xmlns:a16="http://schemas.microsoft.com/office/drawing/2014/main" id="{F081B3C6-6B45-9111-5B83-2ED18E403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100011</xdr:colOff>
      <xdr:row>16</xdr:row>
      <xdr:rowOff>0</xdr:rowOff>
    </xdr:from>
    <xdr:to>
      <xdr:col>14</xdr:col>
      <xdr:colOff>571500</xdr:colOff>
      <xdr:row>30</xdr:row>
      <xdr:rowOff>38100</xdr:rowOff>
    </xdr:to>
    <xdr:graphicFrame macro="">
      <xdr:nvGraphicFramePr>
        <xdr:cNvPr id="3" name="Graphique 2">
          <a:extLst>
            <a:ext uri="{FF2B5EF4-FFF2-40B4-BE49-F238E27FC236}">
              <a16:creationId xmlns:a16="http://schemas.microsoft.com/office/drawing/2014/main" id="{788F03F6-77C1-9385-1AD2-96847EAD73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233362</xdr:colOff>
      <xdr:row>33</xdr:row>
      <xdr:rowOff>176212</xdr:rowOff>
    </xdr:from>
    <xdr:to>
      <xdr:col>10</xdr:col>
      <xdr:colOff>252412</xdr:colOff>
      <xdr:row>48</xdr:row>
      <xdr:rowOff>61912</xdr:rowOff>
    </xdr:to>
    <xdr:graphicFrame macro="">
      <xdr:nvGraphicFramePr>
        <xdr:cNvPr id="5" name="Graphique 4">
          <a:extLst>
            <a:ext uri="{FF2B5EF4-FFF2-40B4-BE49-F238E27FC236}">
              <a16:creationId xmlns:a16="http://schemas.microsoft.com/office/drawing/2014/main" id="{8165629A-835D-1F1B-3781-7E1E24F1C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252412</xdr:colOff>
      <xdr:row>33</xdr:row>
      <xdr:rowOff>176212</xdr:rowOff>
    </xdr:from>
    <xdr:to>
      <xdr:col>16</xdr:col>
      <xdr:colOff>252412</xdr:colOff>
      <xdr:row>48</xdr:row>
      <xdr:rowOff>61912</xdr:rowOff>
    </xdr:to>
    <xdr:graphicFrame macro="">
      <xdr:nvGraphicFramePr>
        <xdr:cNvPr id="7" name="Graphique 6">
          <a:extLst>
            <a:ext uri="{FF2B5EF4-FFF2-40B4-BE49-F238E27FC236}">
              <a16:creationId xmlns:a16="http://schemas.microsoft.com/office/drawing/2014/main" id="{337FBD59-568E-82C1-19AF-03557D7676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e-roy Mannier" refreshedDate="45975.653744675925" createdVersion="8" refreshedVersion="8" minRefreshableVersion="3" recordCount="1557" xr:uid="{FD090EEA-2A74-44FD-AEF0-B8FF83345BD5}">
  <cacheSource type="worksheet">
    <worksheetSource ref="N1:N1048576" sheet="Données"/>
  </cacheSource>
  <cacheFields count="1">
    <cacheField name="Genre principal" numFmtId="0">
      <sharedItems containsBlank="1" count="171">
        <s v="funk carioca"/>
        <s v="hip hop"/>
        <s v="uk hip hop"/>
        <s v="icelandic pop"/>
        <s v="sertanejo"/>
        <s v="latin"/>
        <s v="pop"/>
        <s v="dream smp"/>
        <s v="indonesian pop"/>
        <s v="german cloud rap"/>
        <s v="brega funk"/>
        <s v="dance pop"/>
        <s v="british soul"/>
        <s v="atl hip hop"/>
        <m/>
        <s v="conscious hip hop"/>
        <s v="k-pop"/>
        <s v="melodic rap"/>
        <s v="chicago rap"/>
        <s v="boy band"/>
        <s v="beatlesque"/>
        <s v="edm"/>
        <s v="neo mellow"/>
        <s v="alt z"/>
        <s v="canadian pop"/>
        <s v="modern indie pop"/>
        <s v="album rock"/>
        <s v="italian hip hop"/>
        <s v="art pop"/>
        <s v="german hip hop"/>
        <s v="electropop"/>
        <s v="piseiro"/>
        <s v="trap queen"/>
        <s v="sad rap"/>
        <s v="florida rap"/>
        <s v="contemporary country"/>
        <s v="dfw rap"/>
        <s v="colombian pop"/>
        <s v="francoton"/>
        <s v="emo rap"/>
        <s v="frauenrap"/>
        <s v="new romantic"/>
        <s v="ohio hip hop"/>
        <s v="australian psych"/>
        <s v="basshall"/>
        <s v="houston rap"/>
        <s v="acoustic pop"/>
        <s v="forro"/>
        <s v="dominican pop"/>
        <s v="urbano espanol"/>
        <s v="dmv rap"/>
        <s v="puerto rican pop"/>
        <s v="escape room"/>
        <s v="modern alternative rock"/>
        <s v="albanian hip hop"/>
        <s v="trap latino"/>
        <s v="modern rock"/>
        <s v="sertanejo pop"/>
        <s v="german pop"/>
        <s v="brooklyn drill"/>
        <s v="adult standards"/>
        <s v="german drill"/>
        <s v="north carolina hip hop"/>
        <s v="dembow"/>
        <s v="australian rock"/>
        <s v="lgbtq+ hip hop"/>
        <s v="australian pop"/>
        <s v="alternative r&amp;b"/>
        <s v="alternative metal"/>
        <s v=" "/>
        <s v="french hip hop"/>
        <s v="chicago soul"/>
        <s v="folk-pop"/>
        <s v="detroit hip hop"/>
        <s v="memphis hip hop"/>
        <s v="italian adult pop"/>
        <s v="cali rap"/>
        <s v="rap"/>
        <s v="melodic metalcore"/>
        <s v="canadian contemporary r&amp;b"/>
        <s v="australian hip hop"/>
        <s v="a cappella"/>
        <s v="r&amp;b brasileiro"/>
        <s v="canadian hip hop"/>
        <s v="champeta"/>
        <s v="brazilian hip hop"/>
        <s v="belgian hip hop"/>
        <s v="australian dance"/>
        <s v="canadian latin"/>
        <s v="alternative pop rock"/>
        <s v="dance rock"/>
        <s v="boston hip hop"/>
        <s v="argentine hip hop"/>
        <s v="pop rap"/>
        <s v="comic"/>
        <s v="funk bh"/>
        <s v="disco"/>
        <s v="german alternative rap"/>
        <s v="classic rock"/>
        <s v="deep underground hip hop"/>
        <s v="east coast hip hop"/>
        <s v="mariachi"/>
        <s v="eurovision"/>
        <s v="pop soul"/>
        <s v="cumbia pop"/>
        <s v="eau claire indie"/>
        <s v="christlicher rap"/>
        <s v="deep german hip hop"/>
        <s v="grunge"/>
        <s v="indie rock italiano"/>
        <s v="soundtrack"/>
        <s v="chicago drill"/>
        <s v="indie rockism"/>
        <s v="gangster rap"/>
        <s v="indie cafe pop"/>
        <s v="meme rap"/>
        <s v="motown"/>
        <s v="permanent wave"/>
        <s v="indie pop"/>
        <s v="new wave pop"/>
        <s v="hollywood"/>
        <s v="garage rock"/>
        <s v="afroswing"/>
        <s v="chill r&amp;b"/>
        <s v="neo soul"/>
        <s v="plugg"/>
        <s v="irish singer-songwriter"/>
        <s v="funk 150 bpm"/>
        <s v="viral rap"/>
        <s v="electro house"/>
        <s v="r&amp;b en espanol"/>
        <s v="bubblegrunge"/>
        <s v="k-pop girl group"/>
        <s v="south african house"/>
        <s v="pop r&amp;b"/>
        <s v="kentucky hip hop"/>
        <s v="latin pop"/>
        <s v="melanesian pop"/>
        <s v="trap chileno"/>
        <s v="scandipop"/>
        <s v="trap argentino"/>
        <s v="aussietronica"/>
        <s v="bedroom soul"/>
        <s v="jawaiian"/>
        <s v="banda"/>
        <s v="brostep"/>
        <s v="glam rock"/>
        <s v="rock-and-roll"/>
        <s v="london rap"/>
        <s v="afrofuturism"/>
        <s v="reggaeton"/>
        <s v="grime"/>
        <s v="dreamo"/>
        <s v="k-rap"/>
        <s v="indie poptimism"/>
        <s v="weirdcore"/>
        <s v="bedroom pop"/>
        <s v="cubaton"/>
        <s v="celtic"/>
        <s v="venezuelan hip hop"/>
        <s v="nz pop"/>
        <s v="house"/>
        <s v="classic uk pop"/>
        <s v="german dance"/>
        <s v="gauze pop"/>
        <s v="dutch pop"/>
        <s v="musical advocacy"/>
        <s v="tropical house"/>
        <s v="big room"/>
        <s v="mexican hip hop"/>
        <s v="nyc rap"/>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9.663207986108" createdVersion="8" refreshedVersion="8" minRefreshableVersion="3" recordCount="1556" xr:uid="{9297E7F3-4ACF-4A72-8C2F-22C7B959845E}">
  <cacheSource type="worksheet">
    <worksheetSource name="Spotify"/>
  </cacheSource>
  <cacheFields count="23">
    <cacheField name="Index" numFmtId="0">
      <sharedItems containsSemiMixedTypes="0" containsString="0" containsNumber="1" containsInteger="1" minValue="1" maxValue="1556"/>
    </cacheField>
    <cacheField name="Position la plus élevée dans les charts" numFmtId="0">
      <sharedItems containsSemiMixedTypes="0" containsString="0" containsNumber="1" containsInteger="1" minValue="1" maxValue="200"/>
    </cacheField>
    <cacheField name="Nombre d'apparitions dans les charts" numFmtId="0">
      <sharedItems containsSemiMixedTypes="0" containsString="0" containsNumber="1" containsInteger="1" minValue="1" maxValue="142"/>
    </cacheField>
    <cacheField name="Semaine du plus haut classement" numFmtId="14">
      <sharedItems containsSemiMixedTypes="0" containsNonDate="0" containsDate="1" containsString="0" minDate="2019-12-27T00:00:00" maxDate="2021-07-24T00:00:00"/>
    </cacheField>
    <cacheField name="Genre" numFmtId="49">
      <sharedItems count="6">
        <s v="ROCK"/>
        <s v="HIP HOP"/>
        <s v="POP"/>
        <s v="AUTRE"/>
        <s v="RAP"/>
        <s v="COUNTRY"/>
      </sharedItems>
    </cacheField>
    <cacheField name="Chanson" numFmtId="0">
      <sharedItems/>
    </cacheField>
    <cacheField name="Ecoutes" numFmtId="3">
      <sharedItems containsSemiMixedTypes="0" containsString="0" containsNumber="1" containsInteger="1" minValue="4176083" maxValue="48633449"/>
    </cacheField>
    <cacheField name="Artiste" numFmtId="0">
      <sharedItems/>
    </cacheField>
    <cacheField name="Followers" numFmtId="164">
      <sharedItems containsString="0" containsBlank="1" containsNumber="1" containsInteger="1" minValue="4883" maxValue="83337783"/>
    </cacheField>
    <cacheField name="Genre principal" numFmtId="0">
      <sharedItems containsBlank="1"/>
    </cacheField>
    <cacheField name="Date de sortie" numFmtId="14">
      <sharedItems containsNonDate="0" containsDate="1" containsString="0" containsBlank="1" minDate="1942-01-01T00:00:00" maxDate="2021-08-14T00:00:00"/>
    </cacheField>
    <cacheField name="Popularité" numFmtId="0">
      <sharedItems containsString="0" containsBlank="1" containsNumber="1" containsInteger="1" minValue="0" maxValue="100"/>
    </cacheField>
    <cacheField name="Energie Forte" numFmtId="2">
      <sharedItems count="2">
        <s v="FORTE"/>
        <s v="FAIBLE"/>
      </sharedItems>
    </cacheField>
    <cacheField name="Dansabilité" numFmtId="2">
      <sharedItems containsString="0" containsBlank="1" containsNumber="1" minValue="0.15" maxValue="0.98"/>
    </cacheField>
    <cacheField name="Energie" numFmtId="2">
      <sharedItems containsString="0" containsBlank="1" containsNumber="1" minValue="5.3999999999999999E-2" maxValue="0.97"/>
    </cacheField>
    <cacheField name="Paroles" numFmtId="2">
      <sharedItems containsString="0" containsBlank="1" containsNumber="1" minValue="2.3199999999999998E-2" maxValue="0.88400000000000001"/>
    </cacheField>
    <cacheField name="Acousticité" numFmtId="2">
      <sharedItems containsString="0" containsBlank="1" containsNumber="1" minValue="2.55E-5" maxValue="0.99399999999999999"/>
    </cacheField>
    <cacheField name="Concert" numFmtId="2">
      <sharedItems containsString="0" containsBlank="1" containsNumber="1" minValue="1.9699999999999999E-2" maxValue="0.96199999999999997"/>
    </cacheField>
    <cacheField name="Positivité" numFmtId="2">
      <sharedItems containsString="0" containsBlank="1" containsNumber="1" minValue="3.2000000000000001E-2" maxValue="0.97899999999999998"/>
    </cacheField>
    <cacheField name="Intensité" numFmtId="2">
      <sharedItems containsString="0" containsBlank="1" containsNumber="1" minValue="-25.166" maxValue="1.5089999999999999"/>
    </cacheField>
    <cacheField name="Durée(ms)" numFmtId="0">
      <sharedItems containsString="0" containsBlank="1" containsNumber="1" containsInteger="1" minValue="30133" maxValue="588139"/>
    </cacheField>
    <cacheField name="Année de sortie" numFmtId="0">
      <sharedItems containsSemiMixedTypes="0" containsString="0" containsNumber="1" containsInteger="1" minValue="1900" maxValue="2021"/>
    </cacheField>
    <cacheField name="popularité forte" numFmtId="2">
      <sharedItems count="2">
        <s v="FORTE"/>
        <s v="FAIBL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7">
  <r>
    <x v="0"/>
  </r>
  <r>
    <x v="1"/>
  </r>
  <r>
    <x v="2"/>
  </r>
  <r>
    <x v="3"/>
  </r>
  <r>
    <x v="4"/>
  </r>
  <r>
    <x v="5"/>
  </r>
  <r>
    <x v="6"/>
  </r>
  <r>
    <x v="7"/>
  </r>
  <r>
    <x v="8"/>
  </r>
  <r>
    <x v="9"/>
  </r>
  <r>
    <x v="10"/>
  </r>
  <r>
    <x v="0"/>
  </r>
  <r>
    <x v="11"/>
  </r>
  <r>
    <x v="4"/>
  </r>
  <r>
    <x v="11"/>
  </r>
  <r>
    <x v="12"/>
  </r>
  <r>
    <x v="13"/>
  </r>
  <r>
    <x v="11"/>
  </r>
  <r>
    <x v="14"/>
  </r>
  <r>
    <x v="11"/>
  </r>
  <r>
    <x v="15"/>
  </r>
  <r>
    <x v="16"/>
  </r>
  <r>
    <x v="17"/>
  </r>
  <r>
    <x v="5"/>
  </r>
  <r>
    <x v="11"/>
  </r>
  <r>
    <x v="4"/>
  </r>
  <r>
    <x v="18"/>
  </r>
  <r>
    <x v="14"/>
  </r>
  <r>
    <x v="6"/>
  </r>
  <r>
    <x v="19"/>
  </r>
  <r>
    <x v="11"/>
  </r>
  <r>
    <x v="11"/>
  </r>
  <r>
    <x v="20"/>
  </r>
  <r>
    <x v="5"/>
  </r>
  <r>
    <x v="14"/>
  </r>
  <r>
    <x v="21"/>
  </r>
  <r>
    <x v="6"/>
  </r>
  <r>
    <x v="22"/>
  </r>
  <r>
    <x v="23"/>
  </r>
  <r>
    <x v="20"/>
  </r>
  <r>
    <x v="24"/>
  </r>
  <r>
    <x v="6"/>
  </r>
  <r>
    <x v="25"/>
  </r>
  <r>
    <x v="5"/>
  </r>
  <r>
    <x v="6"/>
  </r>
  <r>
    <x v="26"/>
  </r>
  <r>
    <x v="27"/>
  </r>
  <r>
    <x v="28"/>
  </r>
  <r>
    <x v="14"/>
  </r>
  <r>
    <x v="29"/>
  </r>
  <r>
    <x v="1"/>
  </r>
  <r>
    <x v="14"/>
  </r>
  <r>
    <x v="30"/>
  </r>
  <r>
    <x v="11"/>
  </r>
  <r>
    <x v="31"/>
  </r>
  <r>
    <x v="32"/>
  </r>
  <r>
    <x v="11"/>
  </r>
  <r>
    <x v="33"/>
  </r>
  <r>
    <x v="34"/>
  </r>
  <r>
    <x v="35"/>
  </r>
  <r>
    <x v="13"/>
  </r>
  <r>
    <x v="13"/>
  </r>
  <r>
    <x v="36"/>
  </r>
  <r>
    <x v="37"/>
  </r>
  <r>
    <x v="38"/>
  </r>
  <r>
    <x v="39"/>
  </r>
  <r>
    <x v="21"/>
  </r>
  <r>
    <x v="40"/>
  </r>
  <r>
    <x v="5"/>
  </r>
  <r>
    <x v="14"/>
  </r>
  <r>
    <x v="41"/>
  </r>
  <r>
    <x v="35"/>
  </r>
  <r>
    <x v="11"/>
  </r>
  <r>
    <x v="42"/>
  </r>
  <r>
    <x v="30"/>
  </r>
  <r>
    <x v="13"/>
  </r>
  <r>
    <x v="19"/>
  </r>
  <r>
    <x v="17"/>
  </r>
  <r>
    <x v="35"/>
  </r>
  <r>
    <x v="11"/>
  </r>
  <r>
    <x v="43"/>
  </r>
  <r>
    <x v="44"/>
  </r>
  <r>
    <x v="45"/>
  </r>
  <r>
    <x v="11"/>
  </r>
  <r>
    <x v="18"/>
  </r>
  <r>
    <x v="46"/>
  </r>
  <r>
    <x v="11"/>
  </r>
  <r>
    <x v="47"/>
  </r>
  <r>
    <x v="9"/>
  </r>
  <r>
    <x v="48"/>
  </r>
  <r>
    <x v="26"/>
  </r>
  <r>
    <x v="49"/>
  </r>
  <r>
    <x v="1"/>
  </r>
  <r>
    <x v="50"/>
  </r>
  <r>
    <x v="11"/>
  </r>
  <r>
    <x v="51"/>
  </r>
  <r>
    <x v="51"/>
  </r>
  <r>
    <x v="52"/>
  </r>
  <r>
    <x v="29"/>
  </r>
  <r>
    <x v="19"/>
  </r>
  <r>
    <x v="17"/>
  </r>
  <r>
    <x v="29"/>
  </r>
  <r>
    <x v="5"/>
  </r>
  <r>
    <x v="47"/>
  </r>
  <r>
    <x v="35"/>
  </r>
  <r>
    <x v="1"/>
  </r>
  <r>
    <x v="29"/>
  </r>
  <r>
    <x v="29"/>
  </r>
  <r>
    <x v="53"/>
  </r>
  <r>
    <x v="54"/>
  </r>
  <r>
    <x v="2"/>
  </r>
  <r>
    <x v="6"/>
  </r>
  <r>
    <x v="55"/>
  </r>
  <r>
    <x v="21"/>
  </r>
  <r>
    <x v="11"/>
  </r>
  <r>
    <x v="17"/>
  </r>
  <r>
    <x v="11"/>
  </r>
  <r>
    <x v="13"/>
  </r>
  <r>
    <x v="56"/>
  </r>
  <r>
    <x v="39"/>
  </r>
  <r>
    <x v="14"/>
  </r>
  <r>
    <x v="57"/>
  </r>
  <r>
    <x v="13"/>
  </r>
  <r>
    <x v="58"/>
  </r>
  <r>
    <x v="6"/>
  </r>
  <r>
    <x v="17"/>
  </r>
  <r>
    <x v="14"/>
  </r>
  <r>
    <x v="59"/>
  </r>
  <r>
    <x v="13"/>
  </r>
  <r>
    <x v="60"/>
  </r>
  <r>
    <x v="39"/>
  </r>
  <r>
    <x v="61"/>
  </r>
  <r>
    <x v="62"/>
  </r>
  <r>
    <x v="63"/>
  </r>
  <r>
    <x v="11"/>
  </r>
  <r>
    <x v="11"/>
  </r>
  <r>
    <x v="18"/>
  </r>
  <r>
    <x v="64"/>
  </r>
  <r>
    <x v="13"/>
  </r>
  <r>
    <x v="18"/>
  </r>
  <r>
    <x v="65"/>
  </r>
  <r>
    <x v="56"/>
  </r>
  <r>
    <x v="66"/>
  </r>
  <r>
    <x v="17"/>
  </r>
  <r>
    <x v="17"/>
  </r>
  <r>
    <x v="11"/>
  </r>
  <r>
    <x v="67"/>
  </r>
  <r>
    <x v="29"/>
  </r>
  <r>
    <x v="11"/>
  </r>
  <r>
    <x v="17"/>
  </r>
  <r>
    <x v="6"/>
  </r>
  <r>
    <x v="68"/>
  </r>
  <r>
    <x v="11"/>
  </r>
  <r>
    <x v="11"/>
  </r>
  <r>
    <x v="50"/>
  </r>
  <r>
    <x v="11"/>
  </r>
  <r>
    <x v="17"/>
  </r>
  <r>
    <x v="69"/>
  </r>
  <r>
    <x v="27"/>
  </r>
  <r>
    <x v="11"/>
  </r>
  <r>
    <x v="18"/>
  </r>
  <r>
    <x v="70"/>
  </r>
  <r>
    <x v="11"/>
  </r>
  <r>
    <x v="71"/>
  </r>
  <r>
    <x v="43"/>
  </r>
  <r>
    <x v="5"/>
  </r>
  <r>
    <x v="45"/>
  </r>
  <r>
    <x v="5"/>
  </r>
  <r>
    <x v="27"/>
  </r>
  <r>
    <x v="9"/>
  </r>
  <r>
    <x v="23"/>
  </r>
  <r>
    <x v="13"/>
  </r>
  <r>
    <x v="72"/>
  </r>
  <r>
    <x v="73"/>
  </r>
  <r>
    <x v="11"/>
  </r>
  <r>
    <x v="14"/>
  </r>
  <r>
    <x v="5"/>
  </r>
  <r>
    <x v="67"/>
  </r>
  <r>
    <x v="74"/>
  </r>
  <r>
    <x v="45"/>
  </r>
  <r>
    <x v="56"/>
  </r>
  <r>
    <x v="11"/>
  </r>
  <r>
    <x v="11"/>
  </r>
  <r>
    <x v="73"/>
  </r>
  <r>
    <x v="75"/>
  </r>
  <r>
    <x v="11"/>
  </r>
  <r>
    <x v="4"/>
  </r>
  <r>
    <x v="11"/>
  </r>
  <r>
    <x v="76"/>
  </r>
  <r>
    <x v="77"/>
  </r>
  <r>
    <x v="61"/>
  </r>
  <r>
    <x v="78"/>
  </r>
  <r>
    <x v="79"/>
  </r>
  <r>
    <x v="42"/>
  </r>
  <r>
    <x v="35"/>
  </r>
  <r>
    <x v="13"/>
  </r>
  <r>
    <x v="80"/>
  </r>
  <r>
    <x v="38"/>
  </r>
  <r>
    <x v="14"/>
  </r>
  <r>
    <x v="79"/>
  </r>
  <r>
    <x v="5"/>
  </r>
  <r>
    <x v="81"/>
  </r>
  <r>
    <x v="13"/>
  </r>
  <r>
    <x v="82"/>
  </r>
  <r>
    <x v="11"/>
  </r>
  <r>
    <x v="38"/>
  </r>
  <r>
    <x v="47"/>
  </r>
  <r>
    <x v="13"/>
  </r>
  <r>
    <x v="18"/>
  </r>
  <r>
    <x v="45"/>
  </r>
  <r>
    <x v="17"/>
  </r>
  <r>
    <x v="11"/>
  </r>
  <r>
    <x v="11"/>
  </r>
  <r>
    <x v="1"/>
  </r>
  <r>
    <x v="5"/>
  </r>
  <r>
    <x v="69"/>
  </r>
  <r>
    <x v="1"/>
  </r>
  <r>
    <x v="16"/>
  </r>
  <r>
    <x v="24"/>
  </r>
  <r>
    <x v="29"/>
  </r>
  <r>
    <x v="83"/>
  </r>
  <r>
    <x v="84"/>
  </r>
  <r>
    <x v="80"/>
  </r>
  <r>
    <x v="5"/>
  </r>
  <r>
    <x v="11"/>
  </r>
  <r>
    <x v="77"/>
  </r>
  <r>
    <x v="85"/>
  </r>
  <r>
    <x v="27"/>
  </r>
  <r>
    <x v="5"/>
  </r>
  <r>
    <x v="11"/>
  </r>
  <r>
    <x v="23"/>
  </r>
  <r>
    <x v="5"/>
  </r>
  <r>
    <x v="19"/>
  </r>
  <r>
    <x v="60"/>
  </r>
  <r>
    <x v="9"/>
  </r>
  <r>
    <x v="11"/>
  </r>
  <r>
    <x v="23"/>
  </r>
  <r>
    <x v="1"/>
  </r>
  <r>
    <x v="11"/>
  </r>
  <r>
    <x v="17"/>
  </r>
  <r>
    <x v="59"/>
  </r>
  <r>
    <x v="60"/>
  </r>
  <r>
    <x v="86"/>
  </r>
  <r>
    <x v="87"/>
  </r>
  <r>
    <x v="13"/>
  </r>
  <r>
    <x v="51"/>
  </r>
  <r>
    <x v="7"/>
  </r>
  <r>
    <x v="13"/>
  </r>
  <r>
    <x v="14"/>
  </r>
  <r>
    <x v="35"/>
  </r>
  <r>
    <x v="86"/>
  </r>
  <r>
    <x v="59"/>
  </r>
  <r>
    <x v="17"/>
  </r>
  <r>
    <x v="39"/>
  </r>
  <r>
    <x v="37"/>
  </r>
  <r>
    <x v="88"/>
  </r>
  <r>
    <x v="5"/>
  </r>
  <r>
    <x v="79"/>
  </r>
  <r>
    <x v="60"/>
  </r>
  <r>
    <x v="76"/>
  </r>
  <r>
    <x v="62"/>
  </r>
  <r>
    <x v="1"/>
  </r>
  <r>
    <x v="67"/>
  </r>
  <r>
    <x v="89"/>
  </r>
  <r>
    <x v="60"/>
  </r>
  <r>
    <x v="62"/>
  </r>
  <r>
    <x v="0"/>
  </r>
  <r>
    <x v="90"/>
  </r>
  <r>
    <x v="0"/>
  </r>
  <r>
    <x v="9"/>
  </r>
  <r>
    <x v="14"/>
  </r>
  <r>
    <x v="91"/>
  </r>
  <r>
    <x v="10"/>
  </r>
  <r>
    <x v="14"/>
  </r>
  <r>
    <x v="11"/>
  </r>
  <r>
    <x v="92"/>
  </r>
  <r>
    <x v="14"/>
  </r>
  <r>
    <x v="13"/>
  </r>
  <r>
    <x v="93"/>
  </r>
  <r>
    <x v="17"/>
  </r>
  <r>
    <x v="39"/>
  </r>
  <r>
    <x v="11"/>
  </r>
  <r>
    <x v="5"/>
  </r>
  <r>
    <x v="94"/>
  </r>
  <r>
    <x v="28"/>
  </r>
  <r>
    <x v="87"/>
  </r>
  <r>
    <x v="11"/>
  </r>
  <r>
    <x v="1"/>
  </r>
  <r>
    <x v="14"/>
  </r>
  <r>
    <x v="11"/>
  </r>
  <r>
    <x v="67"/>
  </r>
  <r>
    <x v="11"/>
  </r>
  <r>
    <x v="2"/>
  </r>
  <r>
    <x v="29"/>
  </r>
  <r>
    <x v="18"/>
  </r>
  <r>
    <x v="11"/>
  </r>
  <r>
    <x v="29"/>
  </r>
  <r>
    <x v="59"/>
  </r>
  <r>
    <x v="67"/>
  </r>
  <r>
    <x v="11"/>
  </r>
  <r>
    <x v="43"/>
  </r>
  <r>
    <x v="83"/>
  </r>
  <r>
    <x v="4"/>
  </r>
  <r>
    <x v="95"/>
  </r>
  <r>
    <x v="14"/>
  </r>
  <r>
    <x v="13"/>
  </r>
  <r>
    <x v="17"/>
  </r>
  <r>
    <x v="11"/>
  </r>
  <r>
    <x v="15"/>
  </r>
  <r>
    <x v="14"/>
  </r>
  <r>
    <x v="6"/>
  </r>
  <r>
    <x v="96"/>
  </r>
  <r>
    <x v="11"/>
  </r>
  <r>
    <x v="1"/>
  </r>
  <r>
    <x v="11"/>
  </r>
  <r>
    <x v="11"/>
  </r>
  <r>
    <x v="6"/>
  </r>
  <r>
    <x v="12"/>
  </r>
  <r>
    <x v="1"/>
  </r>
  <r>
    <x v="29"/>
  </r>
  <r>
    <x v="17"/>
  </r>
  <r>
    <x v="5"/>
  </r>
  <r>
    <x v="23"/>
  </r>
  <r>
    <x v="6"/>
  </r>
  <r>
    <x v="6"/>
  </r>
  <r>
    <x v="24"/>
  </r>
  <r>
    <x v="97"/>
  </r>
  <r>
    <x v="23"/>
  </r>
  <r>
    <x v="11"/>
  </r>
  <r>
    <x v="98"/>
  </r>
  <r>
    <x v="67"/>
  </r>
  <r>
    <x v="29"/>
  </r>
  <r>
    <x v="26"/>
  </r>
  <r>
    <x v="11"/>
  </r>
  <r>
    <x v="1"/>
  </r>
  <r>
    <x v="60"/>
  </r>
  <r>
    <x v="29"/>
  </r>
  <r>
    <x v="39"/>
  </r>
  <r>
    <x v="15"/>
  </r>
  <r>
    <x v="9"/>
  </r>
  <r>
    <x v="77"/>
  </r>
  <r>
    <x v="11"/>
  </r>
  <r>
    <x v="2"/>
  </r>
  <r>
    <x v="13"/>
  </r>
  <r>
    <x v="11"/>
  </r>
  <r>
    <x v="5"/>
  </r>
  <r>
    <x v="30"/>
  </r>
  <r>
    <x v="29"/>
  </r>
  <r>
    <x v="6"/>
  </r>
  <r>
    <x v="1"/>
  </r>
  <r>
    <x v="29"/>
  </r>
  <r>
    <x v="24"/>
  </r>
  <r>
    <x v="99"/>
  </r>
  <r>
    <x v="6"/>
  </r>
  <r>
    <x v="19"/>
  </r>
  <r>
    <x v="51"/>
  </r>
  <r>
    <x v="78"/>
  </r>
  <r>
    <x v="80"/>
  </r>
  <r>
    <x v="11"/>
  </r>
  <r>
    <x v="29"/>
  </r>
  <r>
    <x v="24"/>
  </r>
  <r>
    <x v="1"/>
  </r>
  <r>
    <x v="17"/>
  </r>
  <r>
    <x v="5"/>
  </r>
  <r>
    <x v="51"/>
  </r>
  <r>
    <x v="39"/>
  </r>
  <r>
    <x v="100"/>
  </r>
  <r>
    <x v="1"/>
  </r>
  <r>
    <x v="101"/>
  </r>
  <r>
    <x v="13"/>
  </r>
  <r>
    <x v="27"/>
  </r>
  <r>
    <x v="61"/>
  </r>
  <r>
    <x v="13"/>
  </r>
  <r>
    <x v="43"/>
  </r>
  <r>
    <x v="1"/>
  </r>
  <r>
    <x v="66"/>
  </r>
  <r>
    <x v="98"/>
  </r>
  <r>
    <x v="98"/>
  </r>
  <r>
    <x v="4"/>
  </r>
  <r>
    <x v="75"/>
  </r>
  <r>
    <x v="36"/>
  </r>
  <r>
    <x v="28"/>
  </r>
  <r>
    <x v="79"/>
  </r>
  <r>
    <x v="13"/>
  </r>
  <r>
    <x v="4"/>
  </r>
  <r>
    <x v="17"/>
  </r>
  <r>
    <x v="11"/>
  </r>
  <r>
    <x v="102"/>
  </r>
  <r>
    <x v="0"/>
  </r>
  <r>
    <x v="5"/>
  </r>
  <r>
    <x v="19"/>
  </r>
  <r>
    <x v="11"/>
  </r>
  <r>
    <x v="5"/>
  </r>
  <r>
    <x v="19"/>
  </r>
  <r>
    <x v="29"/>
  </r>
  <r>
    <x v="37"/>
  </r>
  <r>
    <x v="6"/>
  </r>
  <r>
    <x v="103"/>
  </r>
  <r>
    <x v="24"/>
  </r>
  <r>
    <x v="29"/>
  </r>
  <r>
    <x v="65"/>
  </r>
  <r>
    <x v="16"/>
  </r>
  <r>
    <x v="102"/>
  </r>
  <r>
    <x v="15"/>
  </r>
  <r>
    <x v="39"/>
  </r>
  <r>
    <x v="5"/>
  </r>
  <r>
    <x v="11"/>
  </r>
  <r>
    <x v="74"/>
  </r>
  <r>
    <x v="5"/>
  </r>
  <r>
    <x v="14"/>
  </r>
  <r>
    <x v="104"/>
  </r>
  <r>
    <x v="36"/>
  </r>
  <r>
    <x v="105"/>
  </r>
  <r>
    <x v="1"/>
  </r>
  <r>
    <x v="11"/>
  </r>
  <r>
    <x v="54"/>
  </r>
  <r>
    <x v="33"/>
  </r>
  <r>
    <x v="11"/>
  </r>
  <r>
    <x v="14"/>
  </r>
  <r>
    <x v="17"/>
  </r>
  <r>
    <x v="13"/>
  </r>
  <r>
    <x v="17"/>
  </r>
  <r>
    <x v="69"/>
  </r>
  <r>
    <x v="5"/>
  </r>
  <r>
    <x v="83"/>
  </r>
  <r>
    <x v="67"/>
  </r>
  <r>
    <x v="59"/>
  </r>
  <r>
    <x v="66"/>
  </r>
  <r>
    <x v="37"/>
  </r>
  <r>
    <x v="67"/>
  </r>
  <r>
    <x v="0"/>
  </r>
  <r>
    <x v="73"/>
  </r>
  <r>
    <x v="59"/>
  </r>
  <r>
    <x v="1"/>
  </r>
  <r>
    <x v="106"/>
  </r>
  <r>
    <x v="107"/>
  </r>
  <r>
    <x v="108"/>
  </r>
  <r>
    <x v="5"/>
  </r>
  <r>
    <x v="47"/>
  </r>
  <r>
    <x v="11"/>
  </r>
  <r>
    <x v="5"/>
  </r>
  <r>
    <x v="5"/>
  </r>
  <r>
    <x v="13"/>
  </r>
  <r>
    <x v="13"/>
  </r>
  <r>
    <x v="18"/>
  </r>
  <r>
    <x v="29"/>
  </r>
  <r>
    <x v="14"/>
  </r>
  <r>
    <x v="11"/>
  </r>
  <r>
    <x v="109"/>
  </r>
  <r>
    <x v="56"/>
  </r>
  <r>
    <x v="59"/>
  </r>
  <r>
    <x v="110"/>
  </r>
  <r>
    <x v="29"/>
  </r>
  <r>
    <x v="11"/>
  </r>
  <r>
    <x v="111"/>
  </r>
  <r>
    <x v="44"/>
  </r>
  <r>
    <x v="18"/>
  </r>
  <r>
    <x v="70"/>
  </r>
  <r>
    <x v="13"/>
  </r>
  <r>
    <x v="60"/>
  </r>
  <r>
    <x v="1"/>
  </r>
  <r>
    <x v="67"/>
  </r>
  <r>
    <x v="17"/>
  </r>
  <r>
    <x v="112"/>
  </r>
  <r>
    <x v="113"/>
  </r>
  <r>
    <x v="30"/>
  </r>
  <r>
    <x v="11"/>
  </r>
  <r>
    <x v="6"/>
  </r>
  <r>
    <x v="114"/>
  </r>
  <r>
    <x v="115"/>
  </r>
  <r>
    <x v="17"/>
  </r>
  <r>
    <x v="116"/>
  </r>
  <r>
    <x v="42"/>
  </r>
  <r>
    <x v="29"/>
  </r>
  <r>
    <x v="29"/>
  </r>
  <r>
    <x v="13"/>
  </r>
  <r>
    <x v="72"/>
  </r>
  <r>
    <x v="5"/>
  </r>
  <r>
    <x v="36"/>
  </r>
  <r>
    <x v="11"/>
  </r>
  <r>
    <x v="93"/>
  </r>
  <r>
    <x v="1"/>
  </r>
  <r>
    <x v="27"/>
  </r>
  <r>
    <x v="17"/>
  </r>
  <r>
    <x v="61"/>
  </r>
  <r>
    <x v="117"/>
  </r>
  <r>
    <x v="11"/>
  </r>
  <r>
    <x v="99"/>
  </r>
  <r>
    <x v="62"/>
  </r>
  <r>
    <x v="11"/>
  </r>
  <r>
    <x v="2"/>
  </r>
  <r>
    <x v="59"/>
  </r>
  <r>
    <x v="118"/>
  </r>
  <r>
    <x v="5"/>
  </r>
  <r>
    <x v="62"/>
  </r>
  <r>
    <x v="57"/>
  </r>
  <r>
    <x v="119"/>
  </r>
  <r>
    <x v="16"/>
  </r>
  <r>
    <x v="11"/>
  </r>
  <r>
    <x v="5"/>
  </r>
  <r>
    <x v="15"/>
  </r>
  <r>
    <x v="6"/>
  </r>
  <r>
    <x v="120"/>
  </r>
  <r>
    <x v="11"/>
  </r>
  <r>
    <x v="21"/>
  </r>
  <r>
    <x v="30"/>
  </r>
  <r>
    <x v="56"/>
  </r>
  <r>
    <x v="69"/>
  </r>
  <r>
    <x v="11"/>
  </r>
  <r>
    <x v="1"/>
  </r>
  <r>
    <x v="121"/>
  </r>
  <r>
    <x v="5"/>
  </r>
  <r>
    <x v="47"/>
  </r>
  <r>
    <x v="11"/>
  </r>
  <r>
    <x v="13"/>
  </r>
  <r>
    <x v="122"/>
  </r>
  <r>
    <x v="22"/>
  </r>
  <r>
    <x v="60"/>
  </r>
  <r>
    <x v="59"/>
  </r>
  <r>
    <x v="56"/>
  </r>
  <r>
    <x v="51"/>
  </r>
  <r>
    <x v="4"/>
  </r>
  <r>
    <x v="17"/>
  </r>
  <r>
    <x v="18"/>
  </r>
  <r>
    <x v="5"/>
  </r>
  <r>
    <x v="24"/>
  </r>
  <r>
    <x v="92"/>
  </r>
  <r>
    <x v="73"/>
  </r>
  <r>
    <x v="77"/>
  </r>
  <r>
    <x v="11"/>
  </r>
  <r>
    <x v="5"/>
  </r>
  <r>
    <x v="6"/>
  </r>
  <r>
    <x v="13"/>
  </r>
  <r>
    <x v="59"/>
  </r>
  <r>
    <x v="21"/>
  </r>
  <r>
    <x v="11"/>
  </r>
  <r>
    <x v="62"/>
  </r>
  <r>
    <x v="93"/>
  </r>
  <r>
    <x v="34"/>
  </r>
  <r>
    <x v="123"/>
  </r>
  <r>
    <x v="38"/>
  </r>
  <r>
    <x v="11"/>
  </r>
  <r>
    <x v="42"/>
  </r>
  <r>
    <x v="18"/>
  </r>
  <r>
    <x v="73"/>
  </r>
  <r>
    <x v="23"/>
  </r>
  <r>
    <x v="0"/>
  </r>
  <r>
    <x v="23"/>
  </r>
  <r>
    <x v="38"/>
  </r>
  <r>
    <x v="29"/>
  </r>
  <r>
    <x v="18"/>
  </r>
  <r>
    <x v="40"/>
  </r>
  <r>
    <x v="5"/>
  </r>
  <r>
    <x v="11"/>
  </r>
  <r>
    <x v="14"/>
  </r>
  <r>
    <x v="11"/>
  </r>
  <r>
    <x v="124"/>
  </r>
  <r>
    <x v="56"/>
  </r>
  <r>
    <x v="0"/>
  </r>
  <r>
    <x v="14"/>
  </r>
  <r>
    <x v="125"/>
  </r>
  <r>
    <x v="11"/>
  </r>
  <r>
    <x v="14"/>
  </r>
  <r>
    <x v="13"/>
  </r>
  <r>
    <x v="1"/>
  </r>
  <r>
    <x v="79"/>
  </r>
  <r>
    <x v="83"/>
  </r>
  <r>
    <x v="11"/>
  </r>
  <r>
    <x v="11"/>
  </r>
  <r>
    <x v="11"/>
  </r>
  <r>
    <x v="16"/>
  </r>
  <r>
    <x v="18"/>
  </r>
  <r>
    <x v="126"/>
  </r>
  <r>
    <x v="11"/>
  </r>
  <r>
    <x v="127"/>
  </r>
  <r>
    <x v="14"/>
  </r>
  <r>
    <x v="11"/>
  </r>
  <r>
    <x v="1"/>
  </r>
  <r>
    <x v="47"/>
  </r>
  <r>
    <x v="11"/>
  </r>
  <r>
    <x v="73"/>
  </r>
  <r>
    <x v="11"/>
  </r>
  <r>
    <x v="5"/>
  </r>
  <r>
    <x v="11"/>
  </r>
  <r>
    <x v="128"/>
  </r>
  <r>
    <x v="11"/>
  </r>
  <r>
    <x v="18"/>
  </r>
  <r>
    <x v="102"/>
  </r>
  <r>
    <x v="11"/>
  </r>
  <r>
    <x v="13"/>
  </r>
  <r>
    <x v="11"/>
  </r>
  <r>
    <x v="118"/>
  </r>
  <r>
    <x v="11"/>
  </r>
  <r>
    <x v="23"/>
  </r>
  <r>
    <x v="18"/>
  </r>
  <r>
    <x v="129"/>
  </r>
  <r>
    <x v="14"/>
  </r>
  <r>
    <x v="55"/>
  </r>
  <r>
    <x v="97"/>
  </r>
  <r>
    <x v="27"/>
  </r>
  <r>
    <x v="13"/>
  </r>
  <r>
    <x v="11"/>
  </r>
  <r>
    <x v="121"/>
  </r>
  <r>
    <x v="5"/>
  </r>
  <r>
    <x v="5"/>
  </r>
  <r>
    <x v="11"/>
  </r>
  <r>
    <x v="24"/>
  </r>
  <r>
    <x v="29"/>
  </r>
  <r>
    <x v="77"/>
  </r>
  <r>
    <x v="16"/>
  </r>
  <r>
    <x v="6"/>
  </r>
  <r>
    <x v="67"/>
  </r>
  <r>
    <x v="30"/>
  </r>
  <r>
    <x v="14"/>
  </r>
  <r>
    <x v="14"/>
  </r>
  <r>
    <x v="37"/>
  </r>
  <r>
    <x v="19"/>
  </r>
  <r>
    <x v="5"/>
  </r>
  <r>
    <x v="24"/>
  </r>
  <r>
    <x v="33"/>
  </r>
  <r>
    <x v="14"/>
  </r>
  <r>
    <x v="6"/>
  </r>
  <r>
    <x v="11"/>
  </r>
  <r>
    <x v="62"/>
  </r>
  <r>
    <x v="17"/>
  </r>
  <r>
    <x v="73"/>
  </r>
  <r>
    <x v="39"/>
  </r>
  <r>
    <x v="14"/>
  </r>
  <r>
    <x v="130"/>
  </r>
  <r>
    <x v="92"/>
  </r>
  <r>
    <x v="5"/>
  </r>
  <r>
    <x v="1"/>
  </r>
  <r>
    <x v="50"/>
  </r>
  <r>
    <x v="83"/>
  </r>
  <r>
    <x v="51"/>
  </r>
  <r>
    <x v="74"/>
  </r>
  <r>
    <x v="11"/>
  </r>
  <r>
    <x v="37"/>
  </r>
  <r>
    <x v="59"/>
  </r>
  <r>
    <x v="73"/>
  </r>
  <r>
    <x v="6"/>
  </r>
  <r>
    <x v="53"/>
  </r>
  <r>
    <x v="57"/>
  </r>
  <r>
    <x v="97"/>
  </r>
  <r>
    <x v="2"/>
  </r>
  <r>
    <x v="67"/>
  </r>
  <r>
    <x v="21"/>
  </r>
  <r>
    <x v="5"/>
  </r>
  <r>
    <x v="21"/>
  </r>
  <r>
    <x v="1"/>
  </r>
  <r>
    <x v="37"/>
  </r>
  <r>
    <x v="31"/>
  </r>
  <r>
    <x v="11"/>
  </r>
  <r>
    <x v="13"/>
  </r>
  <r>
    <x v="1"/>
  </r>
  <r>
    <x v="67"/>
  </r>
  <r>
    <x v="59"/>
  </r>
  <r>
    <x v="39"/>
  </r>
  <r>
    <x v="30"/>
  </r>
  <r>
    <x v="14"/>
  </r>
  <r>
    <x v="43"/>
  </r>
  <r>
    <x v="5"/>
  </r>
  <r>
    <x v="130"/>
  </r>
  <r>
    <x v="16"/>
  </r>
  <r>
    <x v="13"/>
  </r>
  <r>
    <x v="59"/>
  </r>
  <r>
    <x v="6"/>
  </r>
  <r>
    <x v="6"/>
  </r>
  <r>
    <x v="59"/>
  </r>
  <r>
    <x v="29"/>
  </r>
  <r>
    <x v="73"/>
  </r>
  <r>
    <x v="6"/>
  </r>
  <r>
    <x v="74"/>
  </r>
  <r>
    <x v="6"/>
  </r>
  <r>
    <x v="11"/>
  </r>
  <r>
    <x v="17"/>
  </r>
  <r>
    <x v="5"/>
  </r>
  <r>
    <x v="92"/>
  </r>
  <r>
    <x v="19"/>
  </r>
  <r>
    <x v="19"/>
  </r>
  <r>
    <x v="13"/>
  </r>
  <r>
    <x v="11"/>
  </r>
  <r>
    <x v="11"/>
  </r>
  <r>
    <x v="21"/>
  </r>
  <r>
    <x v="5"/>
  </r>
  <r>
    <x v="5"/>
  </r>
  <r>
    <x v="14"/>
  </r>
  <r>
    <x v="131"/>
  </r>
  <r>
    <x v="132"/>
  </r>
  <r>
    <x v="29"/>
  </r>
  <r>
    <x v="11"/>
  </r>
  <r>
    <x v="1"/>
  </r>
  <r>
    <x v="21"/>
  </r>
  <r>
    <x v="5"/>
  </r>
  <r>
    <x v="35"/>
  </r>
  <r>
    <x v="11"/>
  </r>
  <r>
    <x v="79"/>
  </r>
  <r>
    <x v="73"/>
  </r>
  <r>
    <x v="11"/>
  </r>
  <r>
    <x v="70"/>
  </r>
  <r>
    <x v="11"/>
  </r>
  <r>
    <x v="35"/>
  </r>
  <r>
    <x v="30"/>
  </r>
  <r>
    <x v="83"/>
  </r>
  <r>
    <x v="83"/>
  </r>
  <r>
    <x v="56"/>
  </r>
  <r>
    <x v="59"/>
  </r>
  <r>
    <x v="11"/>
  </r>
  <r>
    <x v="83"/>
  </r>
  <r>
    <x v="133"/>
  </r>
  <r>
    <x v="59"/>
  </r>
  <r>
    <x v="5"/>
  </r>
  <r>
    <x v="134"/>
  </r>
  <r>
    <x v="5"/>
  </r>
  <r>
    <x v="59"/>
  </r>
  <r>
    <x v="11"/>
  </r>
  <r>
    <x v="5"/>
  </r>
  <r>
    <x v="11"/>
  </r>
  <r>
    <x v="35"/>
  </r>
  <r>
    <x v="11"/>
  </r>
  <r>
    <x v="14"/>
  </r>
  <r>
    <x v="76"/>
  </r>
  <r>
    <x v="21"/>
  </r>
  <r>
    <x v="83"/>
  </r>
  <r>
    <x v="11"/>
  </r>
  <r>
    <x v="1"/>
  </r>
  <r>
    <x v="132"/>
  </r>
  <r>
    <x v="11"/>
  </r>
  <r>
    <x v="11"/>
  </r>
  <r>
    <x v="29"/>
  </r>
  <r>
    <x v="29"/>
  </r>
  <r>
    <x v="24"/>
  </r>
  <r>
    <x v="11"/>
  </r>
  <r>
    <x v="16"/>
  </r>
  <r>
    <x v="5"/>
  </r>
  <r>
    <x v="5"/>
  </r>
  <r>
    <x v="23"/>
  </r>
  <r>
    <x v="9"/>
  </r>
  <r>
    <x v="1"/>
  </r>
  <r>
    <x v="87"/>
  </r>
  <r>
    <x v="24"/>
  </r>
  <r>
    <x v="11"/>
  </r>
  <r>
    <x v="11"/>
  </r>
  <r>
    <x v="13"/>
  </r>
  <r>
    <x v="6"/>
  </r>
  <r>
    <x v="135"/>
  </r>
  <r>
    <x v="83"/>
  </r>
  <r>
    <x v="16"/>
  </r>
  <r>
    <x v="36"/>
  </r>
  <r>
    <x v="92"/>
  </r>
  <r>
    <x v="35"/>
  </r>
  <r>
    <x v="11"/>
  </r>
  <r>
    <x v="6"/>
  </r>
  <r>
    <x v="94"/>
  </r>
  <r>
    <x v="26"/>
  </r>
  <r>
    <x v="5"/>
  </r>
  <r>
    <x v="11"/>
  </r>
  <r>
    <x v="13"/>
  </r>
  <r>
    <x v="5"/>
  </r>
  <r>
    <x v="73"/>
  </r>
  <r>
    <x v="5"/>
  </r>
  <r>
    <x v="47"/>
  </r>
  <r>
    <x v="11"/>
  </r>
  <r>
    <x v="14"/>
  </r>
  <r>
    <x v="11"/>
  </r>
  <r>
    <x v="73"/>
  </r>
  <r>
    <x v="132"/>
  </r>
  <r>
    <x v="5"/>
  </r>
  <r>
    <x v="1"/>
  </r>
  <r>
    <x v="15"/>
  </r>
  <r>
    <x v="98"/>
  </r>
  <r>
    <x v="37"/>
  </r>
  <r>
    <x v="14"/>
  </r>
  <r>
    <x v="101"/>
  </r>
  <r>
    <x v="6"/>
  </r>
  <r>
    <x v="6"/>
  </r>
  <r>
    <x v="11"/>
  </r>
  <r>
    <x v="18"/>
  </r>
  <r>
    <x v="129"/>
  </r>
  <r>
    <x v="11"/>
  </r>
  <r>
    <x v="136"/>
  </r>
  <r>
    <x v="16"/>
  </r>
  <r>
    <x v="14"/>
  </r>
  <r>
    <x v="21"/>
  </r>
  <r>
    <x v="6"/>
  </r>
  <r>
    <x v="11"/>
  </r>
  <r>
    <x v="18"/>
  </r>
  <r>
    <x v="0"/>
  </r>
  <r>
    <x v="23"/>
  </r>
  <r>
    <x v="59"/>
  </r>
  <r>
    <x v="11"/>
  </r>
  <r>
    <x v="16"/>
  </r>
  <r>
    <x v="24"/>
  </r>
  <r>
    <x v="19"/>
  </r>
  <r>
    <x v="5"/>
  </r>
  <r>
    <x v="137"/>
  </r>
  <r>
    <x v="29"/>
  </r>
  <r>
    <x v="16"/>
  </r>
  <r>
    <x v="18"/>
  </r>
  <r>
    <x v="62"/>
  </r>
  <r>
    <x v="23"/>
  </r>
  <r>
    <x v="122"/>
  </r>
  <r>
    <x v="13"/>
  </r>
  <r>
    <x v="11"/>
  </r>
  <r>
    <x v="67"/>
  </r>
  <r>
    <x v="13"/>
  </r>
  <r>
    <x v="11"/>
  </r>
  <r>
    <x v="138"/>
  </r>
  <r>
    <x v="6"/>
  </r>
  <r>
    <x v="69"/>
  </r>
  <r>
    <x v="11"/>
  </r>
  <r>
    <x v="2"/>
  </r>
  <r>
    <x v="14"/>
  </r>
  <r>
    <x v="40"/>
  </r>
  <r>
    <x v="62"/>
  </r>
  <r>
    <x v="11"/>
  </r>
  <r>
    <x v="56"/>
  </r>
  <r>
    <x v="139"/>
  </r>
  <r>
    <x v="5"/>
  </r>
  <r>
    <x v="13"/>
  </r>
  <r>
    <x v="140"/>
  </r>
  <r>
    <x v="141"/>
  </r>
  <r>
    <x v="77"/>
  </r>
  <r>
    <x v="11"/>
  </r>
  <r>
    <x v="16"/>
  </r>
  <r>
    <x v="36"/>
  </r>
  <r>
    <x v="14"/>
  </r>
  <r>
    <x v="5"/>
  </r>
  <r>
    <x v="5"/>
  </r>
  <r>
    <x v="2"/>
  </r>
  <r>
    <x v="117"/>
  </r>
  <r>
    <x v="132"/>
  </r>
  <r>
    <x v="24"/>
  </r>
  <r>
    <x v="36"/>
  </r>
  <r>
    <x v="1"/>
  </r>
  <r>
    <x v="18"/>
  </r>
  <r>
    <x v="11"/>
  </r>
  <r>
    <x v="16"/>
  </r>
  <r>
    <x v="73"/>
  </r>
  <r>
    <x v="83"/>
  </r>
  <r>
    <x v="14"/>
  </r>
  <r>
    <x v="18"/>
  </r>
  <r>
    <x v="1"/>
  </r>
  <r>
    <x v="69"/>
  </r>
  <r>
    <x v="83"/>
  </r>
  <r>
    <x v="17"/>
  </r>
  <r>
    <x v="73"/>
  </r>
  <r>
    <x v="14"/>
  </r>
  <r>
    <x v="59"/>
  </r>
  <r>
    <x v="17"/>
  </r>
  <r>
    <x v="16"/>
  </r>
  <r>
    <x v="59"/>
  </r>
  <r>
    <x v="59"/>
  </r>
  <r>
    <x v="6"/>
  </r>
  <r>
    <x v="1"/>
  </r>
  <r>
    <x v="77"/>
  </r>
  <r>
    <x v="24"/>
  </r>
  <r>
    <x v="73"/>
  </r>
  <r>
    <x v="77"/>
  </r>
  <r>
    <x v="18"/>
  </r>
  <r>
    <x v="142"/>
  </r>
  <r>
    <x v="0"/>
  </r>
  <r>
    <x v="143"/>
  </r>
  <r>
    <x v="18"/>
  </r>
  <r>
    <x v="56"/>
  </r>
  <r>
    <x v="26"/>
  </r>
  <r>
    <x v="77"/>
  </r>
  <r>
    <x v="144"/>
  </r>
  <r>
    <x v="83"/>
  </r>
  <r>
    <x v="11"/>
  </r>
  <r>
    <x v="1"/>
  </r>
  <r>
    <x v="14"/>
  </r>
  <r>
    <x v="5"/>
  </r>
  <r>
    <x v="1"/>
  </r>
  <r>
    <x v="6"/>
  </r>
  <r>
    <x v="83"/>
  </r>
  <r>
    <x v="11"/>
  </r>
  <r>
    <x v="73"/>
  </r>
  <r>
    <x v="13"/>
  </r>
  <r>
    <x v="11"/>
  </r>
  <r>
    <x v="62"/>
  </r>
  <r>
    <x v="11"/>
  </r>
  <r>
    <x v="14"/>
  </r>
  <r>
    <x v="132"/>
  </r>
  <r>
    <x v="5"/>
  </r>
  <r>
    <x v="5"/>
  </r>
  <r>
    <x v="29"/>
  </r>
  <r>
    <x v="11"/>
  </r>
  <r>
    <x v="1"/>
  </r>
  <r>
    <x v="1"/>
  </r>
  <r>
    <x v="6"/>
  </r>
  <r>
    <x v="14"/>
  </r>
  <r>
    <x v="13"/>
  </r>
  <r>
    <x v="16"/>
  </r>
  <r>
    <x v="14"/>
  </r>
  <r>
    <x v="29"/>
  </r>
  <r>
    <x v="100"/>
  </r>
  <r>
    <x v="13"/>
  </r>
  <r>
    <x v="83"/>
  </r>
  <r>
    <x v="79"/>
  </r>
  <r>
    <x v="17"/>
  </r>
  <r>
    <x v="17"/>
  </r>
  <r>
    <x v="59"/>
  </r>
  <r>
    <x v="16"/>
  </r>
  <r>
    <x v="11"/>
  </r>
  <r>
    <x v="1"/>
  </r>
  <r>
    <x v="19"/>
  </r>
  <r>
    <x v="83"/>
  </r>
  <r>
    <x v="16"/>
  </r>
  <r>
    <x v="145"/>
  </r>
  <r>
    <x v="17"/>
  </r>
  <r>
    <x v="37"/>
  </r>
  <r>
    <x v="123"/>
  </r>
  <r>
    <x v="146"/>
  </r>
  <r>
    <x v="5"/>
  </r>
  <r>
    <x v="18"/>
  </r>
  <r>
    <x v="11"/>
  </r>
  <r>
    <x v="59"/>
  </r>
  <r>
    <x v="5"/>
  </r>
  <r>
    <x v="11"/>
  </r>
  <r>
    <x v="62"/>
  </r>
  <r>
    <x v="5"/>
  </r>
  <r>
    <x v="6"/>
  </r>
  <r>
    <x v="11"/>
  </r>
  <r>
    <x v="93"/>
  </r>
  <r>
    <x v="14"/>
  </r>
  <r>
    <x v="59"/>
  </r>
  <r>
    <x v="13"/>
  </r>
  <r>
    <x v="11"/>
  </r>
  <r>
    <x v="13"/>
  </r>
  <r>
    <x v="24"/>
  </r>
  <r>
    <x v="11"/>
  </r>
  <r>
    <x v="79"/>
  </r>
  <r>
    <x v="59"/>
  </r>
  <r>
    <x v="5"/>
  </r>
  <r>
    <x v="59"/>
  </r>
  <r>
    <x v="59"/>
  </r>
  <r>
    <x v="17"/>
  </r>
  <r>
    <x v="24"/>
  </r>
  <r>
    <x v="5"/>
  </r>
  <r>
    <x v="13"/>
  </r>
  <r>
    <x v="5"/>
  </r>
  <r>
    <x v="5"/>
  </r>
  <r>
    <x v="13"/>
  </r>
  <r>
    <x v="1"/>
  </r>
  <r>
    <x v="5"/>
  </r>
  <r>
    <x v="59"/>
  </r>
  <r>
    <x v="6"/>
  </r>
  <r>
    <x v="99"/>
  </r>
  <r>
    <x v="147"/>
  </r>
  <r>
    <x v="16"/>
  </r>
  <r>
    <x v="1"/>
  </r>
  <r>
    <x v="5"/>
  </r>
  <r>
    <x v="53"/>
  </r>
  <r>
    <x v="148"/>
  </r>
  <r>
    <x v="5"/>
  </r>
  <r>
    <x v="6"/>
  </r>
  <r>
    <x v="24"/>
  </r>
  <r>
    <x v="17"/>
  </r>
  <r>
    <x v="17"/>
  </r>
  <r>
    <x v="24"/>
  </r>
  <r>
    <x v="80"/>
  </r>
  <r>
    <x v="5"/>
  </r>
  <r>
    <x v="149"/>
  </r>
  <r>
    <x v="60"/>
  </r>
  <r>
    <x v="5"/>
  </r>
  <r>
    <x v="5"/>
  </r>
  <r>
    <x v="24"/>
  </r>
  <r>
    <x v="17"/>
  </r>
  <r>
    <x v="11"/>
  </r>
  <r>
    <x v="11"/>
  </r>
  <r>
    <x v="11"/>
  </r>
  <r>
    <x v="5"/>
  </r>
  <r>
    <x v="5"/>
  </r>
  <r>
    <x v="34"/>
  </r>
  <r>
    <x v="14"/>
  </r>
  <r>
    <x v="42"/>
  </r>
  <r>
    <x v="5"/>
  </r>
  <r>
    <x v="11"/>
  </r>
  <r>
    <x v="1"/>
  </r>
  <r>
    <x v="5"/>
  </r>
  <r>
    <x v="30"/>
  </r>
  <r>
    <x v="150"/>
  </r>
  <r>
    <x v="151"/>
  </r>
  <r>
    <x v="17"/>
  </r>
  <r>
    <x v="67"/>
  </r>
  <r>
    <x v="16"/>
  </r>
  <r>
    <x v="59"/>
  </r>
  <r>
    <x v="11"/>
  </r>
  <r>
    <x v="14"/>
  </r>
  <r>
    <x v="18"/>
  </r>
  <r>
    <x v="17"/>
  </r>
  <r>
    <x v="5"/>
  </r>
  <r>
    <x v="24"/>
  </r>
  <r>
    <x v="6"/>
  </r>
  <r>
    <x v="13"/>
  </r>
  <r>
    <x v="73"/>
  </r>
  <r>
    <x v="17"/>
  </r>
  <r>
    <x v="14"/>
  </r>
  <r>
    <x v="152"/>
  </r>
  <r>
    <x v="14"/>
  </r>
  <r>
    <x v="14"/>
  </r>
  <r>
    <x v="76"/>
  </r>
  <r>
    <x v="5"/>
  </r>
  <r>
    <x v="11"/>
  </r>
  <r>
    <x v="16"/>
  </r>
  <r>
    <x v="5"/>
  </r>
  <r>
    <x v="4"/>
  </r>
  <r>
    <x v="150"/>
  </r>
  <r>
    <x v="11"/>
  </r>
  <r>
    <x v="11"/>
  </r>
  <r>
    <x v="5"/>
  </r>
  <r>
    <x v="11"/>
  </r>
  <r>
    <x v="15"/>
  </r>
  <r>
    <x v="153"/>
  </r>
  <r>
    <x v="83"/>
  </r>
  <r>
    <x v="51"/>
  </r>
  <r>
    <x v="36"/>
  </r>
  <r>
    <x v="76"/>
  </r>
  <r>
    <x v="5"/>
  </r>
  <r>
    <x v="16"/>
  </r>
  <r>
    <x v="65"/>
  </r>
  <r>
    <x v="1"/>
  </r>
  <r>
    <x v="6"/>
  </r>
  <r>
    <x v="16"/>
  </r>
  <r>
    <x v="154"/>
  </r>
  <r>
    <x v="155"/>
  </r>
  <r>
    <x v="5"/>
  </r>
  <r>
    <x v="56"/>
  </r>
  <r>
    <x v="35"/>
  </r>
  <r>
    <x v="17"/>
  </r>
  <r>
    <x v="13"/>
  </r>
  <r>
    <x v="59"/>
  </r>
  <r>
    <x v="17"/>
  </r>
  <r>
    <x v="6"/>
  </r>
  <r>
    <x v="5"/>
  </r>
  <r>
    <x v="11"/>
  </r>
  <r>
    <x v="83"/>
  </r>
  <r>
    <x v="79"/>
  </r>
  <r>
    <x v="11"/>
  </r>
  <r>
    <x v="5"/>
  </r>
  <r>
    <x v="145"/>
  </r>
  <r>
    <x v="11"/>
  </r>
  <r>
    <x v="87"/>
  </r>
  <r>
    <x v="14"/>
  </r>
  <r>
    <x v="1"/>
  </r>
  <r>
    <x v="17"/>
  </r>
  <r>
    <x v="73"/>
  </r>
  <r>
    <x v="6"/>
  </r>
  <r>
    <x v="77"/>
  </r>
  <r>
    <x v="6"/>
  </r>
  <r>
    <x v="13"/>
  </r>
  <r>
    <x v="6"/>
  </r>
  <r>
    <x v="17"/>
  </r>
  <r>
    <x v="11"/>
  </r>
  <r>
    <x v="83"/>
  </r>
  <r>
    <x v="79"/>
  </r>
  <r>
    <x v="5"/>
  </r>
  <r>
    <x v="17"/>
  </r>
  <r>
    <x v="29"/>
  </r>
  <r>
    <x v="23"/>
  </r>
  <r>
    <x v="13"/>
  </r>
  <r>
    <x v="24"/>
  </r>
  <r>
    <x v="55"/>
  </r>
  <r>
    <x v="156"/>
  </r>
  <r>
    <x v="92"/>
  </r>
  <r>
    <x v="1"/>
  </r>
  <r>
    <x v="11"/>
  </r>
  <r>
    <x v="24"/>
  </r>
  <r>
    <x v="11"/>
  </r>
  <r>
    <x v="18"/>
  </r>
  <r>
    <x v="83"/>
  </r>
  <r>
    <x v="17"/>
  </r>
  <r>
    <x v="5"/>
  </r>
  <r>
    <x v="140"/>
  </r>
  <r>
    <x v="15"/>
  </r>
  <r>
    <x v="5"/>
  </r>
  <r>
    <x v="6"/>
  </r>
  <r>
    <x v="157"/>
  </r>
  <r>
    <x v="37"/>
  </r>
  <r>
    <x v="5"/>
  </r>
  <r>
    <x v="13"/>
  </r>
  <r>
    <x v="158"/>
  </r>
  <r>
    <x v="1"/>
  </r>
  <r>
    <x v="6"/>
  </r>
  <r>
    <x v="16"/>
  </r>
  <r>
    <x v="1"/>
  </r>
  <r>
    <x v="30"/>
  </r>
  <r>
    <x v="93"/>
  </r>
  <r>
    <x v="80"/>
  </r>
  <r>
    <x v="23"/>
  </r>
  <r>
    <x v="11"/>
  </r>
  <r>
    <x v="30"/>
  </r>
  <r>
    <x v="45"/>
  </r>
  <r>
    <x v="11"/>
  </r>
  <r>
    <x v="77"/>
  </r>
  <r>
    <x v="16"/>
  </r>
  <r>
    <x v="18"/>
  </r>
  <r>
    <x v="159"/>
  </r>
  <r>
    <x v="83"/>
  </r>
  <r>
    <x v="76"/>
  </r>
  <r>
    <x v="30"/>
  </r>
  <r>
    <x v="11"/>
  </r>
  <r>
    <x v="37"/>
  </r>
  <r>
    <x v="29"/>
  </r>
  <r>
    <x v="5"/>
  </r>
  <r>
    <x v="18"/>
  </r>
  <r>
    <x v="24"/>
  </r>
  <r>
    <x v="6"/>
  </r>
  <r>
    <x v="35"/>
  </r>
  <r>
    <x v="65"/>
  </r>
  <r>
    <x v="5"/>
  </r>
  <r>
    <x v="5"/>
  </r>
  <r>
    <x v="24"/>
  </r>
  <r>
    <x v="18"/>
  </r>
  <r>
    <x v="73"/>
  </r>
  <r>
    <x v="5"/>
  </r>
  <r>
    <x v="5"/>
  </r>
  <r>
    <x v="21"/>
  </r>
  <r>
    <x v="1"/>
  </r>
  <r>
    <x v="5"/>
  </r>
  <r>
    <x v="93"/>
  </r>
  <r>
    <x v="18"/>
  </r>
  <r>
    <x v="6"/>
  </r>
  <r>
    <x v="14"/>
  </r>
  <r>
    <x v="77"/>
  </r>
  <r>
    <x v="51"/>
  </r>
  <r>
    <x v="11"/>
  </r>
  <r>
    <x v="11"/>
  </r>
  <r>
    <x v="49"/>
  </r>
  <r>
    <x v="23"/>
  </r>
  <r>
    <x v="60"/>
  </r>
  <r>
    <x v="11"/>
  </r>
  <r>
    <x v="11"/>
  </r>
  <r>
    <x v="11"/>
  </r>
  <r>
    <x v="11"/>
  </r>
  <r>
    <x v="59"/>
  </r>
  <r>
    <x v="136"/>
  </r>
  <r>
    <x v="6"/>
  </r>
  <r>
    <x v="160"/>
  </r>
  <r>
    <x v="6"/>
  </r>
  <r>
    <x v="5"/>
  </r>
  <r>
    <x v="59"/>
  </r>
  <r>
    <x v="14"/>
  </r>
  <r>
    <x v="161"/>
  </r>
  <r>
    <x v="37"/>
  </r>
  <r>
    <x v="11"/>
  </r>
  <r>
    <x v="1"/>
  </r>
  <r>
    <x v="42"/>
  </r>
  <r>
    <x v="11"/>
  </r>
  <r>
    <x v="14"/>
  </r>
  <r>
    <x v="60"/>
  </r>
  <r>
    <x v="5"/>
  </r>
  <r>
    <x v="77"/>
  </r>
  <r>
    <x v="6"/>
  </r>
  <r>
    <x v="23"/>
  </r>
  <r>
    <x v="19"/>
  </r>
  <r>
    <x v="0"/>
  </r>
  <r>
    <x v="162"/>
  </r>
  <r>
    <x v="11"/>
  </r>
  <r>
    <x v="11"/>
  </r>
  <r>
    <x v="1"/>
  </r>
  <r>
    <x v="77"/>
  </r>
  <r>
    <x v="6"/>
  </r>
  <r>
    <x v="11"/>
  </r>
  <r>
    <x v="76"/>
  </r>
  <r>
    <x v="5"/>
  </r>
  <r>
    <x v="5"/>
  </r>
  <r>
    <x v="5"/>
  </r>
  <r>
    <x v="92"/>
  </r>
  <r>
    <x v="5"/>
  </r>
  <r>
    <x v="11"/>
  </r>
  <r>
    <x v="24"/>
  </r>
  <r>
    <x v="18"/>
  </r>
  <r>
    <x v="79"/>
  </r>
  <r>
    <x v="11"/>
  </r>
  <r>
    <x v="44"/>
  </r>
  <r>
    <x v="6"/>
  </r>
  <r>
    <x v="15"/>
  </r>
  <r>
    <x v="18"/>
  </r>
  <r>
    <x v="79"/>
  </r>
  <r>
    <x v="17"/>
  </r>
  <r>
    <x v="77"/>
  </r>
  <r>
    <x v="69"/>
  </r>
  <r>
    <x v="53"/>
  </r>
  <r>
    <x v="5"/>
  </r>
  <r>
    <x v="18"/>
  </r>
  <r>
    <x v="76"/>
  </r>
  <r>
    <x v="16"/>
  </r>
  <r>
    <x v="79"/>
  </r>
  <r>
    <x v="5"/>
  </r>
  <r>
    <x v="6"/>
  </r>
  <r>
    <x v="80"/>
  </r>
  <r>
    <x v="16"/>
  </r>
  <r>
    <x v="6"/>
  </r>
  <r>
    <x v="5"/>
  </r>
  <r>
    <x v="77"/>
  </r>
  <r>
    <x v="51"/>
  </r>
  <r>
    <x v="5"/>
  </r>
  <r>
    <x v="5"/>
  </r>
  <r>
    <x v="14"/>
  </r>
  <r>
    <x v="5"/>
  </r>
  <r>
    <x v="11"/>
  </r>
  <r>
    <x v="6"/>
  </r>
  <r>
    <x v="51"/>
  </r>
  <r>
    <x v="77"/>
  </r>
  <r>
    <x v="5"/>
  </r>
  <r>
    <x v="21"/>
  </r>
  <r>
    <x v="17"/>
  </r>
  <r>
    <x v="17"/>
  </r>
  <r>
    <x v="60"/>
  </r>
  <r>
    <x v="62"/>
  </r>
  <r>
    <x v="16"/>
  </r>
  <r>
    <x v="14"/>
  </r>
  <r>
    <x v="73"/>
  </r>
  <r>
    <x v="11"/>
  </r>
  <r>
    <x v="15"/>
  </r>
  <r>
    <x v="18"/>
  </r>
  <r>
    <x v="18"/>
  </r>
  <r>
    <x v="128"/>
  </r>
  <r>
    <x v="14"/>
  </r>
  <r>
    <x v="11"/>
  </r>
  <r>
    <x v="51"/>
  </r>
  <r>
    <x v="17"/>
  </r>
  <r>
    <x v="11"/>
  </r>
  <r>
    <x v="6"/>
  </r>
  <r>
    <x v="11"/>
  </r>
  <r>
    <x v="56"/>
  </r>
  <r>
    <x v="11"/>
  </r>
  <r>
    <x v="73"/>
  </r>
  <r>
    <x v="15"/>
  </r>
  <r>
    <x v="37"/>
  </r>
  <r>
    <x v="5"/>
  </r>
  <r>
    <x v="17"/>
  </r>
  <r>
    <x v="83"/>
  </r>
  <r>
    <x v="5"/>
  </r>
  <r>
    <x v="5"/>
  </r>
  <r>
    <x v="35"/>
  </r>
  <r>
    <x v="5"/>
  </r>
  <r>
    <x v="6"/>
  </r>
  <r>
    <x v="6"/>
  </r>
  <r>
    <x v="5"/>
  </r>
  <r>
    <x v="24"/>
  </r>
  <r>
    <x v="79"/>
  </r>
  <r>
    <x v="6"/>
  </r>
  <r>
    <x v="11"/>
  </r>
  <r>
    <x v="77"/>
  </r>
  <r>
    <x v="19"/>
  </r>
  <r>
    <x v="77"/>
  </r>
  <r>
    <x v="11"/>
  </r>
  <r>
    <x v="18"/>
  </r>
  <r>
    <x v="5"/>
  </r>
  <r>
    <x v="18"/>
  </r>
  <r>
    <x v="15"/>
  </r>
  <r>
    <x v="16"/>
  </r>
  <r>
    <x v="79"/>
  </r>
  <r>
    <x v="83"/>
  </r>
  <r>
    <x v="23"/>
  </r>
  <r>
    <x v="77"/>
  </r>
  <r>
    <x v="163"/>
  </r>
  <r>
    <x v="5"/>
  </r>
  <r>
    <x v="14"/>
  </r>
  <r>
    <x v="16"/>
  </r>
  <r>
    <x v="73"/>
  </r>
  <r>
    <x v="11"/>
  </r>
  <r>
    <x v="5"/>
  </r>
  <r>
    <x v="37"/>
  </r>
  <r>
    <x v="11"/>
  </r>
  <r>
    <x v="13"/>
  </r>
  <r>
    <x v="83"/>
  </r>
  <r>
    <x v="16"/>
  </r>
  <r>
    <x v="28"/>
  </r>
  <r>
    <x v="18"/>
  </r>
  <r>
    <x v="11"/>
  </r>
  <r>
    <x v="15"/>
  </r>
  <r>
    <x v="14"/>
  </r>
  <r>
    <x v="164"/>
  </r>
  <r>
    <x v="136"/>
  </r>
  <r>
    <x v="13"/>
  </r>
  <r>
    <x v="26"/>
  </r>
  <r>
    <x v="11"/>
  </r>
  <r>
    <x v="6"/>
  </r>
  <r>
    <x v="18"/>
  </r>
  <r>
    <x v="79"/>
  </r>
  <r>
    <x v="6"/>
  </r>
  <r>
    <x v="16"/>
  </r>
  <r>
    <x v="62"/>
  </r>
  <r>
    <x v="5"/>
  </r>
  <r>
    <x v="165"/>
  </r>
  <r>
    <x v="83"/>
  </r>
  <r>
    <x v="17"/>
  </r>
  <r>
    <x v="63"/>
  </r>
  <r>
    <x v="26"/>
  </r>
  <r>
    <x v="6"/>
  </r>
  <r>
    <x v="51"/>
  </r>
  <r>
    <x v="145"/>
  </r>
  <r>
    <x v="5"/>
  </r>
  <r>
    <x v="11"/>
  </r>
  <r>
    <x v="1"/>
  </r>
  <r>
    <x v="6"/>
  </r>
  <r>
    <x v="6"/>
  </r>
  <r>
    <x v="16"/>
  </r>
  <r>
    <x v="69"/>
  </r>
  <r>
    <x v="16"/>
  </r>
  <r>
    <x v="11"/>
  </r>
  <r>
    <x v="1"/>
  </r>
  <r>
    <x v="73"/>
  </r>
  <r>
    <x v="6"/>
  </r>
  <r>
    <x v="37"/>
  </r>
  <r>
    <x v="5"/>
  </r>
  <r>
    <x v="11"/>
  </r>
  <r>
    <x v="17"/>
  </r>
  <r>
    <x v="5"/>
  </r>
  <r>
    <x v="60"/>
  </r>
  <r>
    <x v="79"/>
  </r>
  <r>
    <x v="11"/>
  </r>
  <r>
    <x v="26"/>
  </r>
  <r>
    <x v="11"/>
  </r>
  <r>
    <x v="14"/>
  </r>
  <r>
    <x v="11"/>
  </r>
  <r>
    <x v="39"/>
  </r>
  <r>
    <x v="6"/>
  </r>
  <r>
    <x v="69"/>
  </r>
  <r>
    <x v="11"/>
  </r>
  <r>
    <x v="6"/>
  </r>
  <r>
    <x v="30"/>
  </r>
  <r>
    <x v="5"/>
  </r>
  <r>
    <x v="11"/>
  </r>
  <r>
    <x v="65"/>
  </r>
  <r>
    <x v="69"/>
  </r>
  <r>
    <x v="28"/>
  </r>
  <r>
    <x v="17"/>
  </r>
  <r>
    <x v="16"/>
  </r>
  <r>
    <x v="60"/>
  </r>
  <r>
    <x v="92"/>
  </r>
  <r>
    <x v="150"/>
  </r>
  <r>
    <x v="30"/>
  </r>
  <r>
    <x v="30"/>
  </r>
  <r>
    <x v="6"/>
  </r>
  <r>
    <x v="5"/>
  </r>
  <r>
    <x v="156"/>
  </r>
  <r>
    <x v="79"/>
  </r>
  <r>
    <x v="14"/>
  </r>
  <r>
    <x v="36"/>
  </r>
  <r>
    <x v="16"/>
  </r>
  <r>
    <x v="6"/>
  </r>
  <r>
    <x v="15"/>
  </r>
  <r>
    <x v="77"/>
  </r>
  <r>
    <x v="5"/>
  </r>
  <r>
    <x v="150"/>
  </r>
  <r>
    <x v="59"/>
  </r>
  <r>
    <x v="11"/>
  </r>
  <r>
    <x v="5"/>
  </r>
  <r>
    <x v="148"/>
  </r>
  <r>
    <x v="6"/>
  </r>
  <r>
    <x v="166"/>
  </r>
  <r>
    <x v="83"/>
  </r>
  <r>
    <x v="6"/>
  </r>
  <r>
    <x v="5"/>
  </r>
  <r>
    <x v="45"/>
  </r>
  <r>
    <x v="11"/>
  </r>
  <r>
    <x v="17"/>
  </r>
  <r>
    <x v="77"/>
  </r>
  <r>
    <x v="14"/>
  </r>
  <r>
    <x v="16"/>
  </r>
  <r>
    <x v="6"/>
  </r>
  <r>
    <x v="5"/>
  </r>
  <r>
    <x v="5"/>
  </r>
  <r>
    <x v="83"/>
  </r>
  <r>
    <x v="11"/>
  </r>
  <r>
    <x v="11"/>
  </r>
  <r>
    <x v="130"/>
  </r>
  <r>
    <x v="24"/>
  </r>
  <r>
    <x v="14"/>
  </r>
  <r>
    <x v="24"/>
  </r>
  <r>
    <x v="11"/>
  </r>
  <r>
    <x v="6"/>
  </r>
  <r>
    <x v="15"/>
  </r>
  <r>
    <x v="6"/>
  </r>
  <r>
    <x v="17"/>
  </r>
  <r>
    <x v="14"/>
  </r>
  <r>
    <x v="14"/>
  </r>
  <r>
    <x v="11"/>
  </r>
  <r>
    <x v="11"/>
  </r>
  <r>
    <x v="11"/>
  </r>
  <r>
    <x v="5"/>
  </r>
  <r>
    <x v="18"/>
  </r>
  <r>
    <x v="136"/>
  </r>
  <r>
    <x v="77"/>
  </r>
  <r>
    <x v="1"/>
  </r>
  <r>
    <x v="5"/>
  </r>
  <r>
    <x v="11"/>
  </r>
  <r>
    <x v="77"/>
  </r>
  <r>
    <x v="14"/>
  </r>
  <r>
    <x v="23"/>
  </r>
  <r>
    <x v="142"/>
  </r>
  <r>
    <x v="5"/>
  </r>
  <r>
    <x v="11"/>
  </r>
  <r>
    <x v="5"/>
  </r>
  <r>
    <x v="14"/>
  </r>
  <r>
    <x v="6"/>
  </r>
  <r>
    <x v="6"/>
  </r>
  <r>
    <x v="6"/>
  </r>
  <r>
    <x v="23"/>
  </r>
  <r>
    <x v="59"/>
  </r>
  <r>
    <x v="11"/>
  </r>
  <r>
    <x v="23"/>
  </r>
  <r>
    <x v="5"/>
  </r>
  <r>
    <x v="14"/>
  </r>
  <r>
    <x v="87"/>
  </r>
  <r>
    <x v="109"/>
  </r>
  <r>
    <x v="6"/>
  </r>
  <r>
    <x v="11"/>
  </r>
  <r>
    <x v="83"/>
  </r>
  <r>
    <x v="11"/>
  </r>
  <r>
    <x v="11"/>
  </r>
  <r>
    <x v="11"/>
  </r>
  <r>
    <x v="6"/>
  </r>
  <r>
    <x v="6"/>
  </r>
  <r>
    <x v="15"/>
  </r>
  <r>
    <x v="60"/>
  </r>
  <r>
    <x v="6"/>
  </r>
  <r>
    <x v="16"/>
  </r>
  <r>
    <x v="14"/>
  </r>
  <r>
    <x v="5"/>
  </r>
  <r>
    <x v="18"/>
  </r>
  <r>
    <x v="37"/>
  </r>
  <r>
    <x v="14"/>
  </r>
  <r>
    <x v="6"/>
  </r>
  <r>
    <x v="15"/>
  </r>
  <r>
    <x v="6"/>
  </r>
  <r>
    <x v="17"/>
  </r>
  <r>
    <x v="24"/>
  </r>
  <r>
    <x v="167"/>
  </r>
  <r>
    <x v="168"/>
  </r>
  <r>
    <x v="5"/>
  </r>
  <r>
    <x v="11"/>
  </r>
  <r>
    <x v="17"/>
  </r>
  <r>
    <x v="169"/>
  </r>
  <r>
    <x v="18"/>
  </r>
  <r>
    <x v="6"/>
  </r>
  <r>
    <x v="5"/>
  </r>
  <r>
    <x v="11"/>
  </r>
  <r>
    <x v="24"/>
  </r>
  <r>
    <x v="11"/>
  </r>
  <r>
    <x v="17"/>
  </r>
  <r>
    <x v="170"/>
  </r>
  <r>
    <x v="6"/>
  </r>
  <r>
    <x v="109"/>
  </r>
  <r>
    <x v="18"/>
  </r>
  <r>
    <x v="60"/>
  </r>
  <r>
    <x v="6"/>
  </r>
  <r>
    <x v="6"/>
  </r>
  <r>
    <x v="77"/>
  </r>
  <r>
    <x v="11"/>
  </r>
  <r>
    <x v="59"/>
  </r>
  <r>
    <x v="18"/>
  </r>
  <r>
    <x v="1"/>
  </r>
  <r>
    <x v="80"/>
  </r>
  <r>
    <x v="150"/>
  </r>
  <r>
    <x v="24"/>
  </r>
  <r>
    <x v="5"/>
  </r>
  <r>
    <x v="18"/>
  </r>
  <r>
    <x v="79"/>
  </r>
  <r>
    <x v="6"/>
  </r>
  <r>
    <x v="14"/>
  </r>
  <r>
    <x v="24"/>
  </r>
  <r>
    <x v="36"/>
  </r>
  <r>
    <x v="11"/>
  </r>
  <r>
    <x v="79"/>
  </r>
  <r>
    <x v="59"/>
  </r>
  <r>
    <x v="14"/>
  </r>
  <r>
    <x v="5"/>
  </r>
  <r>
    <x v="83"/>
  </r>
  <r>
    <x v="16"/>
  </r>
  <r>
    <x v="60"/>
  </r>
  <r>
    <x v="15"/>
  </r>
  <r>
    <x v="6"/>
  </r>
  <r>
    <x v="24"/>
  </r>
  <r>
    <x v="69"/>
  </r>
  <r>
    <x v="55"/>
  </r>
  <r>
    <x v="6"/>
  </r>
  <r>
    <x v="24"/>
  </r>
  <r>
    <x v="11"/>
  </r>
  <r>
    <x v="14"/>
  </r>
  <r>
    <x v="5"/>
  </r>
  <r>
    <x v="16"/>
  </r>
  <r>
    <x v="79"/>
  </r>
  <r>
    <x v="30"/>
  </r>
  <r>
    <x v="11"/>
  </r>
  <r>
    <x v="60"/>
  </r>
  <r>
    <x v="6"/>
  </r>
  <r>
    <x v="16"/>
  </r>
  <r>
    <x v="65"/>
  </r>
  <r>
    <x v="6"/>
  </r>
  <r>
    <x v="6"/>
  </r>
  <r>
    <x v="33"/>
  </r>
  <r>
    <x v="73"/>
  </r>
  <r>
    <x v="18"/>
  </r>
  <r>
    <x v="11"/>
  </r>
  <r>
    <x v="16"/>
  </r>
  <r>
    <x v="24"/>
  </r>
  <r>
    <x v="16"/>
  </r>
  <r>
    <x v="59"/>
  </r>
  <r>
    <x v="39"/>
  </r>
  <r>
    <x v="30"/>
  </r>
  <r>
    <x v="30"/>
  </r>
  <r>
    <x v="6"/>
  </r>
  <r>
    <x v="17"/>
  </r>
  <r>
    <x v="13"/>
  </r>
  <r>
    <x v="5"/>
  </r>
  <r>
    <x v="14"/>
  </r>
  <r>
    <x v="80"/>
  </r>
  <r>
    <x v="6"/>
  </r>
  <r>
    <x v="6"/>
  </r>
  <r>
    <x v="11"/>
  </r>
  <r>
    <x v="18"/>
  </r>
  <r>
    <x v="5"/>
  </r>
  <r>
    <x v="11"/>
  </r>
  <r>
    <x v="6"/>
  </r>
  <r>
    <x v="14"/>
  </r>
  <r>
    <x v="93"/>
  </r>
  <r>
    <x v="5"/>
  </r>
  <r>
    <x v="16"/>
  </r>
  <r>
    <x v="93"/>
  </r>
  <r>
    <x v="11"/>
  </r>
  <r>
    <x v="83"/>
  </r>
  <r>
    <x v="83"/>
  </r>
  <r>
    <x v="5"/>
  </r>
  <r>
    <x v="79"/>
  </r>
  <r>
    <x v="14"/>
  </r>
  <r>
    <x v="24"/>
  </r>
  <r>
    <x v="37"/>
  </r>
  <r>
    <x v="83"/>
  </r>
  <r>
    <x v="51"/>
  </r>
  <r>
    <x v="16"/>
  </r>
  <r>
    <x v="96"/>
  </r>
  <r>
    <x v="80"/>
  </r>
  <r>
    <x v="79"/>
  </r>
  <r>
    <x v="66"/>
  </r>
  <r>
    <x v="17"/>
  </r>
  <r>
    <x v="62"/>
  </r>
  <r>
    <x v="160"/>
  </r>
  <r>
    <x v="11"/>
  </r>
  <r>
    <x v="76"/>
  </r>
  <r>
    <x v="11"/>
  </r>
  <r>
    <x v="11"/>
  </r>
  <r>
    <x v="5"/>
  </r>
  <r>
    <x v="6"/>
  </r>
  <r>
    <x v="93"/>
  </r>
  <r>
    <x v="24"/>
  </r>
  <r>
    <x v="65"/>
  </r>
  <r>
    <x v="6"/>
  </r>
  <r>
    <x v="6"/>
  </r>
  <r>
    <x v="11"/>
  </r>
  <r>
    <x v="109"/>
  </r>
  <r>
    <x v="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n v="1"/>
    <n v="1"/>
    <n v="8"/>
    <d v="2021-07-23T00:00:00"/>
    <x v="0"/>
    <s v="Beggin'"/>
    <n v="48633449"/>
    <s v="Måneskin"/>
    <n v="3377762"/>
    <s v="indie rock italiano"/>
    <d v="2017-12-08T00:00:00"/>
    <n v="100"/>
    <x v="0"/>
    <n v="0.71399999999999997"/>
    <n v="0.8"/>
    <n v="5.04E-2"/>
    <n v="0.127"/>
    <n v="0.35899999999999999"/>
    <n v="0.58899999999999997"/>
    <n v="-4.8079999999999998"/>
    <n v="211560"/>
    <n v="2017"/>
    <x v="0"/>
  </r>
  <r>
    <n v="2"/>
    <n v="2"/>
    <n v="3"/>
    <d v="2021-07-23T00:00:00"/>
    <x v="1"/>
    <s v="STAY (with Justin Bieber)"/>
    <n v="47248719"/>
    <s v="The Kid LAROI"/>
    <n v="2230022"/>
    <s v="australian hip hop"/>
    <d v="2021-07-09T00:00:00"/>
    <n v="99"/>
    <x v="0"/>
    <n v="0.59099999999999997"/>
    <n v="0.76400000000000001"/>
    <n v="4.8300000000000003E-2"/>
    <n v="3.8300000000000001E-2"/>
    <n v="0.10299999999999999"/>
    <n v="0.47799999999999998"/>
    <n v="-5.484"/>
    <n v="141806"/>
    <n v="2021"/>
    <x v="0"/>
  </r>
  <r>
    <n v="3"/>
    <n v="1"/>
    <n v="11"/>
    <d v="2021-06-25T00:00:00"/>
    <x v="2"/>
    <s v="good 4 u"/>
    <n v="40162559"/>
    <s v="Olivia Rodrigo"/>
    <n v="6266514"/>
    <s v="pop"/>
    <d v="2021-05-21T00:00:00"/>
    <n v="99"/>
    <x v="0"/>
    <n v="0.56299999999999994"/>
    <n v="0.66400000000000003"/>
    <n v="0.154"/>
    <n v="0.33500000000000002"/>
    <n v="8.4900000000000003E-2"/>
    <n v="0.68799999999999994"/>
    <n v="-5.0439999999999996"/>
    <n v="178147"/>
    <n v="2021"/>
    <x v="0"/>
  </r>
  <r>
    <n v="4"/>
    <n v="3"/>
    <n v="5"/>
    <d v="2021-07-02T00:00:00"/>
    <x v="2"/>
    <s v="Bad Habits"/>
    <n v="37799456"/>
    <s v="Ed Sheeran"/>
    <n v="83293380"/>
    <s v="pop"/>
    <d v="2021-06-25T00:00:00"/>
    <n v="98"/>
    <x v="0"/>
    <n v="0.80800000000000005"/>
    <n v="0.89700000000000002"/>
    <n v="3.4799999999999998E-2"/>
    <n v="4.6899999999999997E-2"/>
    <n v="0.36399999999999999"/>
    <n v="0.59099999999999997"/>
    <n v="-3.7120000000000002"/>
    <n v="231041"/>
    <n v="2021"/>
    <x v="0"/>
  </r>
  <r>
    <n v="6"/>
    <n v="1"/>
    <n v="18"/>
    <d v="2021-05-07T00:00:00"/>
    <x v="1"/>
    <s v="MONTERO (Call Me By Your Name)"/>
    <n v="30071134"/>
    <s v="Lil Nas X"/>
    <n v="5473565"/>
    <s v="lgbtq+ hip hop"/>
    <d v="2021-03-31T00:00:00"/>
    <n v="97"/>
    <x v="1"/>
    <n v="0.61"/>
    <n v="0.50800000000000001"/>
    <n v="0.152"/>
    <n v="0.29699999999999999"/>
    <n v="0.38400000000000001"/>
    <n v="0.75800000000000001"/>
    <n v="-6.6820000000000004"/>
    <n v="137876"/>
    <n v="2021"/>
    <x v="0"/>
  </r>
  <r>
    <n v="5"/>
    <n v="5"/>
    <n v="1"/>
    <d v="2021-07-23T00:00:00"/>
    <x v="1"/>
    <s v="INDUSTRY BABY (feat. Jack Harlow)"/>
    <n v="33948454"/>
    <s v="Lil Nas X"/>
    <n v="5473565"/>
    <s v="lgbtq+ hip hop"/>
    <d v="2021-07-23T00:00:00"/>
    <n v="96"/>
    <x v="0"/>
    <n v="0.73599999999999999"/>
    <n v="0.70399999999999996"/>
    <n v="6.1499999999999999E-2"/>
    <n v="2.0299999999999999E-2"/>
    <n v="5.0099999999999999E-2"/>
    <n v="0.89400000000000002"/>
    <n v="-7.4089999999999998"/>
    <n v="212000"/>
    <n v="2021"/>
    <x v="0"/>
  </r>
  <r>
    <n v="9"/>
    <n v="3"/>
    <n v="8"/>
    <d v="2021-06-18T00:00:00"/>
    <x v="3"/>
    <s v="Yonaguni"/>
    <n v="25030128"/>
    <s v="Bad Bunny"/>
    <n v="36142273"/>
    <s v="latin"/>
    <d v="2021-06-04T00:00:00"/>
    <n v="96"/>
    <x v="0"/>
    <n v="0.64400000000000002"/>
    <n v="0.64800000000000002"/>
    <n v="0.11799999999999999"/>
    <n v="0.27600000000000002"/>
    <n v="0.13500000000000001"/>
    <n v="0.44"/>
    <n v="-4.601"/>
    <n v="206710"/>
    <n v="2021"/>
    <x v="0"/>
  </r>
  <r>
    <n v="8"/>
    <n v="2"/>
    <n v="10"/>
    <d v="2021-06-18T00:00:00"/>
    <x v="2"/>
    <s v="Todo De Ti"/>
    <n v="26951613"/>
    <s v="Rauw Alejandro"/>
    <n v="6080597"/>
    <s v="puerto rican pop"/>
    <d v="2021-05-20T00:00:00"/>
    <n v="95"/>
    <x v="0"/>
    <n v="0.78"/>
    <n v="0.71799999999999997"/>
    <n v="5.0599999999999999E-2"/>
    <n v="0.31"/>
    <n v="9.3200000000000005E-2"/>
    <n v="0.34200000000000003"/>
    <n v="-3.605"/>
    <n v="199604"/>
    <n v="2021"/>
    <x v="0"/>
  </r>
  <r>
    <n v="10"/>
    <n v="8"/>
    <n v="10"/>
    <d v="2021-07-02T00:00:00"/>
    <x v="0"/>
    <s v="I WANNA BE YOUR SLAVE"/>
    <n v="24551591"/>
    <s v="Måneskin"/>
    <n v="3377762"/>
    <s v="indie rock italiano"/>
    <d v="2021-03-19T00:00:00"/>
    <n v="95"/>
    <x v="1"/>
    <n v="0.75"/>
    <n v="0.60799999999999998"/>
    <n v="3.8699999999999998E-2"/>
    <n v="1.65E-3"/>
    <n v="0.17799999999999999"/>
    <n v="0.95799999999999996"/>
    <n v="-4.008"/>
    <n v="173347"/>
    <n v="2021"/>
    <x v="0"/>
  </r>
  <r>
    <n v="12"/>
    <n v="9"/>
    <n v="9"/>
    <d v="2021-07-02T00:00:00"/>
    <x v="3"/>
    <s v="Qué Más Pues?"/>
    <n v="22405111"/>
    <s v="J Balvin, Maria Becerra"/>
    <n v="29051363"/>
    <s v="latin"/>
    <d v="2021-05-28T00:00:00"/>
    <n v="95"/>
    <x v="0"/>
    <n v="0.89100000000000001"/>
    <n v="0.81899999999999995"/>
    <n v="0.106"/>
    <n v="2.6100000000000002E-2"/>
    <n v="0.17299999999999999"/>
    <n v="0.76800000000000002"/>
    <n v="-3.964"/>
    <n v="217773"/>
    <n v="2021"/>
    <x v="0"/>
  </r>
  <r>
    <n v="13"/>
    <n v="5"/>
    <n v="3"/>
    <d v="2021-07-09T00:00:00"/>
    <x v="2"/>
    <s v="Permission to Dance"/>
    <n v="22062812"/>
    <s v="BTS"/>
    <n v="37106176"/>
    <s v="k-pop"/>
    <d v="2021-07-09T00:00:00"/>
    <n v="95"/>
    <x v="0"/>
    <n v="0.70199999999999996"/>
    <n v="0.74099999999999999"/>
    <n v="4.2700000000000002E-2"/>
    <n v="5.4400000000000004E-3"/>
    <n v="0.33700000000000002"/>
    <n v="0.64600000000000002"/>
    <n v="-5.33"/>
    <n v="187585"/>
    <n v="2021"/>
    <x v="0"/>
  </r>
  <r>
    <n v="15"/>
    <n v="2"/>
    <n v="10"/>
    <d v="2021-05-21T00:00:00"/>
    <x v="2"/>
    <s v="Butter"/>
    <n v="19985713"/>
    <s v="BTS"/>
    <n v="37106176"/>
    <s v="k-pop"/>
    <d v="2021-06-04T00:00:00"/>
    <n v="95"/>
    <x v="1"/>
    <n v="0.75900000000000001"/>
    <n v="0.45900000000000002"/>
    <n v="9.4799999999999995E-2"/>
    <n v="3.2299999999999998E-3"/>
    <n v="9.06E-2"/>
    <n v="0.69499999999999995"/>
    <n v="-5.1870000000000003"/>
    <n v="164442"/>
    <n v="2021"/>
    <x v="0"/>
  </r>
  <r>
    <n v="7"/>
    <n v="3"/>
    <n v="16"/>
    <d v="2021-05-14T00:00:00"/>
    <x v="2"/>
    <s v="Kiss Me More (feat. SZA)"/>
    <n v="29356736"/>
    <s v="Doja Cat"/>
    <n v="8640063"/>
    <s v="dance pop"/>
    <d v="2021-04-09T00:00:00"/>
    <n v="94"/>
    <x v="0"/>
    <n v="0.76200000000000001"/>
    <n v="0.70099999999999996"/>
    <n v="2.86E-2"/>
    <n v="0.23499999999999999"/>
    <n v="0.123"/>
    <n v="0.74199999999999999"/>
    <n v="-3.5409999999999999"/>
    <n v="208867"/>
    <n v="2021"/>
    <x v="0"/>
  </r>
  <r>
    <n v="14"/>
    <n v="1"/>
    <n v="19"/>
    <d v="2021-04-02T00:00:00"/>
    <x v="2"/>
    <s v="Peaches (feat. Daniel Caesar &amp; Giveon)"/>
    <n v="20294457"/>
    <s v="Justin Bieber"/>
    <n v="48504126"/>
    <s v="canadian pop"/>
    <d v="2021-03-19T00:00:00"/>
    <n v="94"/>
    <x v="0"/>
    <n v="0.67700000000000005"/>
    <n v="0.69599999999999995"/>
    <n v="0.11899999999999999"/>
    <n v="0.32100000000000001"/>
    <n v="0.42"/>
    <n v="0.46400000000000002"/>
    <n v="-6.181"/>
    <n v="198082"/>
    <n v="2021"/>
    <x v="0"/>
  </r>
  <r>
    <n v="16"/>
    <n v="7"/>
    <n v="10"/>
    <d v="2021-05-21T00:00:00"/>
    <x v="2"/>
    <s v="traitor"/>
    <n v="19480679"/>
    <s v="Olivia Rodrigo"/>
    <n v="6266514"/>
    <s v="pop"/>
    <d v="2021-05-21T00:00:00"/>
    <n v="94"/>
    <x v="1"/>
    <n v="0.38"/>
    <n v="0.33900000000000002"/>
    <n v="3.3799999999999997E-2"/>
    <n v="0.69099999999999995"/>
    <n v="0.12"/>
    <n v="8.4900000000000003E-2"/>
    <n v="-7.8849999999999998"/>
    <n v="229227"/>
    <n v="2021"/>
    <x v="0"/>
  </r>
  <r>
    <n v="18"/>
    <n v="5"/>
    <n v="14"/>
    <d v="2021-04-23T00:00:00"/>
    <x v="3"/>
    <s v="Save Your Tears (with Ariana Grande) (Remix)"/>
    <n v="18053141"/>
    <s v="The Weeknd"/>
    <n v="35305637"/>
    <s v="canadian contemporary r&amp;b"/>
    <d v="2021-04-23T00:00:00"/>
    <n v="94"/>
    <x v="0"/>
    <n v="0.65"/>
    <n v="0.82499999999999996"/>
    <n v="3.2500000000000001E-2"/>
    <n v="2.1499999999999998E-2"/>
    <n v="9.3600000000000003E-2"/>
    <n v="0.59299999999999997"/>
    <n v="-4.6449999999999996"/>
    <n v="191014"/>
    <n v="2021"/>
    <x v="0"/>
  </r>
  <r>
    <n v="64"/>
    <n v="2"/>
    <n v="34"/>
    <d v="2021-02-26T00:00:00"/>
    <x v="3"/>
    <s v="Save Your Tears"/>
    <n v="8843110"/>
    <s v="The Weeknd"/>
    <n v="35305637"/>
    <s v="canadian contemporary r&amp;b"/>
    <d v="2021-04-23T00:00:00"/>
    <n v="94"/>
    <x v="0"/>
    <n v="0.65"/>
    <n v="0.82499999999999996"/>
    <n v="3.2500000000000001E-2"/>
    <n v="2.1499999999999998E-2"/>
    <n v="9.3600000000000003E-2"/>
    <n v="0.59299999999999997"/>
    <n v="-4.6449999999999996"/>
    <n v="191014"/>
    <n v="2021"/>
    <x v="0"/>
  </r>
  <r>
    <n v="17"/>
    <n v="3"/>
    <n v="17"/>
    <d v="2021-05-21T00:00:00"/>
    <x v="2"/>
    <s v="deja vu"/>
    <n v="18571755"/>
    <s v="Olivia Rodrigo"/>
    <n v="6266514"/>
    <s v="pop"/>
    <d v="2021-05-21T00:00:00"/>
    <n v="93"/>
    <x v="1"/>
    <n v="0.442"/>
    <n v="0.61199999999999999"/>
    <n v="0.112"/>
    <n v="0.58399999999999996"/>
    <n v="0.37"/>
    <n v="0.17799999999999999"/>
    <n v="-7.2220000000000004"/>
    <n v="215507"/>
    <n v="2021"/>
    <x v="0"/>
  </r>
  <r>
    <n v="19"/>
    <n v="14"/>
    <n v="5"/>
    <d v="2021-07-02T00:00:00"/>
    <x v="3"/>
    <s v="AM Remix"/>
    <n v="17617965"/>
    <s v="Nio Garcia, J Balvin, Bad Bunny"/>
    <n v="2123734"/>
    <s v="latin"/>
    <d v="2021-06-24T00:00:00"/>
    <n v="93"/>
    <x v="0"/>
    <n v="0.74299999999999999"/>
    <n v="0.65500000000000003"/>
    <n v="0.159"/>
    <n v="0.114"/>
    <n v="7.6399999999999996E-2"/>
    <n v="0.78500000000000003"/>
    <n v="-5.0149999999999997"/>
    <n v="261335"/>
    <n v="2021"/>
    <x v="0"/>
  </r>
  <r>
    <n v="23"/>
    <n v="1"/>
    <n v="29"/>
    <d v="2021-03-12T00:00:00"/>
    <x v="2"/>
    <s v="drivers license"/>
    <n v="15684978"/>
    <s v="Olivia Rodrigo"/>
    <n v="6266514"/>
    <s v="pop"/>
    <d v="2021-05-21T00:00:00"/>
    <n v="92"/>
    <x v="1"/>
    <n v="0.56100000000000005"/>
    <n v="0.43099999999999999"/>
    <n v="5.7799999999999997E-2"/>
    <n v="0.76800000000000002"/>
    <n v="0.106"/>
    <n v="0.13700000000000001"/>
    <n v="-8.81"/>
    <n v="242013"/>
    <n v="2021"/>
    <x v="0"/>
  </r>
  <r>
    <n v="25"/>
    <n v="1"/>
    <n v="83"/>
    <d v="2020-06-12T00:00:00"/>
    <x v="3"/>
    <s v="Blinding Lights"/>
    <n v="15011809"/>
    <s v="The Weeknd"/>
    <n v="35305637"/>
    <s v="canadian contemporary r&amp;b"/>
    <d v="2020-03-20T00:00:00"/>
    <n v="92"/>
    <x v="0"/>
    <n v="0.51400000000000001"/>
    <n v="0.73"/>
    <n v="5.9799999999999999E-2"/>
    <n v="1.4599999999999999E-3"/>
    <n v="8.9700000000000002E-2"/>
    <n v="0.33400000000000002"/>
    <n v="-5.9340000000000002"/>
    <n v="200040"/>
    <n v="2020"/>
    <x v="0"/>
  </r>
  <r>
    <n v="26"/>
    <n v="12"/>
    <n v="10"/>
    <d v="2021-05-21T00:00:00"/>
    <x v="2"/>
    <s v="happier"/>
    <n v="14849078"/>
    <s v="Olivia Rodrigo"/>
    <n v="6266514"/>
    <s v="pop"/>
    <d v="2021-05-21T00:00:00"/>
    <n v="92"/>
    <x v="1"/>
    <n v="0.39500000000000002"/>
    <n v="0.443"/>
    <n v="0.13300000000000001"/>
    <n v="0.76500000000000001"/>
    <n v="8.3900000000000002E-2"/>
    <n v="0.33800000000000002"/>
    <n v="-9.7200000000000006"/>
    <n v="175933"/>
    <n v="2021"/>
    <x v="0"/>
  </r>
  <r>
    <n v="27"/>
    <n v="27"/>
    <n v="3"/>
    <d v="2021-07-23T00:00:00"/>
    <x v="3"/>
    <s v="Pepas"/>
    <n v="14809458"/>
    <s v="Farruko"/>
    <n v="10502148"/>
    <s v="latin"/>
    <d v="2021-06-24T00:00:00"/>
    <n v="92"/>
    <x v="0"/>
    <n v="0.76200000000000001"/>
    <n v="0.76600000000000001"/>
    <n v="3.4299999999999997E-2"/>
    <n v="7.7600000000000004E-3"/>
    <n v="0.128"/>
    <n v="0.442"/>
    <n v="-3.9550000000000001"/>
    <n v="287120"/>
    <n v="2021"/>
    <x v="0"/>
  </r>
  <r>
    <n v="29"/>
    <n v="15"/>
    <n v="23"/>
    <d v="2021-05-07T00:00:00"/>
    <x v="2"/>
    <s v="Friday (feat. Mufasa &amp; Hypeman) - Dopamine Re-Edit"/>
    <n v="14273637"/>
    <s v="Riton, Nightcrawlers"/>
    <n v="83689"/>
    <s v="dance pop"/>
    <d v="2021-01-15T00:00:00"/>
    <n v="92"/>
    <x v="0"/>
    <n v="0.82399999999999995"/>
    <n v="0.86199999999999999"/>
    <n v="0.126"/>
    <n v="7.6E-3"/>
    <n v="0.30299999999999999"/>
    <n v="0.80100000000000005"/>
    <n v="-3.4239999999999999"/>
    <n v="169153"/>
    <n v="2021"/>
    <x v="0"/>
  </r>
  <r>
    <n v="31"/>
    <n v="5"/>
    <n v="21"/>
    <d v="2021-04-09T00:00:00"/>
    <x v="2"/>
    <s v="Leave The Door Open"/>
    <n v="13963568"/>
    <s v="Bruno Mars, Anderson .Paak, Silk Sonic"/>
    <n v="32574754"/>
    <s v="dance pop"/>
    <d v="2021-03-05T00:00:00"/>
    <n v="92"/>
    <x v="1"/>
    <n v="0.58599999999999997"/>
    <n v="0.61599999999999999"/>
    <n v="3.2399999999999998E-2"/>
    <n v="0.182"/>
    <n v="9.2700000000000005E-2"/>
    <n v="0.71899999999999997"/>
    <n v="-7.9640000000000004"/>
    <n v="242096"/>
    <n v="2021"/>
    <x v="0"/>
  </r>
  <r>
    <n v="21"/>
    <n v="19"/>
    <n v="3"/>
    <d v="2021-07-16T00:00:00"/>
    <x v="3"/>
    <s v="Volando - Remix"/>
    <n v="16606925"/>
    <s v="Mora, Bad Bunny, Sech"/>
    <n v="151486"/>
    <s v="reggaeton"/>
    <d v="2021-07-08T00:00:00"/>
    <n v="91"/>
    <x v="0"/>
    <n v="0.65900000000000003"/>
    <n v="0.68799999999999994"/>
    <n v="6.7299999999999999E-2"/>
    <n v="0.20699999999999999"/>
    <n v="0.113"/>
    <n v="0.63200000000000001"/>
    <n v="-4.649"/>
    <n v="273474"/>
    <n v="2021"/>
    <x v="0"/>
  </r>
  <r>
    <n v="33"/>
    <n v="11"/>
    <n v="10"/>
    <d v="2021-05-28T00:00:00"/>
    <x v="2"/>
    <s v="favorite crime"/>
    <n v="12818935"/>
    <s v="Olivia Rodrigo"/>
    <n v="6266514"/>
    <s v="pop"/>
    <d v="2021-05-21T00:00:00"/>
    <n v="91"/>
    <x v="1"/>
    <n v="0.36899999999999999"/>
    <n v="0.27200000000000002"/>
    <n v="3.6400000000000002E-2"/>
    <n v="0.86599999999999999"/>
    <n v="0.14699999999999999"/>
    <n v="0.218"/>
    <n v="-10.497"/>
    <n v="152667"/>
    <n v="2021"/>
    <x v="0"/>
  </r>
  <r>
    <n v="34"/>
    <n v="10"/>
    <n v="15"/>
    <d v="2021-05-07T00:00:00"/>
    <x v="2"/>
    <s v="Pareja Del Año"/>
    <n v="12572307"/>
    <s v="Sebastian Yatra, Myke Towers"/>
    <n v="16216789"/>
    <s v="colombian pop"/>
    <d v="2021-04-16T00:00:00"/>
    <n v="91"/>
    <x v="1"/>
    <n v="0.71499999999999997"/>
    <n v="0.622"/>
    <n v="4.5999999999999999E-2"/>
    <n v="0.16300000000000001"/>
    <n v="9.4799999999999995E-2"/>
    <n v="0.80800000000000005"/>
    <n v="-5.1020000000000003"/>
    <n v="195053"/>
    <n v="2021"/>
    <x v="0"/>
  </r>
  <r>
    <n v="20"/>
    <n v="20"/>
    <n v="7"/>
    <d v="2021-07-23T00:00:00"/>
    <x v="2"/>
    <s v="Need To Know"/>
    <n v="16908917"/>
    <s v="Doja Cat"/>
    <n v="8640063"/>
    <s v="dance pop"/>
    <d v="2021-06-25T00:00:00"/>
    <n v="90"/>
    <x v="1"/>
    <n v="0.66400000000000003"/>
    <n v="0.60899999999999999"/>
    <n v="7.0699999999999999E-2"/>
    <n v="0.30399999999999999"/>
    <n v="9.2600000000000002E-2"/>
    <n v="0.19400000000000001"/>
    <n v="-6.5090000000000003"/>
    <n v="210560"/>
    <n v="2021"/>
    <x v="0"/>
  </r>
  <r>
    <n v="22"/>
    <n v="22"/>
    <n v="5"/>
    <d v="2021-07-23T00:00:00"/>
    <x v="2"/>
    <s v="Ain't Shit"/>
    <n v="16126897"/>
    <s v="Doja Cat"/>
    <n v="8640063"/>
    <s v="dance pop"/>
    <d v="2021-06-25T00:00:00"/>
    <n v="90"/>
    <x v="1"/>
    <n v="0.85499999999999998"/>
    <n v="0.48799999999999999"/>
    <n v="0.20799999999999999"/>
    <n v="0.50600000000000001"/>
    <n v="0.34699999999999998"/>
    <n v="0.61899999999999999"/>
    <n v="-4.601"/>
    <n v="174253"/>
    <n v="2021"/>
    <x v="0"/>
  </r>
  <r>
    <n v="28"/>
    <n v="18"/>
    <n v="3"/>
    <d v="2021-07-09T00:00:00"/>
    <x v="4"/>
    <s v="Motley Crew"/>
    <n v="14329162"/>
    <s v="Post Malone"/>
    <n v="33651775"/>
    <s v="dfw rap"/>
    <d v="2021-07-09T00:00:00"/>
    <n v="90"/>
    <x v="1"/>
    <n v="0.79700000000000004"/>
    <n v="0.63100000000000001"/>
    <n v="7.8600000000000003E-2"/>
    <n v="9.0399999999999994E-2"/>
    <n v="9.98E-2"/>
    <n v="0.28799999999999998"/>
    <n v="-3.8180000000000001"/>
    <n v="184213"/>
    <n v="2021"/>
    <x v="0"/>
  </r>
  <r>
    <n v="35"/>
    <n v="4"/>
    <n v="83"/>
    <d v="2020-07-31T00:00:00"/>
    <x v="2"/>
    <s v="Watermelon Sugar"/>
    <n v="11996689"/>
    <s v="Harry Styles"/>
    <n v="16112621"/>
    <s v="pop"/>
    <d v="2019-12-13T00:00:00"/>
    <n v="90"/>
    <x v="0"/>
    <n v="0.54800000000000004"/>
    <n v="0.81599999999999995"/>
    <n v="4.65E-2"/>
    <n v="0.122"/>
    <n v="0.33500000000000002"/>
    <n v="0.55700000000000005"/>
    <n v="-4.2089999999999996"/>
    <n v="174000"/>
    <n v="2019"/>
    <x v="0"/>
  </r>
  <r>
    <n v="41"/>
    <n v="41"/>
    <n v="13"/>
    <d v="2021-07-23T00:00:00"/>
    <x v="2"/>
    <s v="Miénteme"/>
    <n v="11477024"/>
    <s v="TINI, Maria Becerra"/>
    <n v="2936204"/>
    <s v="latin pop"/>
    <d v="2021-04-29T00:00:00"/>
    <n v="90"/>
    <x v="1"/>
    <n v="0.85"/>
    <n v="0.54100000000000004"/>
    <n v="6.7400000000000002E-2"/>
    <n v="0.161"/>
    <n v="0.28599999999999998"/>
    <n v="0.91600000000000004"/>
    <n v="-4.5220000000000002"/>
    <n v="165275"/>
    <n v="2021"/>
    <x v="0"/>
  </r>
  <r>
    <n v="42"/>
    <n v="17"/>
    <n v="10"/>
    <d v="2021-05-21T00:00:00"/>
    <x v="2"/>
    <s v="jealousy, jealousy"/>
    <n v="11287301"/>
    <s v="Olivia Rodrigo"/>
    <n v="6266514"/>
    <s v="pop"/>
    <d v="2021-05-21T00:00:00"/>
    <n v="90"/>
    <x v="1"/>
    <n v="0.69499999999999995"/>
    <n v="0.57499999999999996"/>
    <n v="0.11600000000000001"/>
    <n v="0.19800000000000001"/>
    <n v="6.1400000000000003E-2"/>
    <n v="0.69899999999999995"/>
    <n v="-6.3339999999999996"/>
    <n v="173160"/>
    <n v="2021"/>
    <x v="0"/>
  </r>
  <r>
    <n v="45"/>
    <n v="9"/>
    <n v="39"/>
    <d v="2021-02-26T00:00:00"/>
    <x v="3"/>
    <s v="The Business"/>
    <n v="10739770"/>
    <s v="Tiësto"/>
    <n v="5785065"/>
    <s v="big room"/>
    <d v="2020-09-16T00:00:00"/>
    <n v="90"/>
    <x v="1"/>
    <n v="0.79800000000000004"/>
    <n v="0.62"/>
    <n v="0.23200000000000001"/>
    <n v="0.41399999999999998"/>
    <n v="0.112"/>
    <n v="0.23499999999999999"/>
    <n v="-7.0789999999999997"/>
    <n v="164000"/>
    <n v="2020"/>
    <x v="0"/>
  </r>
  <r>
    <n v="11"/>
    <n v="4"/>
    <n v="43"/>
    <d v="2021-05-07T00:00:00"/>
    <x v="2"/>
    <s v="Levitating (feat. DaBaby)"/>
    <n v="23518010"/>
    <s v="Dua Lipa"/>
    <n v="27142474"/>
    <s v="dance pop"/>
    <d v="2020-10-01T00:00:00"/>
    <n v="89"/>
    <x v="0"/>
    <n v="0.70199999999999996"/>
    <n v="0.82499999999999996"/>
    <n v="6.0100000000000001E-2"/>
    <n v="8.8299999999999993E-3"/>
    <n v="6.7400000000000002E-2"/>
    <n v="0.91500000000000004"/>
    <n v="-3.7869999999999999"/>
    <n v="203064"/>
    <n v="2020"/>
    <x v="0"/>
  </r>
  <r>
    <n v="30"/>
    <n v="3"/>
    <n v="28"/>
    <d v="2021-04-02T00:00:00"/>
    <x v="1"/>
    <s v="Astronaut In The Ocean"/>
    <n v="14174752"/>
    <s v="Masked Wolf"/>
    <n v="365975"/>
    <s v="australian hip hop"/>
    <d v="2021-01-06T00:00:00"/>
    <n v="89"/>
    <x v="0"/>
    <n v="0.77800000000000002"/>
    <n v="0.69499999999999995"/>
    <n v="9.1300000000000006E-2"/>
    <n v="0.17499999999999999"/>
    <n v="0.15"/>
    <n v="0.47199999999999998"/>
    <n v="-6.8650000000000002"/>
    <n v="132780"/>
    <n v="2021"/>
    <x v="0"/>
  </r>
  <r>
    <n v="37"/>
    <n v="3"/>
    <n v="16"/>
    <d v="2021-04-16T00:00:00"/>
    <x v="4"/>
    <s v="RAPSTAR"/>
    <n v="11683383"/>
    <s v="Polo G"/>
    <n v="4840346"/>
    <s v="chicago rap"/>
    <d v="2021-04-09T00:00:00"/>
    <n v="89"/>
    <x v="1"/>
    <n v="0.78900000000000003"/>
    <n v="0.53600000000000003"/>
    <n v="0.24199999999999999"/>
    <n v="0.41"/>
    <n v="0.129"/>
    <n v="0.437"/>
    <n v="-6.8620000000000001"/>
    <n v="165926"/>
    <n v="2021"/>
    <x v="0"/>
  </r>
  <r>
    <n v="38"/>
    <n v="15"/>
    <n v="5"/>
    <d v="2021-06-25T00:00:00"/>
    <x v="2"/>
    <s v="You Right"/>
    <n v="11629418"/>
    <s v="Doja Cat, The Weeknd"/>
    <n v="8640063"/>
    <s v="dance pop"/>
    <d v="2021-06-25T00:00:00"/>
    <n v="89"/>
    <x v="1"/>
    <n v="0.82799999999999996"/>
    <n v="0.621"/>
    <n v="5.6500000000000002E-2"/>
    <n v="1.6400000000000001E-2"/>
    <n v="8.4500000000000006E-2"/>
    <n v="0.436"/>
    <n v="-6.4139999999999997"/>
    <n v="186173"/>
    <n v="2021"/>
    <x v="0"/>
  </r>
  <r>
    <n v="39"/>
    <n v="39"/>
    <n v="3"/>
    <d v="2021-07-23T00:00:00"/>
    <x v="3"/>
    <s v="911 - Remix"/>
    <n v="11553846"/>
    <s v="Sech, Jhay Cortez"/>
    <n v="8758283"/>
    <s v="latin"/>
    <d v="2021-07-09T00:00:00"/>
    <n v="89"/>
    <x v="0"/>
    <n v="0.81599999999999995"/>
    <n v="0.71"/>
    <n v="3.9800000000000002E-2"/>
    <n v="0.16500000000000001"/>
    <n v="0.29199999999999998"/>
    <n v="0.78400000000000003"/>
    <n v="-3.7280000000000002"/>
    <n v="208631"/>
    <n v="2021"/>
    <x v="0"/>
  </r>
  <r>
    <n v="43"/>
    <n v="33"/>
    <n v="6"/>
    <d v="2021-07-02T00:00:00"/>
    <x v="3"/>
    <s v="Poblado - Remix"/>
    <n v="11283626"/>
    <s v="J Balvin, KAROL G, Nicky Jam, Crissin, Totoy El Frio, Natan &amp; Shander"/>
    <n v="29051363"/>
    <s v="latin"/>
    <d v="2021-06-18T00:00:00"/>
    <n v="89"/>
    <x v="0"/>
    <n v="0.81299999999999994"/>
    <n v="0.80900000000000005"/>
    <n v="8.4599999999999995E-2"/>
    <n v="0.10199999999999999"/>
    <n v="0.377"/>
    <n v="0.64600000000000002"/>
    <n v="-5.3819999999999997"/>
    <n v="393280"/>
    <n v="2021"/>
    <x v="0"/>
  </r>
  <r>
    <n v="44"/>
    <n v="2"/>
    <n v="49"/>
    <d v="2020-11-20T00:00:00"/>
    <x v="2"/>
    <s v="Dynamite"/>
    <n v="11196819"/>
    <s v="BTS"/>
    <n v="37106176"/>
    <s v="k-pop"/>
    <d v="2020-11-20T00:00:00"/>
    <n v="89"/>
    <x v="0"/>
    <n v="0.746"/>
    <n v="0.76500000000000001"/>
    <n v="9.9299999999999999E-2"/>
    <n v="1.12E-2"/>
    <n v="9.3600000000000003E-2"/>
    <n v="0.73699999999999999"/>
    <n v="-4.41"/>
    <n v="199054"/>
    <n v="2020"/>
    <x v="0"/>
  </r>
  <r>
    <n v="46"/>
    <n v="46"/>
    <n v="10"/>
    <d v="2021-07-23T00:00:00"/>
    <x v="2"/>
    <s v="Heartbreak Anthem (with David Guetta &amp; Little Mix)"/>
    <n v="10315460"/>
    <s v="Galantis"/>
    <n v="3120157"/>
    <s v="dance pop"/>
    <d v="2021-05-20T00:00:00"/>
    <n v="89"/>
    <x v="0"/>
    <n v="0.59499999999999997"/>
    <n v="0.78400000000000003"/>
    <n v="0.10199999999999999"/>
    <n v="0.216"/>
    <n v="6.08E-2"/>
    <n v="0.47899999999999998"/>
    <n v="-4.8780000000000001"/>
    <n v="183726"/>
    <n v="2021"/>
    <x v="0"/>
  </r>
  <r>
    <n v="47"/>
    <n v="1"/>
    <n v="51"/>
    <d v="2020-10-16T00:00:00"/>
    <x v="4"/>
    <s v="Mood (feat. iann dior)"/>
    <n v="10222056"/>
    <s v="24kGoldn"/>
    <n v="1274433"/>
    <s v="cali rap"/>
    <d v="2021-03-26T00:00:00"/>
    <n v="89"/>
    <x v="0"/>
    <n v="0.70099999999999996"/>
    <n v="0.71599999999999997"/>
    <n v="3.61E-2"/>
    <n v="0.17399999999999999"/>
    <n v="0.32400000000000001"/>
    <n v="0.73199999999999998"/>
    <n v="-3.6709999999999998"/>
    <n v="140533"/>
    <n v="2021"/>
    <x v="0"/>
  </r>
  <r>
    <n v="48"/>
    <n v="48"/>
    <n v="3"/>
    <d v="2021-07-23T00:00:00"/>
    <x v="4"/>
    <s v="Entre Nosotros"/>
    <n v="10215216"/>
    <s v="Tiago PZK, LIT killah"/>
    <n v="375865"/>
    <s v="trap argentino"/>
    <d v="2021-07-08T00:00:00"/>
    <n v="89"/>
    <x v="1"/>
    <n v="0.72899999999999998"/>
    <n v="0.51300000000000001"/>
    <n v="4.5499999999999999E-2"/>
    <n v="0.49399999999999999"/>
    <n v="0.13700000000000001"/>
    <n v="0.78900000000000003"/>
    <n v="-6.3449999999999998"/>
    <n v="192353"/>
    <n v="2021"/>
    <x v="0"/>
  </r>
  <r>
    <n v="49"/>
    <n v="29"/>
    <n v="6"/>
    <d v="2021-06-25T00:00:00"/>
    <x v="3"/>
    <s v="Fiel - Remix"/>
    <n v="10032746"/>
    <s v="Wisin, Jhay Cortez, Anuel AA, Los Legendarios, Myke Towers"/>
    <n v="6929075"/>
    <s v="latin"/>
    <d v="2021-06-15T00:00:00"/>
    <n v="89"/>
    <x v="0"/>
    <n v="0.83899999999999997"/>
    <n v="0.71099999999999997"/>
    <n v="4.7300000000000002E-2"/>
    <n v="0.39800000000000002"/>
    <n v="0.11799999999999999"/>
    <n v="0.57299999999999995"/>
    <n v="-4.7329999999999997"/>
    <n v="349547"/>
    <n v="2021"/>
    <x v="0"/>
  </r>
  <r>
    <n v="50"/>
    <n v="20"/>
    <n v="11"/>
    <d v="2021-06-04T00:00:00"/>
    <x v="3"/>
    <s v="Build a Bitch"/>
    <n v="9841998"/>
    <s v="Bella Poarch"/>
    <n v="389076"/>
    <m/>
    <d v="2021-05-14T00:00:00"/>
    <n v="89"/>
    <x v="1"/>
    <n v="0.85499999999999998"/>
    <n v="0.46300000000000002"/>
    <n v="3.6700000000000003E-2"/>
    <n v="0.217"/>
    <n v="0.34699999999999998"/>
    <n v="0.86599999999999999"/>
    <n v="-7.4539999999999997"/>
    <n v="122773"/>
    <n v="2021"/>
    <x v="0"/>
  </r>
  <r>
    <n v="55"/>
    <n v="52"/>
    <n v="9"/>
    <d v="2021-07-02T00:00:00"/>
    <x v="3"/>
    <s v="Leave Before You Love Me (with Jonas Brothers)"/>
    <n v="9428494"/>
    <s v="Marshmello"/>
    <n v="31541310"/>
    <s v="brostep"/>
    <d v="2021-05-21T00:00:00"/>
    <n v="89"/>
    <x v="0"/>
    <n v="0.72099999999999997"/>
    <n v="0.73799999999999999"/>
    <n v="4.0300000000000002E-2"/>
    <n v="2.2599999999999999E-3"/>
    <n v="0.11799999999999999"/>
    <n v="0.63700000000000001"/>
    <n v="-4.7699999999999996"/>
    <n v="154983"/>
    <n v="2021"/>
    <x v="0"/>
  </r>
  <r>
    <n v="56"/>
    <n v="56"/>
    <n v="13"/>
    <d v="2021-07-23T00:00:00"/>
    <x v="3"/>
    <s v="Freaks"/>
    <n v="9319465"/>
    <s v="Surf Curse"/>
    <n v="495226"/>
    <s v="dreamo"/>
    <d v="2021-05-15T00:00:00"/>
    <n v="89"/>
    <x v="0"/>
    <n v="0.34499999999999997"/>
    <n v="0.94099999999999995"/>
    <n v="4.6600000000000003E-2"/>
    <n v="3.8399999999999998E-5"/>
    <n v="5.11E-2"/>
    <n v="0.40699999999999997"/>
    <n v="-9.9179999999999993"/>
    <n v="147062"/>
    <n v="2021"/>
    <x v="0"/>
  </r>
  <r>
    <n v="63"/>
    <n v="9"/>
    <n v="10"/>
    <d v="2021-05-21T00:00:00"/>
    <x v="2"/>
    <s v="brutal"/>
    <n v="8881356"/>
    <s v="Olivia Rodrigo"/>
    <n v="6266514"/>
    <s v="pop"/>
    <d v="2021-05-21T00:00:00"/>
    <n v="89"/>
    <x v="1"/>
    <n v="0.67200000000000004"/>
    <n v="0.52600000000000002"/>
    <n v="5.9900000000000002E-2"/>
    <n v="3.1099999999999999E-2"/>
    <n v="0.28000000000000003"/>
    <n v="0.28000000000000003"/>
    <n v="-6.4459999999999997"/>
    <n v="143747"/>
    <n v="2021"/>
    <x v="0"/>
  </r>
  <r>
    <n v="275"/>
    <n v="59"/>
    <n v="6"/>
    <d v="2021-05-28T00:00:00"/>
    <x v="3"/>
    <s v="Poblado"/>
    <n v="6893939"/>
    <s v="Crissin, Totoy El Frio, Natan &amp; Shander"/>
    <n v="29051363"/>
    <s v="latin"/>
    <d v="2021-06-18T00:00:00"/>
    <n v="89"/>
    <x v="0"/>
    <n v="0.81299999999999994"/>
    <n v="0.80900000000000005"/>
    <n v="8.4599999999999995E-2"/>
    <n v="0.10199999999999999"/>
    <n v="0.377"/>
    <n v="0.64600000000000002"/>
    <n v="-5.3819999999999997"/>
    <n v="393280"/>
    <n v="2021"/>
    <x v="0"/>
  </r>
  <r>
    <n v="101"/>
    <n v="52"/>
    <n v="19"/>
    <d v="2020-03-27T00:00:00"/>
    <x v="2"/>
    <s v="Levitating"/>
    <n v="6799831"/>
    <s v="Dua Lipa"/>
    <n v="27142474"/>
    <s v="dance pop"/>
    <d v="2020-10-01T00:00:00"/>
    <n v="89"/>
    <x v="0"/>
    <n v="0.70199999999999996"/>
    <n v="0.82499999999999996"/>
    <n v="6.0100000000000001E-2"/>
    <n v="8.8299999999999993E-3"/>
    <n v="6.7400000000000002E-2"/>
    <n v="0.91500000000000004"/>
    <n v="-3.7869999999999999"/>
    <n v="203064"/>
    <n v="2020"/>
    <x v="0"/>
  </r>
  <r>
    <n v="224"/>
    <n v="28"/>
    <n v="23"/>
    <d v="2021-04-16T00:00:00"/>
    <x v="3"/>
    <s v="911"/>
    <n v="6111108"/>
    <s v="Sech"/>
    <n v="8758283"/>
    <s v="latin"/>
    <d v="2021-07-09T00:00:00"/>
    <n v="89"/>
    <x v="0"/>
    <n v="0.81599999999999995"/>
    <n v="0.71"/>
    <n v="3.9800000000000002E-2"/>
    <n v="0.16500000000000001"/>
    <n v="0.29199999999999998"/>
    <n v="0.78400000000000003"/>
    <n v="-3.7280000000000002"/>
    <n v="208631"/>
    <n v="2021"/>
    <x v="0"/>
  </r>
  <r>
    <n v="32"/>
    <n v="32"/>
    <n v="1"/>
    <d v="2021-07-23T00:00:00"/>
    <x v="2"/>
    <s v="Don't Go Yet"/>
    <n v="13205250"/>
    <s v="Camila Cabello"/>
    <n v="22683756"/>
    <s v="dance pop"/>
    <d v="2021-07-23T00:00:00"/>
    <n v="88"/>
    <x v="0"/>
    <n v="0.66600000000000004"/>
    <n v="0.79600000000000004"/>
    <n v="0.10299999999999999"/>
    <n v="4.9200000000000001E-2"/>
    <n v="4.4200000000000003E-2"/>
    <n v="0.61"/>
    <n v="-6.9669999999999996"/>
    <n v="164842"/>
    <n v="2021"/>
    <x v="0"/>
  </r>
  <r>
    <n v="51"/>
    <n v="19"/>
    <n v="4"/>
    <d v="2021-07-02T00:00:00"/>
    <x v="1"/>
    <s v="Nicky Jam: Bzrp Music Sessions, Vol. 41"/>
    <n v="9799701"/>
    <s v="Bizarrap, Nicky Jam"/>
    <n v="3126961"/>
    <s v="argentine hip hop"/>
    <d v="2021-06-30T00:00:00"/>
    <n v="88"/>
    <x v="0"/>
    <n v="0.627"/>
    <n v="0.84899999999999998"/>
    <n v="0.153"/>
    <n v="9.1300000000000006E-2"/>
    <n v="0.14499999999999999"/>
    <n v="0.81799999999999995"/>
    <n v="-3.1669999999999998"/>
    <n v="158087"/>
    <n v="2021"/>
    <x v="0"/>
  </r>
  <r>
    <n v="52"/>
    <n v="52"/>
    <n v="4"/>
    <d v="2021-07-23T00:00:00"/>
    <x v="3"/>
    <s v="Tiroteo - Remix"/>
    <n v="9781153"/>
    <s v="Marc Seguí, Rauw Alejandro, Pol Granch"/>
    <n v="45362"/>
    <m/>
    <d v="2021-04-01T00:00:00"/>
    <n v="88"/>
    <x v="1"/>
    <n v="0.75"/>
    <n v="0.52200000000000002"/>
    <n v="2.93E-2"/>
    <n v="0.28199999999999997"/>
    <n v="7.4300000000000005E-2"/>
    <n v="0.60099999999999998"/>
    <n v="-7.0179999999999998"/>
    <n v="321556"/>
    <n v="2021"/>
    <x v="0"/>
  </r>
  <r>
    <n v="59"/>
    <n v="34"/>
    <n v="21"/>
    <d v="2021-04-23T00:00:00"/>
    <x v="2"/>
    <s v="Beautiful Mistakes (feat. Megan Thee Stallion)"/>
    <n v="9048966"/>
    <s v="Maroon 5"/>
    <n v="32262679"/>
    <s v="pop"/>
    <d v="2021-06-11T00:00:00"/>
    <n v="88"/>
    <x v="0"/>
    <n v="0.71299999999999997"/>
    <n v="0.67600000000000005"/>
    <n v="2.7E-2"/>
    <n v="3.7699999999999997E-2"/>
    <n v="0.154"/>
    <n v="0.72099999999999997"/>
    <n v="-5.4829999999999997"/>
    <n v="227395"/>
    <n v="2021"/>
    <x v="0"/>
  </r>
  <r>
    <n v="60"/>
    <n v="31"/>
    <n v="15"/>
    <d v="2020-02-07T00:00:00"/>
    <x v="2"/>
    <s v="Run"/>
    <n v="9017356"/>
    <s v="OneRepublic"/>
    <n v="12169108"/>
    <s v="dance pop"/>
    <d v="2021-05-05T00:00:00"/>
    <n v="88"/>
    <x v="0"/>
    <n v="0.68200000000000005"/>
    <n v="0.72"/>
    <n v="3.8100000000000002E-2"/>
    <n v="0.32600000000000001"/>
    <n v="0.14799999999999999"/>
    <n v="0.67300000000000004"/>
    <n v="-8.173"/>
    <n v="169011"/>
    <n v="2021"/>
    <x v="0"/>
  </r>
  <r>
    <n v="61"/>
    <n v="46"/>
    <n v="7"/>
    <d v="2021-07-02T00:00:00"/>
    <x v="4"/>
    <s v="Thot Shit"/>
    <n v="8977336"/>
    <s v="Megan Thee Stallion"/>
    <n v="4787261"/>
    <s v="houston rap"/>
    <d v="2021-06-11T00:00:00"/>
    <n v="88"/>
    <x v="0"/>
    <n v="0.95"/>
    <n v="0.69299999999999995"/>
    <n v="8.9800000000000005E-2"/>
    <n v="1.3299999999999999E-2"/>
    <n v="0.17299999999999999"/>
    <n v="0.89100000000000001"/>
    <n v="-3.4239999999999999"/>
    <n v="184635"/>
    <n v="2021"/>
    <x v="0"/>
  </r>
  <r>
    <n v="62"/>
    <n v="26"/>
    <n v="26"/>
    <d v="2021-03-26T00:00:00"/>
    <x v="3"/>
    <s v="Your Love (9PM)"/>
    <n v="8935418"/>
    <s v="ATB, Topic, A7S"/>
    <n v="291777"/>
    <s v="german dance"/>
    <d v="2021-01-15T00:00:00"/>
    <n v="88"/>
    <x v="0"/>
    <n v="0.66900000000000004"/>
    <n v="0.78400000000000003"/>
    <n v="0.112"/>
    <n v="0.19400000000000001"/>
    <n v="0.115"/>
    <n v="0.51700000000000002"/>
    <n v="-5.6029999999999998"/>
    <n v="150053"/>
    <n v="2021"/>
    <x v="0"/>
  </r>
  <r>
    <n v="77"/>
    <n v="2"/>
    <n v="23"/>
    <d v="2021-03-12T00:00:00"/>
    <x v="2"/>
    <s v="telepatía"/>
    <n v="7912399"/>
    <s v="Kali Uchis"/>
    <n v="1999954"/>
    <s v="colombian pop"/>
    <d v="2020-12-04T00:00:00"/>
    <n v="88"/>
    <x v="1"/>
    <n v="0.65300000000000002"/>
    <n v="0.52400000000000002"/>
    <n v="5.0200000000000002E-2"/>
    <n v="0.112"/>
    <n v="0.20300000000000001"/>
    <n v="0.55300000000000005"/>
    <n v="-9.016"/>
    <n v="160191"/>
    <n v="2020"/>
    <x v="0"/>
  </r>
  <r>
    <n v="79"/>
    <n v="7"/>
    <n v="24"/>
    <d v="2021-05-07T00:00:00"/>
    <x v="3"/>
    <s v="Fiel"/>
    <n v="7717211"/>
    <s v="Los Legendarios, Wisin, Jhay Cortez"/>
    <n v="31488"/>
    <s v="reggaeton"/>
    <d v="2021-02-04T00:00:00"/>
    <n v="88"/>
    <x v="0"/>
    <n v="0.84899999999999998"/>
    <n v="0.70099999999999996"/>
    <n v="0.06"/>
    <n v="0.40699999999999997"/>
    <n v="0.112"/>
    <n v="0.505"/>
    <n v="-4.407"/>
    <n v="261667"/>
    <n v="2021"/>
    <x v="0"/>
  </r>
  <r>
    <n v="58"/>
    <n v="31"/>
    <n v="12"/>
    <d v="2021-06-04T00:00:00"/>
    <x v="2"/>
    <s v="2/Catorce"/>
    <n v="9086979"/>
    <s v="Rauw Alejandro, Mr. Naisgai"/>
    <n v="6080597"/>
    <s v="puerto rican pop"/>
    <d v="2021-02-14T00:00:00"/>
    <n v="87"/>
    <x v="1"/>
    <n v="0.54"/>
    <n v="0.45500000000000002"/>
    <n v="0.224"/>
    <n v="0.67500000000000004"/>
    <n v="0.12"/>
    <n v="0.432"/>
    <n v="-5.9880000000000004"/>
    <n v="212032"/>
    <n v="2021"/>
    <x v="0"/>
  </r>
  <r>
    <n v="65"/>
    <n v="8"/>
    <n v="24"/>
    <d v="2021-04-02T00:00:00"/>
    <x v="2"/>
    <s v="Heartbreak Anniversary"/>
    <n v="8832945"/>
    <s v="Giveon"/>
    <n v="1398563"/>
    <s v="pop"/>
    <d v="2020-03-27T00:00:00"/>
    <n v="87"/>
    <x v="1"/>
    <n v="0.44900000000000001"/>
    <n v="0.46500000000000002"/>
    <n v="7.9100000000000004E-2"/>
    <n v="0.52400000000000002"/>
    <n v="0.30299999999999999"/>
    <n v="0.54300000000000004"/>
    <n v="-8.9640000000000004"/>
    <n v="198371"/>
    <n v="2020"/>
    <x v="0"/>
  </r>
  <r>
    <n v="67"/>
    <n v="33"/>
    <n v="7"/>
    <d v="2021-06-25T00:00:00"/>
    <x v="3"/>
    <s v="Dinero"/>
    <n v="8564775"/>
    <s v="Trinidad Cardona"/>
    <n v="116817"/>
    <m/>
    <d v="2018-02-02T00:00:00"/>
    <n v="87"/>
    <x v="0"/>
    <n v="0.70799999999999996"/>
    <n v="0.78200000000000003"/>
    <n v="6.7400000000000002E-2"/>
    <n v="7.7200000000000003E-3"/>
    <n v="0.107"/>
    <n v="0.48399999999999999"/>
    <n v="-4.6870000000000003"/>
    <n v="160880"/>
    <n v="2018"/>
    <x v="0"/>
  </r>
  <r>
    <n v="68"/>
    <n v="35"/>
    <n v="48"/>
    <d v="2021-01-29T00:00:00"/>
    <x v="0"/>
    <s v="Sweater Weather"/>
    <n v="8564017"/>
    <s v="The Neighbourhood"/>
    <n v="6662605"/>
    <s v="modern alternative rock"/>
    <d v="2013-04-19T00:00:00"/>
    <n v="87"/>
    <x v="0"/>
    <n v="0.61199999999999999"/>
    <n v="0.80700000000000005"/>
    <n v="3.3599999999999998E-2"/>
    <n v="4.9500000000000002E-2"/>
    <n v="0.10100000000000001"/>
    <n v="0.39800000000000002"/>
    <n v="-2.81"/>
    <n v="240400"/>
    <n v="2013"/>
    <x v="0"/>
  </r>
  <r>
    <n v="69"/>
    <n v="69"/>
    <n v="3"/>
    <d v="2021-07-23T00:00:00"/>
    <x v="3"/>
    <s v="Sobrio"/>
    <n v="8514480"/>
    <s v="Maluma"/>
    <n v="26769304"/>
    <s v="latin"/>
    <d v="2021-07-08T00:00:00"/>
    <n v="87"/>
    <x v="0"/>
    <n v="0.76200000000000001"/>
    <n v="0.77"/>
    <n v="0.223"/>
    <n v="0.13800000000000001"/>
    <n v="0.15"/>
    <n v="0.63100000000000001"/>
    <n v="-2.758"/>
    <n v="201181"/>
    <n v="2021"/>
    <x v="0"/>
  </r>
  <r>
    <n v="73"/>
    <n v="33"/>
    <n v="18"/>
    <d v="2021-05-07T00:00:00"/>
    <x v="3"/>
    <s v="EL MAKINON"/>
    <n v="8102107"/>
    <s v="KAROL G, Mariah Angeliq"/>
    <n v="17775316"/>
    <s v="latin"/>
    <d v="2021-03-26T00:00:00"/>
    <n v="87"/>
    <x v="0"/>
    <n v="0.63500000000000001"/>
    <n v="0.70599999999999996"/>
    <n v="0.125"/>
    <n v="0.25600000000000001"/>
    <n v="0.108"/>
    <n v="0.443"/>
    <n v="-3.2240000000000002"/>
    <n v="209160"/>
    <n v="2021"/>
    <x v="0"/>
  </r>
  <r>
    <n v="74"/>
    <n v="74"/>
    <n v="8"/>
    <d v="2021-07-23T00:00:00"/>
    <x v="3"/>
    <s v="Loco"/>
    <n v="8093413"/>
    <s v="Justin Quiles, Chimbala, Zion &amp; Lennox"/>
    <n v="2895789"/>
    <s v="latin"/>
    <d v="2021-05-13T00:00:00"/>
    <n v="87"/>
    <x v="0"/>
    <n v="0.77"/>
    <n v="0.89900000000000002"/>
    <n v="4.9399999999999999E-2"/>
    <n v="0.222"/>
    <n v="8.9399999999999993E-2"/>
    <n v="0.85099999999999998"/>
    <n v="-2.9809999999999999"/>
    <n v="231604"/>
    <n v="2021"/>
    <x v="0"/>
  </r>
  <r>
    <n v="75"/>
    <n v="75"/>
    <n v="4"/>
    <d v="2021-07-23T00:00:00"/>
    <x v="3"/>
    <s v="Love Tonight - Edit"/>
    <n v="8006336"/>
    <s v="Shouse"/>
    <n v="27116"/>
    <s v="aussietronica"/>
    <d v="2017-12-14T00:00:00"/>
    <n v="87"/>
    <x v="0"/>
    <n v="0.72699999999999998"/>
    <n v="0.68100000000000005"/>
    <n v="2.6499999999999999E-2"/>
    <n v="2.14E-3"/>
    <n v="8.6099999999999996E-2"/>
    <n v="0.44800000000000001"/>
    <n v="-7.1139999999999999"/>
    <n v="241970"/>
    <n v="2017"/>
    <x v="0"/>
  </r>
  <r>
    <n v="78"/>
    <n v="9"/>
    <n v="14"/>
    <d v="2021-04-23T00:00:00"/>
    <x v="1"/>
    <s v="Botella Tras Botella"/>
    <n v="7735223"/>
    <s v="Gera MX, Christian Nodal"/>
    <n v="2043294"/>
    <s v="mexican hip hop"/>
    <d v="2021-04-23T00:00:00"/>
    <n v="87"/>
    <x v="1"/>
    <n v="0.72699999999999998"/>
    <n v="0.54600000000000004"/>
    <n v="4.3700000000000003E-2"/>
    <n v="0.65600000000000003"/>
    <n v="0.122"/>
    <n v="0.69"/>
    <n v="-4.5720000000000001"/>
    <n v="197333"/>
    <n v="2021"/>
    <x v="0"/>
  </r>
  <r>
    <n v="81"/>
    <n v="7"/>
    <n v="34"/>
    <d v="2021-02-05T00:00:00"/>
    <x v="1"/>
    <s v="WITHOUT YOU"/>
    <n v="7642130"/>
    <s v="The Kid LAROI"/>
    <n v="2230022"/>
    <s v="australian hip hop"/>
    <d v="2020-11-06T00:00:00"/>
    <n v="87"/>
    <x v="1"/>
    <n v="0.66200000000000003"/>
    <n v="0.41299999999999998"/>
    <n v="2.9899999999999999E-2"/>
    <n v="0.21299999999999999"/>
    <n v="0.13400000000000001"/>
    <n v="0.46700000000000003"/>
    <n v="-7.3570000000000002"/>
    <n v="161385"/>
    <n v="2020"/>
    <x v="0"/>
  </r>
  <r>
    <n v="82"/>
    <n v="6"/>
    <n v="21"/>
    <d v="2021-03-05T00:00:00"/>
    <x v="1"/>
    <s v="Wants and Needs (feat. Lil Baby)"/>
    <n v="7637626"/>
    <s v="Drake"/>
    <n v="56308172"/>
    <s v="canadian hip hop"/>
    <d v="2021-03-05T00:00:00"/>
    <n v="87"/>
    <x v="1"/>
    <n v="0.57799999999999996"/>
    <n v="0.44900000000000001"/>
    <n v="0.28599999999999998"/>
    <n v="6.1800000000000001E-2"/>
    <n v="0.11899999999999999"/>
    <n v="0.1"/>
    <n v="-6.3490000000000002"/>
    <n v="192956"/>
    <n v="2021"/>
    <x v="0"/>
  </r>
  <r>
    <n v="85"/>
    <n v="32"/>
    <n v="28"/>
    <d v="2021-04-30T00:00:00"/>
    <x v="4"/>
    <s v="Goosebumps - Remix"/>
    <n v="7452633"/>
    <s v="Travis Scott, HVME"/>
    <n v="17719446"/>
    <s v="rap"/>
    <d v="2021-01-15T00:00:00"/>
    <n v="87"/>
    <x v="1"/>
    <n v="0.84099999999999997"/>
    <n v="0.59299999999999997"/>
    <n v="3.7900000000000003E-2"/>
    <n v="0.41799999999999998"/>
    <n v="0.124"/>
    <n v="0.80800000000000005"/>
    <n v="-7.8460000000000001"/>
    <n v="162803"/>
    <n v="2021"/>
    <x v="0"/>
  </r>
  <r>
    <n v="86"/>
    <n v="11"/>
    <n v="55"/>
    <d v="2020-10-09T00:00:00"/>
    <x v="2"/>
    <s v="Head &amp; Heart (feat. MNEK)"/>
    <n v="7434252"/>
    <s v="Joel Corry"/>
    <n v="207547"/>
    <s v="dance pop"/>
    <d v="2020-07-03T00:00:00"/>
    <n v="87"/>
    <x v="0"/>
    <n v="0.73399999999999999"/>
    <n v="0.874"/>
    <n v="6.6199999999999995E-2"/>
    <n v="0.16800000000000001"/>
    <n v="4.8899999999999999E-2"/>
    <n v="0.90500000000000003"/>
    <n v="-3.1579999999999999"/>
    <n v="166028"/>
    <n v="2020"/>
    <x v="0"/>
  </r>
  <r>
    <n v="87"/>
    <n v="42"/>
    <n v="20"/>
    <d v="2021-04-23T00:00:00"/>
    <x v="2"/>
    <s v="BED"/>
    <n v="7383369"/>
    <s v="Joel Corry, RAYE, David Guetta"/>
    <n v="207547"/>
    <s v="dance pop"/>
    <d v="2021-02-26T00:00:00"/>
    <n v="87"/>
    <x v="0"/>
    <n v="0.67100000000000004"/>
    <n v="0.78200000000000003"/>
    <n v="3.4099999999999998E-2"/>
    <n v="1.4200000000000001E-2"/>
    <n v="0.33300000000000002"/>
    <n v="0.61799999999999999"/>
    <n v="-4.593"/>
    <n v="178088"/>
    <n v="2021"/>
    <x v="0"/>
  </r>
  <r>
    <n v="88"/>
    <n v="78"/>
    <n v="8"/>
    <d v="2021-07-02T00:00:00"/>
    <x v="2"/>
    <s v="Iko Iko (My Bestie)"/>
    <n v="7381585"/>
    <s v="Justin Wellington, Small Jam"/>
    <n v="18228"/>
    <s v="melanesian pop"/>
    <d v="2019-06-03T00:00:00"/>
    <n v="87"/>
    <x v="0"/>
    <n v="0.86199999999999999"/>
    <n v="0.753"/>
    <n v="6.25E-2"/>
    <n v="0.13100000000000001"/>
    <n v="7.6999999999999999E-2"/>
    <n v="0.82699999999999996"/>
    <n v="-5.3559999999999999"/>
    <n v="182857"/>
    <n v="2019"/>
    <x v="0"/>
  </r>
  <r>
    <n v="91"/>
    <n v="55"/>
    <n v="13"/>
    <d v="2021-05-28T00:00:00"/>
    <x v="3"/>
    <s v="512"/>
    <n v="7336542"/>
    <s v="Mora, Jhay Cortez"/>
    <n v="151486"/>
    <s v="reggaeton"/>
    <d v="2021-02-05T00:00:00"/>
    <n v="87"/>
    <x v="0"/>
    <n v="0.81799999999999995"/>
    <n v="0.67300000000000004"/>
    <n v="0.14799999999999999"/>
    <n v="0.34799999999999998"/>
    <n v="0.17199999999999999"/>
    <n v="0.69499999999999995"/>
    <n v="-7.5419999999999998"/>
    <n v="193636"/>
    <n v="2021"/>
    <x v="0"/>
  </r>
  <r>
    <n v="93"/>
    <n v="6"/>
    <n v="84"/>
    <d v="2019-12-27T00:00:00"/>
    <x v="4"/>
    <s v="Circles"/>
    <n v="7156162"/>
    <s v="Post Malone"/>
    <n v="33651775"/>
    <s v="dfw rap"/>
    <d v="2019-09-06T00:00:00"/>
    <n v="87"/>
    <x v="0"/>
    <n v="0.69499999999999995"/>
    <n v="0.76200000000000001"/>
    <n v="3.95E-2"/>
    <n v="0.192"/>
    <n v="8.6300000000000002E-2"/>
    <n v="0.55300000000000005"/>
    <n v="-3.4969999999999999"/>
    <n v="215280"/>
    <n v="2019"/>
    <x v="0"/>
  </r>
  <r>
    <n v="145"/>
    <n v="13"/>
    <n v="83"/>
    <d v="2020-04-24T00:00:00"/>
    <x v="4"/>
    <s v="goosebumps"/>
    <n v="5691540"/>
    <s v="Travis Scott"/>
    <n v="17719446"/>
    <s v="rap"/>
    <d v="2021-01-15T00:00:00"/>
    <n v="87"/>
    <x v="1"/>
    <n v="0.84099999999999997"/>
    <n v="0.59299999999999997"/>
    <n v="3.7900000000000003E-2"/>
    <n v="0.41799999999999998"/>
    <n v="0.124"/>
    <n v="0.80800000000000005"/>
    <n v="-7.8460000000000001"/>
    <n v="162803"/>
    <n v="2021"/>
    <x v="0"/>
  </r>
  <r>
    <n v="408"/>
    <n v="33"/>
    <n v="24"/>
    <d v="2021-01-08T00:00:00"/>
    <x v="4"/>
    <s v="Goosebumps"/>
    <n v="5496962"/>
    <s v="HVME"/>
    <n v="17719446"/>
    <s v="rap"/>
    <d v="2021-01-15T00:00:00"/>
    <n v="87"/>
    <x v="1"/>
    <n v="0.84099999999999997"/>
    <n v="0.59299999999999997"/>
    <n v="3.7900000000000003E-2"/>
    <n v="0.41799999999999998"/>
    <n v="0.124"/>
    <n v="0.80800000000000005"/>
    <n v="-7.8460000000000001"/>
    <n v="162803"/>
    <n v="2021"/>
    <x v="0"/>
  </r>
  <r>
    <n v="40"/>
    <n v="1"/>
    <n v="39"/>
    <d v="2021-01-01T00:00:00"/>
    <x v="3"/>
    <s v="DÁKITI"/>
    <n v="11524288"/>
    <s v="Bad Bunny, Jhay Cortez"/>
    <n v="36142273"/>
    <s v="latin"/>
    <d v="2020-11-27T00:00:00"/>
    <n v="86"/>
    <x v="1"/>
    <n v="0.73099999999999998"/>
    <n v="0.57299999999999995"/>
    <n v="5.4399999999999997E-2"/>
    <n v="0.40100000000000002"/>
    <n v="0.113"/>
    <n v="0.14499999999999999"/>
    <n v="-10.058999999999999"/>
    <n v="205090"/>
    <n v="2020"/>
    <x v="0"/>
  </r>
  <r>
    <n v="70"/>
    <n v="12"/>
    <n v="83"/>
    <d v="2019-12-27T00:00:00"/>
    <x v="2"/>
    <s v="Someone You Loved"/>
    <n v="8490162"/>
    <s v="Lewis Capaldi"/>
    <n v="8384096"/>
    <s v="pop"/>
    <d v="2019-05-17T00:00:00"/>
    <n v="86"/>
    <x v="1"/>
    <n v="0.501"/>
    <n v="0.40500000000000003"/>
    <n v="3.1899999999999998E-2"/>
    <n v="0.751"/>
    <n v="0.105"/>
    <n v="0.44600000000000001"/>
    <n v="-5.6790000000000003"/>
    <n v="182161"/>
    <n v="2019"/>
    <x v="0"/>
  </r>
  <r>
    <n v="76"/>
    <n v="12"/>
    <n v="11"/>
    <d v="2021-05-28T00:00:00"/>
    <x v="0"/>
    <s v="ZITTI E BUONI"/>
    <n v="7975148"/>
    <s v="Måneskin"/>
    <n v="3377762"/>
    <s v="indie rock italiano"/>
    <d v="2021-03-19T00:00:00"/>
    <n v="86"/>
    <x v="0"/>
    <n v="0.625"/>
    <n v="0.93899999999999995"/>
    <n v="6.6900000000000001E-2"/>
    <n v="1.3799999999999999E-3"/>
    <n v="0.42399999999999999"/>
    <n v="0.64400000000000002"/>
    <n v="-3.1150000000000002"/>
    <n v="194787"/>
    <n v="2021"/>
    <x v="0"/>
  </r>
  <r>
    <n v="92"/>
    <n v="1"/>
    <n v="40"/>
    <d v="2020-10-30T00:00:00"/>
    <x v="2"/>
    <s v="positions"/>
    <n v="7244853"/>
    <s v="Ariana Grande"/>
    <n v="67158068"/>
    <s v="dance pop"/>
    <d v="2020-10-30T00:00:00"/>
    <n v="86"/>
    <x v="0"/>
    <n v="0.73699999999999999"/>
    <n v="0.80200000000000005"/>
    <n v="8.7800000000000003E-2"/>
    <n v="0.46800000000000003"/>
    <n v="9.3100000000000002E-2"/>
    <n v="0.68200000000000005"/>
    <n v="-4.7709999999999999"/>
    <n v="172325"/>
    <n v="2020"/>
    <x v="0"/>
  </r>
  <r>
    <n v="95"/>
    <n v="75"/>
    <n v="10"/>
    <d v="2021-07-02T00:00:00"/>
    <x v="3"/>
    <s v="Ram Pam Pam"/>
    <n v="7064003"/>
    <s v="Natti Natasha, Becky G"/>
    <n v="6341942"/>
    <s v="latin"/>
    <d v="2021-04-20T00:00:00"/>
    <n v="86"/>
    <x v="0"/>
    <n v="0.90800000000000003"/>
    <n v="0.81299999999999994"/>
    <n v="7.7700000000000005E-2"/>
    <n v="0.30499999999999999"/>
    <n v="0.27800000000000002"/>
    <n v="0.92400000000000004"/>
    <n v="-2.7490000000000001"/>
    <n v="200785"/>
    <n v="2021"/>
    <x v="0"/>
  </r>
  <r>
    <n v="97"/>
    <n v="97"/>
    <n v="3"/>
    <d v="2021-07-23T00:00:00"/>
    <x v="2"/>
    <s v="Woman"/>
    <n v="6858466"/>
    <s v="Doja Cat"/>
    <n v="8640063"/>
    <s v="dance pop"/>
    <d v="2021-06-25T00:00:00"/>
    <n v="86"/>
    <x v="0"/>
    <n v="0.82399999999999995"/>
    <n v="0.76400000000000001"/>
    <n v="8.5400000000000004E-2"/>
    <n v="8.8800000000000004E-2"/>
    <n v="0.11700000000000001"/>
    <n v="0.88100000000000001"/>
    <n v="-4.1749999999999998"/>
    <n v="172627"/>
    <n v="2021"/>
    <x v="0"/>
  </r>
  <r>
    <n v="102"/>
    <n v="85"/>
    <n v="5"/>
    <d v="2021-07-09T00:00:00"/>
    <x v="3"/>
    <s v="Reckless"/>
    <n v="6711375"/>
    <s v="Madison Beer"/>
    <n v="3363988"/>
    <s v="alt z"/>
    <d v="2021-06-04T00:00:00"/>
    <n v="86"/>
    <x v="1"/>
    <n v="0.38600000000000001"/>
    <n v="0.42599999999999999"/>
    <n v="3.6299999999999999E-2"/>
    <n v="0.80700000000000005"/>
    <n v="0.14000000000000001"/>
    <n v="0.26100000000000001"/>
    <n v="-6.6420000000000003"/>
    <n v="203385"/>
    <n v="2021"/>
    <x v="0"/>
  </r>
  <r>
    <n v="104"/>
    <n v="88"/>
    <n v="83"/>
    <d v="2020-06-26T00:00:00"/>
    <x v="0"/>
    <s v="Believer"/>
    <n v="6699895"/>
    <s v="Imagine Dragons"/>
    <n v="35285425"/>
    <s v="modern rock"/>
    <d v="2017-06-23T00:00:00"/>
    <n v="86"/>
    <x v="0"/>
    <n v="0.77600000000000002"/>
    <n v="0.78"/>
    <n v="0.128"/>
    <n v="6.2199999999999998E-2"/>
    <n v="8.1000000000000003E-2"/>
    <n v="0.66600000000000004"/>
    <n v="-4.3739999999999997"/>
    <n v="204347"/>
    <n v="2017"/>
    <x v="0"/>
  </r>
  <r>
    <n v="108"/>
    <n v="59"/>
    <n v="11"/>
    <d v="2021-06-04T00:00:00"/>
    <x v="3"/>
    <s v="Sal y Perrea"/>
    <n v="6635076"/>
    <s v="Sech"/>
    <n v="8758283"/>
    <s v="latin"/>
    <d v="2021-04-15T00:00:00"/>
    <n v="86"/>
    <x v="0"/>
    <n v="0.78600000000000003"/>
    <n v="0.89900000000000002"/>
    <n v="0.127"/>
    <n v="0.192"/>
    <n v="0.29899999999999999"/>
    <n v="0.81299999999999994"/>
    <n v="-0.51500000000000001"/>
    <n v="216510"/>
    <n v="2021"/>
    <x v="0"/>
  </r>
  <r>
    <n v="109"/>
    <n v="109"/>
    <n v="3"/>
    <d v="2021-07-23T00:00:00"/>
    <x v="2"/>
    <s v="Fulanito"/>
    <n v="6614072"/>
    <s v="Becky G, El Alfa"/>
    <n v="10356559"/>
    <s v="dance pop"/>
    <d v="2021-06-03T00:00:00"/>
    <n v="86"/>
    <x v="0"/>
    <n v="0.93"/>
    <n v="0.83699999999999997"/>
    <n v="0.187"/>
    <n v="0.25600000000000001"/>
    <n v="0.23899999999999999"/>
    <n v="0.82099999999999995"/>
    <n v="-4.6319999999999997"/>
    <n v="158532"/>
    <n v="2021"/>
    <x v="0"/>
  </r>
  <r>
    <n v="110"/>
    <n v="110"/>
    <n v="1"/>
    <d v="2021-07-23T00:00:00"/>
    <x v="3"/>
    <s v="París"/>
    <n v="6584896"/>
    <s v="Ingratax"/>
    <n v="56699"/>
    <m/>
    <d v="2021-07-09T00:00:00"/>
    <n v="86"/>
    <x v="1"/>
    <n v="0.56999999999999995"/>
    <n v="0.45500000000000002"/>
    <n v="9.9599999999999994E-2"/>
    <n v="0.441"/>
    <n v="6.54E-2"/>
    <n v="0.39900000000000002"/>
    <n v="-5.7480000000000002"/>
    <n v="151429"/>
    <n v="2021"/>
    <x v="0"/>
  </r>
  <r>
    <n v="111"/>
    <n v="46"/>
    <n v="83"/>
    <d v="2020-04-17T00:00:00"/>
    <x v="2"/>
    <s v="lovely (with Khalid)"/>
    <n v="6569547"/>
    <s v="Billie Eilish"/>
    <n v="47014200"/>
    <s v="electropop"/>
    <d v="2018-04-19T00:00:00"/>
    <n v="86"/>
    <x v="1"/>
    <n v="0.35099999999999998"/>
    <n v="0.29599999999999999"/>
    <n v="3.3300000000000003E-2"/>
    <n v="0.93400000000000005"/>
    <n v="9.5000000000000001E-2"/>
    <n v="0.12"/>
    <n v="-10.109"/>
    <n v="200186"/>
    <n v="2018"/>
    <x v="0"/>
  </r>
  <r>
    <n v="113"/>
    <n v="113"/>
    <n v="3"/>
    <d v="2021-07-23T00:00:00"/>
    <x v="3"/>
    <s v="double take"/>
    <n v="6539852"/>
    <s v="dhruv"/>
    <n v="73211"/>
    <s v="chill r&amp;b"/>
    <d v="2019-05-24T00:00:00"/>
    <n v="86"/>
    <x v="1"/>
    <n v="0.66300000000000003"/>
    <n v="0.434"/>
    <n v="6.4799999999999996E-2"/>
    <n v="0.82799999999999996"/>
    <n v="0.249"/>
    <n v="0.22500000000000001"/>
    <n v="-11.177"/>
    <n v="171743"/>
    <n v="2019"/>
    <x v="0"/>
  </r>
  <r>
    <n v="114"/>
    <n v="9"/>
    <n v="29"/>
    <d v="2021-02-05T00:00:00"/>
    <x v="2"/>
    <s v="Streets"/>
    <n v="6502302"/>
    <s v="Doja Cat"/>
    <n v="8640063"/>
    <s v="dance pop"/>
    <d v="2019-11-07T00:00:00"/>
    <n v="86"/>
    <x v="1"/>
    <n v="0.749"/>
    <n v="0.46300000000000002"/>
    <n v="8.4199999999999997E-2"/>
    <n v="0.21"/>
    <n v="0.33800000000000002"/>
    <n v="0.189"/>
    <n v="-8.4329999999999998"/>
    <n v="226987"/>
    <n v="2019"/>
    <x v="0"/>
  </r>
  <r>
    <n v="120"/>
    <n v="99"/>
    <n v="83"/>
    <d v="2020-07-24T00:00:00"/>
    <x v="2"/>
    <s v="Perfect"/>
    <n v="6278765"/>
    <s v="Ed Sheeran"/>
    <n v="83293380"/>
    <s v="pop"/>
    <d v="2017-03-03T00:00:00"/>
    <n v="86"/>
    <x v="1"/>
    <n v="0.59899999999999998"/>
    <n v="0.44800000000000001"/>
    <n v="2.3199999999999998E-2"/>
    <n v="0.16300000000000001"/>
    <n v="0.106"/>
    <n v="0.16800000000000001"/>
    <n v="-6.3120000000000003"/>
    <n v="263400"/>
    <n v="2017"/>
    <x v="0"/>
  </r>
  <r>
    <n v="122"/>
    <n v="2"/>
    <n v="35"/>
    <d v="2020-11-27T00:00:00"/>
    <x v="3"/>
    <s v="LA NOCHE DE ANOCHE"/>
    <n v="6242863"/>
    <s v="Bad Bunny, ROSALÍA"/>
    <n v="36142273"/>
    <s v="latin"/>
    <d v="2020-11-27T00:00:00"/>
    <n v="86"/>
    <x v="1"/>
    <n v="0.85599999999999998"/>
    <n v="0.61799999999999999"/>
    <n v="0.28599999999999998"/>
    <n v="3.0300000000000001E-2"/>
    <n v="8.6599999999999996E-2"/>
    <n v="0.39100000000000001"/>
    <n v="-4.8920000000000003"/>
    <n v="203201"/>
    <n v="2020"/>
    <x v="0"/>
  </r>
  <r>
    <n v="123"/>
    <n v="1"/>
    <n v="67"/>
    <d v="2020-07-17T00:00:00"/>
    <x v="1"/>
    <s v="ROCKSTAR (feat. Roddy Ricch)"/>
    <n v="6180056"/>
    <s v="DaBaby"/>
    <n v="7593046"/>
    <s v="north carolina hip hop"/>
    <d v="2020-04-17T00:00:00"/>
    <n v="86"/>
    <x v="0"/>
    <n v="0.746"/>
    <n v="0.69"/>
    <n v="0.16400000000000001"/>
    <n v="0.247"/>
    <n v="0.10100000000000001"/>
    <n v="0.497"/>
    <n v="-7.9560000000000004"/>
    <n v="181733"/>
    <n v="2020"/>
    <x v="0"/>
  </r>
  <r>
    <n v="124"/>
    <n v="12"/>
    <n v="53"/>
    <d v="2020-09-04T00:00:00"/>
    <x v="3"/>
    <s v="Heather"/>
    <n v="6164795"/>
    <s v="Conan Gray"/>
    <n v="3794081"/>
    <s v="alt z"/>
    <d v="2020-03-20T00:00:00"/>
    <n v="86"/>
    <x v="1"/>
    <n v="0.35699999999999998"/>
    <n v="0.42499999999999999"/>
    <n v="3.3300000000000003E-2"/>
    <n v="0.58399999999999996"/>
    <n v="0.32200000000000001"/>
    <n v="0.27"/>
    <n v="-7.3010000000000002"/>
    <n v="198040"/>
    <n v="2020"/>
    <x v="0"/>
  </r>
  <r>
    <n v="125"/>
    <n v="13"/>
    <n v="55"/>
    <d v="2020-10-16T00:00:00"/>
    <x v="3"/>
    <s v="you broke me first"/>
    <n v="6152121"/>
    <s v="Tate McRae"/>
    <n v="1647262"/>
    <s v="alt z"/>
    <d v="2020-04-17T00:00:00"/>
    <n v="86"/>
    <x v="1"/>
    <n v="0.66700000000000004"/>
    <n v="0.373"/>
    <n v="0.05"/>
    <n v="0.78500000000000003"/>
    <n v="9.06E-2"/>
    <n v="8.2299999999999998E-2"/>
    <n v="-9.3889999999999993"/>
    <n v="169266"/>
    <n v="2020"/>
    <x v="0"/>
  </r>
  <r>
    <n v="129"/>
    <n v="11"/>
    <n v="10"/>
    <d v="2021-05-21T00:00:00"/>
    <x v="2"/>
    <s v="enough for you"/>
    <n v="6040918"/>
    <s v="Olivia Rodrigo"/>
    <n v="6266514"/>
    <s v="pop"/>
    <d v="2021-05-21T00:00:00"/>
    <n v="86"/>
    <x v="1"/>
    <n v="0.63800000000000001"/>
    <n v="0.25900000000000001"/>
    <n v="8.9800000000000005E-2"/>
    <n v="0.753"/>
    <n v="0.219"/>
    <n v="0.26900000000000002"/>
    <n v="-10.706"/>
    <n v="202827"/>
    <n v="2021"/>
    <x v="0"/>
  </r>
  <r>
    <n v="24"/>
    <n v="24"/>
    <n v="31"/>
    <d v="2021-07-23T00:00:00"/>
    <x v="2"/>
    <s v="Heat Waves"/>
    <n v="15089184"/>
    <s v="Glass Animals"/>
    <n v="1890510"/>
    <s v="gauze pop"/>
    <d v="2020-08-07T00:00:00"/>
    <n v="85"/>
    <x v="1"/>
    <n v="0.76100000000000001"/>
    <n v="0.52500000000000002"/>
    <n v="9.4399999999999998E-2"/>
    <n v="0.44"/>
    <n v="9.2100000000000001E-2"/>
    <n v="0.53100000000000003"/>
    <n v="-6.9"/>
    <n v="238805"/>
    <n v="2020"/>
    <x v="0"/>
  </r>
  <r>
    <n v="72"/>
    <n v="72"/>
    <n v="2"/>
    <d v="2021-07-23T00:00:00"/>
    <x v="3"/>
    <s v="2055"/>
    <n v="8133401"/>
    <s v="Sleepy Hallow"/>
    <n v="408696"/>
    <s v="brooklyn drill"/>
    <d v="2021-06-02T00:00:00"/>
    <n v="85"/>
    <x v="1"/>
    <n v="0.82899999999999996"/>
    <n v="0.51200000000000001"/>
    <n v="0.187"/>
    <n v="0.49199999999999999"/>
    <n v="0.12"/>
    <n v="0.63800000000000001"/>
    <n v="-5.8650000000000002"/>
    <n v="123987"/>
    <n v="2021"/>
    <x v="0"/>
  </r>
  <r>
    <n v="98"/>
    <n v="60"/>
    <n v="8"/>
    <d v="2021-06-18T00:00:00"/>
    <x v="3"/>
    <s v="t r a n s p a r e n t s o u l feat. Travis Barker"/>
    <n v="6853994"/>
    <s v="WILLOW"/>
    <n v="1521837"/>
    <s v="afrofuturism"/>
    <d v="2021-04-27T00:00:00"/>
    <n v="85"/>
    <x v="0"/>
    <n v="0.39"/>
    <n v="0.83"/>
    <n v="5.6300000000000003E-2"/>
    <n v="2.0999999999999999E-3"/>
    <n v="0.156"/>
    <n v="0.191"/>
    <n v="-5.2009999999999996"/>
    <n v="168030"/>
    <n v="2021"/>
    <x v="0"/>
  </r>
  <r>
    <n v="103"/>
    <n v="103"/>
    <n v="5"/>
    <d v="2021-07-23T00:00:00"/>
    <x v="3"/>
    <s v="No Me Conocen (Remix) [con DUKI, Rei &amp; Tiago PZK]"/>
    <n v="6709106"/>
    <s v="BANDIDO"/>
    <n v="16074"/>
    <m/>
    <d v="2021-06-16T00:00:00"/>
    <n v="85"/>
    <x v="0"/>
    <n v="0.76900000000000002"/>
    <n v="0.81200000000000006"/>
    <n v="8.2500000000000004E-2"/>
    <n v="0.28100000000000003"/>
    <n v="7.8100000000000003E-2"/>
    <n v="0.92600000000000005"/>
    <n v="-2.0880000000000001"/>
    <n v="280274"/>
    <n v="2021"/>
    <x v="0"/>
  </r>
  <r>
    <n v="115"/>
    <n v="80"/>
    <n v="8"/>
    <d v="2021-06-04T00:00:00"/>
    <x v="2"/>
    <s v="By Your Side (feat. Tom Grennan)"/>
    <n v="6488622"/>
    <s v="Calvin Harris"/>
    <n v="21942793"/>
    <s v="dance pop"/>
    <d v="2021-06-04T00:00:00"/>
    <n v="85"/>
    <x v="0"/>
    <n v="0.73299999999999998"/>
    <n v="0.96"/>
    <n v="2.9499999999999998E-2"/>
    <n v="5.1400000000000001E-2"/>
    <n v="0.28699999999999998"/>
    <n v="0.81100000000000005"/>
    <n v="-3.597"/>
    <n v="189672"/>
    <n v="2021"/>
    <x v="0"/>
  </r>
  <r>
    <n v="116"/>
    <n v="116"/>
    <n v="3"/>
    <d v="2021-07-23T00:00:00"/>
    <x v="3"/>
    <s v="MORENA"/>
    <n v="6469500"/>
    <s v="Luan Santana"/>
    <n v="5420471"/>
    <s v="sertanejo"/>
    <d v="2021-06-17T00:00:00"/>
    <n v="85"/>
    <x v="0"/>
    <n v="0.52600000000000002"/>
    <n v="0.73099999999999998"/>
    <n v="8.8700000000000001E-2"/>
    <n v="0.18"/>
    <n v="8.9099999999999999E-2"/>
    <n v="0.47599999999999998"/>
    <n v="-4.6619999999999999"/>
    <n v="193221"/>
    <n v="2021"/>
    <x v="0"/>
  </r>
  <r>
    <n v="117"/>
    <n v="80"/>
    <n v="80"/>
    <d v="2019-12-27T00:00:00"/>
    <x v="2"/>
    <s v="Shape of You"/>
    <n v="6452492"/>
    <s v="Ed Sheeran"/>
    <n v="83293380"/>
    <s v="pop"/>
    <d v="2017-03-03T00:00:00"/>
    <n v="85"/>
    <x v="0"/>
    <n v="0.82499999999999996"/>
    <n v="0.65200000000000002"/>
    <n v="8.0199999999999994E-2"/>
    <n v="0.58099999999999996"/>
    <n v="9.3100000000000002E-2"/>
    <n v="0.93100000000000005"/>
    <n v="-3.1829999999999998"/>
    <n v="233713"/>
    <n v="2017"/>
    <x v="0"/>
  </r>
  <r>
    <n v="121"/>
    <n v="80"/>
    <n v="5"/>
    <d v="2021-07-02T00:00:00"/>
    <x v="2"/>
    <s v="2:50 Remix"/>
    <n v="6244011"/>
    <s v="MYA, TINI, Duki"/>
    <n v="282045"/>
    <s v="latin pop"/>
    <d v="2021-06-21T00:00:00"/>
    <n v="85"/>
    <x v="0"/>
    <n v="0.81799999999999995"/>
    <n v="0.81200000000000006"/>
    <n v="4.7500000000000001E-2"/>
    <n v="0.112"/>
    <n v="0.23400000000000001"/>
    <n v="0.84399999999999997"/>
    <n v="-4.4249999999999998"/>
    <n v="231708"/>
    <n v="2021"/>
    <x v="0"/>
  </r>
  <r>
    <n v="126"/>
    <n v="126"/>
    <n v="18"/>
    <d v="2021-07-23T00:00:00"/>
    <x v="2"/>
    <s v="The Nights"/>
    <n v="6136340"/>
    <s v="Avicii"/>
    <n v="20270895"/>
    <s v="dance pop"/>
    <d v="2014-01-01T00:00:00"/>
    <n v="85"/>
    <x v="0"/>
    <n v="0.52700000000000002"/>
    <n v="0.83499999999999996"/>
    <n v="4.3299999999999998E-2"/>
    <n v="1.66E-2"/>
    <n v="0.249"/>
    <n v="0.65400000000000003"/>
    <n v="-5.298"/>
    <n v="176658"/>
    <n v="2014"/>
    <x v="0"/>
  </r>
  <r>
    <n v="130"/>
    <n v="99"/>
    <n v="42"/>
    <d v="2021-02-05T00:00:00"/>
    <x v="0"/>
    <s v="Daddy Issues"/>
    <n v="6014443"/>
    <s v="The Neighbourhood"/>
    <n v="6662605"/>
    <s v="modern alternative rock"/>
    <d v="2015-10-30T00:00:00"/>
    <n v="85"/>
    <x v="1"/>
    <n v="0.58799999999999997"/>
    <n v="0.52100000000000002"/>
    <n v="3.2899999999999999E-2"/>
    <n v="6.7799999999999999E-2"/>
    <n v="0.123"/>
    <n v="0.33700000000000002"/>
    <n v="-9.4610000000000003"/>
    <n v="260173"/>
    <n v="2015"/>
    <x v="0"/>
  </r>
  <r>
    <n v="132"/>
    <n v="19"/>
    <n v="12"/>
    <d v="2021-05-07T00:00:00"/>
    <x v="4"/>
    <s v="Miss The Rage (feat. Playboi Carti)"/>
    <n v="5952490"/>
    <s v="Trippie Redd"/>
    <n v="6430522"/>
    <s v="melodic rap"/>
    <d v="2021-05-07T00:00:00"/>
    <n v="85"/>
    <x v="0"/>
    <n v="0.58399999999999996"/>
    <n v="0.85899999999999999"/>
    <n v="0.121"/>
    <n v="1.44E-2"/>
    <n v="0.84699999999999998"/>
    <n v="0.36899999999999999"/>
    <n v="-5.6159999999999997"/>
    <n v="236883"/>
    <n v="2021"/>
    <x v="0"/>
  </r>
  <r>
    <n v="133"/>
    <n v="4"/>
    <n v="83"/>
    <d v="2019-12-27T00:00:00"/>
    <x v="2"/>
    <s v="Memories"/>
    <n v="5928329"/>
    <s v="Maroon 5"/>
    <n v="32262679"/>
    <s v="pop"/>
    <d v="2021-06-11T00:00:00"/>
    <n v="85"/>
    <x v="1"/>
    <n v="0.77500000000000002"/>
    <n v="0.32700000000000001"/>
    <n v="5.57E-2"/>
    <n v="0.84099999999999997"/>
    <n v="8.2100000000000006E-2"/>
    <n v="0.59499999999999997"/>
    <n v="-7.2409999999999997"/>
    <n v="189486"/>
    <n v="2021"/>
    <x v="0"/>
  </r>
  <r>
    <n v="135"/>
    <n v="135"/>
    <n v="4"/>
    <d v="2021-07-23T00:00:00"/>
    <x v="2"/>
    <s v="Here's Your Perfect"/>
    <n v="5912784"/>
    <s v="Jamie Miller"/>
    <n v="64288"/>
    <s v="pop soul"/>
    <d v="2021-04-30T00:00:00"/>
    <n v="85"/>
    <x v="1"/>
    <n v="0.55800000000000005"/>
    <n v="0.45400000000000001"/>
    <n v="5.5100000000000003E-2"/>
    <n v="0.499"/>
    <n v="0.14599999999999999"/>
    <n v="0.42399999999999999"/>
    <n v="-5.335"/>
    <n v="158594"/>
    <n v="2021"/>
    <x v="0"/>
  </r>
  <r>
    <n v="138"/>
    <n v="138"/>
    <n v="4"/>
    <d v="2021-07-23T00:00:00"/>
    <x v="3"/>
    <s v="Ficha Limpa"/>
    <n v="5847975"/>
    <s v="Gusttavo Lima"/>
    <n v="12969190"/>
    <s v="sertanejo"/>
    <d v="2021-06-19T00:00:00"/>
    <n v="85"/>
    <x v="0"/>
    <n v="0.77400000000000002"/>
    <n v="0.73199999999999998"/>
    <n v="3.0800000000000001E-2"/>
    <n v="0.108"/>
    <n v="0.24299999999999999"/>
    <n v="0.73399999999999999"/>
    <n v="-4.2270000000000003"/>
    <n v="192725"/>
    <n v="2021"/>
    <x v="0"/>
  </r>
  <r>
    <n v="143"/>
    <n v="5"/>
    <n v="32"/>
    <d v="2021-02-05T00:00:00"/>
    <x v="4"/>
    <s v="Bandido"/>
    <n v="5734402"/>
    <s v="Myke Towers, Juhn"/>
    <n v="6150675"/>
    <s v="trap latino"/>
    <d v="2020-12-10T00:00:00"/>
    <n v="85"/>
    <x v="1"/>
    <n v="0.71299999999999997"/>
    <n v="0.61699999999999999"/>
    <n v="8.8700000000000001E-2"/>
    <n v="0.122"/>
    <n v="9.6199999999999994E-2"/>
    <n v="0.68200000000000005"/>
    <n v="-4.6369999999999996"/>
    <n v="232853"/>
    <n v="2020"/>
    <x v="0"/>
  </r>
  <r>
    <n v="144"/>
    <n v="25"/>
    <n v="39"/>
    <d v="2021-02-05T00:00:00"/>
    <x v="2"/>
    <s v="Paradise (feat. Dermot Kennedy)"/>
    <n v="5693848"/>
    <s v="MEDUZA"/>
    <n v="441674"/>
    <s v="dance pop"/>
    <d v="2020-10-30T00:00:00"/>
    <n v="85"/>
    <x v="1"/>
    <n v="0.63200000000000001"/>
    <n v="0.59499999999999997"/>
    <n v="4.0099999999999997E-2"/>
    <n v="6.8900000000000003E-2"/>
    <n v="0.20899999999999999"/>
    <n v="0.435"/>
    <n v="-7.6440000000000001"/>
    <n v="167903"/>
    <n v="2020"/>
    <x v="0"/>
  </r>
  <r>
    <n v="146"/>
    <n v="90"/>
    <n v="18"/>
    <d v="2021-05-28T00:00:00"/>
    <x v="3"/>
    <s v="Wasted Love (feat. Lagique)"/>
    <n v="5690260"/>
    <s v="Ofenbach"/>
    <n v="432581"/>
    <s v="edm"/>
    <d v="2021-01-08T00:00:00"/>
    <n v="85"/>
    <x v="0"/>
    <n v="0.73399999999999999"/>
    <n v="0.85499999999999998"/>
    <n v="0.13500000000000001"/>
    <n v="8.2100000000000006E-2"/>
    <n v="9.01E-2"/>
    <n v="0.54"/>
    <n v="-4.5780000000000003"/>
    <n v="139563"/>
    <n v="2021"/>
    <x v="0"/>
  </r>
  <r>
    <n v="149"/>
    <n v="110"/>
    <n v="9"/>
    <d v="2021-05-28T00:00:00"/>
    <x v="3"/>
    <s v="Tell Em"/>
    <n v="5668576"/>
    <s v="Cochise, $NOT"/>
    <n v="159647"/>
    <s v="plugg"/>
    <d v="2021-05-28T00:00:00"/>
    <n v="85"/>
    <x v="0"/>
    <n v="0.67200000000000004"/>
    <n v="0.71699999999999997"/>
    <n v="0.22600000000000001"/>
    <n v="0.10299999999999999"/>
    <n v="0.39800000000000002"/>
    <n v="0.47299999999999998"/>
    <n v="-7.476"/>
    <n v="180380"/>
    <n v="2021"/>
    <x v="0"/>
  </r>
  <r>
    <n v="152"/>
    <n v="121"/>
    <n v="32"/>
    <d v="2021-05-07T00:00:00"/>
    <x v="3"/>
    <s v="Yellow"/>
    <n v="5628703"/>
    <s v="Coldplay"/>
    <n v="31151294"/>
    <s v="permanent wave"/>
    <d v="2000-07-10T00:00:00"/>
    <n v="85"/>
    <x v="0"/>
    <n v="0.42899999999999999"/>
    <n v="0.66100000000000003"/>
    <n v="2.81E-2"/>
    <n v="2.3900000000000002E-3"/>
    <n v="0.23400000000000001"/>
    <n v="0.28499999999999998"/>
    <n v="-7.2270000000000003"/>
    <n v="266773"/>
    <n v="2000"/>
    <x v="0"/>
  </r>
  <r>
    <n v="158"/>
    <n v="6"/>
    <n v="47"/>
    <d v="2020-11-06T00:00:00"/>
    <x v="3"/>
    <s v="What You Know Bout Love"/>
    <n v="5570735"/>
    <s v="Pop Smoke"/>
    <n v="6837946"/>
    <s v="brooklyn drill"/>
    <d v="2020-07-03T00:00:00"/>
    <n v="85"/>
    <x v="1"/>
    <n v="0.70899999999999996"/>
    <n v="0.54800000000000004"/>
    <n v="0.35299999999999998"/>
    <n v="0.65"/>
    <n v="0.13300000000000001"/>
    <n v="0.54300000000000004"/>
    <n v="-8.4930000000000003"/>
    <n v="160000"/>
    <n v="2020"/>
    <x v="0"/>
  </r>
  <r>
    <n v="162"/>
    <n v="31"/>
    <n v="83"/>
    <d v="2019-12-27T00:00:00"/>
    <x v="4"/>
    <s v="Lucid Dreams"/>
    <n v="5477563"/>
    <s v="Juice WRLD"/>
    <n v="19085118"/>
    <s v="chicago rap"/>
    <d v="2018-12-10T00:00:00"/>
    <n v="85"/>
    <x v="1"/>
    <n v="0.51100000000000001"/>
    <n v="0.56599999999999995"/>
    <n v="0.2"/>
    <n v="0.34899999999999998"/>
    <n v="0.34"/>
    <n v="0.218"/>
    <n v="-7.23"/>
    <n v="239836"/>
    <n v="2018"/>
    <x v="0"/>
  </r>
  <r>
    <n v="163"/>
    <n v="4"/>
    <n v="24"/>
    <d v="2021-02-12T00:00:00"/>
    <x v="3"/>
    <s v="Calling My Phone"/>
    <n v="5467753"/>
    <s v="Lil Tjay, 6LACK"/>
    <n v="3553442"/>
    <s v="brooklyn drill"/>
    <d v="2021-04-02T00:00:00"/>
    <n v="85"/>
    <x v="1"/>
    <n v="0.90700000000000003"/>
    <n v="0.39300000000000002"/>
    <n v="5.3900000000000003E-2"/>
    <n v="0.45100000000000001"/>
    <n v="0.13500000000000001"/>
    <n v="0.20200000000000001"/>
    <n v="-7.6360000000000001"/>
    <n v="205458"/>
    <n v="2021"/>
    <x v="0"/>
  </r>
  <r>
    <n v="168"/>
    <n v="13"/>
    <n v="10"/>
    <d v="2021-05-21T00:00:00"/>
    <x v="2"/>
    <s v="1 step forward, 3 steps back"/>
    <n v="5420003"/>
    <s v="Olivia Rodrigo"/>
    <n v="6266514"/>
    <s v="pop"/>
    <d v="2021-05-21T00:00:00"/>
    <n v="85"/>
    <x v="1"/>
    <n v="0.47299999999999998"/>
    <n v="0.20300000000000001"/>
    <n v="0.10199999999999999"/>
    <n v="0.94099999999999995"/>
    <n v="0.126"/>
    <n v="0.41899999999999998"/>
    <n v="-12.627000000000001"/>
    <n v="163587"/>
    <n v="2021"/>
    <x v="0"/>
  </r>
  <r>
    <n v="213"/>
    <n v="13"/>
    <n v="15"/>
    <d v="2021-05-07T00:00:00"/>
    <x v="3"/>
    <s v="AM"/>
    <n v="5288927"/>
    <s v="Nio Garcia, Flow La Movie"/>
    <n v="2123734"/>
    <s v="latin"/>
    <d v="2021-01-28T00:00:00"/>
    <n v="85"/>
    <x v="1"/>
    <n v="0.83"/>
    <n v="0.51700000000000002"/>
    <n v="0.33300000000000002"/>
    <n v="0.39900000000000002"/>
    <n v="9.1600000000000001E-2"/>
    <n v="0.61599999999999999"/>
    <n v="-6.4160000000000004"/>
    <n v="182496"/>
    <n v="2021"/>
    <x v="0"/>
  </r>
  <r>
    <n v="177"/>
    <n v="4"/>
    <n v="76"/>
    <d v="2020-06-19T00:00:00"/>
    <x v="4"/>
    <s v="death bed (coffee for your head)"/>
    <n v="5238547"/>
    <s v="Powfu, beabadoobee"/>
    <n v="924083"/>
    <s v="sad rap"/>
    <d v="2020-02-08T00:00:00"/>
    <n v="85"/>
    <x v="1"/>
    <n v="0.72599999999999998"/>
    <n v="0.43099999999999999"/>
    <n v="0.13500000000000001"/>
    <n v="0.73099999999999998"/>
    <n v="0.69599999999999995"/>
    <n v="0.34799999999999998"/>
    <n v="-8.7650000000000006"/>
    <n v="173333"/>
    <n v="2020"/>
    <x v="0"/>
  </r>
  <r>
    <n v="184"/>
    <n v="184"/>
    <n v="1"/>
    <d v="2021-07-23T00:00:00"/>
    <x v="2"/>
    <s v="Cúrame"/>
    <n v="5104206"/>
    <s v="Rauw Alejandro"/>
    <n v="6080597"/>
    <s v="puerto rican pop"/>
    <d v="2021-06-25T00:00:00"/>
    <n v="85"/>
    <x v="1"/>
    <n v="0.76500000000000001"/>
    <n v="0.625"/>
    <n v="5.4800000000000001E-2"/>
    <n v="0.58399999999999996"/>
    <n v="0.112"/>
    <n v="0.26200000000000001"/>
    <n v="-3.5990000000000002"/>
    <n v="164706"/>
    <n v="2021"/>
    <x v="0"/>
  </r>
  <r>
    <n v="186"/>
    <n v="80"/>
    <n v="41"/>
    <d v="2021-04-23T00:00:00"/>
    <x v="4"/>
    <s v="Martin &amp; Gina"/>
    <n v="5098609"/>
    <s v="Polo G"/>
    <n v="4840346"/>
    <s v="chicago rap"/>
    <d v="2020-05-15T00:00:00"/>
    <n v="85"/>
    <x v="1"/>
    <n v="0.83199999999999996"/>
    <n v="0.53400000000000003"/>
    <n v="0.253"/>
    <n v="0.34499999999999997"/>
    <n v="0.16500000000000001"/>
    <n v="0.11600000000000001"/>
    <n v="-7.8129999999999997"/>
    <n v="132833"/>
    <n v="2020"/>
    <x v="0"/>
  </r>
  <r>
    <n v="193"/>
    <n v="41"/>
    <n v="81"/>
    <d v="2019-12-27T00:00:00"/>
    <x v="2"/>
    <s v="7 rings"/>
    <n v="5002227"/>
    <s v="Ariana Grande"/>
    <n v="67158068"/>
    <s v="dance pop"/>
    <d v="2019-02-08T00:00:00"/>
    <n v="85"/>
    <x v="1"/>
    <n v="0.77800000000000002"/>
    <n v="0.317"/>
    <n v="0.33400000000000002"/>
    <n v="0.59199999999999997"/>
    <n v="8.8099999999999998E-2"/>
    <n v="0.32700000000000001"/>
    <n v="-10.731999999999999"/>
    <n v="178627"/>
    <n v="2019"/>
    <x v="0"/>
  </r>
  <r>
    <n v="53"/>
    <n v="19"/>
    <n v="3"/>
    <d v="2021-07-09T00:00:00"/>
    <x v="2"/>
    <s v="NDA"/>
    <n v="9635619"/>
    <s v="Billie Eilish"/>
    <n v="47014200"/>
    <s v="electropop"/>
    <d v="2021-07-30T00:00:00"/>
    <n v="84"/>
    <x v="1"/>
    <n v="0.76500000000000001"/>
    <n v="0.373"/>
    <n v="7.1300000000000002E-2"/>
    <n v="0.34100000000000003"/>
    <n v="0.112"/>
    <n v="0.55400000000000005"/>
    <n v="-9.9209999999999994"/>
    <n v="195777"/>
    <n v="2021"/>
    <x v="0"/>
  </r>
  <r>
    <n v="83"/>
    <n v="83"/>
    <n v="2"/>
    <d v="2021-07-23T00:00:00"/>
    <x v="3"/>
    <s v="Bezos I"/>
    <n v="7516291"/>
    <s v="Bo Burnham"/>
    <n v="1042079"/>
    <s v="comic"/>
    <d v="2021-06-10T00:00:00"/>
    <n v="84"/>
    <x v="0"/>
    <n v="0.69399999999999995"/>
    <n v="0.94799999999999995"/>
    <n v="3.61E-2"/>
    <n v="9.3600000000000003E-3"/>
    <n v="0.13900000000000001"/>
    <n v="0.70499999999999996"/>
    <n v="-5.3070000000000004"/>
    <n v="58149"/>
    <n v="2021"/>
    <x v="0"/>
  </r>
  <r>
    <n v="90"/>
    <n v="23"/>
    <n v="25"/>
    <d v="2021-04-02T00:00:00"/>
    <x v="2"/>
    <s v="Arcade"/>
    <n v="7353795"/>
    <s v="Duncan Laurence"/>
    <n v="287361"/>
    <s v="dutch pop"/>
    <d v="2019-03-07T00:00:00"/>
    <n v="84"/>
    <x v="1"/>
    <n v="0.45"/>
    <n v="0.32900000000000001"/>
    <n v="4.41E-2"/>
    <n v="0.81799999999999995"/>
    <n v="0.13500000000000001"/>
    <n v="0.26600000000000001"/>
    <n v="-12.603"/>
    <n v="183624"/>
    <n v="2019"/>
    <x v="0"/>
  </r>
  <r>
    <n v="223"/>
    <n v="4"/>
    <n v="29"/>
    <d v="2020-11-20T00:00:00"/>
    <x v="2"/>
    <s v="Life Goes On"/>
    <n v="6142975"/>
    <s v="BTS"/>
    <n v="37106176"/>
    <s v="k-pop"/>
    <d v="2020-11-20T00:00:00"/>
    <n v="84"/>
    <x v="0"/>
    <n v="0.56599999999999995"/>
    <n v="0.71599999999999997"/>
    <n v="4.24E-2"/>
    <n v="6.9100000000000003E-3"/>
    <n v="0.37"/>
    <n v="0.45"/>
    <n v="-5.7329999999999997"/>
    <n v="207481"/>
    <n v="2020"/>
    <x v="0"/>
  </r>
  <r>
    <n v="131"/>
    <n v="131"/>
    <n v="3"/>
    <d v="2021-07-23T00:00:00"/>
    <x v="3"/>
    <s v="Aquelas Coisas"/>
    <n v="6012839"/>
    <s v="João Gomes"/>
    <n v="409173"/>
    <m/>
    <d v="2021-06-01T00:00:00"/>
    <n v="84"/>
    <x v="0"/>
    <n v="0.68200000000000005"/>
    <n v="0.873"/>
    <n v="4.4900000000000002E-2"/>
    <n v="0.40200000000000002"/>
    <n v="9.4600000000000004E-2"/>
    <n v="0.96399999999999997"/>
    <n v="-4.1630000000000003"/>
    <n v="147072"/>
    <n v="2021"/>
    <x v="0"/>
  </r>
  <r>
    <n v="377"/>
    <n v="61"/>
    <n v="17"/>
    <d v="2020-12-04T00:00:00"/>
    <x v="4"/>
    <s v="Body"/>
    <n v="5831357"/>
    <s v="Russ Millions, Tion Wayne"/>
    <n v="323203"/>
    <s v="london rap"/>
    <d v="2021-04-22T00:00:00"/>
    <n v="84"/>
    <x v="0"/>
    <n v="0.88300000000000001"/>
    <n v="0.67400000000000004"/>
    <n v="0.35699999999999998"/>
    <n v="0.21"/>
    <n v="6.7799999999999999E-2"/>
    <n v="0.73"/>
    <n v="-8.0429999999999993"/>
    <n v="278085"/>
    <n v="2021"/>
    <x v="0"/>
  </r>
  <r>
    <n v="209"/>
    <n v="22"/>
    <n v="4"/>
    <d v="2021-06-25T00:00:00"/>
    <x v="1"/>
    <s v="WUSYANAME (feat. Youngboy Never Broke Again &amp; Ty Dolla $ign)"/>
    <n v="5696113"/>
    <s v="Tyler, The Creator"/>
    <n v="6777818"/>
    <s v="hip hop"/>
    <d v="2021-06-25T00:00:00"/>
    <n v="84"/>
    <x v="0"/>
    <n v="0.49299999999999999"/>
    <n v="0.65300000000000002"/>
    <n v="4.6600000000000003E-2"/>
    <n v="0.26900000000000002"/>
    <n v="0.51100000000000001"/>
    <n v="0.85199999999999998"/>
    <n v="-5.6660000000000004"/>
    <n v="121573"/>
    <n v="2021"/>
    <x v="0"/>
  </r>
  <r>
    <n v="150"/>
    <n v="103"/>
    <n v="5"/>
    <d v="2021-07-02T00:00:00"/>
    <x v="3"/>
    <s v="Não, Não Vou"/>
    <n v="5652272"/>
    <s v="Mari Fernandez"/>
    <n v="15889"/>
    <m/>
    <d v="2021-04-29T00:00:00"/>
    <n v="84"/>
    <x v="0"/>
    <n v="0.63100000000000001"/>
    <n v="0.86099999999999999"/>
    <n v="4.24E-2"/>
    <n v="0.42699999999999999"/>
    <n v="0.215"/>
    <n v="0.82199999999999995"/>
    <n v="-1.891"/>
    <n v="173038"/>
    <n v="2021"/>
    <x v="0"/>
  </r>
  <r>
    <n v="210"/>
    <n v="105"/>
    <n v="4"/>
    <d v="2021-06-25T00:00:00"/>
    <x v="4"/>
    <s v="Sommergewitter"/>
    <n v="5627519"/>
    <s v="Pashanim"/>
    <n v="208554"/>
    <s v="german alternative rap"/>
    <d v="2021-06-24T00:00:00"/>
    <n v="84"/>
    <x v="1"/>
    <n v="0.78700000000000003"/>
    <n v="0.53100000000000003"/>
    <n v="0.10100000000000001"/>
    <n v="0.13200000000000001"/>
    <n v="0.112"/>
    <n v="0.72099999999999997"/>
    <n v="-10.569000000000001"/>
    <n v="138533"/>
    <n v="2021"/>
    <x v="0"/>
  </r>
  <r>
    <n v="155"/>
    <n v="142"/>
    <n v="23"/>
    <d v="2021-05-28T00:00:00"/>
    <x v="2"/>
    <s v="Wake Me Up"/>
    <n v="5607285"/>
    <s v="Avicii"/>
    <n v="20270895"/>
    <s v="dance pop"/>
    <d v="2013-01-01T00:00:00"/>
    <n v="84"/>
    <x v="0"/>
    <n v="0.53200000000000003"/>
    <n v="0.78300000000000003"/>
    <n v="5.2299999999999999E-2"/>
    <n v="3.8E-3"/>
    <n v="0.161"/>
    <n v="0.64300000000000002"/>
    <n v="-5.6970000000000001"/>
    <n v="247427"/>
    <n v="2013"/>
    <x v="0"/>
  </r>
  <r>
    <n v="225"/>
    <n v="17"/>
    <n v="24"/>
    <d v="2021-02-05T00:00:00"/>
    <x v="2"/>
    <s v="Baila Conmigo (with Rauw Alejandro)"/>
    <n v="5588217"/>
    <s v="Selena Gomez"/>
    <n v="28909504"/>
    <s v="dance pop"/>
    <d v="2021-03-12T00:00:00"/>
    <n v="84"/>
    <x v="1"/>
    <n v="0.82299999999999995"/>
    <n v="0.54400000000000004"/>
    <n v="7.1499999999999994E-2"/>
    <n v="2.1499999999999998E-2"/>
    <n v="9.6600000000000005E-2"/>
    <n v="0.66400000000000003"/>
    <n v="-7.1319999999999997"/>
    <n v="186088"/>
    <n v="2021"/>
    <x v="0"/>
  </r>
  <r>
    <n v="160"/>
    <n v="121"/>
    <n v="5"/>
    <d v="2021-07-09T00:00:00"/>
    <x v="1"/>
    <s v="Red Light Green Light"/>
    <n v="5493760"/>
    <s v="DaBaby"/>
    <n v="7593046"/>
    <s v="north carolina hip hop"/>
    <d v="2021-06-25T00:00:00"/>
    <n v="84"/>
    <x v="0"/>
    <n v="0.93300000000000005"/>
    <n v="0.65600000000000003"/>
    <n v="0.32200000000000001"/>
    <n v="0.129"/>
    <n v="0.161"/>
    <n v="0.93400000000000005"/>
    <n v="-5.85"/>
    <n v="159083"/>
    <n v="2021"/>
    <x v="0"/>
  </r>
  <r>
    <n v="161"/>
    <n v="120"/>
    <n v="5"/>
    <d v="2021-06-18T00:00:00"/>
    <x v="1"/>
    <s v="Ball If I Want To"/>
    <n v="5478055"/>
    <s v="DaBaby"/>
    <n v="7593046"/>
    <s v="north carolina hip hop"/>
    <d v="2021-06-18T00:00:00"/>
    <n v="84"/>
    <x v="0"/>
    <n v="0.90200000000000002"/>
    <n v="0.66900000000000004"/>
    <n v="0.45700000000000002"/>
    <n v="0.161"/>
    <n v="7.2800000000000004E-2"/>
    <n v="0.628"/>
    <n v="-5.0490000000000004"/>
    <n v="112547"/>
    <n v="2021"/>
    <x v="0"/>
  </r>
  <r>
    <n v="227"/>
    <n v="22"/>
    <n v="8"/>
    <d v="2021-05-21T00:00:00"/>
    <x v="2"/>
    <s v="hope ur ok"/>
    <n v="5435614"/>
    <s v="Olivia Rodrigo"/>
    <n v="6266514"/>
    <s v="pop"/>
    <d v="2021-05-21T00:00:00"/>
    <n v="84"/>
    <x v="1"/>
    <n v="0.443"/>
    <n v="0.29799999999999999"/>
    <n v="6.4399999999999999E-2"/>
    <n v="0.38800000000000001"/>
    <n v="0.10299999999999999"/>
    <n v="0.17199999999999999"/>
    <n v="-12.180999999999999"/>
    <n v="209560"/>
    <n v="2021"/>
    <x v="0"/>
  </r>
  <r>
    <n v="167"/>
    <n v="7"/>
    <n v="56"/>
    <d v="2020-10-02T00:00:00"/>
    <x v="3"/>
    <s v="For The Night (feat. Lil Baby &amp; DaBaby)"/>
    <n v="5431375"/>
    <s v="Pop Smoke"/>
    <n v="6837946"/>
    <s v="brooklyn drill"/>
    <d v="2020-07-03T00:00:00"/>
    <n v="84"/>
    <x v="1"/>
    <n v="0.82299999999999995"/>
    <n v="0.58599999999999997"/>
    <n v="0.2"/>
    <n v="0.114"/>
    <n v="0.193"/>
    <n v="0.34699999999999998"/>
    <n v="-6.6059999999999999"/>
    <n v="190476"/>
    <n v="2020"/>
    <x v="0"/>
  </r>
  <r>
    <n v="169"/>
    <n v="1"/>
    <n v="51"/>
    <d v="2020-09-11T00:00:00"/>
    <x v="2"/>
    <s v="WAP (feat. Megan Thee Stallion)"/>
    <n v="5386268"/>
    <s v="Cardi B"/>
    <n v="17353707"/>
    <s v="dance pop"/>
    <d v="2020-08-07T00:00:00"/>
    <n v="84"/>
    <x v="1"/>
    <n v="0.93500000000000005"/>
    <n v="0.45400000000000001"/>
    <n v="0.375"/>
    <n v="1.9400000000000001E-2"/>
    <n v="8.2400000000000001E-2"/>
    <n v="0.35699999999999998"/>
    <n v="-7.5090000000000003"/>
    <n v="187541"/>
    <n v="2020"/>
    <x v="0"/>
  </r>
  <r>
    <n v="211"/>
    <n v="17"/>
    <n v="12"/>
    <d v="2021-05-07T00:00:00"/>
    <x v="4"/>
    <s v="Body (Remix) [feat. ArrDee, E1 (3x3), ZT (3x3), Bugzy Malone, Buni, Fivio Foreign &amp; Darkoo]"/>
    <n v="5383125"/>
    <s v="Tion Wayne, Russ Millions"/>
    <n v="323203"/>
    <s v="london rap"/>
    <d v="2021-04-22T00:00:00"/>
    <n v="84"/>
    <x v="0"/>
    <n v="0.88300000000000001"/>
    <n v="0.67400000000000004"/>
    <n v="0.35699999999999998"/>
    <n v="0.21"/>
    <n v="6.7799999999999999E-2"/>
    <n v="0.73"/>
    <n v="-8.0429999999999993"/>
    <n v="278085"/>
    <n v="2021"/>
    <x v="0"/>
  </r>
  <r>
    <n v="172"/>
    <n v="20"/>
    <n v="44"/>
    <d v="2020-10-09T00:00:00"/>
    <x v="0"/>
    <s v="Dreams - 2004 Remaster"/>
    <n v="5378971"/>
    <s v="Fleetwood Mac"/>
    <n v="6930669"/>
    <s v="album rock"/>
    <d v="1977-02-04T00:00:00"/>
    <n v="84"/>
    <x v="1"/>
    <n v="0.82799999999999996"/>
    <n v="0.49199999999999999"/>
    <n v="2.76E-2"/>
    <n v="6.4399999999999999E-2"/>
    <n v="0.128"/>
    <n v="0.78900000000000003"/>
    <n v="-9.7439999999999998"/>
    <n v="257800"/>
    <n v="1977"/>
    <x v="0"/>
  </r>
  <r>
    <n v="173"/>
    <n v="94"/>
    <n v="82"/>
    <d v="2021-02-12T00:00:00"/>
    <x v="2"/>
    <s v="Say You Won't Let Go"/>
    <n v="5375426"/>
    <s v="James Arthur"/>
    <n v="8441598"/>
    <s v="pop"/>
    <d v="2016-10-28T00:00:00"/>
    <n v="84"/>
    <x v="1"/>
    <n v="0.35799999999999998"/>
    <n v="0.55700000000000005"/>
    <n v="5.8999999999999997E-2"/>
    <n v="0.69499999999999995"/>
    <n v="9.0200000000000002E-2"/>
    <n v="0.49399999999999999"/>
    <n v="-7.3979999999999997"/>
    <n v="211467"/>
    <n v="2016"/>
    <x v="0"/>
  </r>
  <r>
    <n v="215"/>
    <n v="20"/>
    <n v="82"/>
    <d v="2020-01-03T00:00:00"/>
    <x v="2"/>
    <s v="Ride It"/>
    <n v="5235088"/>
    <s v="Regard"/>
    <n v="152226"/>
    <s v="dance pop"/>
    <d v="2019-07-26T00:00:00"/>
    <n v="84"/>
    <x v="0"/>
    <n v="0.88"/>
    <n v="0.751"/>
    <n v="8.7400000000000005E-2"/>
    <n v="0.17699999999999999"/>
    <n v="0.106"/>
    <n v="0.88400000000000001"/>
    <n v="-4.258"/>
    <n v="157606"/>
    <n v="2019"/>
    <x v="0"/>
  </r>
  <r>
    <n v="281"/>
    <n v="96"/>
    <n v="77"/>
    <d v="2020-06-26T00:00:00"/>
    <x v="4"/>
    <s v="Jocelyn Flores"/>
    <n v="5220422"/>
    <s v="XXXTENTACION"/>
    <n v="29539807"/>
    <s v="emo rap"/>
    <d v="2017-08-25T00:00:00"/>
    <n v="84"/>
    <x v="1"/>
    <n v="0.872"/>
    <n v="0.39100000000000001"/>
    <n v="0.24199999999999999"/>
    <n v="0.46899999999999997"/>
    <n v="0.29699999999999999"/>
    <n v="0.437"/>
    <n v="-9.1440000000000001"/>
    <n v="119133"/>
    <n v="2017"/>
    <x v="0"/>
  </r>
  <r>
    <n v="180"/>
    <n v="149"/>
    <n v="14"/>
    <d v="2021-05-28T00:00:00"/>
    <x v="1"/>
    <s v="One Dance"/>
    <n v="5178490"/>
    <s v="Drake, WizKid, Kyla"/>
    <n v="56308172"/>
    <s v="canadian hip hop"/>
    <d v="2016-05-06T00:00:00"/>
    <n v="84"/>
    <x v="1"/>
    <n v="0.79200000000000004"/>
    <n v="0.625"/>
    <n v="5.3600000000000002E-2"/>
    <n v="7.7600000000000004E-3"/>
    <n v="0.32900000000000001"/>
    <n v="0.37"/>
    <n v="-5.609"/>
    <n v="173987"/>
    <n v="2016"/>
    <x v="0"/>
  </r>
  <r>
    <n v="181"/>
    <n v="15"/>
    <n v="83"/>
    <d v="2019-12-27T00:00:00"/>
    <x v="2"/>
    <s v="Adore You"/>
    <n v="5166847"/>
    <s v="Harry Styles"/>
    <n v="16112621"/>
    <s v="pop"/>
    <d v="2019-12-13T00:00:00"/>
    <n v="84"/>
    <x v="0"/>
    <n v="0.67600000000000005"/>
    <n v="0.77100000000000002"/>
    <n v="4.8300000000000003E-2"/>
    <n v="2.3699999999999999E-2"/>
    <n v="0.10199999999999999"/>
    <n v="0.56899999999999995"/>
    <n v="-3.6749999999999998"/>
    <n v="207133"/>
    <n v="2019"/>
    <x v="0"/>
  </r>
  <r>
    <n v="283"/>
    <n v="1"/>
    <n v="78"/>
    <d v="2020-02-07T00:00:00"/>
    <x v="4"/>
    <s v="The Box"/>
    <n v="5145099"/>
    <s v="Roddy Ricch"/>
    <n v="6603627"/>
    <s v="melodic rap"/>
    <d v="2019-12-06T00:00:00"/>
    <n v="84"/>
    <x v="1"/>
    <n v="0.89600000000000002"/>
    <n v="0.58599999999999997"/>
    <n v="5.5899999999999998E-2"/>
    <n v="0.104"/>
    <n v="0.79"/>
    <n v="0.64200000000000002"/>
    <n v="-6.6870000000000003"/>
    <n v="196653"/>
    <n v="2019"/>
    <x v="0"/>
  </r>
  <r>
    <n v="219"/>
    <n v="79"/>
    <n v="11"/>
    <d v="2021-05-28T00:00:00"/>
    <x v="3"/>
    <s v="Bipolar"/>
    <n v="5116589"/>
    <s v="Mc Davi, Mc Pedrinho, Mc Don Juan"/>
    <n v="2586114"/>
    <s v="funk carioca"/>
    <d v="2021-04-09T00:00:00"/>
    <n v="84"/>
    <x v="1"/>
    <n v="0.60099999999999998"/>
    <n v="0.36"/>
    <n v="8.77E-2"/>
    <n v="0.58599999999999997"/>
    <n v="8.8200000000000001E-2"/>
    <n v="0.33500000000000002"/>
    <n v="-7.7910000000000004"/>
    <n v="276480"/>
    <n v="2021"/>
    <x v="0"/>
  </r>
  <r>
    <n v="220"/>
    <n v="122"/>
    <n v="5"/>
    <d v="2021-05-14T00:00:00"/>
    <x v="2"/>
    <s v="His &amp; Hers (feat. Don Toliver, Lil Uzi Vert &amp; Gunna)"/>
    <n v="5110475"/>
    <s v="Internet Money"/>
    <n v="411579"/>
    <s v="pop rap"/>
    <d v="2021-05-13T00:00:00"/>
    <n v="84"/>
    <x v="0"/>
    <n v="0.79200000000000004"/>
    <n v="0.70699999999999996"/>
    <n v="6.2300000000000001E-2"/>
    <n v="0.11600000000000001"/>
    <n v="0.12"/>
    <n v="0.40799999999999997"/>
    <n v="-5.218"/>
    <n v="224042"/>
    <n v="2021"/>
    <x v="0"/>
  </r>
  <r>
    <n v="185"/>
    <n v="110"/>
    <n v="78"/>
    <d v="2021-02-12T00:00:00"/>
    <x v="3"/>
    <s v="All of Me"/>
    <n v="5103014"/>
    <s v="John Legend"/>
    <n v="5799137"/>
    <s v="neo soul"/>
    <d v="2013-08-30T00:00:00"/>
    <n v="84"/>
    <x v="1"/>
    <n v="0.42199999999999999"/>
    <n v="0.26400000000000001"/>
    <n v="3.2199999999999999E-2"/>
    <n v="0.92200000000000004"/>
    <n v="0.13200000000000001"/>
    <n v="0.33100000000000002"/>
    <n v="-7.0640000000000001"/>
    <n v="269560"/>
    <n v="2013"/>
    <x v="0"/>
  </r>
  <r>
    <n v="221"/>
    <n v="75"/>
    <n v="19"/>
    <d v="2021-03-12T00:00:00"/>
    <x v="0"/>
    <s v="Follow You"/>
    <n v="5097187"/>
    <s v="Imagine Dragons"/>
    <n v="35285425"/>
    <s v="modern rock"/>
    <d v="2021-03-12T00:00:00"/>
    <n v="84"/>
    <x v="0"/>
    <n v="0.54200000000000004"/>
    <n v="0.73199999999999998"/>
    <n v="5.21E-2"/>
    <n v="2.0899999999999998E-3"/>
    <n v="0.496"/>
    <n v="0.48899999999999999"/>
    <n v="-5.9560000000000004"/>
    <n v="175644"/>
    <n v="2021"/>
    <x v="0"/>
  </r>
  <r>
    <n v="455"/>
    <n v="2"/>
    <n v="48"/>
    <d v="2020-05-08T00:00:00"/>
    <x v="2"/>
    <s v="Stuck with U (with Justin Bieber)"/>
    <n v="5094660"/>
    <s v="Ariana Grande"/>
    <n v="67208170"/>
    <s v="dance pop"/>
    <d v="2020-05-08T00:00:00"/>
    <n v="84"/>
    <x v="1"/>
    <n v="0.59699999999999998"/>
    <n v="0.45"/>
    <n v="4.1799999999999997E-2"/>
    <n v="0.223"/>
    <n v="0.38200000000000001"/>
    <n v="0.53700000000000003"/>
    <n v="-6.6580000000000004"/>
    <n v="228482"/>
    <n v="2020"/>
    <x v="0"/>
  </r>
  <r>
    <n v="498"/>
    <n v="157"/>
    <n v="9"/>
    <d v="2021-01-29T00:00:00"/>
    <x v="4"/>
    <s v="Hope"/>
    <n v="5085527"/>
    <s v="XXXTENTACION"/>
    <n v="29566516"/>
    <s v="emo rap"/>
    <d v="2018-03-16T00:00:00"/>
    <n v="84"/>
    <x v="1"/>
    <n v="0.59199999999999997"/>
    <n v="0.45700000000000002"/>
    <n v="6.0299999999999999E-2"/>
    <n v="0.66100000000000003"/>
    <n v="0.14599999999999999"/>
    <n v="0.22500000000000001"/>
    <n v="-6.0810000000000004"/>
    <n v="110886"/>
    <n v="2018"/>
    <x v="0"/>
  </r>
  <r>
    <n v="499"/>
    <n v="149"/>
    <n v="46"/>
    <d v="2020-06-26T00:00:00"/>
    <x v="3"/>
    <s v="The Less I Know The Better"/>
    <n v="5084635"/>
    <s v="Tame Impala"/>
    <n v="5064200"/>
    <s v="australian psych"/>
    <d v="2015-07-17T00:00:00"/>
    <n v="84"/>
    <x v="0"/>
    <n v="0.64"/>
    <n v="0.74"/>
    <n v="2.8400000000000002E-2"/>
    <n v="1.15E-2"/>
    <n v="0.16700000000000001"/>
    <n v="0.78500000000000003"/>
    <n v="-4.0830000000000002"/>
    <n v="216320"/>
    <n v="2015"/>
    <x v="0"/>
  </r>
  <r>
    <n v="189"/>
    <n v="52"/>
    <n v="22"/>
    <d v="2021-02-05T00:00:00"/>
    <x v="3"/>
    <s v="The Hills"/>
    <n v="5068864"/>
    <s v="The Weeknd"/>
    <n v="35305637"/>
    <s v="canadian contemporary r&amp;b"/>
    <d v="2015-08-28T00:00:00"/>
    <n v="84"/>
    <x v="1"/>
    <n v="0.58499999999999996"/>
    <n v="0.56399999999999995"/>
    <n v="5.1499999999999997E-2"/>
    <n v="6.7100000000000007E-2"/>
    <n v="0.13500000000000001"/>
    <n v="0.13700000000000001"/>
    <n v="-7.0629999999999997"/>
    <n v="242253"/>
    <n v="2015"/>
    <x v="0"/>
  </r>
  <r>
    <n v="190"/>
    <n v="5"/>
    <n v="31"/>
    <d v="2021-01-22T00:00:00"/>
    <x v="2"/>
    <s v="Good Days"/>
    <n v="5065132"/>
    <s v="SZA"/>
    <n v="5881963"/>
    <s v="pop"/>
    <d v="2020-12-25T00:00:00"/>
    <n v="84"/>
    <x v="0"/>
    <n v="0.436"/>
    <n v="0.65500000000000003"/>
    <n v="5.8299999999999998E-2"/>
    <n v="0.499"/>
    <n v="0.68799999999999994"/>
    <n v="0.41199999999999998"/>
    <n v="-8.3699999999999992"/>
    <n v="279204"/>
    <n v="2020"/>
    <x v="0"/>
  </r>
  <r>
    <n v="414"/>
    <n v="101"/>
    <n v="68"/>
    <d v="2020-06-26T00:00:00"/>
    <x v="4"/>
    <s v="SAD!"/>
    <n v="5051338"/>
    <s v="XXXTENTACION"/>
    <n v="29566516"/>
    <s v="emo rap"/>
    <d v="2018-03-16T00:00:00"/>
    <n v="84"/>
    <x v="1"/>
    <n v="0.74"/>
    <n v="0.61299999999999999"/>
    <n v="0.14499999999999999"/>
    <n v="0.25800000000000001"/>
    <n v="0.123"/>
    <n v="0.47299999999999998"/>
    <n v="-4.88"/>
    <n v="166606"/>
    <n v="2018"/>
    <x v="0"/>
  </r>
  <r>
    <n v="234"/>
    <n v="95"/>
    <n v="13"/>
    <d v="2021-05-28T00:00:00"/>
    <x v="3"/>
    <s v="Aloha"/>
    <n v="5036030"/>
    <s v="Maluma, Beéle, Rauw Alejandro, Mambo Kingz, DJ Luian, Darell"/>
    <n v="26769304"/>
    <s v="latin"/>
    <d v="2021-03-05T00:00:00"/>
    <n v="84"/>
    <x v="0"/>
    <n v="0.80700000000000005"/>
    <n v="0.71199999999999997"/>
    <n v="0.1"/>
    <n v="0.53200000000000003"/>
    <n v="0.16300000000000001"/>
    <n v="0.79200000000000004"/>
    <n v="-5.7569999999999997"/>
    <n v="241659"/>
    <n v="2021"/>
    <x v="0"/>
  </r>
  <r>
    <n v="194"/>
    <n v="194"/>
    <n v="1"/>
    <d v="2021-07-23T00:00:00"/>
    <x v="3"/>
    <s v="Chosen (feat. Ty Dolla $ign)"/>
    <n v="4992405"/>
    <s v="Blxst, Tyga"/>
    <n v="167628"/>
    <m/>
    <d v="2020-12-04T00:00:00"/>
    <n v="84"/>
    <x v="0"/>
    <n v="0.57099999999999995"/>
    <n v="0.76700000000000002"/>
    <n v="0.28699999999999998"/>
    <n v="0.33600000000000002"/>
    <n v="8.09E-2"/>
    <n v="0.60499999999999998"/>
    <n v="-5.16"/>
    <n v="161684"/>
    <n v="2020"/>
    <x v="0"/>
  </r>
  <r>
    <n v="195"/>
    <n v="149"/>
    <n v="5"/>
    <d v="2021-07-09T00:00:00"/>
    <x v="3"/>
    <s v="Não Nasceu pra Namorar"/>
    <n v="4978559"/>
    <s v="MC Zaquin, MC Rick"/>
    <n v="130627"/>
    <s v="funk bh"/>
    <d v="2021-02-25T00:00:00"/>
    <n v="84"/>
    <x v="1"/>
    <n v="0.52500000000000002"/>
    <n v="0.44800000000000001"/>
    <n v="4.4299999999999999E-2"/>
    <n v="0.14000000000000001"/>
    <n v="9.2200000000000004E-2"/>
    <n v="0.52700000000000002"/>
    <n v="-4.0750000000000002"/>
    <n v="140308"/>
    <n v="2021"/>
    <x v="0"/>
  </r>
  <r>
    <n v="196"/>
    <n v="8"/>
    <n v="71"/>
    <d v="2020-08-14T00:00:00"/>
    <x v="2"/>
    <s v="Breaking Me"/>
    <n v="4977498"/>
    <s v="Topic, A7S"/>
    <n v="151832"/>
    <s v="dance pop"/>
    <d v="2019-12-19T00:00:00"/>
    <n v="84"/>
    <x v="0"/>
    <n v="0.78900000000000003"/>
    <n v="0.72"/>
    <n v="0.218"/>
    <n v="0.223"/>
    <n v="0.129"/>
    <n v="0.66400000000000003"/>
    <n v="-5.6520000000000001"/>
    <n v="166794"/>
    <n v="2019"/>
    <x v="0"/>
  </r>
  <r>
    <n v="289"/>
    <n v="17"/>
    <n v="78"/>
    <d v="2020-04-24T00:00:00"/>
    <x v="4"/>
    <s v="HIGHEST IN THE ROOM"/>
    <n v="4975720"/>
    <s v="Travis Scott"/>
    <n v="17719446"/>
    <s v="rap"/>
    <d v="2019-10-04T00:00:00"/>
    <n v="84"/>
    <x v="1"/>
    <n v="0.59799999999999998"/>
    <n v="0.42699999999999999"/>
    <n v="3.1699999999999999E-2"/>
    <n v="5.4600000000000003E-2"/>
    <n v="0.21"/>
    <n v="6.0499999999999998E-2"/>
    <n v="-8.7639999999999993"/>
    <n v="175721"/>
    <n v="2019"/>
    <x v="0"/>
  </r>
  <r>
    <n v="463"/>
    <n v="188"/>
    <n v="3"/>
    <d v="2021-02-26T00:00:00"/>
    <x v="3"/>
    <s v="Take on Me"/>
    <n v="4969662"/>
    <s v="a-ha"/>
    <n v="1560784"/>
    <s v="new romantic"/>
    <d v="1985-06-01T00:00:00"/>
    <n v="84"/>
    <x v="0"/>
    <n v="0.57299999999999995"/>
    <n v="0.90200000000000002"/>
    <n v="5.3999999999999999E-2"/>
    <n v="1.7999999999999999E-2"/>
    <n v="9.2799999999999994E-2"/>
    <n v="0.876"/>
    <n v="-7.6379999999999999"/>
    <n v="225280"/>
    <n v="1985"/>
    <x v="0"/>
  </r>
  <r>
    <n v="198"/>
    <n v="58"/>
    <n v="8"/>
    <d v="2021-06-04T00:00:00"/>
    <x v="4"/>
    <s v="Late At Night"/>
    <n v="4954899"/>
    <s v="Roddy Ricch"/>
    <n v="6603627"/>
    <s v="melodic rap"/>
    <d v="2021-06-04T00:00:00"/>
    <n v="84"/>
    <x v="1"/>
    <n v="0.64300000000000002"/>
    <n v="0.40300000000000002"/>
    <n v="0.41"/>
    <n v="0.34300000000000003"/>
    <n v="0.13800000000000001"/>
    <n v="0.111"/>
    <n v="-11.254"/>
    <n v="174682"/>
    <n v="2021"/>
    <x v="0"/>
  </r>
  <r>
    <n v="236"/>
    <n v="141"/>
    <n v="32"/>
    <d v="2019-12-27T00:00:00"/>
    <x v="2"/>
    <s v="Closer"/>
    <n v="4954679"/>
    <s v="The Chainsmokers, Halsey"/>
    <n v="18191658"/>
    <s v="dance pop"/>
    <d v="2016-07-29T00:00:00"/>
    <n v="84"/>
    <x v="1"/>
    <n v="0.748"/>
    <n v="0.52400000000000002"/>
    <n v="3.3799999999999997E-2"/>
    <n v="0.41399999999999998"/>
    <n v="0.111"/>
    <n v="0.66100000000000003"/>
    <n v="-5.5990000000000002"/>
    <n v="244960"/>
    <n v="2016"/>
    <x v="0"/>
  </r>
  <r>
    <n v="200"/>
    <n v="172"/>
    <n v="12"/>
    <d v="2021-05-28T00:00:00"/>
    <x v="1"/>
    <s v="The Real Slim Shady"/>
    <n v="4948965"/>
    <s v="Eminem"/>
    <n v="46785561"/>
    <s v="detroit hip hop"/>
    <d v="2000-05-23T00:00:00"/>
    <n v="84"/>
    <x v="0"/>
    <n v="0.94899999999999995"/>
    <n v="0.66100000000000003"/>
    <n v="5.7200000000000001E-2"/>
    <n v="3.0200000000000001E-2"/>
    <n v="4.5400000000000003E-2"/>
    <n v="0.76"/>
    <n v="-4.2439999999999998"/>
    <n v="284200"/>
    <n v="2000"/>
    <x v="0"/>
  </r>
  <r>
    <n v="255"/>
    <n v="117"/>
    <n v="27"/>
    <d v="2021-02-05T00:00:00"/>
    <x v="0"/>
    <s v="Do I Wanna Know?"/>
    <n v="4938586"/>
    <s v="Arctic Monkeys"/>
    <n v="12369079"/>
    <s v="garage rock"/>
    <d v="2013-09-09T00:00:00"/>
    <n v="84"/>
    <x v="1"/>
    <n v="0.54800000000000004"/>
    <n v="0.53200000000000003"/>
    <n v="3.2300000000000002E-2"/>
    <n v="0.186"/>
    <n v="0.217"/>
    <n v="0.40500000000000003"/>
    <n v="-7.5960000000000001"/>
    <n v="272394"/>
    <n v="2013"/>
    <x v="0"/>
  </r>
  <r>
    <n v="295"/>
    <n v="119"/>
    <n v="6"/>
    <d v="2021-05-14T00:00:00"/>
    <x v="1"/>
    <s v="No Role Modelz"/>
    <n v="4904401"/>
    <s v="J. Cole"/>
    <n v="14097410"/>
    <s v="conscious hip hop"/>
    <d v="2014-12-09T00:00:00"/>
    <n v="84"/>
    <x v="1"/>
    <n v="0.69199999999999995"/>
    <n v="0.52100000000000002"/>
    <n v="0.33"/>
    <n v="0.30099999999999999"/>
    <n v="5.6500000000000002E-2"/>
    <n v="0.46300000000000002"/>
    <n v="-8.4649999999999999"/>
    <n v="292987"/>
    <n v="2014"/>
    <x v="0"/>
  </r>
  <r>
    <n v="296"/>
    <n v="7"/>
    <n v="74"/>
    <d v="2020-04-24T00:00:00"/>
    <x v="4"/>
    <s v="SICKO MODE"/>
    <n v="4898977"/>
    <s v="Travis Scott"/>
    <n v="17719446"/>
    <s v="rap"/>
    <d v="2018-08-03T00:00:00"/>
    <n v="84"/>
    <x v="0"/>
    <n v="0.83399999999999996"/>
    <n v="0.73"/>
    <n v="0.222"/>
    <n v="5.13E-3"/>
    <n v="0.124"/>
    <n v="0.44600000000000001"/>
    <n v="-3.714"/>
    <n v="312820"/>
    <n v="2018"/>
    <x v="0"/>
  </r>
  <r>
    <n v="57"/>
    <n v="57"/>
    <n v="5"/>
    <d v="2021-07-23T00:00:00"/>
    <x v="3"/>
    <s v="Meu Pedaço de Pecado"/>
    <n v="9206366"/>
    <s v="João Gomes"/>
    <n v="409173"/>
    <m/>
    <d v="2021-06-01T00:00:00"/>
    <n v="83"/>
    <x v="0"/>
    <n v="0.66800000000000004"/>
    <n v="0.88700000000000001"/>
    <n v="5.6399999999999999E-2"/>
    <n v="0.36899999999999999"/>
    <n v="0.25700000000000001"/>
    <n v="0.90700000000000003"/>
    <n v="-4.4039999999999999"/>
    <n v="157176"/>
    <n v="2021"/>
    <x v="0"/>
  </r>
  <r>
    <n v="71"/>
    <n v="71"/>
    <n v="1"/>
    <d v="2021-07-23T00:00:00"/>
    <x v="1"/>
    <s v="Over The Top (feat. Drake)"/>
    <n v="8269753"/>
    <s v="Smiley"/>
    <n v="26131"/>
    <s v="canadian hip hop"/>
    <d v="2021-07-23T00:00:00"/>
    <n v="83"/>
    <x v="1"/>
    <n v="0.83299999999999996"/>
    <n v="0.498"/>
    <n v="0.11700000000000001"/>
    <n v="4.9299999999999997E-2"/>
    <n v="0.11899999999999999"/>
    <n v="0.25900000000000001"/>
    <n v="-5.1959999999999997"/>
    <n v="153406"/>
    <n v="2021"/>
    <x v="0"/>
  </r>
  <r>
    <n v="80"/>
    <n v="1"/>
    <n v="83"/>
    <d v="2020-02-14T00:00:00"/>
    <x v="2"/>
    <s v="Dance Monkey"/>
    <n v="7687058"/>
    <s v="Tones And I"/>
    <n v="2819593"/>
    <s v="australian pop"/>
    <d v="2019-10-17T00:00:00"/>
    <n v="83"/>
    <x v="1"/>
    <n v="0.82399999999999995"/>
    <n v="0.58799999999999997"/>
    <n v="9.2399999999999996E-2"/>
    <n v="0.69199999999999995"/>
    <n v="0.14899999999999999"/>
    <n v="0.51300000000000001"/>
    <n v="-6.4"/>
    <n v="209438"/>
    <n v="2019"/>
    <x v="0"/>
  </r>
  <r>
    <n v="100"/>
    <n v="22"/>
    <n v="83"/>
    <d v="2020-02-07T00:00:00"/>
    <x v="2"/>
    <s v="Before You Go"/>
    <n v="6813800"/>
    <s v="Lewis Capaldi"/>
    <n v="8384096"/>
    <s v="pop"/>
    <d v="2019-11-22T00:00:00"/>
    <n v="83"/>
    <x v="1"/>
    <n v="0.45900000000000002"/>
    <n v="0.57499999999999996"/>
    <n v="5.7299999999999997E-2"/>
    <n v="0.60399999999999998"/>
    <n v="8.8499999999999995E-2"/>
    <n v="0.183"/>
    <n v="-4.8579999999999997"/>
    <n v="215107"/>
    <n v="2019"/>
    <x v="0"/>
  </r>
  <r>
    <n v="106"/>
    <n v="45"/>
    <n v="19"/>
    <d v="2021-04-30T00:00:00"/>
    <x v="2"/>
    <s v="Talking to the Moon"/>
    <n v="6660319"/>
    <s v="Bruno Mars"/>
    <n v="32574754"/>
    <s v="dance pop"/>
    <d v="2010-10-05T00:00:00"/>
    <n v="83"/>
    <x v="1"/>
    <n v="0.52300000000000002"/>
    <n v="0.60599999999999998"/>
    <n v="3.0099999999999998E-2"/>
    <n v="0.51200000000000001"/>
    <n v="0.106"/>
    <n v="6.5000000000000002E-2"/>
    <n v="-4.7539999999999996"/>
    <n v="217867"/>
    <n v="2010"/>
    <x v="0"/>
  </r>
  <r>
    <n v="222"/>
    <n v="22"/>
    <n v="22"/>
    <d v="2021-02-12T00:00:00"/>
    <x v="2"/>
    <s v="We're Good"/>
    <n v="6318660"/>
    <s v="Dua Lipa"/>
    <n v="27142474"/>
    <s v="dance pop"/>
    <d v="2021-02-11T00:00:00"/>
    <n v="83"/>
    <x v="1"/>
    <n v="0.72199999999999998"/>
    <n v="0.58799999999999997"/>
    <n v="5.4399999999999997E-2"/>
    <n v="3.1899999999999998E-2"/>
    <n v="0.183"/>
    <n v="0.59"/>
    <n v="-5.9320000000000004"/>
    <n v="165507"/>
    <n v="2021"/>
    <x v="0"/>
  </r>
  <r>
    <n v="276"/>
    <n v="17"/>
    <n v="30"/>
    <d v="2021-01-29T00:00:00"/>
    <x v="3"/>
    <s v="Hecha Pa' Mi"/>
    <n v="6308369"/>
    <s v="Boza"/>
    <n v="278679"/>
    <s v="reggaeton"/>
    <d v="2020-07-31T00:00:00"/>
    <n v="83"/>
    <x v="0"/>
    <n v="0.72499999999999998"/>
    <n v="0.75600000000000001"/>
    <n v="5.7200000000000001E-2"/>
    <n v="0.36199999999999999"/>
    <n v="0.10299999999999999"/>
    <n v="0.82799999999999996"/>
    <n v="-5.0129999999999999"/>
    <n v="186133"/>
    <n v="2020"/>
    <x v="0"/>
  </r>
  <r>
    <n v="139"/>
    <n v="14"/>
    <n v="25"/>
    <d v="2021-03-26T00:00:00"/>
    <x v="2"/>
    <s v="Up"/>
    <n v="5845156"/>
    <s v="Cardi B"/>
    <n v="17353707"/>
    <s v="dance pop"/>
    <d v="2021-02-05T00:00:00"/>
    <n v="83"/>
    <x v="0"/>
    <n v="0.86799999999999999"/>
    <n v="0.79500000000000004"/>
    <n v="0.26900000000000002"/>
    <n v="1.1999999999999999E-3"/>
    <n v="4.6100000000000002E-2"/>
    <n v="0.81899999999999995"/>
    <n v="-6.0439999999999996"/>
    <n v="156945"/>
    <n v="2021"/>
    <x v="0"/>
  </r>
  <r>
    <n v="147"/>
    <n v="100"/>
    <n v="2"/>
    <d v="2021-07-16T00:00:00"/>
    <x v="2"/>
    <s v="KESI - Remix"/>
    <n v="5682062"/>
    <s v="Camilo, Shawn Mendes"/>
    <n v="10561047"/>
    <s v="colombian pop"/>
    <d v="2021-07-14T00:00:00"/>
    <n v="83"/>
    <x v="0"/>
    <n v="0.871"/>
    <n v="0.81499999999999995"/>
    <n v="4.7699999999999999E-2"/>
    <n v="0.127"/>
    <n v="9.4E-2"/>
    <n v="0.82299999999999995"/>
    <n v="-4.4390000000000001"/>
    <n v="176575"/>
    <n v="2021"/>
    <x v="0"/>
  </r>
  <r>
    <n v="148"/>
    <n v="59"/>
    <n v="83"/>
    <d v="2020-01-03T00:00:00"/>
    <x v="2"/>
    <s v="Shallow"/>
    <n v="5672480"/>
    <s v="Lady Gaga, Bradley Cooper"/>
    <n v="18572085"/>
    <s v="dance pop"/>
    <d v="2018-10-05T00:00:00"/>
    <n v="83"/>
    <x v="1"/>
    <n v="0.57199999999999995"/>
    <n v="0.38500000000000001"/>
    <n v="3.0800000000000001E-2"/>
    <n v="0.371"/>
    <n v="0.23100000000000001"/>
    <n v="0.32300000000000001"/>
    <n v="-6.3620000000000001"/>
    <n v="215733"/>
    <n v="2018"/>
    <x v="0"/>
  </r>
  <r>
    <n v="153"/>
    <n v="153"/>
    <n v="1"/>
    <d v="2021-07-23T00:00:00"/>
    <x v="3"/>
    <s v="Como Si No Importara"/>
    <n v="5627257"/>
    <s v="Emilia, Duki"/>
    <n v="205590"/>
    <m/>
    <d v="2021-07-13T00:00:00"/>
    <n v="83"/>
    <x v="1"/>
    <n v="0.84299999999999997"/>
    <n v="0.53400000000000003"/>
    <n v="0.14199999999999999"/>
    <n v="0.46700000000000003"/>
    <n v="9.8400000000000001E-2"/>
    <n v="0.52800000000000002"/>
    <n v="-6.6580000000000004"/>
    <n v="173053"/>
    <n v="2021"/>
    <x v="0"/>
  </r>
  <r>
    <n v="156"/>
    <n v="128"/>
    <n v="7"/>
    <d v="2021-07-09T00:00:00"/>
    <x v="3"/>
    <s v="Baby Me Atende"/>
    <n v="5594505"/>
    <s v="Matheus Fernandes, Dilsinho"/>
    <n v="77034"/>
    <s v="forro"/>
    <d v="2021-02-26T00:00:00"/>
    <n v="83"/>
    <x v="0"/>
    <n v="0.65"/>
    <n v="0.79200000000000004"/>
    <n v="3.9300000000000002E-2"/>
    <n v="0.60699999999999998"/>
    <n v="0.92"/>
    <n v="0.872"/>
    <n v="-3.8250000000000002"/>
    <n v="225672"/>
    <n v="2021"/>
    <x v="0"/>
  </r>
  <r>
    <n v="304"/>
    <n v="59"/>
    <n v="18"/>
    <d v="2021-04-02T00:00:00"/>
    <x v="2"/>
    <s v="My Head &amp; My Heart"/>
    <n v="5470147"/>
    <s v="Ava Max"/>
    <n v="3911473"/>
    <s v="dance pop"/>
    <d v="2020-09-18T00:00:00"/>
    <n v="83"/>
    <x v="0"/>
    <n v="0.61399999999999999"/>
    <n v="0.93400000000000005"/>
    <n v="7.0000000000000007E-2"/>
    <n v="6.9699999999999998E-2"/>
    <n v="0.121"/>
    <n v="0.436"/>
    <n v="-3.7090000000000001"/>
    <n v="174760"/>
    <n v="2020"/>
    <x v="0"/>
  </r>
  <r>
    <n v="166"/>
    <n v="59"/>
    <n v="18"/>
    <d v="2021-05-07T00:00:00"/>
    <x v="2"/>
    <s v="Cover Me In Sunshine"/>
    <n v="5434073"/>
    <s v="P!nk, Willow Sage Hart"/>
    <n v="11477164"/>
    <s v="dance pop"/>
    <d v="2021-02-12T00:00:00"/>
    <n v="83"/>
    <x v="1"/>
    <n v="0.47599999999999998"/>
    <n v="0.59399999999999997"/>
    <n v="0.13500000000000001"/>
    <n v="5.9900000000000002E-2"/>
    <n v="7.85E-2"/>
    <n v="0.314"/>
    <n v="-6.8789999999999996"/>
    <n v="141050"/>
    <n v="2021"/>
    <x v="0"/>
  </r>
  <r>
    <n v="171"/>
    <n v="144"/>
    <n v="27"/>
    <d v="2021-04-02T00:00:00"/>
    <x v="0"/>
    <s v="Every Breath You Take"/>
    <n v="5379704"/>
    <s v="The Police"/>
    <n v="4339245"/>
    <s v="album rock"/>
    <d v="1983-06-17T00:00:00"/>
    <n v="83"/>
    <x v="1"/>
    <n v="0.82"/>
    <n v="0.45200000000000001"/>
    <n v="3.4799999999999998E-2"/>
    <n v="0.54300000000000004"/>
    <n v="7.1400000000000005E-2"/>
    <n v="0.74"/>
    <n v="-9.7959999999999994"/>
    <n v="253920"/>
    <n v="1983"/>
    <x v="0"/>
  </r>
  <r>
    <n v="330"/>
    <n v="108"/>
    <n v="51"/>
    <d v="2021-01-29T00:00:00"/>
    <x v="4"/>
    <s v="All Girls Are The Same"/>
    <n v="5372180"/>
    <s v="Juice WRLD"/>
    <n v="19085118"/>
    <s v="chicago rap"/>
    <d v="2018-12-10T00:00:00"/>
    <n v="83"/>
    <x v="1"/>
    <n v="0.67100000000000004"/>
    <n v="0.52900000000000003"/>
    <n v="0.307"/>
    <n v="7.6899999999999996E-2"/>
    <n v="8.5599999999999996E-2"/>
    <n v="0.20300000000000001"/>
    <n v="-7.226"/>
    <n v="165820"/>
    <n v="2018"/>
    <x v="0"/>
  </r>
  <r>
    <n v="243"/>
    <n v="101"/>
    <n v="3"/>
    <d v="2021-04-30T00:00:00"/>
    <x v="1"/>
    <s v="EVERY CHANCE I GET (feat. Lil Baby &amp; Lil Durk)"/>
    <n v="5321544"/>
    <s v="DJ Khaled"/>
    <n v="6278835"/>
    <s v="hip hop"/>
    <d v="2021-04-30T00:00:00"/>
    <n v="83"/>
    <x v="0"/>
    <n v="0.47699999999999998"/>
    <n v="0.72699999999999998"/>
    <n v="0.28599999999999998"/>
    <n v="8.6600000000000002E-4"/>
    <n v="0.108"/>
    <n v="0.22700000000000001"/>
    <n v="-4.0529999999999999"/>
    <n v="236524"/>
    <n v="2021"/>
    <x v="0"/>
  </r>
  <r>
    <n v="477"/>
    <n v="64"/>
    <n v="12"/>
    <d v="2021-02-05T00:00:00"/>
    <x v="3"/>
    <s v="Starboy"/>
    <n v="5302285"/>
    <s v="The Weeknd, Daft Punk"/>
    <n v="35340069"/>
    <s v="canadian contemporary r&amp;b"/>
    <d v="2016-11-25T00:00:00"/>
    <n v="83"/>
    <x v="1"/>
    <n v="0.67900000000000005"/>
    <n v="0.58699999999999997"/>
    <n v="0.27600000000000002"/>
    <n v="0.14099999999999999"/>
    <n v="0.13700000000000001"/>
    <n v="0.48599999999999999"/>
    <n v="-7.0149999999999997"/>
    <n v="230453"/>
    <n v="2016"/>
    <x v="0"/>
  </r>
  <r>
    <n v="324"/>
    <n v="47"/>
    <n v="32"/>
    <d v="2020-11-13T00:00:00"/>
    <x v="2"/>
    <s v="Golden"/>
    <n v="5298893"/>
    <s v="Harry Styles"/>
    <n v="16112621"/>
    <s v="pop"/>
    <d v="2019-12-13T00:00:00"/>
    <n v="83"/>
    <x v="0"/>
    <n v="0.44800000000000001"/>
    <n v="0.83799999999999997"/>
    <n v="5.57E-2"/>
    <n v="0.21"/>
    <n v="0.13100000000000001"/>
    <n v="0.254"/>
    <n v="-5.2569999999999997"/>
    <n v="208907"/>
    <n v="2019"/>
    <x v="0"/>
  </r>
  <r>
    <n v="369"/>
    <n v="5"/>
    <n v="142"/>
    <d v="2019-12-27T00:00:00"/>
    <x v="2"/>
    <s v="Falling"/>
    <n v="5294368"/>
    <s v="Harry Styles"/>
    <n v="16112621"/>
    <s v="pop"/>
    <d v="2019-12-13T00:00:00"/>
    <n v="83"/>
    <x v="1"/>
    <n v="0.56699999999999995"/>
    <n v="0.26700000000000002"/>
    <n v="2.9899999999999999E-2"/>
    <n v="0.83899999999999997"/>
    <n v="8.8999999999999996E-2"/>
    <n v="5.9200000000000003E-2"/>
    <n v="-6.5019999999999998"/>
    <n v="240133"/>
    <n v="2019"/>
    <x v="0"/>
  </r>
  <r>
    <n v="381"/>
    <n v="19"/>
    <n v="26"/>
    <d v="2021-01-01T00:00:00"/>
    <x v="1"/>
    <s v="HOLIDAY"/>
    <n v="5264232"/>
    <s v="Lil Nas X"/>
    <n v="5473565"/>
    <s v="lgbtq+ hip hop"/>
    <d v="2020-11-13T00:00:00"/>
    <n v="83"/>
    <x v="1"/>
    <n v="0.81"/>
    <n v="0.51100000000000001"/>
    <n v="0.16400000000000001"/>
    <n v="0.12"/>
    <n v="8.3199999999999996E-2"/>
    <n v="0.83699999999999997"/>
    <n v="-6.9240000000000004"/>
    <n v="154998"/>
    <n v="2020"/>
    <x v="0"/>
  </r>
  <r>
    <n v="244"/>
    <n v="72"/>
    <n v="10"/>
    <d v="2021-05-14T00:00:00"/>
    <x v="3"/>
    <s v="Dick (feat. Doja Cat)"/>
    <n v="5258628"/>
    <s v="StarBoi3"/>
    <n v="17202"/>
    <m/>
    <d v="2021-04-23T00:00:00"/>
    <n v="83"/>
    <x v="1"/>
    <n v="0.64700000000000002"/>
    <n v="0.60799999999999998"/>
    <n v="0.42"/>
    <n v="0.13"/>
    <n v="5.8400000000000001E-2"/>
    <n v="0.47399999999999998"/>
    <n v="-6.8310000000000004"/>
    <n v="175238"/>
    <n v="2021"/>
    <x v="0"/>
  </r>
  <r>
    <n v="214"/>
    <n v="175"/>
    <n v="4"/>
    <d v="2021-07-02T00:00:00"/>
    <x v="1"/>
    <s v="MI FAI IMPAZZIRE"/>
    <n v="5242097"/>
    <s v="BLANCO, Sfera Ebbasta"/>
    <n v="127364"/>
    <s v="italian hip hop"/>
    <d v="2021-06-17T00:00:00"/>
    <n v="83"/>
    <x v="0"/>
    <n v="0.47699999999999998"/>
    <n v="0.84399999999999997"/>
    <n v="4.58E-2"/>
    <n v="2.7299999999999998E-3"/>
    <n v="0.13700000000000001"/>
    <n v="0.20300000000000001"/>
    <n v="-4.87"/>
    <n v="220235"/>
    <n v="2021"/>
    <x v="0"/>
  </r>
  <r>
    <n v="178"/>
    <n v="100"/>
    <n v="9"/>
    <d v="2021-05-21T00:00:00"/>
    <x v="2"/>
    <s v="Our Song"/>
    <n v="5235335"/>
    <s v="Anne-Marie, Niall Horan"/>
    <n v="8148393"/>
    <s v="dance pop"/>
    <d v="2021-05-21T00:00:00"/>
    <n v="83"/>
    <x v="0"/>
    <n v="0.59499999999999997"/>
    <n v="0.75900000000000001"/>
    <n v="4.2299999999999997E-2"/>
    <n v="0.14099999999999999"/>
    <n v="0.17199999999999999"/>
    <n v="0.51500000000000001"/>
    <n v="-4.2450000000000001"/>
    <n v="163733"/>
    <n v="2021"/>
    <x v="0"/>
  </r>
  <r>
    <n v="273"/>
    <n v="10"/>
    <n v="49"/>
    <d v="2020-08-14T00:00:00"/>
    <x v="3"/>
    <s v="UN DIA (ONE DAY) (Feat. Tainy)"/>
    <n v="5203364"/>
    <s v="J Balvin, Dua Lipa, Bad Bunny"/>
    <n v="29051363"/>
    <s v="latin"/>
    <d v="2020-07-24T00:00:00"/>
    <n v="83"/>
    <x v="0"/>
    <n v="0.57099999999999995"/>
    <n v="0.69299999999999995"/>
    <n v="5.45E-2"/>
    <n v="5.3600000000000002E-3"/>
    <n v="0.17299999999999999"/>
    <n v="0.39300000000000002"/>
    <n v="-8.234"/>
    <n v="232253"/>
    <n v="2020"/>
    <x v="0"/>
  </r>
  <r>
    <n v="218"/>
    <n v="71"/>
    <n v="3"/>
    <d v="2021-07-02T00:00:00"/>
    <x v="0"/>
    <s v="Wrecked"/>
    <n v="5150909"/>
    <s v="Imagine Dragons"/>
    <n v="35285425"/>
    <s v="modern rock"/>
    <d v="2021-07-02T00:00:00"/>
    <n v="83"/>
    <x v="1"/>
    <n v="0.626"/>
    <n v="0.56000000000000005"/>
    <n v="2.8799999999999999E-2"/>
    <n v="0.14799999999999999"/>
    <n v="0.109"/>
    <n v="0.22900000000000001"/>
    <n v="-5.82"/>
    <n v="244005"/>
    <n v="2021"/>
    <x v="0"/>
  </r>
  <r>
    <n v="183"/>
    <n v="183"/>
    <n v="1"/>
    <d v="2021-07-23T00:00:00"/>
    <x v="5"/>
    <s v="Fancy Like"/>
    <n v="5145432"/>
    <s v="Walker Hayes"/>
    <n v="304995"/>
    <s v="contemporary country"/>
    <d v="2021-06-04T00:00:00"/>
    <n v="83"/>
    <x v="0"/>
    <n v="0.64900000000000002"/>
    <n v="0.76"/>
    <n v="5.74E-2"/>
    <n v="0.114"/>
    <n v="0.317"/>
    <n v="0.84299999999999997"/>
    <n v="-6.4870000000000001"/>
    <n v="161853"/>
    <n v="2021"/>
    <x v="0"/>
  </r>
  <r>
    <n v="334"/>
    <n v="4"/>
    <n v="70"/>
    <d v="2020-01-17T00:00:00"/>
    <x v="1"/>
    <s v="Godzilla (feat. Juice WRLD)"/>
    <n v="5143522"/>
    <s v="Eminem"/>
    <n v="46785561"/>
    <s v="detroit hip hop"/>
    <d v="2020-01-17T00:00:00"/>
    <n v="83"/>
    <x v="0"/>
    <n v="0.80800000000000005"/>
    <n v="0.745"/>
    <n v="0.34200000000000003"/>
    <n v="0.14499999999999999"/>
    <n v="0.29199999999999998"/>
    <n v="0.82899999999999996"/>
    <n v="-5.26"/>
    <n v="210800"/>
    <n v="2020"/>
    <x v="0"/>
  </r>
  <r>
    <n v="385"/>
    <n v="7"/>
    <n v="44"/>
    <d v="2020-07-10T00:00:00"/>
    <x v="4"/>
    <s v="Wishing Well"/>
    <n v="5125706"/>
    <s v="Juice WRLD"/>
    <n v="19085118"/>
    <s v="chicago rap"/>
    <d v="2020-07-10T00:00:00"/>
    <n v="83"/>
    <x v="1"/>
    <n v="0.65"/>
    <n v="0.61299999999999999"/>
    <n v="0.128"/>
    <n v="3.3600000000000001E-3"/>
    <n v="0.26700000000000002"/>
    <n v="8.0399999999999999E-2"/>
    <n v="-6.13"/>
    <n v="194621"/>
    <n v="2020"/>
    <x v="0"/>
  </r>
  <r>
    <n v="284"/>
    <n v="31"/>
    <n v="19"/>
    <d v="2021-03-26T00:00:00"/>
    <x v="3"/>
    <s v="Wellerman - Sea Shanty / 220 KID x Billen Ted Remix"/>
    <n v="5124606"/>
    <s v="Nathan Evans"/>
    <n v="140812"/>
    <m/>
    <d v="2021-01-21T00:00:00"/>
    <n v="83"/>
    <x v="0"/>
    <n v="0.72199999999999998"/>
    <n v="0.89300000000000002"/>
    <n v="4.7500000000000001E-2"/>
    <n v="4.41E-2"/>
    <n v="6.7299999999999999E-2"/>
    <n v="0.439"/>
    <n v="-3.2549999999999999"/>
    <n v="116750"/>
    <n v="2021"/>
    <x v="0"/>
  </r>
  <r>
    <n v="524"/>
    <n v="83"/>
    <n v="53"/>
    <d v="2019-12-27T00:00:00"/>
    <x v="4"/>
    <s v="rockstar (feat. 21 Savage)"/>
    <n v="5115990"/>
    <s v="Post Malone"/>
    <n v="33663701"/>
    <s v="dfw rap"/>
    <d v="2018-04-27T00:00:00"/>
    <n v="83"/>
    <x v="1"/>
    <n v="0.58499999999999996"/>
    <n v="0.52"/>
    <n v="7.1199999999999999E-2"/>
    <n v="0.124"/>
    <n v="0.13100000000000001"/>
    <n v="0.129"/>
    <n v="-6.1360000000000001"/>
    <n v="218147"/>
    <n v="2018"/>
    <x v="0"/>
  </r>
  <r>
    <n v="812"/>
    <n v="179"/>
    <n v="1"/>
    <d v="2020-10-30T00:00:00"/>
    <x v="0"/>
    <s v="Highway to Hell"/>
    <n v="5096618"/>
    <s v="AC/DC"/>
    <n v="20110171"/>
    <s v="australian rock"/>
    <d v="1979-07-27T00:00:00"/>
    <n v="83"/>
    <x v="0"/>
    <n v="0.57399999999999995"/>
    <n v="0.91300000000000003"/>
    <n v="0.13300000000000001"/>
    <n v="6.0999999999999999E-2"/>
    <n v="0.156"/>
    <n v="0.42299999999999999"/>
    <n v="-4.7930000000000001"/>
    <n v="208400"/>
    <n v="1979"/>
    <x v="0"/>
  </r>
  <r>
    <n v="187"/>
    <n v="40"/>
    <n v="65"/>
    <d v="2020-07-03T00:00:00"/>
    <x v="3"/>
    <s v="Dior"/>
    <n v="5092354"/>
    <s v="Pop Smoke"/>
    <n v="6837946"/>
    <s v="brooklyn drill"/>
    <d v="2019-07-26T00:00:00"/>
    <n v="83"/>
    <x v="0"/>
    <n v="0.54800000000000004"/>
    <n v="0.80500000000000005"/>
    <n v="0.35099999999999998"/>
    <n v="0.21199999999999999"/>
    <n v="0.40799999999999997"/>
    <n v="0.64800000000000002"/>
    <n v="-5.7320000000000002"/>
    <n v="216387"/>
    <n v="2019"/>
    <x v="0"/>
  </r>
  <r>
    <n v="188"/>
    <n v="45"/>
    <n v="29"/>
    <d v="2021-04-16T00:00:00"/>
    <x v="4"/>
    <s v="Best Friend (feat. Doja Cat)"/>
    <n v="5090062"/>
    <s v="Saweetie"/>
    <n v="1254432"/>
    <s v="cali rap"/>
    <d v="2021-01-07T00:00:00"/>
    <n v="83"/>
    <x v="0"/>
    <n v="0.84"/>
    <n v="0.76600000000000001"/>
    <n v="0.13600000000000001"/>
    <n v="3.0200000000000001E-3"/>
    <n v="6.8400000000000002E-2"/>
    <n v="0.40200000000000002"/>
    <n v="-4.12"/>
    <n v="155884"/>
    <n v="2021"/>
    <x v="0"/>
  </r>
  <r>
    <n v="285"/>
    <n v="170"/>
    <n v="13"/>
    <d v="2021-04-23T00:00:00"/>
    <x v="0"/>
    <s v="Can't Hold Us - feat. Ray Dalton"/>
    <n v="5085147"/>
    <s v="Macklemore &amp; Ryan Lewis"/>
    <n v="2562082"/>
    <s v="modern rock"/>
    <d v="2012-10-09T00:00:00"/>
    <n v="83"/>
    <x v="0"/>
    <n v="0.64100000000000001"/>
    <n v="0.92200000000000004"/>
    <n v="7.8600000000000003E-2"/>
    <n v="2.9100000000000001E-2"/>
    <n v="8.6199999999999999E-2"/>
    <n v="0.84699999999999998"/>
    <n v="-4.4569999999999999"/>
    <n v="258343"/>
    <n v="2012"/>
    <x v="0"/>
  </r>
  <r>
    <n v="232"/>
    <n v="183"/>
    <n v="4"/>
    <d v="2021-07-02T00:00:00"/>
    <x v="3"/>
    <s v="Me Fije"/>
    <n v="5068677"/>
    <s v="Alex Rose, Rauw Alejandro"/>
    <n v="2166191"/>
    <s v="latin"/>
    <d v="2021-03-18T00:00:00"/>
    <n v="83"/>
    <x v="0"/>
    <n v="0.76"/>
    <n v="0.67400000000000004"/>
    <n v="6.3600000000000004E-2"/>
    <n v="0.39600000000000002"/>
    <n v="9.7699999999999995E-2"/>
    <n v="0.73499999999999999"/>
    <n v="-4.0389999999999997"/>
    <n v="202307"/>
    <n v="2021"/>
    <x v="0"/>
  </r>
  <r>
    <n v="516"/>
    <n v="61"/>
    <n v="26"/>
    <d v="2020-08-21T00:00:00"/>
    <x v="0"/>
    <s v="Electric Love"/>
    <n v="5060903"/>
    <s v="BØRNS"/>
    <n v="1027085"/>
    <s v="modern alternative rock"/>
    <d v="2015-10-16T00:00:00"/>
    <n v="83"/>
    <x v="0"/>
    <n v="0.61099999999999999"/>
    <n v="0.79700000000000004"/>
    <n v="5.33E-2"/>
    <n v="5.4299999999999999E-3"/>
    <n v="0.26"/>
    <n v="0.51800000000000002"/>
    <n v="-7.6269999999999998"/>
    <n v="218107"/>
    <n v="2015"/>
    <x v="0"/>
  </r>
  <r>
    <n v="287"/>
    <n v="39"/>
    <n v="45"/>
    <d v="2020-09-25T00:00:00"/>
    <x v="1"/>
    <s v="my ex's best friend (with blackbear)"/>
    <n v="5048079"/>
    <s v="Machine Gun Kelly"/>
    <n v="3864419"/>
    <s v="ohio hip hop"/>
    <d v="2020-09-25T00:00:00"/>
    <n v="83"/>
    <x v="0"/>
    <n v="0.73099999999999998"/>
    <n v="0.67500000000000004"/>
    <n v="4.3400000000000001E-2"/>
    <n v="4.7299999999999998E-3"/>
    <n v="0.14099999999999999"/>
    <n v="0.29799999999999999"/>
    <n v="-5.1340000000000003"/>
    <n v="139461"/>
    <n v="2020"/>
    <x v="0"/>
  </r>
  <r>
    <n v="389"/>
    <n v="4"/>
    <n v="44"/>
    <d v="2020-07-10T00:00:00"/>
    <x v="4"/>
    <s v="Come &amp; Go (with Marshmello)"/>
    <n v="5037124"/>
    <s v="Juice WRLD"/>
    <n v="19085118"/>
    <s v="chicago rap"/>
    <d v="2020-07-10T00:00:00"/>
    <n v="83"/>
    <x v="0"/>
    <n v="0.625"/>
    <n v="0.81399999999999995"/>
    <n v="6.5699999999999995E-2"/>
    <n v="1.72E-2"/>
    <n v="0.158"/>
    <n v="0.53500000000000003"/>
    <n v="-5.181"/>
    <n v="205485"/>
    <n v="2020"/>
    <x v="0"/>
  </r>
  <r>
    <n v="390"/>
    <n v="71"/>
    <n v="72"/>
    <d v="2020-09-04T00:00:00"/>
    <x v="4"/>
    <s v="Robbery"/>
    <n v="5024884"/>
    <s v="Juice WRLD"/>
    <n v="19085118"/>
    <s v="chicago rap"/>
    <d v="2019-03-08T00:00:00"/>
    <n v="83"/>
    <x v="0"/>
    <n v="0.68500000000000005"/>
    <n v="0.69199999999999995"/>
    <n v="4.5699999999999998E-2"/>
    <n v="0.32800000000000001"/>
    <n v="0.153"/>
    <n v="0.57799999999999996"/>
    <n v="-5.1219999999999999"/>
    <n v="240051"/>
    <n v="2019"/>
    <x v="0"/>
  </r>
  <r>
    <n v="192"/>
    <n v="64"/>
    <n v="3"/>
    <d v="2021-07-09T00:00:00"/>
    <x v="3"/>
    <s v="De Museo"/>
    <n v="5016125"/>
    <s v="Bad Bunny"/>
    <n v="36142273"/>
    <s v="latin"/>
    <d v="2021-07-06T00:00:00"/>
    <n v="83"/>
    <x v="1"/>
    <n v="0.59199999999999997"/>
    <n v="0.49399999999999999"/>
    <n v="7.4700000000000003E-2"/>
    <n v="0.23699999999999999"/>
    <n v="0.13"/>
    <n v="0.23100000000000001"/>
    <n v="-10.618"/>
    <n v="209771"/>
    <n v="2021"/>
    <x v="0"/>
  </r>
  <r>
    <n v="249"/>
    <n v="55"/>
    <n v="17"/>
    <d v="2021-04-16T00:00:00"/>
    <x v="3"/>
    <s v="Batom de Cereja - Ao Vivo"/>
    <n v="5011753"/>
    <s v="Israel &amp; Rodolffo"/>
    <n v="1097789"/>
    <s v="sertanejo"/>
    <d v="2021-01-29T00:00:00"/>
    <n v="83"/>
    <x v="0"/>
    <n v="0.60599999999999998"/>
    <n v="0.90800000000000003"/>
    <n v="5.6500000000000002E-2"/>
    <n v="0.55600000000000005"/>
    <n v="0.19"/>
    <n v="0.79800000000000004"/>
    <n v="-6.2009999999999996"/>
    <n v="140942"/>
    <n v="2021"/>
    <x v="0"/>
  </r>
  <r>
    <n v="548"/>
    <n v="143"/>
    <n v="42"/>
    <d v="2020-06-26T00:00:00"/>
    <x v="4"/>
    <s v="Moonlight"/>
    <n v="5003825"/>
    <s v="XXXTENTACION"/>
    <n v="29566516"/>
    <s v="emo rap"/>
    <d v="2018-03-16T00:00:00"/>
    <n v="83"/>
    <x v="1"/>
    <n v="0.92100000000000004"/>
    <n v="0.53700000000000003"/>
    <n v="8.0399999999999999E-2"/>
    <n v="0.55600000000000005"/>
    <n v="0.10199999999999999"/>
    <n v="0.71099999999999997"/>
    <n v="-5.7229999999999999"/>
    <n v="135090"/>
    <n v="2018"/>
    <x v="0"/>
  </r>
  <r>
    <n v="416"/>
    <n v="19"/>
    <n v="66"/>
    <d v="2020-01-03T00:00:00"/>
    <x v="2"/>
    <s v="hot girl bummer"/>
    <n v="4992396"/>
    <s v="blackbear"/>
    <n v="4270131"/>
    <s v="electropop"/>
    <d v="2020-08-21T00:00:00"/>
    <n v="83"/>
    <x v="1"/>
    <n v="0.78200000000000003"/>
    <n v="0.55900000000000005"/>
    <n v="7.6700000000000004E-2"/>
    <n v="0.125"/>
    <n v="0.38500000000000001"/>
    <n v="0.68500000000000005"/>
    <n v="-7.1059999999999999"/>
    <n v="188344"/>
    <n v="2020"/>
    <x v="0"/>
  </r>
  <r>
    <n v="530"/>
    <n v="176"/>
    <n v="9"/>
    <d v="2021-02-12T00:00:00"/>
    <x v="2"/>
    <s v="Photograph"/>
    <n v="4974880"/>
    <s v="Ed Sheeran"/>
    <n v="83337783"/>
    <s v="pop"/>
    <d v="2014-06-21T00:00:00"/>
    <n v="83"/>
    <x v="1"/>
    <n v="0.61399999999999999"/>
    <n v="0.379"/>
    <n v="4.7600000000000003E-2"/>
    <n v="0.60699999999999998"/>
    <n v="9.8599999999999993E-2"/>
    <n v="0.20100000000000001"/>
    <n v="-10.48"/>
    <n v="258987"/>
    <n v="2014"/>
    <x v="0"/>
  </r>
  <r>
    <n v="428"/>
    <n v="43"/>
    <n v="29"/>
    <d v="2019-12-27T00:00:00"/>
    <x v="3"/>
    <s v="LA CANCIÓN"/>
    <n v="4959754"/>
    <s v="J Balvin, Bad Bunny"/>
    <n v="29051363"/>
    <s v="latin"/>
    <d v="2019-06-28T00:00:00"/>
    <n v="83"/>
    <x v="0"/>
    <n v="0.754"/>
    <n v="0.64600000000000002"/>
    <n v="0.317"/>
    <n v="0.152"/>
    <n v="0.108"/>
    <n v="0.42899999999999999"/>
    <n v="-5.7949999999999999"/>
    <n v="242573"/>
    <n v="2019"/>
    <x v="0"/>
  </r>
  <r>
    <n v="1464"/>
    <n v="190"/>
    <n v="1"/>
    <d v="2020-01-31T00:00:00"/>
    <x v="2"/>
    <s v="Hips Don't Lie (feat. Wyclef Jean)"/>
    <n v="4918636"/>
    <s v="Shakira"/>
    <n v="22136717"/>
    <s v="colombian pop"/>
    <d v="2005-11-28T00:00:00"/>
    <n v="83"/>
    <x v="0"/>
    <n v="0.77800000000000002"/>
    <n v="0.82399999999999995"/>
    <n v="7.0699999999999999E-2"/>
    <n v="0.28399999999999997"/>
    <n v="0.40500000000000003"/>
    <n v="0.75800000000000001"/>
    <n v="-5.8920000000000003"/>
    <n v="218093"/>
    <n v="2005"/>
    <x v="0"/>
  </r>
  <r>
    <n v="291"/>
    <n v="2"/>
    <n v="44"/>
    <d v="2020-08-14T00:00:00"/>
    <x v="1"/>
    <s v="Laugh Now Cry Later (feat. Lil Durk)"/>
    <n v="4916860"/>
    <s v="Drake"/>
    <n v="56308172"/>
    <s v="canadian hip hop"/>
    <d v="2020-08-14T00:00:00"/>
    <n v="83"/>
    <x v="1"/>
    <n v="0.76100000000000001"/>
    <n v="0.51800000000000002"/>
    <n v="0.13400000000000001"/>
    <n v="0.24399999999999999"/>
    <n v="0.107"/>
    <n v="0.52200000000000002"/>
    <n v="-8.8710000000000004"/>
    <n v="261493"/>
    <n v="2020"/>
    <x v="0"/>
  </r>
  <r>
    <n v="419"/>
    <n v="177"/>
    <n v="7"/>
    <d v="2021-02-26T00:00:00"/>
    <x v="0"/>
    <s v="Stressed Out"/>
    <n v="4913147"/>
    <s v="Twenty One Pilots"/>
    <n v="20823062"/>
    <s v="modern rock"/>
    <d v="2015-05-15T00:00:00"/>
    <n v="83"/>
    <x v="0"/>
    <n v="0.73399999999999999"/>
    <n v="0.63700000000000001"/>
    <n v="0.14099999999999999"/>
    <n v="4.6199999999999998E-2"/>
    <n v="6.0199999999999997E-2"/>
    <n v="0.64800000000000002"/>
    <n v="-5.6769999999999996"/>
    <n v="202333"/>
    <n v="2015"/>
    <x v="0"/>
  </r>
  <r>
    <n v="762"/>
    <n v="44"/>
    <n v="44"/>
    <d v="2020-01-03T00:00:00"/>
    <x v="5"/>
    <s v="10,000 Hours (with Justin Bieber)"/>
    <n v="4911749"/>
    <s v="Dan + Shay"/>
    <n v="2334615"/>
    <s v="contemporary country"/>
    <d v="2019-10-04T00:00:00"/>
    <n v="83"/>
    <x v="1"/>
    <n v="0.65400000000000003"/>
    <n v="0.63"/>
    <n v="2.5899999999999999E-2"/>
    <n v="0.153"/>
    <n v="0.111"/>
    <n v="0.43"/>
    <n v="-4.6440000000000001"/>
    <n v="167693"/>
    <n v="2019"/>
    <x v="0"/>
  </r>
  <r>
    <n v="294"/>
    <n v="176"/>
    <n v="6"/>
    <d v="2020-10-09T00:00:00"/>
    <x v="3"/>
    <s v="In the End"/>
    <n v="4910070"/>
    <s v="Linkin Park"/>
    <n v="19584111"/>
    <s v="alternative metal"/>
    <d v="2000-10-24T00:00:00"/>
    <n v="83"/>
    <x v="0"/>
    <n v="0.55600000000000005"/>
    <n v="0.86399999999999999"/>
    <n v="5.8400000000000001E-2"/>
    <n v="9.58E-3"/>
    <n v="0.20899999999999999"/>
    <n v="0.4"/>
    <n v="-5.87"/>
    <n v="216880"/>
    <n v="2000"/>
    <x v="0"/>
  </r>
  <r>
    <n v="554"/>
    <n v="181"/>
    <n v="7"/>
    <d v="2021-01-29T00:00:00"/>
    <x v="4"/>
    <s v="Everybody Dies In Their Nightmares"/>
    <n v="4847224"/>
    <s v="XXXTENTACION"/>
    <n v="29566516"/>
    <s v="emo rap"/>
    <d v="2017-08-25T00:00:00"/>
    <n v="83"/>
    <x v="1"/>
    <n v="0.73399999999999999"/>
    <n v="0.56999999999999995"/>
    <n v="0.13300000000000001"/>
    <n v="0.84699999999999998"/>
    <n v="0.112"/>
    <n v="0.68899999999999995"/>
    <n v="-7.0659999999999998"/>
    <n v="95467"/>
    <n v="2017"/>
    <x v="0"/>
  </r>
  <r>
    <n v="298"/>
    <n v="84"/>
    <n v="9"/>
    <d v="2021-04-23T00:00:00"/>
    <x v="2"/>
    <s v="You"/>
    <n v="4846549"/>
    <s v="Regard, Troye Sivan, Tate McRae"/>
    <n v="152226"/>
    <s v="dance pop"/>
    <d v="2021-04-16T00:00:00"/>
    <n v="83"/>
    <x v="0"/>
    <n v="0.69099999999999995"/>
    <n v="0.69499999999999995"/>
    <n v="3.6700000000000003E-2"/>
    <n v="5.9200000000000003E-2"/>
    <n v="6.4699999999999994E-2"/>
    <n v="0.51400000000000001"/>
    <n v="-5.6"/>
    <n v="233386"/>
    <n v="2021"/>
    <x v="0"/>
  </r>
  <r>
    <n v="1058"/>
    <n v="181"/>
    <n v="8"/>
    <d v="2019-12-27T00:00:00"/>
    <x v="0"/>
    <s v="Thunder"/>
    <n v="4468668"/>
    <s v="Imagine Dragons"/>
    <n v="35299488"/>
    <s v="modern rock"/>
    <d v="2017-06-23T00:00:00"/>
    <n v="83"/>
    <x v="0"/>
    <n v="0.60499999999999998"/>
    <n v="0.82199999999999995"/>
    <n v="4.3799999999999999E-2"/>
    <n v="6.7099999999999998E-3"/>
    <n v="0.14699999999999999"/>
    <n v="0.28799999999999998"/>
    <n v="-4.8330000000000002"/>
    <n v="187147"/>
    <n v="2017"/>
    <x v="0"/>
  </r>
  <r>
    <n v="936"/>
    <n v="43"/>
    <n v="2"/>
    <d v="2020-08-21T00:00:00"/>
    <x v="2"/>
    <s v="Lemonade"/>
    <n v="11373347"/>
    <s v="Internet Money, Gunna, Don Toliver, NAV"/>
    <n v="412466"/>
    <s v="pop rap"/>
    <d v="2020-08-14T00:00:00"/>
    <n v="82"/>
    <x v="0"/>
    <n v="0.79900000000000004"/>
    <n v="0.66"/>
    <n v="7.9000000000000001E-2"/>
    <n v="0.25600000000000001"/>
    <n v="0.111"/>
    <n v="0.47099999999999997"/>
    <n v="-6.1529999999999996"/>
    <n v="195429"/>
    <n v="2020"/>
    <x v="0"/>
  </r>
  <r>
    <n v="364"/>
    <n v="55"/>
    <n v="1"/>
    <d v="2021-05-14T00:00:00"/>
    <x v="1"/>
    <s v="c l o s e"/>
    <n v="10712648"/>
    <s v="J. Cole"/>
    <n v="14097410"/>
    <s v="conscious hip hop"/>
    <d v="2021-05-14T00:00:00"/>
    <n v="82"/>
    <x v="1"/>
    <n v="0.59699999999999998"/>
    <n v="0.58699999999999997"/>
    <n v="0.13700000000000001"/>
    <n v="6.2199999999999998E-2"/>
    <n v="0.214"/>
    <n v="7.5300000000000006E-2"/>
    <n v="-7.0259999999999998"/>
    <n v="218802"/>
    <n v="2021"/>
    <x v="0"/>
  </r>
  <r>
    <n v="105"/>
    <n v="2"/>
    <n v="48"/>
    <d v="2020-10-16T00:00:00"/>
    <x v="2"/>
    <s v="Lemonade (feat. Gunna, Don Toliver &amp; NAV)"/>
    <n v="6697067"/>
    <s v="Internet Money"/>
    <n v="411579"/>
    <s v="pop rap"/>
    <d v="2020-08-14T00:00:00"/>
    <n v="82"/>
    <x v="0"/>
    <n v="0.79900000000000004"/>
    <n v="0.66"/>
    <n v="7.9000000000000001E-2"/>
    <n v="0.25600000000000001"/>
    <n v="0.111"/>
    <n v="0.47099999999999997"/>
    <n v="-6.1529999999999996"/>
    <n v="195429"/>
    <n v="2020"/>
    <x v="0"/>
  </r>
  <r>
    <n v="112"/>
    <n v="24"/>
    <n v="83"/>
    <d v="2019-12-27T00:00:00"/>
    <x v="3"/>
    <s v="Sunflower - Spider-Man: Into the Spider-Verse"/>
    <n v="6546948"/>
    <s v="Post Malone, Swae Lee"/>
    <n v="1250353"/>
    <m/>
    <d v="2018-12-14T00:00:00"/>
    <n v="82"/>
    <x v="1"/>
    <n v="0.76"/>
    <n v="0.47899999999999998"/>
    <n v="4.6600000000000003E-2"/>
    <n v="0.55600000000000005"/>
    <n v="7.0300000000000001E-2"/>
    <n v="0.91300000000000003"/>
    <n v="-5.5739999999999998"/>
    <n v="158040"/>
    <n v="2018"/>
    <x v="0"/>
  </r>
  <r>
    <n v="118"/>
    <n v="9"/>
    <n v="83"/>
    <d v="2019-12-27T00:00:00"/>
    <x v="2"/>
    <s v="Señorita"/>
    <n v="6317487"/>
    <s v="Shawn Mendes, Camila Cabello"/>
    <n v="33879560"/>
    <s v="canadian pop"/>
    <d v="2019-06-21T00:00:00"/>
    <n v="82"/>
    <x v="1"/>
    <n v="0.75900000000000001"/>
    <n v="0.54"/>
    <n v="2.87E-2"/>
    <n v="3.6999999999999998E-2"/>
    <n v="9.4500000000000001E-2"/>
    <n v="0.75"/>
    <n v="-6.0389999999999997"/>
    <n v="190960"/>
    <n v="2019"/>
    <x v="0"/>
  </r>
  <r>
    <n v="321"/>
    <n v="72"/>
    <n v="5"/>
    <d v="2021-05-07T00:00:00"/>
    <x v="4"/>
    <s v="NEVER LEFT"/>
    <n v="5552212"/>
    <s v="Lil Tecca"/>
    <n v="4016497"/>
    <s v="melodic rap"/>
    <d v="2021-05-06T00:00:00"/>
    <n v="82"/>
    <x v="0"/>
    <n v="0.80700000000000005"/>
    <n v="0.65900000000000003"/>
    <n v="0.33200000000000002"/>
    <n v="2.24E-2"/>
    <n v="0.309"/>
    <n v="0.438"/>
    <n v="-6.92"/>
    <n v="168727"/>
    <n v="2021"/>
    <x v="0"/>
  </r>
  <r>
    <n v="279"/>
    <n v="11"/>
    <n v="6"/>
    <d v="2021-05-14T00:00:00"/>
    <x v="1"/>
    <s v="p r i d e . i s . t h e . d e v i l (with Lil Baby)"/>
    <n v="5430260"/>
    <s v="J. Cole"/>
    <n v="14097410"/>
    <s v="conscious hip hop"/>
    <d v="2021-05-14T00:00:00"/>
    <n v="82"/>
    <x v="0"/>
    <n v="0.86099999999999999"/>
    <n v="0.65600000000000003"/>
    <n v="0.42499999999999999"/>
    <n v="0.104"/>
    <n v="9.8599999999999993E-2"/>
    <n v="0.33100000000000002"/>
    <n v="-7.867"/>
    <n v="218210"/>
    <n v="2021"/>
    <x v="0"/>
  </r>
  <r>
    <n v="306"/>
    <n v="36"/>
    <n v="26"/>
    <d v="2021-02-05T00:00:00"/>
    <x v="2"/>
    <s v="GIRL LIKE ME"/>
    <n v="5395181"/>
    <s v="Black Eyed Peas, Shakira"/>
    <n v="5963840"/>
    <s v="dance pop"/>
    <d v="2020-11-02T00:00:00"/>
    <n v="82"/>
    <x v="1"/>
    <n v="0.96499999999999997"/>
    <n v="0.48499999999999999"/>
    <n v="0.191"/>
    <n v="2.06E-2"/>
    <n v="6.5500000000000003E-2"/>
    <n v="0.312"/>
    <n v="-8.7840000000000007"/>
    <n v="222523"/>
    <n v="2020"/>
    <x v="0"/>
  </r>
  <r>
    <n v="322"/>
    <n v="27"/>
    <n v="8"/>
    <d v="2021-04-16T00:00:00"/>
    <x v="4"/>
    <s v="Solid (feat. Drake)"/>
    <n v="5347781"/>
    <s v="Young Stoner Life, Young Thug, Gunna"/>
    <n v="61930"/>
    <s v="rap"/>
    <d v="2021-04-16T00:00:00"/>
    <n v="82"/>
    <x v="1"/>
    <n v="0.88700000000000001"/>
    <n v="0.48499999999999999"/>
    <n v="0.2"/>
    <n v="3.9199999999999999E-2"/>
    <n v="0.14099999999999999"/>
    <n v="0.32800000000000001"/>
    <n v="-9.3580000000000005"/>
    <n v="215693"/>
    <n v="2021"/>
    <x v="0"/>
  </r>
  <r>
    <n v="272"/>
    <n v="138"/>
    <n v="3"/>
    <d v="2021-06-18T00:00:00"/>
    <x v="2"/>
    <s v="MILLE (feat. Orietta Berti)"/>
    <n v="5341887"/>
    <s v="Fedez, Achille Lauro"/>
    <n v="1650683"/>
    <s v="italian adult pop"/>
    <d v="2021-06-11T00:00:00"/>
    <n v="82"/>
    <x v="0"/>
    <n v="0.52700000000000002"/>
    <n v="0.76400000000000001"/>
    <n v="0.32200000000000001"/>
    <n v="1.6E-2"/>
    <n v="2.7300000000000001E-2"/>
    <n v="0.82899999999999996"/>
    <n v="-4.2969999999999997"/>
    <n v="175924"/>
    <n v="2021"/>
    <x v="0"/>
  </r>
  <r>
    <n v="451"/>
    <n v="88"/>
    <n v="31"/>
    <d v="2021-01-29T00:00:00"/>
    <x v="3"/>
    <s v="Hello (feat. A Boogie Wit da Hoodie)"/>
    <n v="5323062"/>
    <s v="Pop Smoke"/>
    <n v="6852509"/>
    <s v="brooklyn drill"/>
    <d v="2020-07-20T00:00:00"/>
    <n v="82"/>
    <x v="0"/>
    <n v="0.90500000000000003"/>
    <n v="0.64700000000000002"/>
    <n v="0.107"/>
    <n v="1.8700000000000001E-2"/>
    <n v="0.28199999999999997"/>
    <n v="0.36699999999999999"/>
    <n v="-5.0650000000000004"/>
    <n v="190534"/>
    <n v="2020"/>
    <x v="0"/>
  </r>
  <r>
    <n v="228"/>
    <n v="169"/>
    <n v="2"/>
    <d v="2021-07-02T00:00:00"/>
    <x v="3"/>
    <s v="Faz Amor Comigo Só Hoje - Ao Vivo"/>
    <n v="5269757"/>
    <s v="Israel &amp; Rodolffo, Wesley Safadão"/>
    <n v="1097789"/>
    <s v="sertanejo"/>
    <d v="2021-05-26T00:00:00"/>
    <n v="82"/>
    <x v="0"/>
    <n v="0.624"/>
    <n v="0.92200000000000004"/>
    <n v="4.3900000000000002E-2"/>
    <n v="0.3"/>
    <n v="0.112"/>
    <n v="0.88400000000000001"/>
    <n v="-4.6280000000000001"/>
    <n v="148228"/>
    <n v="2021"/>
    <x v="0"/>
  </r>
  <r>
    <n v="332"/>
    <n v="85"/>
    <n v="16"/>
    <d v="2020-02-21T00:00:00"/>
    <x v="2"/>
    <s v="Boy With Luv (feat. Halsey)"/>
    <n v="5266625"/>
    <s v="BTS"/>
    <n v="37106176"/>
    <s v="k-pop"/>
    <d v="2019-04-12T00:00:00"/>
    <n v="82"/>
    <x v="0"/>
    <n v="0.64500000000000002"/>
    <n v="0.86199999999999999"/>
    <n v="9.6500000000000002E-2"/>
    <n v="9.2299999999999993E-2"/>
    <n v="0.192"/>
    <n v="0.79800000000000004"/>
    <n v="-4.7569999999999997"/>
    <n v="229773"/>
    <n v="2019"/>
    <x v="0"/>
  </r>
  <r>
    <n v="229"/>
    <n v="80"/>
    <n v="5"/>
    <d v="2021-06-11T00:00:00"/>
    <x v="2"/>
    <s v="Alcohol-Free"/>
    <n v="5259503"/>
    <s v="TWICE"/>
    <n v="9987114"/>
    <s v="k-pop"/>
    <d v="2021-06-11T00:00:00"/>
    <n v="82"/>
    <x v="0"/>
    <n v="0.68799999999999994"/>
    <n v="0.90900000000000003"/>
    <n v="6.2399999999999997E-2"/>
    <n v="4.7399999999999998E-2"/>
    <n v="6.7400000000000002E-2"/>
    <n v="0.70199999999999996"/>
    <n v="-1.992"/>
    <n v="210573"/>
    <n v="2021"/>
    <x v="0"/>
  </r>
  <r>
    <n v="280"/>
    <n v="6"/>
    <n v="6"/>
    <d v="2021-05-14T00:00:00"/>
    <x v="1"/>
    <s v="m y . l i f e (with 21 Savage &amp; Morray)"/>
    <n v="5246577"/>
    <s v="J. Cole"/>
    <n v="14097410"/>
    <s v="conscious hip hop"/>
    <d v="2021-05-14T00:00:00"/>
    <n v="82"/>
    <x v="1"/>
    <n v="0.59699999999999998"/>
    <n v="0.58699999999999997"/>
    <n v="0.13700000000000001"/>
    <n v="6.2199999999999998E-2"/>
    <n v="0.214"/>
    <n v="7.5300000000000006E-2"/>
    <n v="-7.0259999999999998"/>
    <n v="218802"/>
    <n v="2021"/>
    <x v="0"/>
  </r>
  <r>
    <n v="310"/>
    <n v="12"/>
    <n v="29"/>
    <d v="2020-11-27T00:00:00"/>
    <x v="3"/>
    <s v="TE MUDASTE"/>
    <n v="5242347"/>
    <s v="Bad Bunny"/>
    <n v="36142273"/>
    <s v="latin"/>
    <d v="2020-11-27T00:00:00"/>
    <n v="82"/>
    <x v="0"/>
    <n v="0.81100000000000005"/>
    <n v="0.63700000000000001"/>
    <n v="5.91E-2"/>
    <n v="0.23400000000000001"/>
    <n v="0.11799999999999999"/>
    <n v="0.47099999999999997"/>
    <n v="-4.835"/>
    <n v="130014"/>
    <n v="2020"/>
    <x v="0"/>
  </r>
  <r>
    <n v="495"/>
    <n v="19"/>
    <n v="38"/>
    <d v="2020-08-28T00:00:00"/>
    <x v="3"/>
    <s v="La Curiosidad"/>
    <n v="5198514"/>
    <s v="Jay Wheeler, DJ Nelson, Myke Towers"/>
    <n v="1650912"/>
    <s v="latin"/>
    <d v="2020-06-12T00:00:00"/>
    <n v="82"/>
    <x v="0"/>
    <n v="0.84499999999999997"/>
    <n v="0.67700000000000005"/>
    <n v="0.13600000000000001"/>
    <n v="0.26900000000000002"/>
    <n v="0.108"/>
    <n v="0.68"/>
    <n v="-4.798"/>
    <n v="219048"/>
    <n v="2020"/>
    <x v="0"/>
  </r>
  <r>
    <n v="453"/>
    <n v="30"/>
    <n v="37"/>
    <d v="2020-10-23T00:00:00"/>
    <x v="2"/>
    <s v="Take You Dancing"/>
    <n v="5176493"/>
    <s v="Jason Derulo"/>
    <n v="9778632"/>
    <s v="dance pop"/>
    <d v="2020-07-22T00:00:00"/>
    <n v="82"/>
    <x v="0"/>
    <n v="0.78900000000000003"/>
    <n v="0.71099999999999997"/>
    <n v="4.1000000000000002E-2"/>
    <n v="3.32E-2"/>
    <n v="8.7599999999999997E-2"/>
    <n v="0.753"/>
    <n v="-4.2480000000000002"/>
    <n v="190306"/>
    <n v="2020"/>
    <x v="0"/>
  </r>
  <r>
    <n v="375"/>
    <n v="38"/>
    <n v="72"/>
    <d v="2020-04-17T00:00:00"/>
    <x v="3"/>
    <s v="If the World Was Ending - feat. Julia Michaels"/>
    <n v="5127736"/>
    <s v="JP Saxe"/>
    <n v="280585"/>
    <s v="alt z"/>
    <d v="2019-10-17T00:00:00"/>
    <n v="82"/>
    <x v="1"/>
    <n v="0.46400000000000002"/>
    <n v="0.47299999999999998"/>
    <n v="0.129"/>
    <n v="0.86599999999999999"/>
    <n v="0.109"/>
    <n v="0.60399999999999998"/>
    <n v="-10.086"/>
    <n v="208687"/>
    <n v="2019"/>
    <x v="0"/>
  </r>
  <r>
    <n v="523"/>
    <n v="2"/>
    <n v="61"/>
    <d v="2019-12-27T00:00:00"/>
    <x v="2"/>
    <s v="ROXANNE"/>
    <n v="5124742"/>
    <s v="Arizona Zervas"/>
    <n v="621200"/>
    <s v="pop rap"/>
    <d v="2019-10-10T00:00:00"/>
    <n v="82"/>
    <x v="1"/>
    <n v="0.621"/>
    <n v="0.60099999999999998"/>
    <n v="0.14799999999999999"/>
    <n v="5.2200000000000003E-2"/>
    <n v="0.46"/>
    <n v="0.45700000000000002"/>
    <n v="-5.6159999999999997"/>
    <n v="163636"/>
    <n v="2019"/>
    <x v="0"/>
  </r>
  <r>
    <n v="327"/>
    <n v="96"/>
    <n v="10"/>
    <d v="2021-04-23T00:00:00"/>
    <x v="2"/>
    <s v="Slumber Party (feat. Princess Nokia)"/>
    <n v="5113574"/>
    <s v="Ashnikko"/>
    <n v="1246335"/>
    <s v="electropop"/>
    <d v="2021-01-15T00:00:00"/>
    <n v="82"/>
    <x v="1"/>
    <n v="0.96399999999999997"/>
    <n v="0.39800000000000002"/>
    <n v="7.9500000000000001E-2"/>
    <n v="1.5100000000000001E-3"/>
    <n v="0.10100000000000001"/>
    <n v="0.56299999999999994"/>
    <n v="-8.9809999999999999"/>
    <n v="178405"/>
    <n v="2021"/>
    <x v="0"/>
  </r>
  <r>
    <n v="274"/>
    <n v="1"/>
    <n v="55"/>
    <d v="2020-08-07T00:00:00"/>
    <x v="2"/>
    <s v="Savage Love (Laxed - Siren Beat)"/>
    <n v="5108950"/>
    <s v="Jawsh 685, Jason Derulo"/>
    <n v="100604"/>
    <s v="nz pop"/>
    <d v="2020-06-11T00:00:00"/>
    <n v="82"/>
    <x v="1"/>
    <n v="0.76700000000000002"/>
    <n v="0.48099999999999998"/>
    <n v="8.0299999999999996E-2"/>
    <n v="0.23400000000000001"/>
    <n v="0.26900000000000002"/>
    <n v="0.76100000000000001"/>
    <n v="-8.52"/>
    <n v="171375"/>
    <n v="2020"/>
    <x v="0"/>
  </r>
  <r>
    <n v="497"/>
    <n v="6"/>
    <n v="60"/>
    <d v="2020-03-13T00:00:00"/>
    <x v="2"/>
    <s v="Say So"/>
    <n v="5103528"/>
    <s v="Doja Cat"/>
    <n v="8671649"/>
    <s v="dance pop"/>
    <d v="2019-11-07T00:00:00"/>
    <n v="82"/>
    <x v="0"/>
    <n v="0.78700000000000003"/>
    <n v="0.67300000000000004"/>
    <n v="0.159"/>
    <n v="0.26400000000000001"/>
    <n v="9.0399999999999994E-2"/>
    <n v="0.77900000000000003"/>
    <n v="-4.5830000000000002"/>
    <n v="237893"/>
    <n v="2019"/>
    <x v="0"/>
  </r>
  <r>
    <n v="777"/>
    <n v="157"/>
    <n v="4"/>
    <d v="2020-10-30T00:00:00"/>
    <x v="3"/>
    <s v="Promiscuous"/>
    <n v="5083648"/>
    <s v="Nelly Furtado, Timbaland"/>
    <n v="2688557"/>
    <s v="canadian latin"/>
    <d v="2006-01-01T00:00:00"/>
    <n v="82"/>
    <x v="0"/>
    <n v="0.80800000000000005"/>
    <n v="0.97"/>
    <n v="5.0599999999999999E-2"/>
    <n v="5.6899999999999999E-2"/>
    <n v="0.154"/>
    <n v="0.86799999999999999"/>
    <n v="-6.0979999999999999"/>
    <n v="242293"/>
    <n v="2006"/>
    <x v="0"/>
  </r>
  <r>
    <n v="411"/>
    <n v="62"/>
    <n v="28"/>
    <d v="2021-01-15T00:00:00"/>
    <x v="2"/>
    <s v="Train Wreck"/>
    <n v="5081800"/>
    <s v="James Arthur"/>
    <n v="8446147"/>
    <s v="pop"/>
    <d v="2016-10-28T00:00:00"/>
    <n v="82"/>
    <x v="1"/>
    <n v="0.311"/>
    <n v="0.48499999999999999"/>
    <n v="3.6499999999999998E-2"/>
    <n v="0.70099999999999996"/>
    <n v="7.2599999999999998E-2"/>
    <n v="0.22500000000000001"/>
    <n v="-5.726"/>
    <n v="208827"/>
    <n v="2016"/>
    <x v="0"/>
  </r>
  <r>
    <n v="819"/>
    <n v="88"/>
    <n v="27"/>
    <d v="2019-12-27T00:00:00"/>
    <x v="2"/>
    <s v="thank u, next"/>
    <n v="5079328"/>
    <s v="Ariana Grande"/>
    <n v="67208170"/>
    <s v="dance pop"/>
    <d v="2019-02-08T00:00:00"/>
    <n v="82"/>
    <x v="0"/>
    <n v="0.71699999999999997"/>
    <n v="0.65300000000000002"/>
    <n v="6.5799999999999997E-2"/>
    <n v="0.22900000000000001"/>
    <n v="0.10100000000000001"/>
    <n v="0.41199999999999998"/>
    <n v="-5.6340000000000003"/>
    <n v="207320"/>
    <n v="2019"/>
    <x v="0"/>
  </r>
  <r>
    <n v="515"/>
    <n v="152"/>
    <n v="23"/>
    <d v="2021-01-29T00:00:00"/>
    <x v="4"/>
    <s v="Star Shopping"/>
    <n v="5073657"/>
    <s v="Lil Peep"/>
    <n v="7535054"/>
    <s v="emo rap"/>
    <d v="2015-01-01T00:00:00"/>
    <n v="82"/>
    <x v="1"/>
    <n v="0.58499999999999996"/>
    <n v="0.47099999999999997"/>
    <n v="6.1600000000000002E-2"/>
    <n v="9.6699999999999994E-2"/>
    <n v="0.115"/>
    <n v="0.32300000000000001"/>
    <n v="-9.9339999999999993"/>
    <n v="142000"/>
    <n v="2015"/>
    <x v="0"/>
  </r>
  <r>
    <n v="501"/>
    <n v="12"/>
    <n v="37"/>
    <d v="2020-08-28T00:00:00"/>
    <x v="3"/>
    <s v="Mood Swings (feat. Lil Tjay)"/>
    <n v="5068349"/>
    <s v="Pop Smoke"/>
    <n v="6852509"/>
    <s v="brooklyn drill"/>
    <d v="2020-07-03T00:00:00"/>
    <n v="82"/>
    <x v="1"/>
    <n v="0.48"/>
    <n v="0.60199999999999998"/>
    <n v="0.36799999999999999"/>
    <n v="0.48699999999999999"/>
    <n v="8.48E-2"/>
    <n v="0.26900000000000002"/>
    <n v="-6.335"/>
    <n v="213333"/>
    <n v="2020"/>
    <x v="0"/>
  </r>
  <r>
    <n v="338"/>
    <n v="200"/>
    <n v="1"/>
    <d v="2021-05-28T00:00:00"/>
    <x v="3"/>
    <s v="Vida Louca"/>
    <n v="5051514"/>
    <s v="Mc Poze do Rodo, Neo Beats, Mainstreet"/>
    <n v="448447"/>
    <s v="funk carioca"/>
    <d v="2021-04-02T00:00:00"/>
    <n v="82"/>
    <x v="1"/>
    <n v="0.85199999999999998"/>
    <n v="0.62"/>
    <n v="0.22700000000000001"/>
    <n v="0.35899999999999999"/>
    <n v="0.10100000000000001"/>
    <n v="0.74399999999999999"/>
    <n v="-5.79"/>
    <n v="155676"/>
    <n v="2021"/>
    <x v="0"/>
  </r>
  <r>
    <n v="517"/>
    <n v="112"/>
    <n v="28"/>
    <d v="2020-03-20T00:00:00"/>
    <x v="3"/>
    <s v="Maniac"/>
    <n v="5044929"/>
    <s v="Conan Gray"/>
    <n v="3799104"/>
    <s v="alt z"/>
    <d v="2020-03-20T00:00:00"/>
    <n v="82"/>
    <x v="0"/>
    <n v="0.628"/>
    <n v="0.63900000000000001"/>
    <n v="4.3499999999999997E-2"/>
    <n v="1.6199999999999999E-3"/>
    <n v="0.35399999999999998"/>
    <n v="0.49299999999999999"/>
    <n v="-5.46"/>
    <n v="185773"/>
    <n v="2020"/>
    <x v="0"/>
  </r>
  <r>
    <n v="549"/>
    <n v="182"/>
    <n v="6"/>
    <d v="2020-10-16T00:00:00"/>
    <x v="2"/>
    <s v="Thinking out Loud"/>
    <n v="4995623"/>
    <s v="Ed Sheeran"/>
    <n v="83337783"/>
    <s v="pop"/>
    <d v="2014-06-21T00:00:00"/>
    <n v="82"/>
    <x v="1"/>
    <n v="0.78100000000000003"/>
    <n v="0.44500000000000001"/>
    <n v="2.9499999999999998E-2"/>
    <n v="0.47399999999999998"/>
    <n v="0.184"/>
    <n v="0.59099999999999997"/>
    <n v="-6.0609999999999999"/>
    <n v="281560"/>
    <n v="2014"/>
    <x v="0"/>
  </r>
  <r>
    <n v="251"/>
    <n v="136"/>
    <n v="15"/>
    <d v="2021-04-02T00:00:00"/>
    <x v="2"/>
    <s v="Stereo Hearts (feat. Adam Levine)"/>
    <n v="4992345"/>
    <s v="Gym Class Heroes"/>
    <n v="1275345"/>
    <s v="dance pop"/>
    <d v="2011-11-11T00:00:00"/>
    <n v="82"/>
    <x v="0"/>
    <n v="0.64600000000000002"/>
    <n v="0.79500000000000004"/>
    <n v="9.7600000000000006E-2"/>
    <n v="3.1899999999999998E-2"/>
    <n v="0.26700000000000002"/>
    <n v="0.79600000000000004"/>
    <n v="-3.2930000000000001"/>
    <n v="210960"/>
    <n v="2011"/>
    <x v="0"/>
  </r>
  <r>
    <n v="426"/>
    <n v="104"/>
    <n v="16"/>
    <d v="2021-02-05T00:00:00"/>
    <x v="0"/>
    <s v="Why'd You Only Call Me When You're High?"/>
    <n v="4976405"/>
    <s v="Arctic Monkeys"/>
    <n v="12375514"/>
    <s v="garage rock"/>
    <d v="2013-09-09T00:00:00"/>
    <n v="82"/>
    <x v="1"/>
    <n v="0.69099999999999995"/>
    <n v="0.63100000000000001"/>
    <n v="3.6799999999999999E-2"/>
    <n v="4.8300000000000003E-2"/>
    <n v="0.104"/>
    <n v="0.8"/>
    <n v="-6.4779999999999998"/>
    <n v="161124"/>
    <n v="2013"/>
    <x v="0"/>
  </r>
  <r>
    <n v="235"/>
    <n v="184"/>
    <n v="2"/>
    <d v="2021-07-02T00:00:00"/>
    <x v="2"/>
    <s v="Sexo Virtual"/>
    <n v="4975786"/>
    <s v="Rauw Alejandro"/>
    <n v="6080597"/>
    <s v="puerto rican pop"/>
    <d v="2021-06-25T00:00:00"/>
    <n v="82"/>
    <x v="0"/>
    <n v="0.70399999999999996"/>
    <n v="0.73899999999999999"/>
    <n v="0.112"/>
    <n v="0.32800000000000001"/>
    <n v="8.5599999999999996E-2"/>
    <n v="0.42499999999999999"/>
    <n v="-3.286"/>
    <n v="208292"/>
    <n v="2021"/>
    <x v="0"/>
  </r>
  <r>
    <n v="253"/>
    <n v="81"/>
    <n v="8"/>
    <d v="2021-05-21T00:00:00"/>
    <x v="3"/>
    <s v="malibu"/>
    <n v="4973063"/>
    <s v="sangiovanni"/>
    <n v="384097"/>
    <m/>
    <d v="2021-05-13T00:00:00"/>
    <n v="82"/>
    <x v="0"/>
    <n v="0.73299999999999998"/>
    <n v="0.73599999999999999"/>
    <n v="0.111"/>
    <n v="2.8000000000000001E-2"/>
    <n v="0.13100000000000001"/>
    <n v="0.66900000000000004"/>
    <n v="-5.1230000000000002"/>
    <n v="166216"/>
    <n v="2021"/>
    <x v="0"/>
  </r>
  <r>
    <n v="997"/>
    <n v="161"/>
    <n v="2"/>
    <d v="2020-07-17T00:00:00"/>
    <x v="3"/>
    <s v="What Makes You Beautiful"/>
    <n v="4966428"/>
    <s v="One Direction"/>
    <n v="22536304"/>
    <s v="boy band"/>
    <d v="2012-05-25T00:00:00"/>
    <n v="82"/>
    <x v="0"/>
    <n v="0.72599999999999998"/>
    <n v="0.78700000000000003"/>
    <n v="7.3700000000000002E-2"/>
    <n v="8.9999999999999993E-3"/>
    <n v="5.96E-2"/>
    <n v="0.88800000000000001"/>
    <n v="-2.4940000000000002"/>
    <n v="199987"/>
    <n v="2012"/>
    <x v="0"/>
  </r>
  <r>
    <n v="417"/>
    <n v="197"/>
    <n v="1"/>
    <d v="2021-04-23T00:00:00"/>
    <x v="2"/>
    <s v="When I Was Your Man"/>
    <n v="4945935"/>
    <s v="Bruno Mars"/>
    <n v="32603394"/>
    <s v="dance pop"/>
    <d v="2012-12-07T00:00:00"/>
    <n v="82"/>
    <x v="1"/>
    <n v="0.61199999999999999"/>
    <n v="0.28000000000000003"/>
    <n v="4.3400000000000001E-2"/>
    <n v="0.93200000000000005"/>
    <n v="8.7999999999999995E-2"/>
    <n v="0.38700000000000001"/>
    <n v="-8.6479999999999997"/>
    <n v="213827"/>
    <n v="2012"/>
    <x v="0"/>
  </r>
  <r>
    <n v="292"/>
    <n v="175"/>
    <n v="2"/>
    <d v="2021-05-14T00:00:00"/>
    <x v="2"/>
    <s v="We Are The People (feat. Bono &amp; The Edge) - Official UEFA EURO 2020 Song"/>
    <n v="4912036"/>
    <s v="Martin Garrix"/>
    <n v="14917926"/>
    <s v="dance pop"/>
    <d v="2021-05-13T00:00:00"/>
    <n v="82"/>
    <x v="0"/>
    <n v="0.66"/>
    <n v="0.73299999999999998"/>
    <n v="3.5900000000000001E-2"/>
    <n v="0.248"/>
    <n v="0.17"/>
    <n v="0.30399999999999999"/>
    <n v="-4.6189999999999998"/>
    <n v="217000"/>
    <n v="2021"/>
    <x v="0"/>
  </r>
  <r>
    <n v="293"/>
    <n v="23"/>
    <n v="19"/>
    <d v="2021-03-26T00:00:00"/>
    <x v="3"/>
    <s v="Ella No Es Tuya - Remix"/>
    <n v="4911162"/>
    <s v="Rochy RD, Myke Towers, Nicki Nicole"/>
    <n v="319192"/>
    <s v="dembow"/>
    <d v="2021-02-03T00:00:00"/>
    <n v="82"/>
    <x v="1"/>
    <n v="0.58499999999999996"/>
    <n v="0.61099999999999999"/>
    <n v="0.28799999999999998"/>
    <n v="0.39"/>
    <n v="0.64900000000000002"/>
    <n v="0.96199999999999997"/>
    <n v="-4.1319999999999997"/>
    <n v="218107"/>
    <n v="2021"/>
    <x v="0"/>
  </r>
  <r>
    <n v="1188"/>
    <n v="52"/>
    <n v="11"/>
    <d v="2020-02-28T00:00:00"/>
    <x v="3"/>
    <s v="A Tu Merced"/>
    <n v="4909499"/>
    <s v="Bad Bunny"/>
    <n v="36177712"/>
    <s v="latin"/>
    <d v="2020-02-29T00:00:00"/>
    <n v="82"/>
    <x v="0"/>
    <n v="0.86"/>
    <n v="0.79100000000000004"/>
    <n v="5.6800000000000003E-2"/>
    <n v="0.16900000000000001"/>
    <n v="0.106"/>
    <n v="0.88700000000000001"/>
    <n v="-4.7839999999999998"/>
    <n v="175918"/>
    <n v="2020"/>
    <x v="0"/>
  </r>
  <r>
    <n v="782"/>
    <n v="102"/>
    <n v="46"/>
    <d v="2020-04-03T00:00:00"/>
    <x v="4"/>
    <s v="Get You The Moon (feat. Snøw)"/>
    <n v="4872409"/>
    <s v="Kina"/>
    <n v="661863"/>
    <s v="sad rap"/>
    <d v="2018-10-08T00:00:00"/>
    <n v="82"/>
    <x v="1"/>
    <n v="0.498"/>
    <n v="0.23499999999999999"/>
    <n v="0.188"/>
    <n v="0.72"/>
    <n v="0.14399999999999999"/>
    <n v="8.9499999999999996E-2"/>
    <n v="-16.541"/>
    <n v="179080"/>
    <n v="2018"/>
    <x v="0"/>
  </r>
  <r>
    <n v="297"/>
    <n v="161"/>
    <n v="41"/>
    <d v="2020-06-26T00:00:00"/>
    <x v="2"/>
    <s v="Something Just Like This"/>
    <n v="4862683"/>
    <s v="The Chainsmokers, Coldplay"/>
    <n v="18191658"/>
    <s v="dance pop"/>
    <d v="2017-04-07T00:00:00"/>
    <n v="82"/>
    <x v="0"/>
    <n v="0.61699999999999999"/>
    <n v="0.63500000000000001"/>
    <n v="3.1699999999999999E-2"/>
    <n v="4.9799999999999997E-2"/>
    <n v="0.16400000000000001"/>
    <n v="0.44600000000000001"/>
    <n v="-6.7690000000000001"/>
    <n v="247160"/>
    <n v="2017"/>
    <x v="0"/>
  </r>
  <r>
    <n v="592"/>
    <n v="41"/>
    <n v="39"/>
    <d v="2020-06-26T00:00:00"/>
    <x v="2"/>
    <s v="Kings &amp; Queens"/>
    <n v="4855690"/>
    <s v="Ava Max"/>
    <n v="3916979"/>
    <s v="dance pop"/>
    <d v="2020-09-18T00:00:00"/>
    <n v="82"/>
    <x v="0"/>
    <n v="0.63700000000000001"/>
    <n v="0.69"/>
    <n v="4.0500000000000001E-2"/>
    <n v="7.8600000000000007E-3"/>
    <n v="0.124"/>
    <n v="0.45700000000000002"/>
    <n v="-4.0570000000000004"/>
    <n v="162399"/>
    <n v="2020"/>
    <x v="0"/>
  </r>
  <r>
    <n v="786"/>
    <n v="156"/>
    <n v="15"/>
    <d v="2020-02-07T00:00:00"/>
    <x v="3"/>
    <s v="SLOW DANCING IN THE DARK"/>
    <n v="4732343"/>
    <s v="Joji"/>
    <n v="4759367"/>
    <s v="alternative r&amp;b"/>
    <d v="2018-10-26T00:00:00"/>
    <n v="82"/>
    <x v="1"/>
    <n v="0.51500000000000001"/>
    <n v="0.47899999999999998"/>
    <n v="2.6100000000000002E-2"/>
    <n v="0.54400000000000004"/>
    <n v="0.191"/>
    <n v="0.28399999999999997"/>
    <n v="-7.4580000000000002"/>
    <n v="209274"/>
    <n v="2018"/>
    <x v="0"/>
  </r>
  <r>
    <n v="612"/>
    <n v="66"/>
    <n v="46"/>
    <d v="2019-12-27T00:00:00"/>
    <x v="3"/>
    <s v="Happier"/>
    <n v="4655272"/>
    <s v="Marshmello, Bastille"/>
    <n v="31552500"/>
    <s v="brostep"/>
    <d v="2018-08-17T00:00:00"/>
    <n v="82"/>
    <x v="0"/>
    <n v="0.68700000000000006"/>
    <n v="0.79200000000000004"/>
    <n v="4.5199999999999997E-2"/>
    <n v="0.191"/>
    <n v="0.16700000000000001"/>
    <n v="0.67100000000000004"/>
    <n v="-2.7490000000000001"/>
    <n v="214290"/>
    <n v="2018"/>
    <x v="0"/>
  </r>
  <r>
    <n v="929"/>
    <n v="27"/>
    <n v="36"/>
    <d v="2019-12-27T00:00:00"/>
    <x v="4"/>
    <s v="OUT WEST (feat. Young Thug)"/>
    <n v="4597001"/>
    <s v="JACKBOYS, Travis Scott"/>
    <n v="437907"/>
    <s v="rap"/>
    <d v="2019-12-27T00:00:00"/>
    <n v="82"/>
    <x v="1"/>
    <n v="0.80200000000000005"/>
    <n v="0.59099999999999997"/>
    <n v="0.22500000000000001"/>
    <n v="1.04E-2"/>
    <n v="0.19600000000000001"/>
    <n v="0.309"/>
    <n v="-4.8949999999999996"/>
    <n v="157712"/>
    <n v="2019"/>
    <x v="0"/>
  </r>
  <r>
    <n v="1213"/>
    <n v="130"/>
    <n v="11"/>
    <d v="2019-12-27T00:00:00"/>
    <x v="1"/>
    <s v="God's Plan"/>
    <n v="4565400"/>
    <s v="Drake"/>
    <n v="56327031"/>
    <s v="canadian hip hop"/>
    <d v="2018-06-29T00:00:00"/>
    <n v="82"/>
    <x v="1"/>
    <n v="0.754"/>
    <n v="0.44900000000000001"/>
    <n v="0.109"/>
    <n v="3.32E-2"/>
    <n v="0.55200000000000005"/>
    <n v="0.35699999999999998"/>
    <n v="-9.2110000000000003"/>
    <n v="198973"/>
    <n v="2018"/>
    <x v="0"/>
  </r>
  <r>
    <n v="617"/>
    <n v="27"/>
    <n v="45"/>
    <d v="2020-02-07T00:00:00"/>
    <x v="2"/>
    <s v="Lose Control"/>
    <n v="4516053"/>
    <s v="MEDUZA, Becky Hill, Goodboys"/>
    <n v="441714"/>
    <s v="dance pop"/>
    <d v="2019-10-11T00:00:00"/>
    <n v="82"/>
    <x v="1"/>
    <n v="0.59799999999999998"/>
    <n v="0.52600000000000002"/>
    <n v="4.1500000000000002E-2"/>
    <n v="0.129"/>
    <n v="0.14000000000000001"/>
    <n v="0.52900000000000003"/>
    <n v="-8.6590000000000007"/>
    <n v="168387"/>
    <n v="2019"/>
    <x v="0"/>
  </r>
  <r>
    <n v="1072"/>
    <n v="147"/>
    <n v="27"/>
    <d v="2020-01-03T00:00:00"/>
    <x v="2"/>
    <s v="I Like Me Better"/>
    <n v="4430642"/>
    <s v="Lauv"/>
    <n v="4442273"/>
    <s v="dance pop"/>
    <d v="2018-05-31T00:00:00"/>
    <n v="82"/>
    <x v="1"/>
    <n v="0.752"/>
    <n v="0.505"/>
    <n v="0.253"/>
    <n v="0.53500000000000003"/>
    <n v="0.104"/>
    <n v="0.41899999999999998"/>
    <n v="-7.6210000000000004"/>
    <n v="197437"/>
    <n v="2018"/>
    <x v="0"/>
  </r>
  <r>
    <n v="1112"/>
    <n v="161"/>
    <n v="19"/>
    <d v="2020-01-03T00:00:00"/>
    <x v="3"/>
    <s v="Let Me Down Slowly"/>
    <n v="4393932"/>
    <s v="Alec Benjamin"/>
    <n v="2808285"/>
    <s v="alt z"/>
    <d v="2018-11-16T00:00:00"/>
    <n v="82"/>
    <x v="1"/>
    <n v="0.65200000000000002"/>
    <n v="0.55700000000000005"/>
    <n v="3.1800000000000002E-2"/>
    <n v="0.74"/>
    <n v="0.124"/>
    <n v="0.48299999999999998"/>
    <n v="-5.7140000000000004"/>
    <n v="169354"/>
    <n v="2018"/>
    <x v="0"/>
  </r>
  <r>
    <n v="1125"/>
    <n v="137"/>
    <n v="10"/>
    <d v="2020-03-06T00:00:00"/>
    <x v="4"/>
    <s v="XO Tour Llif3"/>
    <n v="4314080"/>
    <s v="Lil Uzi Vert"/>
    <n v="11821805"/>
    <s v="melodic rap"/>
    <d v="2017-08-25T00:00:00"/>
    <n v="82"/>
    <x v="0"/>
    <n v="0.73199999999999998"/>
    <n v="0.75"/>
    <n v="0.23100000000000001"/>
    <n v="2.64E-3"/>
    <n v="0.109"/>
    <n v="0.40100000000000002"/>
    <n v="-6.3659999999999997"/>
    <n v="182707"/>
    <n v="2017"/>
    <x v="0"/>
  </r>
  <r>
    <n v="316"/>
    <n v="97"/>
    <n v="1"/>
    <d v="2021-06-04T00:00:00"/>
    <x v="1"/>
    <s v="Hats Off (feat. Travis Scott)"/>
    <n v="7324233"/>
    <s v="Lil Baby, Lil Durk"/>
    <n v="7805880"/>
    <s v="atl hip hop"/>
    <d v="2021-06-04T00:00:00"/>
    <n v="81"/>
    <x v="0"/>
    <n v="0.59599999999999997"/>
    <n v="0.65"/>
    <n v="0.33700000000000002"/>
    <n v="0.13800000000000001"/>
    <n v="0.14000000000000001"/>
    <n v="0.188"/>
    <n v="-5.1669999999999998"/>
    <n v="257428"/>
    <n v="2021"/>
    <x v="0"/>
  </r>
  <r>
    <n v="341"/>
    <n v="25"/>
    <n v="5"/>
    <d v="2021-04-02T00:00:00"/>
    <x v="2"/>
    <s v="Film out"/>
    <n v="7198095"/>
    <s v="BTS"/>
    <n v="37106176"/>
    <s v="k-pop"/>
    <d v="2021-04-01T00:00:00"/>
    <n v="81"/>
    <x v="0"/>
    <n v="0.499"/>
    <n v="0.70899999999999996"/>
    <n v="0.13400000000000001"/>
    <n v="0.29599999999999999"/>
    <n v="0.33100000000000002"/>
    <n v="0.314"/>
    <n v="-6.4039999999999999"/>
    <n v="214621"/>
    <n v="2021"/>
    <x v="0"/>
  </r>
  <r>
    <n v="318"/>
    <n v="126"/>
    <n v="1"/>
    <d v="2021-06-04T00:00:00"/>
    <x v="1"/>
    <s v="Voice of the Heroes"/>
    <n v="6249801"/>
    <s v="Lil Baby, Lil Durk"/>
    <n v="7805880"/>
    <s v="atl hip hop"/>
    <d v="2021-06-04T00:00:00"/>
    <n v="81"/>
    <x v="0"/>
    <n v="0.59599999999999997"/>
    <n v="0.65"/>
    <n v="0.33700000000000002"/>
    <n v="0.13800000000000001"/>
    <n v="0.14000000000000001"/>
    <n v="0.188"/>
    <n v="-5.1669999999999998"/>
    <n v="257428"/>
    <n v="2021"/>
    <x v="0"/>
  </r>
  <r>
    <n v="365"/>
    <n v="34"/>
    <n v="3"/>
    <d v="2021-04-30T00:00:00"/>
    <x v="1"/>
    <s v="WITHOUT YOU (with Miley Cyrus)"/>
    <n v="6081034"/>
    <s v="The Kid LAROI"/>
    <n v="2230022"/>
    <s v="australian hip hop"/>
    <d v="2021-04-30T00:00:00"/>
    <n v="81"/>
    <x v="1"/>
    <n v="0.65500000000000003"/>
    <n v="0.46899999999999997"/>
    <n v="2.92E-2"/>
    <n v="0.17299999999999999"/>
    <n v="9.5600000000000004E-2"/>
    <n v="0.46700000000000003"/>
    <n v="-6.2569999999999997"/>
    <n v="161385"/>
    <n v="2021"/>
    <x v="0"/>
  </r>
  <r>
    <n v="319"/>
    <n v="134"/>
    <n v="1"/>
    <d v="2021-06-04T00:00:00"/>
    <x v="2"/>
    <s v="0X1=LOVESONG (I Know I Love you)"/>
    <n v="6040553"/>
    <s v="TOMORROW X TOGETHER, Seori"/>
    <n v="4136553"/>
    <s v="k-pop"/>
    <d v="2021-05-31T00:00:00"/>
    <n v="81"/>
    <x v="0"/>
    <n v="0.58399999999999996"/>
    <n v="0.83599999999999997"/>
    <n v="7.9000000000000001E-2"/>
    <n v="5.5800000000000002E-2"/>
    <n v="6.6299999999999998E-2"/>
    <n v="0.48399999999999999"/>
    <n v="-4.9249999999999998"/>
    <n v="202204"/>
    <n v="2021"/>
    <x v="0"/>
  </r>
  <r>
    <n v="206"/>
    <n v="76"/>
    <n v="4"/>
    <d v="2021-06-18T00:00:00"/>
    <x v="1"/>
    <s v="Holiday"/>
    <n v="5883145"/>
    <s v="KSI"/>
    <n v="2008516"/>
    <s v="uk hip hop"/>
    <d v="2021-06-18T00:00:00"/>
    <n v="81"/>
    <x v="0"/>
    <n v="0.35599999999999998"/>
    <n v="0.68400000000000005"/>
    <n v="8.7800000000000003E-2"/>
    <n v="0.152"/>
    <n v="0.10100000000000001"/>
    <n v="0.34699999999999998"/>
    <n v="-7.3470000000000004"/>
    <n v="193733"/>
    <n v="2021"/>
    <x v="0"/>
  </r>
  <r>
    <n v="154"/>
    <n v="154"/>
    <n v="1"/>
    <d v="2021-07-23T00:00:00"/>
    <x v="3"/>
    <s v="Se For Amor"/>
    <n v="5618268"/>
    <s v="João Gomes, Vitor Fernandes"/>
    <n v="409173"/>
    <m/>
    <d v="2021-06-01T00:00:00"/>
    <n v="81"/>
    <x v="0"/>
    <n v="0.66700000000000004"/>
    <n v="0.89900000000000002"/>
    <n v="3.2199999999999999E-2"/>
    <n v="0.42299999999999999"/>
    <n v="0.33200000000000002"/>
    <n v="0.83499999999999996"/>
    <n v="-4.4020000000000001"/>
    <n v="239928"/>
    <n v="2021"/>
    <x v="0"/>
  </r>
  <r>
    <n v="367"/>
    <n v="87"/>
    <n v="10"/>
    <d v="2021-04-02T00:00:00"/>
    <x v="3"/>
    <s v="Travesuras - Remix"/>
    <n v="5518444"/>
    <s v="Nio Garcia, Casper Magico, Ozuna, Wisin &amp; Yandel, Myke Towers, Flow La Movie"/>
    <n v="2123734"/>
    <s v="latin"/>
    <d v="2021-03-11T00:00:00"/>
    <n v="81"/>
    <x v="0"/>
    <n v="0.73899999999999999"/>
    <n v="0.78800000000000003"/>
    <n v="7.3099999999999998E-2"/>
    <n v="5.1299999999999998E-2"/>
    <n v="0.28199999999999997"/>
    <n v="0.47299999999999998"/>
    <n v="-5.1980000000000004"/>
    <n v="324426"/>
    <n v="2021"/>
    <x v="0"/>
  </r>
  <r>
    <n v="470"/>
    <n v="34"/>
    <n v="29"/>
    <d v="2020-11-06T00:00:00"/>
    <x v="3"/>
    <s v="Una Locura"/>
    <n v="5466954"/>
    <s v="Ozuna, J Balvin, Chencho Corleone"/>
    <n v="29238936"/>
    <s v="latin"/>
    <d v="2020-09-04T00:00:00"/>
    <n v="81"/>
    <x v="0"/>
    <n v="0.71399999999999997"/>
    <n v="0.76100000000000001"/>
    <n v="4.2700000000000002E-2"/>
    <n v="0.13900000000000001"/>
    <n v="0.24099999999999999"/>
    <n v="0.90600000000000003"/>
    <n v="-4.5960000000000001"/>
    <n v="230693"/>
    <n v="2020"/>
    <x v="0"/>
  </r>
  <r>
    <n v="744"/>
    <n v="63"/>
    <n v="24"/>
    <d v="2020-05-08T00:00:00"/>
    <x v="3"/>
    <s v="CÓMO SE SIENTE - Remix"/>
    <n v="5463964"/>
    <s v="Jhay Cortez, Bad Bunny"/>
    <n v="2435159"/>
    <s v="latin"/>
    <d v="2020-05-09T00:00:00"/>
    <n v="81"/>
    <x v="1"/>
    <n v="0.80700000000000005"/>
    <n v="0.60599999999999998"/>
    <n v="8.7999999999999995E-2"/>
    <n v="9.4600000000000004E-2"/>
    <n v="0.11899999999999999"/>
    <n v="0.30399999999999999"/>
    <n v="-8.8710000000000004"/>
    <n v="227520"/>
    <n v="2020"/>
    <x v="0"/>
  </r>
  <r>
    <n v="242"/>
    <n v="152"/>
    <n v="2"/>
    <d v="2021-06-25T00:00:00"/>
    <x v="3"/>
    <s v="All Eyes On Me"/>
    <n v="5347263"/>
    <s v="Bo Burnham"/>
    <n v="1042079"/>
    <s v="comic"/>
    <d v="2021-06-10T00:00:00"/>
    <n v="81"/>
    <x v="1"/>
    <n v="0.35199999999999998"/>
    <n v="0.42399999999999999"/>
    <n v="3.9399999999999998E-2"/>
    <n v="0.73299999999999998"/>
    <n v="6.6400000000000001E-2"/>
    <n v="0.14099999999999999"/>
    <n v="-10.131"/>
    <n v="302951"/>
    <n v="2021"/>
    <x v="0"/>
  </r>
  <r>
    <n v="351"/>
    <n v="2"/>
    <n v="12"/>
    <d v="2021-03-05T00:00:00"/>
    <x v="1"/>
    <s v="What’s Next"/>
    <n v="5335112"/>
    <s v="Drake"/>
    <n v="56308172"/>
    <s v="canadian hip hop"/>
    <d v="2021-03-05T00:00:00"/>
    <n v="81"/>
    <x v="1"/>
    <n v="0.78100000000000003"/>
    <n v="0.59399999999999997"/>
    <n v="4.8500000000000001E-2"/>
    <n v="1.3599999999999999E-2"/>
    <n v="0.16200000000000001"/>
    <n v="6.2799999999999995E-2"/>
    <n v="-6.9589999999999996"/>
    <n v="178154"/>
    <n v="2021"/>
    <x v="0"/>
  </r>
  <r>
    <n v="175"/>
    <n v="65"/>
    <n v="2"/>
    <d v="2021-07-16T00:00:00"/>
    <x v="3"/>
    <s v="Bout A Million (feat. 42 Dugg &amp; 21 Savage)"/>
    <n v="5315734"/>
    <s v="Pop Smoke"/>
    <n v="6837946"/>
    <s v="brooklyn drill"/>
    <d v="2021-07-16T00:00:00"/>
    <n v="81"/>
    <x v="0"/>
    <n v="0.71599999999999997"/>
    <n v="0.67"/>
    <n v="0.10100000000000001"/>
    <n v="0.52600000000000002"/>
    <n v="0.13"/>
    <n v="0.41099999999999998"/>
    <n v="-6.9950000000000001"/>
    <n v="203586"/>
    <n v="2021"/>
    <x v="0"/>
  </r>
  <r>
    <n v="352"/>
    <n v="154"/>
    <n v="4"/>
    <d v="2021-05-07T00:00:00"/>
    <x v="1"/>
    <s v="Ramen &amp; OJ"/>
    <n v="5282702"/>
    <s v="Joyner Lucas, Lil Baby"/>
    <n v="1725025"/>
    <s v="boston hip hop"/>
    <d v="2021-04-30T00:00:00"/>
    <n v="81"/>
    <x v="1"/>
    <n v="0.59699999999999998"/>
    <n v="0.57099999999999995"/>
    <n v="0.29299999999999998"/>
    <n v="0.49199999999999999"/>
    <n v="9.2999999999999999E-2"/>
    <n v="0.16500000000000001"/>
    <n v="-6.2050000000000001"/>
    <n v="218448"/>
    <n v="2021"/>
    <x v="0"/>
  </r>
  <r>
    <n v="370"/>
    <n v="182"/>
    <n v="5"/>
    <d v="2021-05-14T00:00:00"/>
    <x v="4"/>
    <s v="Explícito"/>
    <n v="5278449"/>
    <s v="Myke Towers"/>
    <n v="6150675"/>
    <s v="trap latino"/>
    <d v="2020-12-15T00:00:00"/>
    <n v="81"/>
    <x v="0"/>
    <n v="0.82799999999999996"/>
    <n v="0.83"/>
    <n v="4.7E-2"/>
    <n v="0.34799999999999998"/>
    <n v="6.13E-2"/>
    <n v="0.42199999999999999"/>
    <n v="-3.371"/>
    <n v="195066"/>
    <n v="2020"/>
    <x v="0"/>
  </r>
  <r>
    <n v="353"/>
    <n v="91"/>
    <n v="9"/>
    <d v="2021-04-02T00:00:00"/>
    <x v="3"/>
    <s v="Cloud 9"/>
    <n v="5252767"/>
    <s v="Beach Bunny"/>
    <n v="618444"/>
    <s v="bubblegrunge"/>
    <d v="2020-02-14T00:00:00"/>
    <n v="81"/>
    <x v="0"/>
    <n v="0.63700000000000001"/>
    <n v="0.92900000000000005"/>
    <n v="4.9099999999999998E-2"/>
    <n v="1.67E-3"/>
    <n v="0.34399999999999997"/>
    <n v="0.90200000000000002"/>
    <n v="-3.593"/>
    <n v="147351"/>
    <n v="2020"/>
    <x v="0"/>
  </r>
  <r>
    <n v="176"/>
    <n v="72"/>
    <n v="2"/>
    <d v="2021-07-16T00:00:00"/>
    <x v="3"/>
    <s v="Demeanor (feat. Dua Lipa)"/>
    <n v="5245618"/>
    <s v="Pop Smoke"/>
    <n v="6837946"/>
    <s v="brooklyn drill"/>
    <d v="2021-07-16T00:00:00"/>
    <n v="81"/>
    <x v="1"/>
    <n v="0.67500000000000004"/>
    <n v="0.60799999999999998"/>
    <n v="0.10299999999999999"/>
    <n v="0.33600000000000002"/>
    <n v="0.11"/>
    <n v="0.72799999999999998"/>
    <n v="-6.9340000000000002"/>
    <n v="184800"/>
    <n v="2021"/>
    <x v="0"/>
  </r>
  <r>
    <n v="325"/>
    <n v="127"/>
    <n v="2"/>
    <d v="2021-05-28T00:00:00"/>
    <x v="0"/>
    <s v="CORALINE"/>
    <n v="5241813"/>
    <s v="Måneskin"/>
    <n v="3377762"/>
    <s v="indie rock italiano"/>
    <d v="2021-03-19T00:00:00"/>
    <n v="81"/>
    <x v="0"/>
    <n v="0.36299999999999999"/>
    <n v="0.67800000000000005"/>
    <n v="9.9500000000000005E-2"/>
    <n v="2.9899999999999999E-2"/>
    <n v="0.32400000000000001"/>
    <n v="0.32100000000000001"/>
    <n v="-4.9390000000000001"/>
    <n v="300413"/>
    <n v="2021"/>
    <x v="0"/>
  </r>
  <r>
    <n v="383"/>
    <n v="3"/>
    <n v="70"/>
    <d v="2020-01-10T00:00:00"/>
    <x v="1"/>
    <s v="Life Is Good (feat. Drake)"/>
    <n v="5241227"/>
    <s v="Future"/>
    <n v="10488292"/>
    <s v="atl hip hop"/>
    <d v="2020-01-10T00:00:00"/>
    <n v="81"/>
    <x v="1"/>
    <n v="0.67600000000000005"/>
    <n v="0.60899999999999999"/>
    <n v="0.48099999999999998"/>
    <n v="7.0599999999999996E-2"/>
    <n v="0.152"/>
    <n v="0.50800000000000001"/>
    <n v="-5.8310000000000004"/>
    <n v="237735"/>
    <n v="2020"/>
    <x v="0"/>
  </r>
  <r>
    <n v="245"/>
    <n v="25"/>
    <n v="4"/>
    <d v="2021-06-11T00:00:00"/>
    <x v="2"/>
    <s v="Solar Power"/>
    <n v="5234112"/>
    <s v="Lorde"/>
    <n v="8083566"/>
    <s v="art pop"/>
    <d v="2021-06-10T00:00:00"/>
    <n v="81"/>
    <x v="1"/>
    <n v="0.73499999999999999"/>
    <n v="0.47"/>
    <n v="0.1"/>
    <n v="0.26600000000000001"/>
    <n v="0.32"/>
    <n v="0.89700000000000002"/>
    <n v="-9.4049999999999994"/>
    <n v="192621"/>
    <n v="2021"/>
    <x v="0"/>
  </r>
  <r>
    <n v="409"/>
    <n v="18"/>
    <n v="33"/>
    <d v="2020-10-23T00:00:00"/>
    <x v="2"/>
    <s v="Put Your Records On"/>
    <n v="5181180"/>
    <s v="Ritt Momney"/>
    <n v="100463"/>
    <s v="bedroom pop"/>
    <d v="2020-04-24T00:00:00"/>
    <n v="81"/>
    <x v="1"/>
    <n v="0.39900000000000002"/>
    <n v="0.49099999999999999"/>
    <n v="5.3800000000000001E-2"/>
    <n v="5.6300000000000003E-2"/>
    <n v="0.11"/>
    <n v="0.151"/>
    <n v="-10.778"/>
    <n v="210463"/>
    <n v="2020"/>
    <x v="0"/>
  </r>
  <r>
    <n v="355"/>
    <n v="64"/>
    <n v="10"/>
    <d v="2021-04-02T00:00:00"/>
    <x v="3"/>
    <s v="Headshot (feat. Polo G &amp; Fivio Foreign)"/>
    <n v="5174298"/>
    <s v="Lil Tjay"/>
    <n v="3553442"/>
    <s v="brooklyn drill"/>
    <d v="2021-04-02T00:00:00"/>
    <n v="81"/>
    <x v="0"/>
    <n v="0.80800000000000005"/>
    <n v="0.63900000000000001"/>
    <n v="0.27900000000000003"/>
    <n v="8.0199999999999994E-2"/>
    <n v="0.15"/>
    <n v="0.39500000000000002"/>
    <n v="-7.266"/>
    <n v="144349"/>
    <n v="2021"/>
    <x v="0"/>
  </r>
  <r>
    <n v="374"/>
    <n v="77"/>
    <n v="10"/>
    <d v="2021-03-26T00:00:00"/>
    <x v="2"/>
    <s v="Cupid's Chokehold / Breakfast in America"/>
    <n v="5165035"/>
    <s v="Gym Class Heroes"/>
    <n v="1275345"/>
    <s v="dance pop"/>
    <d v="2005-02-22T00:00:00"/>
    <n v="81"/>
    <x v="0"/>
    <n v="0.72"/>
    <n v="0.74399999999999999"/>
    <n v="0.12"/>
    <n v="0.23699999999999999"/>
    <n v="0.255"/>
    <n v="0.61899999999999999"/>
    <n v="-6.9379999999999997"/>
    <n v="243773"/>
    <n v="2005"/>
    <x v="0"/>
  </r>
  <r>
    <n v="311"/>
    <n v="108"/>
    <n v="6"/>
    <d v="2021-05-14T00:00:00"/>
    <x v="3"/>
    <s v="Tipo Gin - Ao Vivo"/>
    <n v="5155238"/>
    <s v="MC Kevin o Chris"/>
    <n v="2753929"/>
    <s v="funk 150 bpm"/>
    <d v="2021-04-09T00:00:00"/>
    <n v="81"/>
    <x v="0"/>
    <n v="0.75"/>
    <n v="0.66800000000000004"/>
    <n v="6.0999999999999999E-2"/>
    <n v="0.78"/>
    <n v="0.33800000000000002"/>
    <n v="0.78600000000000003"/>
    <n v="-4.49"/>
    <n v="159147"/>
    <n v="2021"/>
    <x v="0"/>
  </r>
  <r>
    <n v="246"/>
    <n v="4"/>
    <n v="10"/>
    <d v="2021-04-30T00:00:00"/>
    <x v="2"/>
    <s v="Your Power"/>
    <n v="5135380"/>
    <s v="Billie Eilish"/>
    <n v="47014200"/>
    <s v="electropop"/>
    <d v="2021-07-30T00:00:00"/>
    <n v="81"/>
    <x v="1"/>
    <n v="0.63200000000000001"/>
    <n v="0.28399999999999997"/>
    <n v="8.0100000000000005E-2"/>
    <n v="0.93200000000000005"/>
    <n v="0.23300000000000001"/>
    <n v="0.20799999999999999"/>
    <n v="-14.025"/>
    <n v="245897"/>
    <n v="2021"/>
    <x v="0"/>
  </r>
  <r>
    <n v="404"/>
    <n v="94"/>
    <n v="5"/>
    <d v="2021-04-02T00:00:00"/>
    <x v="3"/>
    <s v="Run It Up (feat. Offset &amp; Moneybagg Yo)"/>
    <n v="5107084"/>
    <s v="Lil Tjay"/>
    <n v="3553442"/>
    <s v="brooklyn drill"/>
    <d v="2021-04-02T00:00:00"/>
    <n v="81"/>
    <x v="1"/>
    <n v="0.88"/>
    <n v="0.57499999999999996"/>
    <n v="0.16300000000000001"/>
    <n v="0.41499999999999998"/>
    <n v="0.109"/>
    <n v="0.67100000000000004"/>
    <n v="-6.0910000000000002"/>
    <n v="232048"/>
    <n v="2021"/>
    <x v="0"/>
  </r>
  <r>
    <n v="456"/>
    <n v="120"/>
    <n v="15"/>
    <d v="2021-03-05T00:00:00"/>
    <x v="2"/>
    <s v="Hayloft"/>
    <n v="5086382"/>
    <s v="Mother Mother"/>
    <n v="2110870"/>
    <s v="indie pop"/>
    <d v="2008-09-23T00:00:00"/>
    <n v="81"/>
    <x v="0"/>
    <n v="0.52700000000000002"/>
    <n v="0.92200000000000004"/>
    <n v="7.2800000000000004E-2"/>
    <n v="4.7499999999999999E-3"/>
    <n v="0.42199999999999999"/>
    <n v="0.49"/>
    <n v="-2.6659999999999999"/>
    <n v="181680"/>
    <n v="2008"/>
    <x v="0"/>
  </r>
  <r>
    <n v="337"/>
    <n v="4"/>
    <n v="37"/>
    <d v="2020-09-18T00:00:00"/>
    <x v="2"/>
    <s v="Holy (feat. Chance The Rapper)"/>
    <n v="5063015"/>
    <s v="Justin Bieber"/>
    <n v="48504126"/>
    <s v="canadian pop"/>
    <d v="2020-09-18T00:00:00"/>
    <n v="81"/>
    <x v="0"/>
    <n v="0.67300000000000004"/>
    <n v="0.70399999999999996"/>
    <n v="0.36"/>
    <n v="0.19600000000000001"/>
    <n v="8.9800000000000005E-2"/>
    <n v="0.372"/>
    <n v="-8.0559999999999992"/>
    <n v="212093"/>
    <n v="2020"/>
    <x v="0"/>
  </r>
  <r>
    <n v="413"/>
    <n v="6"/>
    <n v="53"/>
    <d v="2020-03-20T00:00:00"/>
    <x v="3"/>
    <s v="In Your Eyes"/>
    <n v="5054319"/>
    <s v="The Weeknd"/>
    <n v="35340069"/>
    <s v="canadian contemporary r&amp;b"/>
    <d v="2020-03-20T00:00:00"/>
    <n v="81"/>
    <x v="0"/>
    <n v="0.66700000000000004"/>
    <n v="0.71899999999999997"/>
    <n v="3.4599999999999999E-2"/>
    <n v="2.8500000000000001E-3"/>
    <n v="7.3599999999999999E-2"/>
    <n v="0.71699999999999997"/>
    <n v="-5.3710000000000004"/>
    <n v="237520"/>
    <n v="2020"/>
    <x v="0"/>
  </r>
  <r>
    <n v="503"/>
    <n v="198"/>
    <n v="1"/>
    <d v="2021-03-12T00:00:00"/>
    <x v="2"/>
    <s v="To the Bone"/>
    <n v="5052557"/>
    <s v="Pamungkas"/>
    <n v="1643882"/>
    <s v="indonesian pop"/>
    <d v="2019-06-14T00:00:00"/>
    <n v="81"/>
    <x v="0"/>
    <n v="0.66800000000000004"/>
    <n v="0.72699999999999998"/>
    <n v="2.7E-2"/>
    <n v="0.51400000000000001"/>
    <n v="0.1"/>
    <n v="0.93899999999999995"/>
    <n v="-6.55"/>
    <n v="344571"/>
    <n v="2019"/>
    <x v="0"/>
  </r>
  <r>
    <n v="248"/>
    <n v="8"/>
    <n v="37"/>
    <d v="2021-02-05T00:00:00"/>
    <x v="4"/>
    <s v="Whoopty"/>
    <n v="5013017"/>
    <s v="CJ"/>
    <n v="180454"/>
    <s v="nyc rap"/>
    <d v="2020-08-20T00:00:00"/>
    <n v="81"/>
    <x v="0"/>
    <n v="0.71899999999999997"/>
    <n v="0.64800000000000002"/>
    <n v="0.125"/>
    <n v="0.2"/>
    <n v="0.127"/>
    <n v="0.66"/>
    <n v="-7.6"/>
    <n v="123263"/>
    <n v="2020"/>
    <x v="0"/>
  </r>
  <r>
    <n v="415"/>
    <n v="193"/>
    <n v="1"/>
    <d v="2021-04-23T00:00:00"/>
    <x v="3"/>
    <s v="Good Without"/>
    <n v="4998044"/>
    <s v="Mimi Webb"/>
    <n v="130801"/>
    <s v="alt z"/>
    <d v="2021-03-26T00:00:00"/>
    <n v="81"/>
    <x v="1"/>
    <n v="0.61599999999999999"/>
    <n v="0.57599999999999996"/>
    <n v="5.3199999999999997E-2"/>
    <n v="7.2300000000000003E-2"/>
    <n v="0.375"/>
    <n v="0.26900000000000002"/>
    <n v="-5.4950000000000001"/>
    <n v="182121"/>
    <n v="2021"/>
    <x v="0"/>
  </r>
  <r>
    <n v="529"/>
    <n v="49"/>
    <n v="22"/>
    <d v="2020-11-13T00:00:00"/>
    <x v="2"/>
    <s v="Sofia"/>
    <n v="4982892"/>
    <s v="Clairo"/>
    <n v="2722638"/>
    <s v="bedroom pop"/>
    <d v="2019-08-02T00:00:00"/>
    <n v="81"/>
    <x v="1"/>
    <n v="0.74399999999999999"/>
    <n v="0.61899999999999999"/>
    <n v="3.9E-2"/>
    <n v="0.59799999999999998"/>
    <n v="0.23100000000000001"/>
    <n v="0.64100000000000001"/>
    <n v="-9.8049999999999997"/>
    <n v="188387"/>
    <n v="2019"/>
    <x v="0"/>
  </r>
  <r>
    <n v="254"/>
    <n v="101"/>
    <n v="4"/>
    <d v="2021-06-11T00:00:00"/>
    <x v="1"/>
    <s v="Eladio Carrion: Bzrp Music Sessions, Vol. 40"/>
    <n v="4965913"/>
    <s v="Bizarrap, Eladio Carrion"/>
    <n v="3126961"/>
    <s v="argentine hip hop"/>
    <d v="2021-06-09T00:00:00"/>
    <n v="81"/>
    <x v="1"/>
    <n v="0.78300000000000003"/>
    <n v="0.52400000000000002"/>
    <n v="5.5399999999999998E-2"/>
    <n v="0.24099999999999999"/>
    <n v="0.27100000000000002"/>
    <n v="0.83899999999999997"/>
    <n v="-6.4550000000000001"/>
    <n v="164896"/>
    <n v="2021"/>
    <x v="0"/>
  </r>
  <r>
    <n v="761"/>
    <n v="105"/>
    <n v="23"/>
    <d v="2020-08-07T00:00:00"/>
    <x v="2"/>
    <s v="Are You Bored Yet? (feat. Clairo)"/>
    <n v="4911995"/>
    <s v="Wallows"/>
    <n v="1963296"/>
    <s v="indie pop"/>
    <d v="2019-03-22T00:00:00"/>
    <n v="81"/>
    <x v="0"/>
    <n v="0.68200000000000005"/>
    <n v="0.68300000000000005"/>
    <n v="2.87E-2"/>
    <n v="0.156"/>
    <n v="0.27300000000000002"/>
    <n v="0.64"/>
    <n v="-6.444"/>
    <n v="178000"/>
    <n v="2019"/>
    <x v="0"/>
  </r>
  <r>
    <n v="552"/>
    <n v="9"/>
    <n v="46"/>
    <d v="2020-06-05T00:00:00"/>
    <x v="3"/>
    <s v="ily (i love you baby) (feat. Emilee)"/>
    <n v="4908929"/>
    <s v="Surf Mesa"/>
    <n v="132855"/>
    <s v="tropical house"/>
    <d v="2019-11-26T00:00:00"/>
    <n v="81"/>
    <x v="0"/>
    <n v="0.67400000000000004"/>
    <n v="0.77400000000000002"/>
    <n v="8.9200000000000002E-2"/>
    <n v="6.8599999999999994E-2"/>
    <n v="0.39300000000000002"/>
    <n v="0.33"/>
    <n v="-7.5670000000000002"/>
    <n v="176547"/>
    <n v="2019"/>
    <x v="0"/>
  </r>
  <r>
    <n v="1549"/>
    <n v="178"/>
    <n v="1"/>
    <d v="2019-12-27T00:00:00"/>
    <x v="1"/>
    <s v="Old Town Road"/>
    <n v="4852004"/>
    <s v="Lil Nas X"/>
    <n v="5488666"/>
    <s v="lgbtq+ hip hop"/>
    <d v="2019-06-21T00:00:00"/>
    <n v="81"/>
    <x v="1"/>
    <n v="0.878"/>
    <n v="0.61899999999999999"/>
    <n v="0.10199999999999999"/>
    <n v="5.33E-2"/>
    <n v="0.113"/>
    <n v="0.63900000000000001"/>
    <n v="-5.56"/>
    <n v="157067"/>
    <n v="2019"/>
    <x v="0"/>
  </r>
  <r>
    <n v="1531"/>
    <n v="179"/>
    <n v="3"/>
    <d v="2020-01-03T00:00:00"/>
    <x v="2"/>
    <s v="2002"/>
    <n v="4831644"/>
    <s v="Anne-Marie"/>
    <n v="8153871"/>
    <s v="dance pop"/>
    <d v="2018-04-27T00:00:00"/>
    <n v="81"/>
    <x v="0"/>
    <n v="0.69699999999999995"/>
    <n v="0.68300000000000005"/>
    <n v="0.11700000000000001"/>
    <n v="3.7199999999999997E-2"/>
    <n v="0.13700000000000001"/>
    <n v="0.60299999999999998"/>
    <n v="-2.8809999999999998"/>
    <n v="186987"/>
    <n v="2018"/>
    <x v="0"/>
  </r>
  <r>
    <n v="829"/>
    <n v="73"/>
    <n v="34"/>
    <d v="2020-01-03T00:00:00"/>
    <x v="1"/>
    <s v="It's You"/>
    <n v="4674658"/>
    <s v="Ali Gatie"/>
    <n v="1758300"/>
    <s v="canadian hip hop"/>
    <d v="2019-11-08T00:00:00"/>
    <n v="81"/>
    <x v="1"/>
    <n v="0.73199999999999998"/>
    <n v="0.46300000000000002"/>
    <n v="2.87E-2"/>
    <n v="0.374"/>
    <n v="0.19400000000000001"/>
    <n v="0.39700000000000002"/>
    <n v="-6.9720000000000004"/>
    <n v="212607"/>
    <n v="2019"/>
    <x v="0"/>
  </r>
  <r>
    <n v="1019"/>
    <n v="44"/>
    <n v="30"/>
    <d v="2019-12-27T00:00:00"/>
    <x v="1"/>
    <s v="Old Town Road - Remix"/>
    <n v="4643817"/>
    <s v="Lil Nas X, Billy Ray Cyrus"/>
    <n v="5488666"/>
    <s v="lgbtq+ hip hop"/>
    <d v="2019-06-21T00:00:00"/>
    <n v="81"/>
    <x v="1"/>
    <n v="0.878"/>
    <n v="0.61899999999999999"/>
    <n v="0.10199999999999999"/>
    <n v="5.33E-2"/>
    <n v="0.113"/>
    <n v="0.63900000000000001"/>
    <n v="-5.56"/>
    <n v="157067"/>
    <n v="2019"/>
    <x v="0"/>
  </r>
  <r>
    <n v="1004"/>
    <n v="195"/>
    <n v="1"/>
    <d v="2020-07-24T00:00:00"/>
    <x v="3"/>
    <s v="Story of My Life"/>
    <n v="4628772"/>
    <s v="One Direction"/>
    <n v="22536304"/>
    <s v="boy band"/>
    <d v="2013-11-25T00:00:00"/>
    <n v="81"/>
    <x v="0"/>
    <n v="0.6"/>
    <n v="0.66300000000000003"/>
    <n v="4.7699999999999999E-2"/>
    <n v="0.22500000000000001"/>
    <n v="0.11899999999999999"/>
    <n v="0.28599999999999998"/>
    <n v="-5.8019999999999996"/>
    <n v="245493"/>
    <n v="2013"/>
    <x v="0"/>
  </r>
  <r>
    <n v="1554"/>
    <n v="197"/>
    <n v="1"/>
    <d v="2019-12-27T00:00:00"/>
    <x v="2"/>
    <s v="Havana (feat. Young Thug)"/>
    <n v="4620876"/>
    <s v="Camila Cabello"/>
    <n v="22698747"/>
    <s v="dance pop"/>
    <d v="2018-01-12T00:00:00"/>
    <n v="81"/>
    <x v="1"/>
    <n v="0.76500000000000001"/>
    <n v="0.52300000000000002"/>
    <n v="0.03"/>
    <n v="0.184"/>
    <n v="0.13200000000000001"/>
    <n v="0.39400000000000002"/>
    <n v="-4.3330000000000002"/>
    <n v="217307"/>
    <n v="2018"/>
    <x v="0"/>
  </r>
  <r>
    <n v="909"/>
    <n v="21"/>
    <n v="29"/>
    <d v="2020-04-17T00:00:00"/>
    <x v="2"/>
    <s v="Boss Bitch"/>
    <n v="4620838"/>
    <s v="Doja Cat"/>
    <n v="8671649"/>
    <s v="dance pop"/>
    <d v="2020-01-23T00:00:00"/>
    <n v="81"/>
    <x v="0"/>
    <n v="0.70699999999999996"/>
    <n v="0.95499999999999996"/>
    <n v="0.222"/>
    <n v="0.127"/>
    <n v="0.20200000000000001"/>
    <n v="0.57499999999999996"/>
    <n v="-4.593"/>
    <n v="134240"/>
    <n v="2020"/>
    <x v="0"/>
  </r>
  <r>
    <n v="842"/>
    <n v="77"/>
    <n v="34"/>
    <d v="2020-01-03T00:00:00"/>
    <x v="3"/>
    <s v="July"/>
    <n v="4598766"/>
    <s v="Noah Cyrus"/>
    <n v="891555"/>
    <s v="alt z"/>
    <d v="2020-05-15T00:00:00"/>
    <n v="81"/>
    <x v="1"/>
    <n v="0.70799999999999996"/>
    <n v="0.186"/>
    <n v="4.2000000000000003E-2"/>
    <n v="0.86799999999999999"/>
    <n v="7.7899999999999997E-2"/>
    <n v="0.32200000000000001"/>
    <n v="-8.9529999999999994"/>
    <n v="156106"/>
    <n v="2020"/>
    <x v="0"/>
  </r>
  <r>
    <n v="1542"/>
    <n v="145"/>
    <n v="2"/>
    <d v="2019-12-27T00:00:00"/>
    <x v="2"/>
    <s v="One Kiss (with Dua Lipa)"/>
    <n v="4594157"/>
    <s v="Calvin Harris"/>
    <n v="21946934"/>
    <s v="dance pop"/>
    <d v="2018-04-06T00:00:00"/>
    <n v="81"/>
    <x v="0"/>
    <n v="0.79100000000000004"/>
    <n v="0.86199999999999999"/>
    <n v="0.11"/>
    <n v="3.6999999999999998E-2"/>
    <n v="8.14E-2"/>
    <n v="0.59199999999999997"/>
    <n v="-3.24"/>
    <n v="214847"/>
    <n v="2018"/>
    <x v="0"/>
  </r>
  <r>
    <n v="1071"/>
    <n v="78"/>
    <n v="27"/>
    <d v="2020-01-03T00:00:00"/>
    <x v="3"/>
    <s v="Sucker"/>
    <n v="4543863"/>
    <s v="Jonas Brothers"/>
    <n v="5436999"/>
    <s v="boy band"/>
    <d v="2019-06-07T00:00:00"/>
    <n v="81"/>
    <x v="0"/>
    <n v="0.84199999999999997"/>
    <n v="0.73399999999999999"/>
    <n v="5.8799999999999998E-2"/>
    <n v="4.2700000000000002E-2"/>
    <n v="0.106"/>
    <n v="0.95199999999999996"/>
    <n v="-5.0650000000000004"/>
    <n v="181027"/>
    <n v="2019"/>
    <x v="0"/>
  </r>
  <r>
    <n v="934"/>
    <n v="31"/>
    <n v="34"/>
    <d v="2020-01-03T00:00:00"/>
    <x v="4"/>
    <s v="Bandit (with YoungBoy Never Broke Again)"/>
    <n v="4514763"/>
    <s v="Juice WRLD"/>
    <n v="19102888"/>
    <s v="chicago rap"/>
    <d v="2019-10-04T00:00:00"/>
    <n v="81"/>
    <x v="1"/>
    <n v="0.47399999999999998"/>
    <n v="0.63100000000000001"/>
    <n v="0.34300000000000003"/>
    <n v="6.8699999999999997E-2"/>
    <n v="0.13200000000000001"/>
    <n v="0.42499999999999999"/>
    <n v="-5.8840000000000003"/>
    <n v="189323"/>
    <n v="2019"/>
    <x v="0"/>
  </r>
  <r>
    <n v="899"/>
    <n v="91"/>
    <n v="33"/>
    <d v="2019-12-27T00:00:00"/>
    <x v="2"/>
    <s v="Sweet but Psycho"/>
    <n v="4502853"/>
    <s v="Ava Max"/>
    <n v="3916979"/>
    <s v="dance pop"/>
    <d v="2020-09-18T00:00:00"/>
    <n v="81"/>
    <x v="0"/>
    <n v="0.72"/>
    <n v="0.70599999999999996"/>
    <n v="4.7300000000000002E-2"/>
    <n v="6.8400000000000002E-2"/>
    <n v="0.16600000000000001"/>
    <n v="0.62"/>
    <n v="-4.7190000000000003"/>
    <n v="187436"/>
    <n v="2020"/>
    <x v="0"/>
  </r>
  <r>
    <n v="1060"/>
    <n v="122"/>
    <n v="27"/>
    <d v="2019-12-27T00:00:00"/>
    <x v="4"/>
    <s v="Better Now"/>
    <n v="4431571"/>
    <s v="Post Malone"/>
    <n v="33663701"/>
    <s v="dfw rap"/>
    <d v="2018-04-27T00:00:00"/>
    <n v="81"/>
    <x v="1"/>
    <n v="0.68"/>
    <n v="0.57799999999999996"/>
    <n v="0.04"/>
    <n v="0.33100000000000002"/>
    <n v="0.13500000000000001"/>
    <n v="0.34100000000000003"/>
    <n v="-5.8040000000000003"/>
    <n v="231267"/>
    <n v="2018"/>
    <x v="0"/>
  </r>
  <r>
    <n v="1073"/>
    <n v="116"/>
    <n v="21"/>
    <d v="2019-12-27T00:00:00"/>
    <x v="0"/>
    <s v="High Hopes"/>
    <n v="4426791"/>
    <s v="Panic! At The Disco"/>
    <n v="10850424"/>
    <s v="modern rock"/>
    <d v="2018-06-22T00:00:00"/>
    <n v="81"/>
    <x v="0"/>
    <n v="0.57899999999999996"/>
    <n v="0.90400000000000003"/>
    <n v="6.1800000000000001E-2"/>
    <n v="0.193"/>
    <n v="6.4000000000000001E-2"/>
    <n v="0.68100000000000005"/>
    <n v="-2.7290000000000001"/>
    <n v="190947"/>
    <n v="2018"/>
    <x v="0"/>
  </r>
  <r>
    <n v="1061"/>
    <n v="185"/>
    <n v="2"/>
    <d v="2020-06-19T00:00:00"/>
    <x v="0"/>
    <s v="Don't Stop Believin'"/>
    <n v="4394985"/>
    <s v="Journey"/>
    <n v="3731820"/>
    <s v="album rock"/>
    <d v="1981-01-01T00:00:00"/>
    <n v="81"/>
    <x v="0"/>
    <n v="0.5"/>
    <n v="0.748"/>
    <n v="3.6299999999999999E-2"/>
    <n v="0.127"/>
    <n v="0.44700000000000001"/>
    <n v="0.51400000000000001"/>
    <n v="-9.0719999999999992"/>
    <n v="250987"/>
    <n v="1981"/>
    <x v="0"/>
  </r>
  <r>
    <n v="1123"/>
    <n v="50"/>
    <n v="23"/>
    <d v="2019-12-27T00:00:00"/>
    <x v="3"/>
    <s v="Callaita"/>
    <n v="4350496"/>
    <s v="Bad Bunny, Tainy"/>
    <n v="36177712"/>
    <s v="latin"/>
    <d v="2019-05-31T00:00:00"/>
    <n v="81"/>
    <x v="1"/>
    <n v="0.61"/>
    <n v="0.624"/>
    <n v="0.309"/>
    <n v="0.6"/>
    <n v="0.24299999999999999"/>
    <n v="0.24399999999999999"/>
    <n v="-4.7729999999999997"/>
    <n v="250534"/>
    <n v="2019"/>
    <x v="0"/>
  </r>
  <r>
    <n v="1082"/>
    <n v="14"/>
    <n v="27"/>
    <d v="2020-01-10T00:00:00"/>
    <x v="2"/>
    <s v="Lose You To Love Me"/>
    <n v="4322088"/>
    <s v="Selena Gomez"/>
    <n v="28931149"/>
    <s v="dance pop"/>
    <d v="2020-01-10T00:00:00"/>
    <n v="81"/>
    <x v="1"/>
    <n v="0.48799999999999999"/>
    <n v="0.34300000000000003"/>
    <n v="4.36E-2"/>
    <n v="0.55600000000000005"/>
    <n v="0.21"/>
    <n v="9.7799999999999998E-2"/>
    <n v="-8.9849999999999994"/>
    <n v="206459"/>
    <n v="2020"/>
    <x v="0"/>
  </r>
  <r>
    <n v="1126"/>
    <n v="189"/>
    <n v="5"/>
    <d v="2020-04-10T00:00:00"/>
    <x v="4"/>
    <s v="changes"/>
    <n v="4299334"/>
    <s v="XXXTENTACION"/>
    <n v="29566516"/>
    <s v="emo rap"/>
    <d v="2018-03-16T00:00:00"/>
    <n v="81"/>
    <x v="1"/>
    <n v="0.66900000000000004"/>
    <n v="0.308"/>
    <n v="2.9000000000000001E-2"/>
    <n v="0.88300000000000001"/>
    <n v="9.8400000000000001E-2"/>
    <n v="0.52"/>
    <n v="-10.068"/>
    <n v="121887"/>
    <n v="2018"/>
    <x v="0"/>
  </r>
  <r>
    <n v="89"/>
    <n v="89"/>
    <n v="1"/>
    <d v="2021-07-23T00:00:00"/>
    <x v="1"/>
    <s v="Better Believe"/>
    <n v="7365053"/>
    <s v="Belly, The Weeknd, Young Thug"/>
    <n v="203972"/>
    <s v="canadian hip hop"/>
    <d v="2021-07-22T00:00:00"/>
    <n v="80"/>
    <x v="1"/>
    <n v="0.79700000000000004"/>
    <n v="0.57299999999999995"/>
    <n v="0.31900000000000001"/>
    <n v="0.159"/>
    <n v="0.14399999999999999"/>
    <n v="0.44500000000000001"/>
    <n v="-7.85"/>
    <n v="206629"/>
    <n v="2021"/>
    <x v="0"/>
  </r>
  <r>
    <n v="718"/>
    <n v="15"/>
    <n v="24"/>
    <d v="2020-07-17T00:00:00"/>
    <x v="1"/>
    <s v="WHATS POPPIN (feat. DaBaby, Tory Lanez &amp; Lil Wayne) - Remix"/>
    <n v="6567755"/>
    <s v="Tory Lanez, Jack Harlow"/>
    <n v="3828418"/>
    <s v="canadian hip hop"/>
    <d v="2020-06-24T00:00:00"/>
    <n v="80"/>
    <x v="0"/>
    <n v="0.90400000000000003"/>
    <n v="0.72299999999999998"/>
    <n v="0.26"/>
    <n v="6.3100000000000003E-2"/>
    <n v="0.185"/>
    <n v="0.83499999999999996"/>
    <n v="-5.2240000000000002"/>
    <n v="227478"/>
    <n v="2020"/>
    <x v="0"/>
  </r>
  <r>
    <n v="265"/>
    <n v="121"/>
    <n v="1"/>
    <d v="2021-06-25T00:00:00"/>
    <x v="2"/>
    <s v="Get Into It (Yuh)"/>
    <n v="6503281"/>
    <s v="Doja Cat"/>
    <n v="8640063"/>
    <s v="dance pop"/>
    <d v="2021-06-25T00:00:00"/>
    <n v="80"/>
    <x v="0"/>
    <n v="0.91200000000000003"/>
    <n v="0.65500000000000003"/>
    <n v="0.16200000000000001"/>
    <n v="0.315"/>
    <n v="8.9399999999999993E-2"/>
    <n v="0.79300000000000004"/>
    <n v="-6.0289999999999999"/>
    <n v="138293"/>
    <n v="2021"/>
    <x v="0"/>
  </r>
  <r>
    <n v="395"/>
    <n v="7"/>
    <n v="40"/>
    <d v="2020-07-17T00:00:00"/>
    <x v="1"/>
    <s v="POPSTAR (feat. Drake)"/>
    <n v="6127103"/>
    <s v="DJ Khaled"/>
    <n v="6278835"/>
    <s v="hip hop"/>
    <d v="2020-07-17T00:00:00"/>
    <n v="80"/>
    <x v="1"/>
    <n v="0.8"/>
    <n v="0.56000000000000005"/>
    <n v="0.26100000000000001"/>
    <n v="5.7000000000000002E-2"/>
    <n v="0.13400000000000001"/>
    <n v="0.45"/>
    <n v="-4.8179999999999996"/>
    <n v="200221"/>
    <n v="2020"/>
    <x v="0"/>
  </r>
  <r>
    <n v="239"/>
    <n v="55"/>
    <n v="2"/>
    <d v="2021-06-25T00:00:00"/>
    <x v="2"/>
    <s v="I Don't Do Drugs (feat. Ariana Grande)"/>
    <n v="5912293"/>
    <s v="Doja Cat"/>
    <n v="8640063"/>
    <s v="dance pop"/>
    <d v="2021-06-25T00:00:00"/>
    <n v="80"/>
    <x v="1"/>
    <n v="0.68300000000000005"/>
    <n v="0.61499999999999999"/>
    <n v="9.6600000000000005E-2"/>
    <n v="0.222"/>
    <n v="0.154"/>
    <n v="0.45"/>
    <n v="-5.7370000000000001"/>
    <n v="188893"/>
    <n v="2021"/>
    <x v="0"/>
  </r>
  <r>
    <n v="137"/>
    <n v="110"/>
    <n v="13"/>
    <d v="2021-07-02T00:00:00"/>
    <x v="0"/>
    <s v="Little Bit of Love"/>
    <n v="5848466"/>
    <s v="Tom Grennan"/>
    <n v="261225"/>
    <s v="modern rock"/>
    <d v="2021-01-08T00:00:00"/>
    <n v="80"/>
    <x v="0"/>
    <n v="0.68899999999999995"/>
    <n v="0.70599999999999996"/>
    <n v="3.1199999999999999E-2"/>
    <n v="8.3299999999999999E-2"/>
    <n v="0.105"/>
    <n v="0.623"/>
    <n v="-4.4800000000000004"/>
    <n v="226268"/>
    <n v="2021"/>
    <x v="0"/>
  </r>
  <r>
    <n v="277"/>
    <n v="146"/>
    <n v="1"/>
    <d v="2021-06-18T00:00:00"/>
    <x v="3"/>
    <s v="working"/>
    <n v="5666770"/>
    <s v="Tate McRae, Khalid"/>
    <n v="1647262"/>
    <s v="alt z"/>
    <d v="2021-06-17T00:00:00"/>
    <n v="80"/>
    <x v="1"/>
    <n v="0.78300000000000003"/>
    <n v="0.435"/>
    <n v="5.8799999999999998E-2"/>
    <n v="0.28199999999999997"/>
    <n v="8.3299999999999999E-2"/>
    <n v="0.51200000000000001"/>
    <n v="-7.78"/>
    <n v="210220"/>
    <n v="2021"/>
    <x v="0"/>
  </r>
  <r>
    <n v="469"/>
    <n v="3"/>
    <n v="66"/>
    <d v="2020-01-17T00:00:00"/>
    <x v="3"/>
    <s v="Tusa"/>
    <n v="5510113"/>
    <s v="KAROL G, Nicki Minaj"/>
    <n v="17792779"/>
    <s v="latin"/>
    <d v="2019-11-07T00:00:00"/>
    <n v="80"/>
    <x v="0"/>
    <n v="0.80300000000000005"/>
    <n v="0.71499999999999997"/>
    <n v="0.29799999999999999"/>
    <n v="0.29499999999999998"/>
    <n v="5.74E-2"/>
    <n v="0.57399999999999995"/>
    <n v="-3.28"/>
    <n v="200960"/>
    <n v="2019"/>
    <x v="0"/>
  </r>
  <r>
    <n v="558"/>
    <n v="157"/>
    <n v="1"/>
    <d v="2021-02-05T00:00:00"/>
    <x v="3"/>
    <s v="Can't Feel My Face"/>
    <n v="5479407"/>
    <s v="The Weeknd"/>
    <n v="35340069"/>
    <s v="canadian contemporary r&amp;b"/>
    <d v="2015-08-28T00:00:00"/>
    <n v="80"/>
    <x v="0"/>
    <n v="0.70499999999999996"/>
    <n v="0.76900000000000002"/>
    <n v="4.2500000000000003E-2"/>
    <n v="0.113"/>
    <n v="0.105"/>
    <n v="0.58299999999999996"/>
    <n v="-5.5259999999999998"/>
    <n v="213520"/>
    <n v="2015"/>
    <x v="0"/>
  </r>
  <r>
    <n v="241"/>
    <n v="40"/>
    <n v="2"/>
    <d v="2021-06-25T00:00:00"/>
    <x v="1"/>
    <s v="JUGGERNAUT (feat. Lil Uzi Vert &amp; Pharrell Williams)"/>
    <n v="5392334"/>
    <s v="Tyler, The Creator"/>
    <n v="6777818"/>
    <s v="hip hop"/>
    <d v="2021-06-25T00:00:00"/>
    <n v="80"/>
    <x v="1"/>
    <n v="0.82699999999999996"/>
    <n v="0.57099999999999995"/>
    <n v="0.36599999999999999"/>
    <n v="1.95E-2"/>
    <n v="0.16600000000000001"/>
    <n v="0.62"/>
    <n v="-7.9489999999999998"/>
    <n v="146419"/>
    <n v="2021"/>
    <x v="0"/>
  </r>
  <r>
    <n v="329"/>
    <n v="105"/>
    <n v="7"/>
    <d v="2021-04-16T00:00:00"/>
    <x v="3"/>
    <s v="Liberdade (Quando o Grave Bate Forte)"/>
    <n v="5378350"/>
    <s v="Alok, Mc Don Juan, Dj GBR"/>
    <n v="10334543"/>
    <s v="electro house"/>
    <d v="2020-12-18T00:00:00"/>
    <n v="80"/>
    <x v="0"/>
    <n v="0.81"/>
    <n v="0.78900000000000003"/>
    <n v="4.9799999999999997E-2"/>
    <n v="2.5399999999999999E-2"/>
    <n v="0.104"/>
    <n v="0.432"/>
    <n v="-4.032"/>
    <n v="150462"/>
    <n v="2020"/>
    <x v="0"/>
  </r>
  <r>
    <n v="401"/>
    <n v="63"/>
    <n v="4"/>
    <d v="2021-04-09T00:00:00"/>
    <x v="3"/>
    <s v="Otra Noche Sin Ti"/>
    <n v="5377794"/>
    <s v="J Balvin, Khalid"/>
    <n v="29051363"/>
    <s v="latin"/>
    <d v="2021-04-09T00:00:00"/>
    <n v="80"/>
    <x v="1"/>
    <n v="0.503"/>
    <n v="0.54800000000000004"/>
    <n v="0.16400000000000001"/>
    <n v="7.51E-2"/>
    <n v="0.14499999999999999"/>
    <n v="0.441"/>
    <n v="-7.5640000000000001"/>
    <n v="228920"/>
    <n v="2021"/>
    <x v="0"/>
  </r>
  <r>
    <n v="885"/>
    <n v="148"/>
    <n v="1"/>
    <d v="2020-09-18T00:00:00"/>
    <x v="3"/>
    <s v="September"/>
    <n v="5329256"/>
    <s v="Earth, Wind &amp; Fire"/>
    <n v="3008916"/>
    <s v="disco"/>
    <d v="1978-11-23T00:00:00"/>
    <n v="80"/>
    <x v="0"/>
    <n v="0.69699999999999995"/>
    <n v="0.83199999999999996"/>
    <n v="2.98E-2"/>
    <n v="0.16800000000000001"/>
    <n v="0.26900000000000002"/>
    <n v="0.97899999999999998"/>
    <n v="-7.2640000000000002"/>
    <n v="215093"/>
    <n v="1978"/>
    <x v="0"/>
  </r>
  <r>
    <n v="773"/>
    <n v="52"/>
    <n v="4"/>
    <d v="2020-10-23T00:00:00"/>
    <x v="1"/>
    <s v="Spicy (feat. Post Malone)"/>
    <n v="5303146"/>
    <s v="Ty Dolla $ign"/>
    <n v="3866304"/>
    <s v="hip hop"/>
    <d v="2020-10-23T00:00:00"/>
    <n v="80"/>
    <x v="1"/>
    <n v="0.78200000000000003"/>
    <n v="0.51"/>
    <n v="4.19E-2"/>
    <n v="0.14299999999999999"/>
    <n v="0.115"/>
    <n v="0.11799999999999999"/>
    <n v="-5.7240000000000002"/>
    <n v="143375"/>
    <n v="2020"/>
    <x v="0"/>
  </r>
  <r>
    <n v="380"/>
    <n v="115"/>
    <n v="9"/>
    <d v="2021-03-26T00:00:00"/>
    <x v="1"/>
    <s v="L-Gante: Bzrp Music Sessions, Vol.38"/>
    <n v="5290877"/>
    <s v="Bizarrap, L-Gante"/>
    <n v="3126961"/>
    <s v="argentine hip hop"/>
    <d v="2021-03-10T00:00:00"/>
    <n v="80"/>
    <x v="0"/>
    <n v="0.55300000000000005"/>
    <n v="0.81899999999999995"/>
    <n v="0.25700000000000001"/>
    <n v="0.36799999999999999"/>
    <n v="9.1499999999999998E-2"/>
    <n v="0.76100000000000001"/>
    <n v="-3.0830000000000002"/>
    <n v="192348"/>
    <n v="2021"/>
    <x v="0"/>
  </r>
  <r>
    <n v="1351"/>
    <n v="190"/>
    <n v="1"/>
    <d v="2020-03-06T00:00:00"/>
    <x v="4"/>
    <s v="I Fall Apart"/>
    <n v="5251918"/>
    <s v="Post Malone"/>
    <n v="33663701"/>
    <s v="dfw rap"/>
    <d v="2016-12-09T00:00:00"/>
    <n v="80"/>
    <x v="1"/>
    <n v="0.55600000000000005"/>
    <n v="0.53800000000000003"/>
    <n v="3.8199999999999998E-2"/>
    <n v="6.8900000000000003E-2"/>
    <n v="0.19600000000000001"/>
    <n v="0.29099999999999998"/>
    <n v="-5.4080000000000004"/>
    <n v="223347"/>
    <n v="2016"/>
    <x v="0"/>
  </r>
  <r>
    <n v="560"/>
    <n v="168"/>
    <n v="3"/>
    <d v="2020-03-20T00:00:00"/>
    <x v="3"/>
    <s v="Call Out My Name"/>
    <n v="5233359"/>
    <s v="The Weeknd"/>
    <n v="35340069"/>
    <s v="canadian contemporary r&amp;b"/>
    <d v="2018-03-30T00:00:00"/>
    <n v="80"/>
    <x v="1"/>
    <n v="0.46100000000000002"/>
    <n v="0.59299999999999997"/>
    <n v="3.56E-2"/>
    <n v="0.17"/>
    <n v="0.307"/>
    <n v="0.17499999999999999"/>
    <n v="-4.9539999999999997"/>
    <n v="228373"/>
    <n v="2018"/>
    <x v="0"/>
  </r>
  <r>
    <n v="333"/>
    <n v="82"/>
    <n v="10"/>
    <d v="2021-04-16T00:00:00"/>
    <x v="3"/>
    <s v="Disco Arranhado - Funk Remix"/>
    <n v="5207186"/>
    <s v="Malu, DJ Lucas Beat"/>
    <n v="74814"/>
    <m/>
    <d v="2021-01-22T00:00:00"/>
    <n v="80"/>
    <x v="0"/>
    <n v="0.747"/>
    <n v="0.72499999999999998"/>
    <n v="0.36299999999999999"/>
    <n v="0.55100000000000005"/>
    <n v="6.2600000000000003E-2"/>
    <n v="0.90400000000000003"/>
    <n v="-2.5640000000000001"/>
    <n v="125558"/>
    <n v="2021"/>
    <x v="0"/>
  </r>
  <r>
    <n v="444"/>
    <n v="15"/>
    <n v="32"/>
    <d v="2020-10-16T00:00:00"/>
    <x v="3"/>
    <s v="Relación - Remix"/>
    <n v="5206614"/>
    <s v="Sech, Daddy Yankee, J Balvin, ROSALÍA, Farruko"/>
    <n v="8758283"/>
    <s v="latin"/>
    <d v="2020-09-04T00:00:00"/>
    <n v="80"/>
    <x v="0"/>
    <n v="0.79300000000000004"/>
    <n v="0.77100000000000002"/>
    <n v="9.5899999999999999E-2"/>
    <n v="3.3700000000000001E-2"/>
    <n v="0.28399999999999997"/>
    <n v="0.83499999999999996"/>
    <n v="-3.4169999999999998"/>
    <n v="247308"/>
    <n v="2020"/>
    <x v="0"/>
  </r>
  <r>
    <n v="373"/>
    <n v="5"/>
    <n v="31"/>
    <d v="2020-11-06T00:00:00"/>
    <x v="2"/>
    <s v="Lonely (with benny blanco)"/>
    <n v="5191697"/>
    <s v="Justin Bieber"/>
    <n v="48504126"/>
    <s v="canadian pop"/>
    <d v="2020-10-16T00:00:00"/>
    <n v="80"/>
    <x v="1"/>
    <n v="0.63100000000000001"/>
    <n v="0.23899999999999999"/>
    <n v="3.9800000000000002E-2"/>
    <n v="0.86399999999999999"/>
    <n v="0.11600000000000001"/>
    <n v="9.2700000000000005E-2"/>
    <n v="-7.0709999999999997"/>
    <n v="149297"/>
    <n v="2020"/>
    <x v="0"/>
  </r>
  <r>
    <n v="282"/>
    <n v="66"/>
    <n v="2"/>
    <d v="2021-06-11T00:00:00"/>
    <x v="4"/>
    <s v="No Return (with The Kid LAROI &amp; Lil Durk)"/>
    <n v="5189427"/>
    <s v="Polo G"/>
    <n v="4840346"/>
    <s v="chicago rap"/>
    <d v="2021-06-11T00:00:00"/>
    <n v="80"/>
    <x v="0"/>
    <n v="0.47899999999999998"/>
    <n v="0.64500000000000002"/>
    <n v="0.30199999999999999"/>
    <n v="0.13500000000000001"/>
    <n v="8.2500000000000004E-2"/>
    <n v="0.38100000000000001"/>
    <n v="-7.3360000000000003"/>
    <n v="168729"/>
    <n v="2021"/>
    <x v="0"/>
  </r>
  <r>
    <n v="230"/>
    <n v="184"/>
    <n v="1"/>
    <d v="2021-07-09T00:00:00"/>
    <x v="3"/>
    <s v="WHOLE LOTTA MONEY (feat. Nicki Minaj) - Remix"/>
    <n v="5186354"/>
    <s v="BIA"/>
    <n v="151870"/>
    <s v="escape room"/>
    <d v="2021-07-09T00:00:00"/>
    <n v="80"/>
    <x v="1"/>
    <n v="0.89300000000000002"/>
    <n v="0.46300000000000002"/>
    <n v="0.36"/>
    <n v="0.19900000000000001"/>
    <n v="0.318"/>
    <n v="0.59099999999999997"/>
    <n v="-5.3010000000000002"/>
    <n v="229601"/>
    <n v="2021"/>
    <x v="0"/>
  </r>
  <r>
    <n v="231"/>
    <n v="187"/>
    <n v="1"/>
    <d v="2021-07-09T00:00:00"/>
    <x v="5"/>
    <s v="Memory"/>
    <n v="5173178"/>
    <s v="Kane Brown, blackbear"/>
    <n v="3507622"/>
    <s v="contemporary country"/>
    <d v="2021-07-09T00:00:00"/>
    <n v="80"/>
    <x v="0"/>
    <n v="0.434"/>
    <n v="0.88900000000000001"/>
    <n v="5.0900000000000001E-2"/>
    <n v="0.39500000000000002"/>
    <n v="0.27300000000000002"/>
    <n v="0.84499999999999997"/>
    <n v="-5.6840000000000002"/>
    <n v="153338"/>
    <n v="2021"/>
    <x v="0"/>
  </r>
  <r>
    <n v="424"/>
    <n v="186"/>
    <n v="1"/>
    <d v="2021-04-16T00:00:00"/>
    <x v="3"/>
    <s v="Quero Ver é Me Esquecer (feat. Jorge) - Ao Vivo"/>
    <n v="5159208"/>
    <s v="Os Barões Da Pisadinha"/>
    <n v="4271775"/>
    <s v="forro"/>
    <d v="2021-02-19T00:00:00"/>
    <n v="80"/>
    <x v="0"/>
    <n v="0.59299999999999997"/>
    <n v="0.93200000000000005"/>
    <n v="5.2600000000000001E-2"/>
    <n v="0.30199999999999999"/>
    <n v="0.13300000000000001"/>
    <n v="0.91300000000000003"/>
    <n v="-2.3239999999999998"/>
    <n v="147876"/>
    <n v="2021"/>
    <x v="0"/>
  </r>
  <r>
    <n v="887"/>
    <n v="150"/>
    <n v="13"/>
    <d v="2020-09-11T00:00:00"/>
    <x v="4"/>
    <s v="21"/>
    <n v="5151406"/>
    <s v="Polo G"/>
    <n v="4849204"/>
    <s v="chicago rap"/>
    <d v="2020-05-15T00:00:00"/>
    <n v="80"/>
    <x v="1"/>
    <n v="0.78300000000000003"/>
    <n v="0.47899999999999998"/>
    <n v="0.54100000000000004"/>
    <n v="0.14899999999999999"/>
    <n v="0.10100000000000001"/>
    <n v="0.53300000000000003"/>
    <n v="-10.646000000000001"/>
    <n v="163798"/>
    <n v="2020"/>
    <x v="0"/>
  </r>
  <r>
    <n v="313"/>
    <n v="54"/>
    <n v="4"/>
    <d v="2021-05-21T00:00:00"/>
    <x v="1"/>
    <s v="SUN GOES DOWN"/>
    <n v="5125477"/>
    <s v="Lil Nas X"/>
    <n v="5473565"/>
    <s v="lgbtq+ hip hop"/>
    <d v="2021-05-21T00:00:00"/>
    <n v="80"/>
    <x v="0"/>
    <n v="0.55100000000000005"/>
    <n v="0.63600000000000001"/>
    <n v="5.3999999999999999E-2"/>
    <n v="8.3699999999999997E-2"/>
    <n v="0.112"/>
    <n v="0.14799999999999999"/>
    <n v="-6.798"/>
    <n v="168276"/>
    <n v="2021"/>
    <x v="0"/>
  </r>
  <r>
    <n v="488"/>
    <n v="182"/>
    <n v="3"/>
    <d v="2021-03-12T00:00:00"/>
    <x v="3"/>
    <s v="Devil Eyes"/>
    <n v="5098581"/>
    <s v="Hippie Sabotage"/>
    <n v="713486"/>
    <s v="edm"/>
    <d v="2016-02-05T00:00:00"/>
    <n v="80"/>
    <x v="1"/>
    <n v="0.39100000000000001"/>
    <n v="0.39600000000000002"/>
    <n v="0.189"/>
    <n v="0.70199999999999996"/>
    <n v="0.315"/>
    <n v="0.19900000000000001"/>
    <n v="-8.6210000000000004"/>
    <n v="131272"/>
    <n v="2016"/>
    <x v="0"/>
  </r>
  <r>
    <n v="1014"/>
    <n v="56"/>
    <n v="30"/>
    <d v="2019-12-27T00:00:00"/>
    <x v="4"/>
    <s v="Ransom"/>
    <n v="5097394"/>
    <s v="Lil Tecca"/>
    <n v="4022792"/>
    <s v="melodic rap"/>
    <d v="2019-08-30T00:00:00"/>
    <n v="80"/>
    <x v="0"/>
    <n v="0.745"/>
    <n v="0.64200000000000002"/>
    <n v="0.28699999999999998"/>
    <n v="2.0400000000000001E-2"/>
    <n v="6.5799999999999997E-2"/>
    <n v="0.22600000000000001"/>
    <n v="-6.2569999999999997"/>
    <n v="131240"/>
    <n v="2019"/>
    <x v="0"/>
  </r>
  <r>
    <n v="387"/>
    <n v="82"/>
    <n v="12"/>
    <d v="2021-03-12T00:00:00"/>
    <x v="3"/>
    <s v="Tapão Na Raba"/>
    <n v="5088848"/>
    <s v="Raí Saia Rodada"/>
    <n v="1260752"/>
    <s v="forro"/>
    <d v="2021-01-22T00:00:00"/>
    <n v="80"/>
    <x v="0"/>
    <n v="0.80800000000000005"/>
    <n v="0.79600000000000004"/>
    <n v="3.0499999999999999E-2"/>
    <n v="0.46200000000000002"/>
    <n v="0.155"/>
    <n v="0.79900000000000004"/>
    <n v="-3.169"/>
    <n v="175047"/>
    <n v="2021"/>
    <x v="0"/>
  </r>
  <r>
    <n v="500"/>
    <n v="109"/>
    <n v="6"/>
    <d v="2021-02-05T00:00:00"/>
    <x v="3"/>
    <s v="I Feel It Coming"/>
    <n v="5079857"/>
    <s v="The Weeknd, Daft Punk"/>
    <n v="35340069"/>
    <s v="canadian contemporary r&amp;b"/>
    <d v="2016-11-25T00:00:00"/>
    <n v="80"/>
    <x v="0"/>
    <n v="0.77300000000000002"/>
    <n v="0.81899999999999995"/>
    <n v="0.11799999999999999"/>
    <n v="0.42799999999999999"/>
    <n v="6.7900000000000002E-2"/>
    <n v="0.58499999999999996"/>
    <n v="-5.9459999999999997"/>
    <n v="269187"/>
    <n v="2016"/>
    <x v="0"/>
  </r>
  <r>
    <n v="288"/>
    <n v="133"/>
    <n v="20"/>
    <d v="2021-04-30T00:00:00"/>
    <x v="2"/>
    <s v="Just the Way You Are"/>
    <n v="5043647"/>
    <s v="Bruno Mars"/>
    <n v="32574754"/>
    <s v="dance pop"/>
    <d v="2010-10-05T00:00:00"/>
    <n v="80"/>
    <x v="0"/>
    <n v="0.63700000000000001"/>
    <n v="0.84299999999999997"/>
    <n v="4.3200000000000002E-2"/>
    <n v="1.5100000000000001E-2"/>
    <n v="8.7599999999999997E-2"/>
    <n v="0.434"/>
    <n v="-5.4130000000000003"/>
    <n v="220733"/>
    <n v="2010"/>
    <x v="0"/>
  </r>
  <r>
    <n v="392"/>
    <n v="53"/>
    <n v="12"/>
    <d v="2021-03-12T00:00:00"/>
    <x v="3"/>
    <s v="SugarCrash!"/>
    <n v="5018005"/>
    <s v="ElyOtto"/>
    <n v="85617"/>
    <s v="weirdcore"/>
    <d v="2020-08-25T00:00:00"/>
    <n v="80"/>
    <x v="0"/>
    <n v="0.748"/>
    <n v="0.73399999999999999"/>
    <n v="0.124"/>
    <n v="0.52400000000000002"/>
    <n v="9.7500000000000003E-2"/>
    <n v="0.36799999999999999"/>
    <n v="-6.4989999999999997"/>
    <n v="80081"/>
    <n v="2020"/>
    <x v="0"/>
  </r>
  <r>
    <n v="541"/>
    <n v="14"/>
    <n v="5"/>
    <d v="2020-10-30T00:00:00"/>
    <x v="2"/>
    <s v="motive (with Doja Cat)"/>
    <n v="4986037"/>
    <s v="Ariana Grande"/>
    <n v="67208170"/>
    <s v="dance pop"/>
    <d v="2020-10-30T00:00:00"/>
    <n v="80"/>
    <x v="0"/>
    <n v="0.78900000000000003"/>
    <n v="0.74199999999999999"/>
    <n v="6.5199999999999994E-2"/>
    <n v="6.8099999999999994E-2"/>
    <n v="0.16600000000000001"/>
    <n v="0.66100000000000003"/>
    <n v="-5.6639999999999997"/>
    <n v="167990"/>
    <n v="2020"/>
    <x v="0"/>
  </r>
  <r>
    <n v="542"/>
    <n v="28"/>
    <n v="57"/>
    <d v="2019-12-27T00:00:00"/>
    <x v="2"/>
    <s v="I Don't Care (with Justin Bieber)"/>
    <n v="4984399"/>
    <s v="Ed Sheeran"/>
    <n v="83337783"/>
    <s v="pop"/>
    <d v="2019-05-10T00:00:00"/>
    <n v="80"/>
    <x v="0"/>
    <n v="0.79800000000000004"/>
    <n v="0.67500000000000004"/>
    <n v="4.4200000000000003E-2"/>
    <n v="9.1200000000000003E-2"/>
    <n v="8.9399999999999993E-2"/>
    <n v="0.84199999999999997"/>
    <n v="-5.0410000000000004"/>
    <n v="219947"/>
    <n v="2019"/>
    <x v="0"/>
  </r>
  <r>
    <n v="197"/>
    <n v="197"/>
    <n v="1"/>
    <d v="2021-07-23T00:00:00"/>
    <x v="3"/>
    <s v="penhasco."/>
    <n v="4973937"/>
    <s v="Luísa Sonza"/>
    <n v="1909059"/>
    <s v="funk carioca"/>
    <d v="2021-07-18T00:00:00"/>
    <n v="80"/>
    <x v="1"/>
    <n v="0.43"/>
    <n v="0.46700000000000003"/>
    <n v="5.0999999999999997E-2"/>
    <n v="0.77500000000000002"/>
    <n v="9.3299999999999994E-2"/>
    <n v="0.38200000000000001"/>
    <n v="-8.56"/>
    <n v="186121"/>
    <n v="2021"/>
    <x v="0"/>
  </r>
  <r>
    <n v="290"/>
    <n v="7"/>
    <n v="65"/>
    <d v="2020-03-27T00:00:00"/>
    <x v="2"/>
    <s v="Break My Heart"/>
    <n v="4971176"/>
    <s v="Dua Lipa"/>
    <n v="27142474"/>
    <s v="dance pop"/>
    <d v="2020-03-27T00:00:00"/>
    <n v="80"/>
    <x v="0"/>
    <n v="0.73"/>
    <n v="0.72899999999999998"/>
    <n v="8.8400000000000006E-2"/>
    <n v="0.16700000000000001"/>
    <n v="0.34899999999999998"/>
    <n v="0.46700000000000003"/>
    <n v="-3.4340000000000002"/>
    <n v="221820"/>
    <n v="2020"/>
    <x v="0"/>
  </r>
  <r>
    <n v="780"/>
    <n v="53"/>
    <n v="15"/>
    <d v="2020-09-11T00:00:00"/>
    <x v="2"/>
    <s v="Still Don't Know My Name"/>
    <n v="4926802"/>
    <s v="Labrinth"/>
    <n v="1685215"/>
    <s v="indie poptimism"/>
    <d v="2019-10-04T00:00:00"/>
    <n v="80"/>
    <x v="1"/>
    <n v="0.316"/>
    <n v="0.63"/>
    <n v="0.11700000000000001"/>
    <n v="0.47099999999999997"/>
    <n v="0.20499999999999999"/>
    <n v="0.313"/>
    <n v="-5.9630000000000001"/>
    <n v="153294"/>
    <n v="2019"/>
    <x v="0"/>
  </r>
  <r>
    <n v="568"/>
    <n v="138"/>
    <n v="49"/>
    <d v="2020-10-16T00:00:00"/>
    <x v="2"/>
    <s v="Be Alright"/>
    <n v="4900492"/>
    <s v="Dean Lewis"/>
    <n v="1692635"/>
    <s v="australian pop"/>
    <d v="2018-06-29T00:00:00"/>
    <n v="80"/>
    <x v="1"/>
    <n v="0.55300000000000005"/>
    <n v="0.58599999999999997"/>
    <n v="3.6200000000000003E-2"/>
    <n v="0.69699999999999995"/>
    <n v="8.1299999999999997E-2"/>
    <n v="0.443"/>
    <n v="-6.319"/>
    <n v="196373"/>
    <n v="2018"/>
    <x v="0"/>
  </r>
  <r>
    <n v="610"/>
    <n v="13"/>
    <n v="44"/>
    <d v="2020-04-10T00:00:00"/>
    <x v="3"/>
    <s v="Sunday Best"/>
    <n v="4858392"/>
    <s v="Surfaces"/>
    <n v="724903"/>
    <s v="bedroom soul"/>
    <d v="2019-01-06T00:00:00"/>
    <n v="80"/>
    <x v="1"/>
    <n v="0.878"/>
    <n v="0.52500000000000002"/>
    <n v="5.7799999999999997E-2"/>
    <n v="0.183"/>
    <n v="7.1400000000000005E-2"/>
    <n v="0.69399999999999995"/>
    <n v="-6.8319999999999999"/>
    <n v="158571"/>
    <n v="2019"/>
    <x v="0"/>
  </r>
  <r>
    <n v="587"/>
    <n v="37"/>
    <n v="35"/>
    <d v="2020-09-11T00:00:00"/>
    <x v="2"/>
    <s v="Go Crazy"/>
    <n v="4833081"/>
    <s v="Chris Brown, Young Thug"/>
    <n v="14073083"/>
    <s v="dance pop"/>
    <d v="2020-05-08T00:00:00"/>
    <n v="80"/>
    <x v="1"/>
    <n v="0.755"/>
    <n v="0.57799999999999996"/>
    <n v="0.14499999999999999"/>
    <n v="0.316"/>
    <n v="0.25"/>
    <n v="0.58099999999999996"/>
    <n v="-8.9320000000000004"/>
    <n v="176960"/>
    <n v="2020"/>
    <x v="0"/>
  </r>
  <r>
    <n v="815"/>
    <n v="23"/>
    <n v="27"/>
    <d v="2020-07-31T00:00:00"/>
    <x v="3"/>
    <s v="Relación"/>
    <n v="4825749"/>
    <s v="Sech"/>
    <n v="8766508"/>
    <s v="latin"/>
    <d v="2020-09-04T00:00:00"/>
    <n v="80"/>
    <x v="0"/>
    <n v="0.79300000000000004"/>
    <n v="0.77100000000000002"/>
    <n v="9.5899999999999999E-2"/>
    <n v="3.3700000000000001E-2"/>
    <n v="0.28399999999999997"/>
    <n v="0.83499999999999996"/>
    <n v="-3.4169999999999998"/>
    <n v="247308"/>
    <n v="2020"/>
    <x v="0"/>
  </r>
  <r>
    <n v="894"/>
    <n v="23"/>
    <n v="21"/>
    <d v="2020-05-01T00:00:00"/>
    <x v="1"/>
    <s v="Chicago Freestyle (feat. Giveon)"/>
    <n v="4799038"/>
    <s v="Drake"/>
    <n v="56327031"/>
    <s v="canadian hip hop"/>
    <d v="2020-05-01T00:00:00"/>
    <n v="80"/>
    <x v="1"/>
    <n v="0.73499999999999999"/>
    <n v="0.44900000000000001"/>
    <n v="0.34699999999999998"/>
    <n v="0.629"/>
    <n v="0.113"/>
    <n v="3.9699999999999999E-2"/>
    <n v="-7.5069999999999997"/>
    <n v="220488"/>
    <n v="2020"/>
    <x v="0"/>
  </r>
  <r>
    <n v="606"/>
    <n v="22"/>
    <n v="32"/>
    <d v="2020-05-08T00:00:00"/>
    <x v="3"/>
    <s v="Be Kind (with Halsey)"/>
    <n v="4790427"/>
    <s v="Marshmello"/>
    <n v="31552500"/>
    <s v="brostep"/>
    <d v="2020-05-01T00:00:00"/>
    <n v="80"/>
    <x v="1"/>
    <n v="0.63"/>
    <n v="0.63300000000000001"/>
    <n v="4.5699999999999998E-2"/>
    <n v="7.7600000000000004E-3"/>
    <n v="5.4100000000000002E-2"/>
    <n v="0.45200000000000001"/>
    <n v="-7.0880000000000001"/>
    <n v="172762"/>
    <n v="2020"/>
    <x v="0"/>
  </r>
  <r>
    <n v="803"/>
    <n v="42"/>
    <n v="30"/>
    <d v="2020-05-22T00:00:00"/>
    <x v="4"/>
    <s v="After Party"/>
    <n v="4784580"/>
    <s v="Don Toliver"/>
    <n v="1606884"/>
    <s v="rap"/>
    <d v="2020-03-13T00:00:00"/>
    <n v="80"/>
    <x v="0"/>
    <n v="0.629"/>
    <n v="0.69199999999999995"/>
    <n v="3.7600000000000001E-2"/>
    <n v="9.8099999999999993E-3"/>
    <n v="0.60299999999999998"/>
    <n v="0.45300000000000001"/>
    <n v="-8.0449999999999999"/>
    <n v="167916"/>
    <n v="2020"/>
    <x v="0"/>
  </r>
  <r>
    <n v="784"/>
    <n v="29"/>
    <n v="4"/>
    <d v="2020-10-23T00:00:00"/>
    <x v="5"/>
    <s v="Forever After All"/>
    <n v="4746415"/>
    <s v="Luke Combs"/>
    <n v="5371000"/>
    <s v="contemporary country"/>
    <d v="2020-10-23T00:00:00"/>
    <n v="80"/>
    <x v="0"/>
    <n v="0.48699999999999999"/>
    <n v="0.65"/>
    <n v="2.53E-2"/>
    <n v="0.191"/>
    <n v="9.3299999999999994E-2"/>
    <n v="0.45600000000000002"/>
    <n v="-5.1950000000000003"/>
    <n v="232533"/>
    <n v="2020"/>
    <x v="0"/>
  </r>
  <r>
    <n v="882"/>
    <n v="26"/>
    <n v="35"/>
    <d v="2020-06-12T00:00:00"/>
    <x v="1"/>
    <s v="WHATS POPPIN"/>
    <n v="4745752"/>
    <s v="Jack Harlow"/>
    <n v="3828418"/>
    <s v="canadian hip hop"/>
    <d v="2020-06-24T00:00:00"/>
    <n v="80"/>
    <x v="0"/>
    <n v="0.90400000000000003"/>
    <n v="0.72299999999999998"/>
    <n v="0.26"/>
    <n v="6.3100000000000003E-2"/>
    <n v="0.185"/>
    <n v="0.83499999999999996"/>
    <n v="-5.2240000000000002"/>
    <n v="227478"/>
    <n v="2020"/>
    <x v="0"/>
  </r>
  <r>
    <n v="826"/>
    <n v="26"/>
    <n v="27"/>
    <d v="2020-05-22T00:00:00"/>
    <x v="3"/>
    <s v="Play Date"/>
    <n v="4745568"/>
    <s v="Melanie Martinez"/>
    <n v="10925614"/>
    <s v="alt z"/>
    <d v="2015-08-14T00:00:00"/>
    <n v="80"/>
    <x v="0"/>
    <n v="0.68"/>
    <n v="0.72899999999999998"/>
    <n v="4.7500000000000001E-2"/>
    <n v="0.61199999999999999"/>
    <n v="0.224"/>
    <n v="0.44600000000000001"/>
    <n v="-5.077"/>
    <n v="179867"/>
    <n v="2015"/>
    <x v="0"/>
  </r>
  <r>
    <n v="788"/>
    <n v="5"/>
    <n v="12"/>
    <d v="2020-07-31T00:00:00"/>
    <x v="2"/>
    <s v="my future"/>
    <n v="4721082"/>
    <s v="Billie Eilish"/>
    <n v="47061119"/>
    <s v="electropop"/>
    <d v="2021-07-30T00:00:00"/>
    <n v="80"/>
    <x v="1"/>
    <n v="0.45600000000000002"/>
    <n v="0.28499999999999998"/>
    <n v="9.7900000000000001E-2"/>
    <n v="0.81399999999999995"/>
    <n v="0.307"/>
    <n v="8.09E-2"/>
    <n v="-10.755000000000001"/>
    <n v="210005"/>
    <n v="2021"/>
    <x v="0"/>
  </r>
  <r>
    <n v="851"/>
    <n v="108"/>
    <n v="17"/>
    <d v="2020-01-03T00:00:00"/>
    <x v="2"/>
    <s v="No Guidance (feat. Drake)"/>
    <n v="4641393"/>
    <s v="Chris Brown"/>
    <n v="14073083"/>
    <s v="dance pop"/>
    <d v="2019-06-28T00:00:00"/>
    <n v="80"/>
    <x v="1"/>
    <n v="0.69599999999999995"/>
    <n v="0.45400000000000001"/>
    <n v="0.153"/>
    <n v="0.123"/>
    <n v="0.155"/>
    <n v="0.13600000000000001"/>
    <n v="-6.7560000000000002"/>
    <n v="260640"/>
    <n v="2019"/>
    <x v="0"/>
  </r>
  <r>
    <n v="1054"/>
    <n v="7"/>
    <n v="19"/>
    <d v="2020-03-06T00:00:00"/>
    <x v="3"/>
    <s v="Si Veo a Tu Mamá"/>
    <n v="4638728"/>
    <s v="Bad Bunny"/>
    <n v="36177712"/>
    <s v="latin"/>
    <d v="2020-02-29T00:00:00"/>
    <n v="80"/>
    <x v="1"/>
    <n v="0.9"/>
    <n v="0.60299999999999998"/>
    <n v="6.4600000000000005E-2"/>
    <n v="0.40200000000000002"/>
    <n v="0.13400000000000001"/>
    <n v="0.82399999999999995"/>
    <n v="-5.3129999999999997"/>
    <n v="170972"/>
    <n v="2020"/>
    <x v="0"/>
  </r>
  <r>
    <n v="1039"/>
    <n v="105"/>
    <n v="13"/>
    <d v="2020-06-12T00:00:00"/>
    <x v="3"/>
    <s v="This City"/>
    <n v="4597406"/>
    <s v="Sam Fischer"/>
    <n v="122883"/>
    <s v="alt z"/>
    <d v="2019-12-11T00:00:00"/>
    <n v="80"/>
    <x v="1"/>
    <n v="0.60499999999999998"/>
    <n v="0.377"/>
    <n v="4.4299999999999999E-2"/>
    <n v="0.73299999999999998"/>
    <n v="8.0799999999999997E-2"/>
    <n v="0.51900000000000002"/>
    <n v="-6.2130000000000001"/>
    <n v="194853"/>
    <n v="2019"/>
    <x v="0"/>
  </r>
  <r>
    <n v="843"/>
    <n v="93"/>
    <n v="38"/>
    <d v="2020-02-07T00:00:00"/>
    <x v="2"/>
    <s v="Bruises"/>
    <n v="4560503"/>
    <s v="Lewis Capaldi"/>
    <n v="8388838"/>
    <s v="pop"/>
    <d v="2019-05-17T00:00:00"/>
    <n v="80"/>
    <x v="1"/>
    <n v="0.73599999999999999"/>
    <n v="0.308"/>
    <n v="6.7699999999999996E-2"/>
    <n v="0.94599999999999995"/>
    <n v="0.186"/>
    <n v="0.36099999999999999"/>
    <n v="-7.83"/>
    <n v="220492"/>
    <n v="2019"/>
    <x v="0"/>
  </r>
  <r>
    <n v="1028"/>
    <n v="23"/>
    <n v="30"/>
    <d v="2020-01-10T00:00:00"/>
    <x v="1"/>
    <s v="BOP"/>
    <n v="4496450"/>
    <s v="DaBaby"/>
    <n v="7601122"/>
    <s v="north carolina hip hop"/>
    <d v="2019-09-27T00:00:00"/>
    <n v="80"/>
    <x v="0"/>
    <n v="0.76900000000000002"/>
    <n v="0.78700000000000003"/>
    <n v="0.36699999999999999"/>
    <n v="0.189"/>
    <n v="0.129"/>
    <n v="0.83599999999999997"/>
    <n v="-3.9089999999999998"/>
    <n v="159715"/>
    <n v="2019"/>
    <x v="0"/>
  </r>
  <r>
    <n v="945"/>
    <n v="37"/>
    <n v="35"/>
    <d v="2020-01-31T00:00:00"/>
    <x v="4"/>
    <s v="Ballin' (with Roddy Ricch)"/>
    <n v="4436934"/>
    <s v="Mustard"/>
    <n v="881797"/>
    <s v="cali rap"/>
    <d v="2019-06-28T00:00:00"/>
    <n v="80"/>
    <x v="1"/>
    <n v="0.80900000000000005"/>
    <n v="0.54500000000000004"/>
    <n v="7.3499999999999996E-2"/>
    <n v="0.39200000000000002"/>
    <n v="0.151"/>
    <n v="0.24399999999999999"/>
    <n v="-6.6779999999999999"/>
    <n v="180435"/>
    <n v="2019"/>
    <x v="0"/>
  </r>
  <r>
    <n v="947"/>
    <n v="186"/>
    <n v="10"/>
    <d v="2020-08-07T00:00:00"/>
    <x v="2"/>
    <s v="I'm Yours"/>
    <n v="4391666"/>
    <s v="Jason Mraz"/>
    <n v="6167871"/>
    <s v="acoustic pop"/>
    <d v="2008-05-12T00:00:00"/>
    <n v="80"/>
    <x v="1"/>
    <n v="0.68600000000000005"/>
    <n v="0.45700000000000002"/>
    <n v="4.6800000000000001E-2"/>
    <n v="0.59499999999999997"/>
    <n v="0.105"/>
    <n v="0.71799999999999997"/>
    <n v="-8.3219999999999992"/>
    <n v="242187"/>
    <n v="2008"/>
    <x v="0"/>
  </r>
  <r>
    <n v="948"/>
    <n v="136"/>
    <n v="32"/>
    <d v="2020-06-05T00:00:00"/>
    <x v="3"/>
    <s v="Youngblood"/>
    <n v="4390823"/>
    <s v="5 Seconds of Summer"/>
    <n v="7744095"/>
    <s v="boy band"/>
    <d v="2018-06-15T00:00:00"/>
    <n v="80"/>
    <x v="0"/>
    <n v="0.59599999999999997"/>
    <n v="0.85399999999999998"/>
    <n v="0.46300000000000002"/>
    <n v="1.6899999999999998E-2"/>
    <n v="0.124"/>
    <n v="0.152"/>
    <n v="-5.1139999999999999"/>
    <n v="203418"/>
    <n v="2018"/>
    <x v="0"/>
  </r>
  <r>
    <n v="1078"/>
    <n v="26"/>
    <n v="27"/>
    <d v="2020-01-03T00:00:00"/>
    <x v="4"/>
    <s v="No Idea"/>
    <n v="4369849"/>
    <s v="Don Toliver"/>
    <n v="1606884"/>
    <s v="rap"/>
    <d v="2020-03-13T00:00:00"/>
    <n v="80"/>
    <x v="1"/>
    <n v="0.65200000000000002"/>
    <n v="0.63100000000000001"/>
    <n v="8.9300000000000004E-2"/>
    <n v="0.52400000000000002"/>
    <n v="0.16500000000000001"/>
    <n v="0.35"/>
    <n v="-5.718"/>
    <n v="154424"/>
    <n v="2020"/>
    <x v="0"/>
  </r>
  <r>
    <n v="965"/>
    <n v="74"/>
    <n v="31"/>
    <d v="2019-12-27T00:00:00"/>
    <x v="4"/>
    <s v="Wow."/>
    <n v="4351784"/>
    <s v="Post Malone"/>
    <n v="33663701"/>
    <s v="dfw rap"/>
    <d v="2019-09-06T00:00:00"/>
    <n v="80"/>
    <x v="1"/>
    <n v="0.82899999999999996"/>
    <n v="0.53900000000000003"/>
    <n v="0.20799999999999999"/>
    <n v="0.13600000000000001"/>
    <n v="0.10299999999999999"/>
    <n v="0.38800000000000001"/>
    <n v="-7.359"/>
    <n v="149547"/>
    <n v="2019"/>
    <x v="0"/>
  </r>
  <r>
    <n v="260"/>
    <n v="69"/>
    <n v="1"/>
    <d v="2021-06-25T00:00:00"/>
    <x v="1"/>
    <s v="SWEET / I THOUGHT YOU WANTED TO DANCE (feat. Brent Faiyaz &amp; Fana Hues)"/>
    <n v="9142721"/>
    <s v="Tyler, The Creator"/>
    <n v="6777818"/>
    <s v="hip hop"/>
    <d v="2021-06-25T00:00:00"/>
    <n v="79"/>
    <x v="0"/>
    <n v="0.46800000000000003"/>
    <n v="0.65200000000000002"/>
    <n v="7.22E-2"/>
    <n v="0.33300000000000002"/>
    <n v="0.55000000000000004"/>
    <n v="0.39"/>
    <n v="-4.9119999999999999"/>
    <n v="588139"/>
    <n v="2021"/>
    <x v="0"/>
  </r>
  <r>
    <n v="99"/>
    <n v="99"/>
    <n v="2"/>
    <d v="2021-07-23T00:00:00"/>
    <x v="1"/>
    <s v="Clash (feat. Stormzy)"/>
    <n v="6825463"/>
    <s v="Dave"/>
    <n v="1427540"/>
    <s v="uk hip hop"/>
    <d v="2021-07-08T00:00:00"/>
    <n v="79"/>
    <x v="1"/>
    <n v="0.871"/>
    <n v="0.51900000000000002"/>
    <n v="0.25800000000000001"/>
    <n v="0.313"/>
    <n v="8.6900000000000005E-2"/>
    <n v="0.53200000000000003"/>
    <n v="-6.5490000000000004"/>
    <n v="251733"/>
    <n v="2021"/>
    <x v="0"/>
  </r>
  <r>
    <n v="203"/>
    <n v="116"/>
    <n v="1"/>
    <d v="2021-07-16T00:00:00"/>
    <x v="4"/>
    <s v="Holy Smokes"/>
    <n v="6464206"/>
    <s v="Trippie Redd, Lil Uzi Vert"/>
    <n v="6430522"/>
    <s v="melodic rap"/>
    <d v="2021-07-16T00:00:00"/>
    <n v="79"/>
    <x v="1"/>
    <n v="0.437"/>
    <n v="0.52700000000000002"/>
    <n v="0.46500000000000002"/>
    <n v="0.185"/>
    <n v="0.153"/>
    <n v="0.70099999999999996"/>
    <n v="-6.9669999999999996"/>
    <n v="181714"/>
    <n v="2021"/>
    <x v="0"/>
  </r>
  <r>
    <n v="302"/>
    <n v="124"/>
    <n v="1"/>
    <d v="2021-06-11T00:00:00"/>
    <x v="2"/>
    <s v="Lost"/>
    <n v="6410263"/>
    <s v="Maroon 5"/>
    <n v="32262679"/>
    <s v="pop"/>
    <d v="2021-06-11T00:00:00"/>
    <n v="79"/>
    <x v="0"/>
    <n v="0.76600000000000001"/>
    <n v="0.70599999999999996"/>
    <n v="0.16"/>
    <n v="0.223"/>
    <n v="6.4000000000000001E-2"/>
    <n v="0.76600000000000001"/>
    <n v="-6.5529999999999999"/>
    <n v="172598"/>
    <n v="2021"/>
    <x v="0"/>
  </r>
  <r>
    <n v="767"/>
    <n v="86"/>
    <n v="19"/>
    <d v="2020-09-11T00:00:00"/>
    <x v="5"/>
    <s v="Be Like That - feat. Swae Lee &amp; Khalid"/>
    <n v="5929062"/>
    <s v="Kane Brown"/>
    <n v="3509653"/>
    <s v="contemporary country"/>
    <d v="2020-07-10T00:00:00"/>
    <n v="79"/>
    <x v="1"/>
    <n v="0.72699999999999998"/>
    <n v="0.626"/>
    <n v="7.2599999999999998E-2"/>
    <n v="4.6899999999999997E-2"/>
    <n v="0.126"/>
    <n v="0.32200000000000001"/>
    <n v="-8.4149999999999991"/>
    <n v="191406"/>
    <n v="2020"/>
    <x v="0"/>
  </r>
  <r>
    <n v="1361"/>
    <n v="47"/>
    <n v="2"/>
    <d v="2020-02-21T00:00:00"/>
    <x v="2"/>
    <s v="Filter"/>
    <n v="5913946"/>
    <s v="BTS"/>
    <n v="37151476"/>
    <s v="k-pop"/>
    <d v="2020-02-21T00:00:00"/>
    <n v="79"/>
    <x v="0"/>
    <n v="0.78100000000000003"/>
    <n v="0.76200000000000001"/>
    <n v="6.2600000000000003E-2"/>
    <n v="2.2200000000000001E-2"/>
    <n v="0.121"/>
    <n v="0.86"/>
    <n v="-5.1879999999999997"/>
    <n v="180221"/>
    <n v="2020"/>
    <x v="0"/>
  </r>
  <r>
    <n v="714"/>
    <n v="1"/>
    <n v="12"/>
    <d v="2020-07-24T00:00:00"/>
    <x v="2"/>
    <s v="cardigan"/>
    <n v="5845457"/>
    <s v="Taylor Swift"/>
    <n v="42227614"/>
    <s v="pop"/>
    <d v="2020-07-24T00:00:00"/>
    <n v="79"/>
    <x v="1"/>
    <n v="0.61299999999999999"/>
    <n v="0.58099999999999996"/>
    <n v="4.24E-2"/>
    <n v="0.53700000000000003"/>
    <n v="0.25"/>
    <n v="0.55100000000000005"/>
    <n v="-8.5879999999999992"/>
    <n v="239560"/>
    <n v="2020"/>
    <x v="0"/>
  </r>
  <r>
    <n v="141"/>
    <n v="141"/>
    <n v="1"/>
    <d v="2021-07-23T00:00:00"/>
    <x v="2"/>
    <s v="New Normal"/>
    <n v="5768653"/>
    <s v="Khalid"/>
    <n v="14187747"/>
    <s v="pop"/>
    <d v="2021-07-21T00:00:00"/>
    <n v="79"/>
    <x v="1"/>
    <n v="0.39"/>
    <n v="0.53400000000000003"/>
    <n v="7.0900000000000005E-2"/>
    <n v="8.0699999999999994E-2"/>
    <n v="0.184"/>
    <n v="0.24399999999999999"/>
    <n v="-9.5749999999999993"/>
    <n v="198765"/>
    <n v="2021"/>
    <x v="0"/>
  </r>
  <r>
    <n v="349"/>
    <n v="69"/>
    <n v="4"/>
    <d v="2021-04-30T00:00:00"/>
    <x v="2"/>
    <s v="In the morning"/>
    <n v="5738325"/>
    <s v="ITZY"/>
    <n v="2379448"/>
    <s v="k-pop girl group"/>
    <d v="2021-04-30T00:00:00"/>
    <n v="79"/>
    <x v="0"/>
    <n v="0.84699999999999998"/>
    <n v="0.81399999999999995"/>
    <n v="0.152"/>
    <n v="8.2500000000000004E-2"/>
    <n v="9.4799999999999995E-2"/>
    <n v="0.71099999999999997"/>
    <n v="-4.6680000000000001"/>
    <n v="172359"/>
    <n v="2021"/>
    <x v="0"/>
  </r>
  <r>
    <n v="900"/>
    <n v="83"/>
    <n v="2"/>
    <d v="2020-09-04T00:00:00"/>
    <x v="3"/>
    <s v="Del Mar"/>
    <n v="5698099"/>
    <s v="Ozuna, Doja Cat, Sia"/>
    <n v="29238936"/>
    <s v="latin"/>
    <d v="2020-09-04T00:00:00"/>
    <n v="79"/>
    <x v="0"/>
    <n v="0.75900000000000001"/>
    <n v="0.63600000000000001"/>
    <n v="3.6900000000000002E-2"/>
    <n v="2.24E-2"/>
    <n v="0.16600000000000001"/>
    <n v="0.53600000000000003"/>
    <n v="-5.585"/>
    <n v="214507"/>
    <n v="2020"/>
    <x v="0"/>
  </r>
  <r>
    <n v="320"/>
    <n v="10"/>
    <n v="4"/>
    <d v="2021-05-14T00:00:00"/>
    <x v="1"/>
    <s v="a m a r i"/>
    <n v="5645966"/>
    <s v="J. Cole"/>
    <n v="14097410"/>
    <s v="conscious hip hop"/>
    <d v="2021-05-14T00:00:00"/>
    <n v="79"/>
    <x v="0"/>
    <n v="0.72499999999999998"/>
    <n v="0.71299999999999997"/>
    <n v="0.187"/>
    <n v="0.127"/>
    <n v="0.61699999999999999"/>
    <n v="0.20699999999999999"/>
    <n v="-6.173"/>
    <n v="148421"/>
    <n v="2021"/>
    <x v="0"/>
  </r>
  <r>
    <n v="818"/>
    <n v="82"/>
    <n v="8"/>
    <d v="2020-09-18T00:00:00"/>
    <x v="1"/>
    <s v="Wolves (feat. Post Malone)"/>
    <n v="5547002"/>
    <s v="Big Sean"/>
    <n v="8673345"/>
    <s v="detroit hip hop"/>
    <d v="2020-09-04T00:00:00"/>
    <n v="79"/>
    <x v="0"/>
    <n v="0.72399999999999998"/>
    <n v="0.67500000000000004"/>
    <n v="8.6699999999999999E-2"/>
    <n v="9.7799999999999998E-2"/>
    <n v="0.35099999999999998"/>
    <n v="0.32500000000000001"/>
    <n v="-5.2670000000000003"/>
    <n v="199758"/>
    <n v="2020"/>
    <x v="0"/>
  </r>
  <r>
    <n v="278"/>
    <n v="112"/>
    <n v="3"/>
    <d v="2021-06-11T00:00:00"/>
    <x v="3"/>
    <s v="Petrouchka (feat. PLK)"/>
    <n v="5511544"/>
    <s v="Soso Maness"/>
    <n v="289437"/>
    <s v="francoton"/>
    <d v="2021-06-04T00:00:00"/>
    <n v="79"/>
    <x v="0"/>
    <n v="0.624"/>
    <n v="0.80200000000000005"/>
    <n v="0.311"/>
    <n v="5.9700000000000003E-2"/>
    <n v="0.252"/>
    <n v="0.81799999999999995"/>
    <n v="-4.8179999999999996"/>
    <n v="189933"/>
    <n v="2021"/>
    <x v="0"/>
  </r>
  <r>
    <n v="269"/>
    <n v="50"/>
    <n v="3"/>
    <d v="2021-06-11T00:00:00"/>
    <x v="1"/>
    <s v="Having Our Way (feat. Drake)"/>
    <n v="5424579"/>
    <s v="Migos"/>
    <n v="11690201"/>
    <s v="atl hip hop"/>
    <d v="2021-06-11T00:00:00"/>
    <n v="79"/>
    <x v="1"/>
    <n v="0.92700000000000005"/>
    <n v="0.53800000000000003"/>
    <n v="0.11600000000000001"/>
    <n v="3.1199999999999999E-2"/>
    <n v="9.4500000000000001E-2"/>
    <n v="0.221"/>
    <n v="-3.9169999999999998"/>
    <n v="278191"/>
    <n v="2021"/>
    <x v="0"/>
  </r>
  <r>
    <n v="724"/>
    <n v="9"/>
    <n v="39"/>
    <d v="2020-03-13T00:00:00"/>
    <x v="3"/>
    <s v="Safaera"/>
    <n v="5390363"/>
    <s v="Bad Bunny, Jowell &amp; Randy, Ñengo Flow"/>
    <n v="36177712"/>
    <s v="latin"/>
    <d v="2020-02-29T00:00:00"/>
    <n v="79"/>
    <x v="0"/>
    <n v="0.60699999999999998"/>
    <n v="0.82899999999999996"/>
    <n v="0.379"/>
    <n v="1.03E-2"/>
    <n v="0.107"/>
    <n v="0.68500000000000005"/>
    <n v="-4.0739999999999998"/>
    <n v="295177"/>
    <n v="2020"/>
    <x v="0"/>
  </r>
  <r>
    <n v="475"/>
    <n v="105"/>
    <n v="14"/>
    <d v="2021-01-15T00:00:00"/>
    <x v="2"/>
    <s v="Love Not War (The Tampa Beat)"/>
    <n v="5326719"/>
    <s v="Jason Derulo, Nuka"/>
    <n v="9778632"/>
    <s v="dance pop"/>
    <d v="2020-11-20T00:00:00"/>
    <n v="79"/>
    <x v="0"/>
    <n v="0.73799999999999999"/>
    <n v="0.85"/>
    <n v="6.4199999999999993E-2"/>
    <n v="0.105"/>
    <n v="0.23"/>
    <n v="0.86499999999999999"/>
    <n v="-3.0489999999999999"/>
    <n v="192921"/>
    <n v="2020"/>
    <x v="0"/>
  </r>
  <r>
    <n v="323"/>
    <n v="21"/>
    <n v="35"/>
    <d v="2020-11-06T00:00:00"/>
    <x v="2"/>
    <s v="La Nota"/>
    <n v="5300884"/>
    <s v="Manuel Turizo, Rauw Alejandro, Myke Towers"/>
    <n v="7904381"/>
    <s v="colombian pop"/>
    <d v="2020-10-08T00:00:00"/>
    <n v="79"/>
    <x v="1"/>
    <n v="0.73599999999999999"/>
    <n v="0.63200000000000001"/>
    <n v="6.4799999999999996E-2"/>
    <n v="0.18"/>
    <n v="0.34899999999999998"/>
    <n v="0.503"/>
    <n v="-4.9390000000000001"/>
    <n v="216107"/>
    <n v="2020"/>
    <x v="0"/>
  </r>
  <r>
    <n v="382"/>
    <n v="71"/>
    <n v="28"/>
    <d v="2021-03-26T00:00:00"/>
    <x v="3"/>
    <s v="At My Worst"/>
    <n v="5258000"/>
    <s v="Pink Sweat$"/>
    <n v="942628"/>
    <s v="bedroom soul"/>
    <d v="2020-07-17T00:00:00"/>
    <n v="79"/>
    <x v="1"/>
    <n v="0.81299999999999994"/>
    <n v="0.41499999999999998"/>
    <n v="3.49E-2"/>
    <n v="0.77700000000000002"/>
    <n v="0.13100000000000001"/>
    <n v="0.66700000000000004"/>
    <n v="-5.9260000000000002"/>
    <n v="170345"/>
    <n v="2020"/>
    <x v="0"/>
  </r>
  <r>
    <n v="371"/>
    <n v="58"/>
    <n v="19"/>
    <d v="2021-02-26T00:00:00"/>
    <x v="3"/>
    <s v="No Te Enamores - Remix"/>
    <n v="5218146"/>
    <s v="Milly, Farruko, Nio Garcia, Jay Wheeler, Amenazzy"/>
    <n v="22718"/>
    <s v="reggaeton"/>
    <d v="2020-11-20T00:00:00"/>
    <n v="79"/>
    <x v="0"/>
    <n v="0.82399999999999995"/>
    <n v="0.83699999999999997"/>
    <n v="0.107"/>
    <n v="0.57299999999999995"/>
    <n v="0.27100000000000002"/>
    <n v="0.57999999999999996"/>
    <n v="-4.6029999999999998"/>
    <n v="289933"/>
    <n v="2020"/>
    <x v="0"/>
  </r>
  <r>
    <n v="487"/>
    <n v="25"/>
    <n v="26"/>
    <d v="2020-10-23T00:00:00"/>
    <x v="2"/>
    <s v="Vida de Rico"/>
    <n v="5189822"/>
    <s v="Camilo"/>
    <n v="10580764"/>
    <s v="colombian pop"/>
    <d v="2020-09-21T00:00:00"/>
    <n v="79"/>
    <x v="1"/>
    <n v="0.82399999999999995"/>
    <n v="0.45700000000000002"/>
    <n v="5.4300000000000001E-2"/>
    <n v="0.16700000000000001"/>
    <n v="4.1000000000000002E-2"/>
    <n v="0.95"/>
    <n v="-5.4279999999999999"/>
    <n v="187427"/>
    <n v="2020"/>
    <x v="0"/>
  </r>
  <r>
    <n v="410"/>
    <n v="137"/>
    <n v="13"/>
    <d v="2021-03-12T00:00:00"/>
    <x v="3"/>
    <s v="Facas - Ao Vivo"/>
    <n v="5141640"/>
    <s v="Diego &amp; Victor Hugo, Bruno &amp; Marrone"/>
    <n v="1585593"/>
    <s v="sertanejo"/>
    <d v="2020-10-15T00:00:00"/>
    <n v="79"/>
    <x v="1"/>
    <n v="0.443"/>
    <n v="0.50900000000000001"/>
    <n v="5.3600000000000002E-2"/>
    <n v="0.61499999999999999"/>
    <n v="0.47199999999999998"/>
    <n v="0.69"/>
    <n v="-5.9950000000000001"/>
    <n v="196380"/>
    <n v="2020"/>
    <x v="0"/>
  </r>
  <r>
    <n v="386"/>
    <n v="164"/>
    <n v="11"/>
    <d v="2021-03-19T00:00:00"/>
    <x v="3"/>
    <s v="Fan de Tus Fotos"/>
    <n v="5103863"/>
    <s v="Nicky Jam, Romeo Santos"/>
    <n v="14826679"/>
    <s v="latin"/>
    <d v="2021-02-08T00:00:00"/>
    <n v="79"/>
    <x v="0"/>
    <n v="0.72799999999999998"/>
    <n v="0.68899999999999995"/>
    <n v="7.2499999999999995E-2"/>
    <n v="0.29299999999999998"/>
    <n v="0.109"/>
    <n v="0.43099999999999999"/>
    <n v="-5.718"/>
    <n v="197647"/>
    <n v="2021"/>
    <x v="0"/>
  </r>
  <r>
    <n v="514"/>
    <n v="91"/>
    <n v="26"/>
    <d v="2021-01-08T00:00:00"/>
    <x v="3"/>
    <s v="Head Shoulders Knees &amp; Toes (feat. Norma Jean Martine)"/>
    <n v="5093408"/>
    <s v="Ofenbach, Quarterhead"/>
    <n v="432511"/>
    <s v="edm"/>
    <d v="2020-05-08T00:00:00"/>
    <n v="79"/>
    <x v="0"/>
    <n v="0.79800000000000004"/>
    <n v="0.82799999999999996"/>
    <n v="0.193"/>
    <n v="2.47E-2"/>
    <n v="0.121"/>
    <n v="0.6"/>
    <n v="-5.36"/>
    <n v="156960"/>
    <n v="2020"/>
    <x v="0"/>
  </r>
  <r>
    <n v="335"/>
    <n v="8"/>
    <n v="68"/>
    <d v="2020-04-17T00:00:00"/>
    <x v="4"/>
    <s v="Blueberry Faygo"/>
    <n v="5085511"/>
    <s v="Lil Mosey"/>
    <n v="3816446"/>
    <s v="melodic rap"/>
    <d v="2020-02-07T00:00:00"/>
    <n v="79"/>
    <x v="1"/>
    <n v="0.77400000000000002"/>
    <n v="0.55400000000000005"/>
    <n v="3.8300000000000001E-2"/>
    <n v="0.20699999999999999"/>
    <n v="0.13200000000000001"/>
    <n v="0.34899999999999998"/>
    <n v="-7.9089999999999998"/>
    <n v="162547"/>
    <n v="2020"/>
    <x v="0"/>
  </r>
  <r>
    <n v="1441"/>
    <n v="160"/>
    <n v="2"/>
    <d v="2020-01-31T00:00:00"/>
    <x v="1"/>
    <s v="EARFQUAKE"/>
    <n v="5079657"/>
    <s v="Tyler, The Creator"/>
    <n v="6782693"/>
    <s v="hip hop"/>
    <d v="2019-05-17T00:00:00"/>
    <n v="79"/>
    <x v="1"/>
    <n v="0.55400000000000005"/>
    <n v="0.498"/>
    <n v="6.8500000000000005E-2"/>
    <n v="0.23"/>
    <n v="0.79500000000000004"/>
    <n v="0.41299999999999998"/>
    <n v="-8.8659999999999997"/>
    <n v="190067"/>
    <n v="2019"/>
    <x v="0"/>
  </r>
  <r>
    <n v="412"/>
    <n v="7"/>
    <n v="23"/>
    <d v="2020-11-20T00:00:00"/>
    <x v="2"/>
    <s v="Monster (Shawn Mendes &amp; Justin Bieber)"/>
    <n v="5069268"/>
    <s v="Shawn Mendes"/>
    <n v="33893352"/>
    <s v="canadian pop"/>
    <d v="2020-11-20T00:00:00"/>
    <n v="79"/>
    <x v="1"/>
    <n v="0.65200000000000002"/>
    <n v="0.38300000000000001"/>
    <n v="5.16E-2"/>
    <n v="6.7599999999999993E-2"/>
    <n v="8.2799999999999999E-2"/>
    <n v="0.54900000000000004"/>
    <n v="-7.0759999999999996"/>
    <n v="178994"/>
    <n v="2020"/>
    <x v="0"/>
  </r>
  <r>
    <n v="502"/>
    <n v="123"/>
    <n v="26"/>
    <d v="2020-10-23T00:00:00"/>
    <x v="2"/>
    <s v="Someone To You"/>
    <n v="5054881"/>
    <s v="BANNERS"/>
    <n v="419151"/>
    <s v="indie cafe pop"/>
    <d v="2019-10-04T00:00:00"/>
    <n v="79"/>
    <x v="0"/>
    <n v="0.52"/>
    <n v="0.90300000000000002"/>
    <n v="4.2000000000000003E-2"/>
    <n v="5.1700000000000001E-3"/>
    <n v="0.254"/>
    <n v="0.65200000000000002"/>
    <n v="-5.4969999999999999"/>
    <n v="219801"/>
    <n v="2019"/>
    <x v="0"/>
  </r>
  <r>
    <n v="539"/>
    <n v="177"/>
    <n v="7"/>
    <d v="2021-01-29T00:00:00"/>
    <x v="2"/>
    <s v="Fly Away"/>
    <n v="5053713"/>
    <s v="Tones And I"/>
    <n v="2820477"/>
    <s v="australian pop"/>
    <d v="2020-11-13T00:00:00"/>
    <n v="79"/>
    <x v="1"/>
    <n v="0.80600000000000005"/>
    <n v="0.51300000000000001"/>
    <n v="6.8500000000000005E-2"/>
    <n v="0.217"/>
    <n v="0.217"/>
    <n v="0.503"/>
    <n v="-6.2080000000000002"/>
    <n v="178157"/>
    <n v="2020"/>
    <x v="0"/>
  </r>
  <r>
    <n v="315"/>
    <n v="1"/>
    <n v="55"/>
    <d v="2020-05-22T00:00:00"/>
    <x v="2"/>
    <s v="Rain On Me (with Ariana Grande)"/>
    <n v="5041656"/>
    <s v="Lady Gaga"/>
    <n v="18572085"/>
    <s v="dance pop"/>
    <d v="2020-05-22T00:00:00"/>
    <n v="79"/>
    <x v="0"/>
    <n v="0.67200000000000004"/>
    <n v="0.85499999999999998"/>
    <n v="3.9699999999999999E-2"/>
    <n v="2.1000000000000001E-2"/>
    <n v="0.32300000000000001"/>
    <n v="0.64600000000000002"/>
    <n v="-3.7639999999999998"/>
    <n v="182200"/>
    <n v="2020"/>
    <x v="0"/>
  </r>
  <r>
    <n v="233"/>
    <n v="71"/>
    <n v="13"/>
    <d v="2021-04-30T00:00:00"/>
    <x v="3"/>
    <s v="Volta Bebê, Volta Neném"/>
    <n v="5041120"/>
    <s v="Dj Guuga, DJ Ivis"/>
    <n v="608109"/>
    <s v="funk carioca"/>
    <d v="2021-03-27T00:00:00"/>
    <n v="79"/>
    <x v="0"/>
    <n v="0.58299999999999996"/>
    <n v="0.91800000000000004"/>
    <n v="5.1799999999999999E-2"/>
    <n v="0.28799999999999998"/>
    <n v="7.0099999999999996E-2"/>
    <n v="0.83599999999999997"/>
    <n v="-3.6120000000000001"/>
    <n v="172973"/>
    <n v="2021"/>
    <x v="0"/>
  </r>
  <r>
    <n v="405"/>
    <n v="37"/>
    <n v="31"/>
    <d v="2020-11-13T00:00:00"/>
    <x v="3"/>
    <s v="Mi Niña"/>
    <n v="5026961"/>
    <s v="Wisin, Myke Towers, Los Legendarios"/>
    <n v="6929075"/>
    <s v="latin"/>
    <d v="2020-09-23T00:00:00"/>
    <n v="79"/>
    <x v="0"/>
    <n v="0.82299999999999995"/>
    <n v="0.82099999999999995"/>
    <n v="0.16600000000000001"/>
    <n v="0.31"/>
    <n v="0.14299999999999999"/>
    <n v="0.79100000000000004"/>
    <n v="-3.4020000000000001"/>
    <n v="213314"/>
    <n v="2020"/>
    <x v="0"/>
  </r>
  <r>
    <n v="504"/>
    <n v="4"/>
    <n v="38"/>
    <d v="2020-06-26T00:00:00"/>
    <x v="2"/>
    <s v="How You Like That"/>
    <n v="5023592"/>
    <s v="BLACKPINK"/>
    <n v="23848461"/>
    <s v="k-pop"/>
    <d v="2020-10-02T00:00:00"/>
    <n v="79"/>
    <x v="0"/>
    <n v="0.81200000000000006"/>
    <n v="0.76100000000000001"/>
    <n v="8.1199999999999994E-2"/>
    <n v="4.65E-2"/>
    <n v="6.0100000000000001E-2"/>
    <n v="0.34399999999999997"/>
    <n v="-5.2220000000000004"/>
    <n v="182956"/>
    <n v="2020"/>
    <x v="0"/>
  </r>
  <r>
    <n v="425"/>
    <n v="3"/>
    <n v="19"/>
    <d v="2020-12-11T00:00:00"/>
    <x v="2"/>
    <s v="willow"/>
    <n v="5016865"/>
    <s v="Taylor Swift"/>
    <n v="42227614"/>
    <s v="pop"/>
    <d v="2020-12-11T00:00:00"/>
    <n v="79"/>
    <x v="1"/>
    <n v="0.39200000000000002"/>
    <n v="0.57399999999999995"/>
    <n v="0.17"/>
    <n v="0.83299999999999996"/>
    <n v="0.14499999999999999"/>
    <n v="0.52900000000000003"/>
    <n v="-9.1950000000000003"/>
    <n v="214707"/>
    <n v="2020"/>
    <x v="0"/>
  </r>
  <r>
    <n v="526"/>
    <n v="80"/>
    <n v="57"/>
    <d v="2020-01-17T00:00:00"/>
    <x v="2"/>
    <s v="Without Me"/>
    <n v="5016283"/>
    <s v="Halsey"/>
    <n v="15663384"/>
    <s v="dance pop"/>
    <d v="2018-10-04T00:00:00"/>
    <n v="79"/>
    <x v="1"/>
    <n v="0.752"/>
    <n v="0.48799999999999999"/>
    <n v="7.0499999999999993E-2"/>
    <n v="0.29699999999999999"/>
    <n v="9.3600000000000003E-2"/>
    <n v="0.53300000000000003"/>
    <n v="-7.05"/>
    <n v="201661"/>
    <n v="2018"/>
    <x v="0"/>
  </r>
  <r>
    <n v="250"/>
    <n v="11"/>
    <n v="33"/>
    <d v="2020-11-20T00:00:00"/>
    <x v="2"/>
    <s v="Prisoner (feat. Dua Lipa)"/>
    <n v="5005018"/>
    <s v="Miley Cyrus"/>
    <n v="15770302"/>
    <s v="dance pop"/>
    <d v="2020-11-20T00:00:00"/>
    <n v="79"/>
    <x v="0"/>
    <n v="0.78100000000000003"/>
    <n v="0.67"/>
    <n v="4.5199999999999997E-2"/>
    <n v="1.03E-2"/>
    <n v="7.6100000000000001E-2"/>
    <n v="0.59499999999999997"/>
    <n v="-3.9119999999999999"/>
    <n v="169333"/>
    <n v="2020"/>
    <x v="0"/>
  </r>
  <r>
    <n v="252"/>
    <n v="32"/>
    <n v="36"/>
    <d v="2021-01-29T00:00:00"/>
    <x v="2"/>
    <s v="Reloj"/>
    <n v="4980155"/>
    <s v="Rauw Alejandro, Anuel AA"/>
    <n v="6080597"/>
    <s v="puerto rican pop"/>
    <d v="2020-10-22T00:00:00"/>
    <n v="79"/>
    <x v="1"/>
    <n v="0.82299999999999995"/>
    <n v="0.53700000000000003"/>
    <n v="0.20899999999999999"/>
    <n v="0.17599999999999999"/>
    <n v="0.123"/>
    <n v="0.61499999999999999"/>
    <n v="-2.6389999999999998"/>
    <n v="231595"/>
    <n v="2020"/>
    <x v="0"/>
  </r>
  <r>
    <n v="823"/>
    <n v="1"/>
    <n v="27"/>
    <d v="2020-04-24T00:00:00"/>
    <x v="2"/>
    <s v="THE SCOTTS"/>
    <n v="4941592"/>
    <s v="THE SCOTTS, Travis Scott, Kid Cudi"/>
    <n v="179193"/>
    <s v="pop rap"/>
    <d v="2020-04-24T00:00:00"/>
    <n v="79"/>
    <x v="1"/>
    <n v="0.71599999999999997"/>
    <n v="0.53700000000000003"/>
    <n v="5.1400000000000001E-2"/>
    <n v="0.23300000000000001"/>
    <n v="0.157"/>
    <n v="0.28000000000000003"/>
    <n v="-7.6479999999999997"/>
    <n v="165978"/>
    <n v="2020"/>
    <x v="0"/>
  </r>
  <r>
    <n v="1526"/>
    <n v="140"/>
    <n v="3"/>
    <d v="2019-12-27T00:00:00"/>
    <x v="2"/>
    <s v="Don't Call Me Up"/>
    <n v="4931458"/>
    <s v="Mabel"/>
    <n v="1374784"/>
    <s v="dance pop"/>
    <d v="2019-01-18T00:00:00"/>
    <n v="79"/>
    <x v="0"/>
    <n v="0.67400000000000004"/>
    <n v="0.88100000000000001"/>
    <n v="0.14699999999999999"/>
    <n v="0.29599999999999999"/>
    <n v="7.9299999999999995E-2"/>
    <n v="0.23400000000000001"/>
    <n v="-2.8530000000000002"/>
    <n v="178480"/>
    <n v="2019"/>
    <x v="0"/>
  </r>
  <r>
    <n v="584"/>
    <n v="190"/>
    <n v="3"/>
    <d v="2021-01-01T00:00:00"/>
    <x v="4"/>
    <s v="Dancing in My Room"/>
    <n v="4914093"/>
    <s v="347aidan"/>
    <n v="211500"/>
    <s v="sad rap"/>
    <d v="2020-10-26T00:00:00"/>
    <n v="79"/>
    <x v="1"/>
    <n v="0.98"/>
    <n v="0.41299999999999998"/>
    <n v="0.10100000000000001"/>
    <n v="0.67100000000000004"/>
    <n v="0.17"/>
    <n v="0.76400000000000001"/>
    <n v="-11.052"/>
    <n v="180139"/>
    <n v="2020"/>
    <x v="0"/>
  </r>
  <r>
    <n v="763"/>
    <n v="87"/>
    <n v="11"/>
    <d v="2020-09-25T00:00:00"/>
    <x v="2"/>
    <s v="You Got It"/>
    <n v="4907925"/>
    <s v="Vedo"/>
    <n v="260236"/>
    <s v="pop r&amp;b"/>
    <d v="2020-03-27T00:00:00"/>
    <n v="79"/>
    <x v="1"/>
    <n v="0.76200000000000001"/>
    <n v="0.433"/>
    <n v="0.187"/>
    <n v="0.14299999999999999"/>
    <n v="0.11799999999999999"/>
    <n v="0.39400000000000002"/>
    <n v="-8.9369999999999994"/>
    <n v="203145"/>
    <n v="2020"/>
    <x v="0"/>
  </r>
  <r>
    <n v="567"/>
    <n v="20"/>
    <n v="15"/>
    <d v="2020-11-13T00:00:00"/>
    <x v="2"/>
    <s v="pov"/>
    <n v="4906738"/>
    <s v="Ariana Grande"/>
    <n v="67208170"/>
    <s v="dance pop"/>
    <d v="2020-10-30T00:00:00"/>
    <n v="79"/>
    <x v="1"/>
    <n v="0.48699999999999999"/>
    <n v="0.53400000000000003"/>
    <n v="5.5500000000000001E-2"/>
    <n v="0.36"/>
    <n v="0.1"/>
    <n v="0.17299999999999999"/>
    <n v="-5.6639999999999997"/>
    <n v="201882"/>
    <n v="2020"/>
    <x v="0"/>
  </r>
  <r>
    <n v="601"/>
    <n v="17"/>
    <n v="25"/>
    <d v="2020-07-03T00:00:00"/>
    <x v="3"/>
    <s v="The Woo (feat. 50 Cent &amp; Roddy Ricch)"/>
    <n v="4892682"/>
    <s v="Pop Smoke"/>
    <n v="6852509"/>
    <s v="brooklyn drill"/>
    <d v="2020-07-03T00:00:00"/>
    <n v="79"/>
    <x v="1"/>
    <n v="0.49"/>
    <n v="0.61799999999999999"/>
    <n v="0.104"/>
    <n v="2.2100000000000002E-2"/>
    <n v="0.25900000000000001"/>
    <n v="0.28599999999999998"/>
    <n v="-5.6550000000000002"/>
    <n v="201600"/>
    <n v="2020"/>
    <x v="0"/>
  </r>
  <r>
    <n v="1466"/>
    <n v="191"/>
    <n v="4"/>
    <d v="2020-01-03T00:00:00"/>
    <x v="1"/>
    <s v="Going Bad (feat. Drake)"/>
    <n v="4889500"/>
    <s v="Meek Mill"/>
    <n v="5241145"/>
    <s v="hip hop"/>
    <d v="2018-11-30T00:00:00"/>
    <n v="79"/>
    <x v="1"/>
    <n v="0.88900000000000001"/>
    <n v="0.496"/>
    <n v="9.0499999999999997E-2"/>
    <n v="0.25900000000000001"/>
    <n v="0.252"/>
    <n v="0.54400000000000004"/>
    <n v="-6.3650000000000002"/>
    <n v="180522"/>
    <n v="2018"/>
    <x v="0"/>
  </r>
  <r>
    <n v="1453"/>
    <n v="148"/>
    <n v="7"/>
    <d v="2020-01-03T00:00:00"/>
    <x v="1"/>
    <s v="MIDDLE CHILD"/>
    <n v="4836113"/>
    <s v="J. Cole"/>
    <n v="14103694"/>
    <s v="conscious hip hop"/>
    <d v="2019-01-23T00:00:00"/>
    <n v="79"/>
    <x v="1"/>
    <n v="0.83699999999999997"/>
    <n v="0.36399999999999999"/>
    <n v="0.27600000000000002"/>
    <n v="0.14899999999999999"/>
    <n v="0.27100000000000002"/>
    <n v="0.46300000000000002"/>
    <n v="-11.712999999999999"/>
    <n v="213594"/>
    <n v="2019"/>
    <x v="0"/>
  </r>
  <r>
    <n v="801"/>
    <n v="30"/>
    <n v="45"/>
    <d v="2019-12-27T00:00:00"/>
    <x v="2"/>
    <s v="Beautiful People (feat. Khalid)"/>
    <n v="4813796"/>
    <s v="Ed Sheeran"/>
    <n v="83337783"/>
    <s v="pop"/>
    <d v="2019-06-28T00:00:00"/>
    <n v="79"/>
    <x v="0"/>
    <n v="0.64"/>
    <n v="0.64800000000000002"/>
    <n v="0.187"/>
    <n v="0.124"/>
    <n v="8.0199999999999994E-2"/>
    <n v="0.54800000000000004"/>
    <n v="-8.1129999999999995"/>
    <n v="197867"/>
    <n v="2019"/>
    <x v="0"/>
  </r>
  <r>
    <n v="1552"/>
    <n v="195"/>
    <n v="1"/>
    <d v="2019-12-27T00:00:00"/>
    <x v="2"/>
    <s v="New Rules"/>
    <n v="4630675"/>
    <s v="Dua Lipa"/>
    <n v="27167675"/>
    <s v="dance pop"/>
    <d v="2017-06-02T00:00:00"/>
    <n v="79"/>
    <x v="0"/>
    <n v="0.76200000000000001"/>
    <n v="0.7"/>
    <n v="6.9400000000000003E-2"/>
    <n v="2.6099999999999999E-3"/>
    <n v="0.153"/>
    <n v="0.60799999999999998"/>
    <n v="-6.0209999999999999"/>
    <n v="209320"/>
    <n v="2017"/>
    <x v="0"/>
  </r>
  <r>
    <n v="1165"/>
    <n v="51"/>
    <n v="5"/>
    <d v="2020-04-24T00:00:00"/>
    <x v="4"/>
    <s v="BUTTERFLY EFFECT"/>
    <n v="4537762"/>
    <s v="Travis Scott"/>
    <n v="17732077"/>
    <s v="rap"/>
    <d v="2018-08-03T00:00:00"/>
    <n v="79"/>
    <x v="1"/>
    <n v="0.76300000000000001"/>
    <n v="0.628"/>
    <n v="0.05"/>
    <n v="5.3100000000000001E-2"/>
    <n v="0.114"/>
    <n v="0.193"/>
    <n v="-5.85"/>
    <n v="190557"/>
    <n v="2018"/>
    <x v="0"/>
  </r>
  <r>
    <n v="1095"/>
    <n v="145"/>
    <n v="5"/>
    <d v="2020-06-05T00:00:00"/>
    <x v="3"/>
    <s v="IDK You Yet"/>
    <n v="4473413"/>
    <s v="Alexander 23"/>
    <n v="207170"/>
    <s v="alt z"/>
    <d v="2020-06-23T00:00:00"/>
    <n v="79"/>
    <x v="1"/>
    <n v="0.64800000000000002"/>
    <n v="0.308"/>
    <n v="0.04"/>
    <n v="0.88600000000000001"/>
    <n v="0.124"/>
    <n v="0.19800000000000001"/>
    <n v="-11.728999999999999"/>
    <n v="184638"/>
    <n v="2020"/>
    <x v="0"/>
  </r>
  <r>
    <n v="960"/>
    <n v="189"/>
    <n v="2"/>
    <d v="2020-08-14T00:00:00"/>
    <x v="3"/>
    <s v="Lovefool"/>
    <n v="4439790"/>
    <s v="twocolors"/>
    <n v="36369"/>
    <s v="edm"/>
    <d v="2020-05-08T00:00:00"/>
    <n v="79"/>
    <x v="0"/>
    <n v="0.67700000000000005"/>
    <n v="0.76600000000000001"/>
    <n v="5.6800000000000003E-2"/>
    <n v="2.1899999999999999E-2"/>
    <n v="0.129"/>
    <n v="0.19800000000000001"/>
    <n v="-6.8959999999999999"/>
    <n v="190488"/>
    <n v="2020"/>
    <x v="0"/>
  </r>
  <r>
    <n v="1096"/>
    <n v="75"/>
    <n v="25"/>
    <d v="2019-12-27T00:00:00"/>
    <x v="2"/>
    <s v="Piece Of Your Heart"/>
    <n v="4422905"/>
    <s v="MEDUZA, Goodboys"/>
    <n v="441714"/>
    <s v="dance pop"/>
    <d v="2019-02-01T00:00:00"/>
    <n v="79"/>
    <x v="0"/>
    <n v="0.67700000000000005"/>
    <n v="0.74399999999999999"/>
    <n v="2.9499999999999998E-2"/>
    <n v="4.0399999999999998E-2"/>
    <n v="7.3999999999999996E-2"/>
    <n v="0.63100000000000001"/>
    <n v="-6.806"/>
    <n v="152913"/>
    <n v="2019"/>
    <x v="0"/>
  </r>
  <r>
    <n v="962"/>
    <n v="118"/>
    <n v="33"/>
    <d v="2019-12-27T00:00:00"/>
    <x v="3"/>
    <s v="Higher Love"/>
    <n v="4392936"/>
    <s v="Kygo, Whitney Houston"/>
    <n v="7593792"/>
    <s v="edm"/>
    <d v="2019-06-28T00:00:00"/>
    <n v="79"/>
    <x v="0"/>
    <n v="0.69299999999999995"/>
    <n v="0.67800000000000005"/>
    <n v="3.2399999999999998E-2"/>
    <n v="1.5100000000000001E-2"/>
    <n v="0.10100000000000001"/>
    <n v="0.40400000000000003"/>
    <n v="-7.1589999999999998"/>
    <n v="228267"/>
    <n v="2019"/>
    <x v="0"/>
  </r>
  <r>
    <n v="1098"/>
    <n v="14"/>
    <n v="17"/>
    <d v="2020-02-28T00:00:00"/>
    <x v="3"/>
    <s v="La Santa"/>
    <n v="4384527"/>
    <s v="Bad Bunny, Daddy Yankee"/>
    <n v="36177712"/>
    <s v="latin"/>
    <d v="2020-02-29T00:00:00"/>
    <n v="79"/>
    <x v="0"/>
    <n v="0.74399999999999999"/>
    <n v="0.86799999999999999"/>
    <n v="4.7E-2"/>
    <n v="3.2599999999999997E-2"/>
    <n v="8.2199999999999995E-2"/>
    <n v="0.58599999999999997"/>
    <n v="-4.524"/>
    <n v="206420"/>
    <n v="2020"/>
    <x v="0"/>
  </r>
  <r>
    <n v="257"/>
    <n v="47"/>
    <n v="1"/>
    <d v="2021-06-25T00:00:00"/>
    <x v="1"/>
    <s v="LEMONHEAD (feat. 42 Dugg)"/>
    <n v="11380679"/>
    <s v="Tyler, The Creator"/>
    <n v="6777818"/>
    <s v="hip hop"/>
    <d v="2021-06-25T00:00:00"/>
    <n v="78"/>
    <x v="1"/>
    <n v="0.62"/>
    <n v="0.58599999999999997"/>
    <n v="0.21199999999999999"/>
    <n v="0.155"/>
    <n v="0.53500000000000003"/>
    <n v="0.48699999999999999"/>
    <n v="-6.6120000000000001"/>
    <n v="130980"/>
    <n v="2021"/>
    <x v="0"/>
  </r>
  <r>
    <n v="420"/>
    <n v="72"/>
    <n v="1"/>
    <d v="2021-04-16T00:00:00"/>
    <x v="4"/>
    <s v="Ski"/>
    <n v="7753784"/>
    <s v="Young Stoner Life, Young Thug, Gunna"/>
    <n v="61930"/>
    <s v="rap"/>
    <d v="2021-04-16T00:00:00"/>
    <n v="78"/>
    <x v="1"/>
    <n v="0.95299999999999996"/>
    <n v="0.621"/>
    <n v="0.221"/>
    <n v="1.7000000000000001E-2"/>
    <n v="3.9800000000000002E-2"/>
    <n v="0.88300000000000001"/>
    <n v="-7.6379999999999999"/>
    <n v="152333"/>
    <n v="2021"/>
    <x v="0"/>
  </r>
  <r>
    <n v="300"/>
    <n v="71"/>
    <n v="4"/>
    <d v="2021-05-21T00:00:00"/>
    <x v="4"/>
    <s v="GANG GANG (with Lil Wayne)"/>
    <n v="7506580"/>
    <s v="Polo G"/>
    <n v="4840346"/>
    <s v="chicago rap"/>
    <d v="2021-05-21T00:00:00"/>
    <n v="78"/>
    <x v="1"/>
    <n v="0.752"/>
    <n v="0.56299999999999994"/>
    <n v="0.20899999999999999"/>
    <n v="0.14599999999999999"/>
    <n v="0.10299999999999999"/>
    <n v="0.55100000000000005"/>
    <n v="-8.0660000000000007"/>
    <n v="178776"/>
    <n v="2021"/>
    <x v="0"/>
  </r>
  <r>
    <n v="766"/>
    <n v="95"/>
    <n v="1"/>
    <d v="2020-11-13T00:00:00"/>
    <x v="1"/>
    <s v="Drankin N Smokin"/>
    <n v="7292247"/>
    <s v="Future, Lil Uzi Vert"/>
    <n v="10491105"/>
    <s v="atl hip hop"/>
    <d v="2020-11-13T00:00:00"/>
    <n v="78"/>
    <x v="0"/>
    <n v="0.752"/>
    <n v="0.65800000000000003"/>
    <n v="0.34200000000000003"/>
    <n v="4.2099999999999999E-2"/>
    <n v="9.2700000000000005E-2"/>
    <n v="0.38700000000000001"/>
    <n v="-6.2969999999999997"/>
    <n v="213520"/>
    <n v="2020"/>
    <x v="0"/>
  </r>
  <r>
    <n v="94"/>
    <n v="94"/>
    <n v="1"/>
    <d v="2021-07-23T00:00:00"/>
    <x v="1"/>
    <s v="Blaues Licht"/>
    <n v="7084292"/>
    <s v="RAF Camora, Bonez MC"/>
    <n v="1329531"/>
    <s v="german hip hop"/>
    <d v="2021-07-16T00:00:00"/>
    <n v="78"/>
    <x v="0"/>
    <n v="0.81899999999999995"/>
    <n v="0.83499999999999996"/>
    <n v="0.10199999999999999"/>
    <n v="0.39800000000000002"/>
    <n v="0.252"/>
    <n v="0.70299999999999996"/>
    <n v="-4.899"/>
    <n v="144264"/>
    <n v="2021"/>
    <x v="0"/>
  </r>
  <r>
    <n v="238"/>
    <n v="101"/>
    <n v="1"/>
    <d v="2021-07-02T00:00:00"/>
    <x v="4"/>
    <s v="Wasting Time ( feat. Drake )"/>
    <n v="6731106"/>
    <s v="Brent Faiyaz"/>
    <n v="1724414"/>
    <s v="dmv rap"/>
    <d v="2021-07-01T00:00:00"/>
    <n v="78"/>
    <x v="0"/>
    <n v="0.65200000000000002"/>
    <n v="0.71699999999999997"/>
    <n v="5.8099999999999999E-2"/>
    <n v="6.9400000000000003E-2"/>
    <n v="9.06E-2"/>
    <n v="0.377"/>
    <n v="-3.7509999999999999"/>
    <n v="301304"/>
    <n v="2021"/>
    <x v="0"/>
  </r>
  <r>
    <n v="747"/>
    <n v="82"/>
    <n v="11"/>
    <d v="2020-10-23T00:00:00"/>
    <x v="2"/>
    <s v="Tick Tock (feat. 24kGoldn)"/>
    <n v="6241923"/>
    <s v="Clean Bandit, Mabel"/>
    <n v="4431309"/>
    <s v="dance pop"/>
    <d v="2020-08-21T00:00:00"/>
    <n v="78"/>
    <x v="0"/>
    <n v="0.77900000000000003"/>
    <n v="0.70499999999999996"/>
    <n v="3.44E-2"/>
    <n v="0.36899999999999999"/>
    <n v="0.124"/>
    <n v="0.94599999999999995"/>
    <n v="-3.895"/>
    <n v="178374"/>
    <n v="2020"/>
    <x v="0"/>
  </r>
  <r>
    <n v="127"/>
    <n v="122"/>
    <n v="37"/>
    <d v="2021-07-16T00:00:00"/>
    <x v="2"/>
    <s v="Riptide"/>
    <n v="6089242"/>
    <s v="Vance Joy"/>
    <n v="2421254"/>
    <s v="folk-pop"/>
    <d v="2014-09-09T00:00:00"/>
    <n v="78"/>
    <x v="0"/>
    <n v="0.48399999999999999"/>
    <n v="0.73099999999999998"/>
    <n v="3.7900000000000003E-2"/>
    <n v="0.43099999999999999"/>
    <n v="0.151"/>
    <n v="0.51"/>
    <n v="-6.694"/>
    <n v="204280"/>
    <n v="2014"/>
    <x v="0"/>
  </r>
  <r>
    <n v="366"/>
    <n v="92"/>
    <n v="3"/>
    <d v="2021-04-30T00:00:00"/>
    <x v="1"/>
    <s v="Snow Tha Product: Bzrp Music Sessions, Vol. 39"/>
    <n v="5595839"/>
    <s v="Bizarrap, Snow Tha Product"/>
    <n v="3126961"/>
    <s v="argentine hip hop"/>
    <d v="2021-04-28T00:00:00"/>
    <n v="78"/>
    <x v="0"/>
    <n v="0.83"/>
    <n v="0.748"/>
    <n v="0.16200000000000001"/>
    <n v="0.35399999999999998"/>
    <n v="9.9199999999999997E-2"/>
    <n v="0.52300000000000002"/>
    <n v="-5.3620000000000001"/>
    <n v="177443"/>
    <n v="2021"/>
    <x v="0"/>
  </r>
  <r>
    <n v="557"/>
    <n v="152"/>
    <n v="1"/>
    <d v="2021-02-05T00:00:00"/>
    <x v="3"/>
    <s v="Floating Through Space"/>
    <n v="5579697"/>
    <s v="Sia, David Guetta"/>
    <n v="20528724"/>
    <s v="australian dance"/>
    <d v="2021-02-04T00:00:00"/>
    <n v="78"/>
    <x v="0"/>
    <n v="0.57499999999999996"/>
    <n v="0.84399999999999997"/>
    <n v="7.1999999999999995E-2"/>
    <n v="1.72E-3"/>
    <n v="0.114"/>
    <n v="0.27700000000000002"/>
    <n v="-4.8899999999999997"/>
    <n v="177801"/>
    <n v="2021"/>
    <x v="0"/>
  </r>
  <r>
    <n v="472"/>
    <n v="181"/>
    <n v="1"/>
    <d v="2021-03-26T00:00:00"/>
    <x v="2"/>
    <s v="Girls Like Us"/>
    <n v="5410730"/>
    <s v="Zoe Wees"/>
    <n v="203555"/>
    <s v="german pop"/>
    <d v="2021-01-12T00:00:00"/>
    <n v="78"/>
    <x v="0"/>
    <n v="0.44400000000000001"/>
    <n v="0.64800000000000002"/>
    <n v="4.7600000000000003E-2"/>
    <n v="0.28799999999999998"/>
    <n v="5.8999999999999997E-2"/>
    <n v="0.17100000000000001"/>
    <n v="-4.9550000000000001"/>
    <n v="189000"/>
    <n v="2021"/>
    <x v="0"/>
  </r>
  <r>
    <n v="726"/>
    <n v="60"/>
    <n v="17"/>
    <d v="2020-06-12T00:00:00"/>
    <x v="1"/>
    <s v="GO (feat. Juice WRLD)"/>
    <n v="5370330"/>
    <s v="The Kid LAROI"/>
    <n v="2238190"/>
    <s v="australian hip hop"/>
    <d v="2020-07-24T00:00:00"/>
    <n v="78"/>
    <x v="0"/>
    <n v="0.48699999999999999"/>
    <n v="0.74"/>
    <n v="9.4399999999999998E-2"/>
    <n v="0.157"/>
    <n v="0.61199999999999999"/>
    <n v="0.52200000000000002"/>
    <n v="-4.9729999999999999"/>
    <n v="181688"/>
    <n v="2020"/>
    <x v="0"/>
  </r>
  <r>
    <n v="750"/>
    <n v="88"/>
    <n v="12"/>
    <d v="2020-10-09T00:00:00"/>
    <x v="3"/>
    <s v="Jerusalema (feat. Nomcebo Zikode)"/>
    <n v="5362508"/>
    <s v="Master KG"/>
    <n v="247480"/>
    <s v="south african house"/>
    <d v="2020-01-24T00:00:00"/>
    <n v="78"/>
    <x v="1"/>
    <n v="0.88"/>
    <n v="0.48299999999999998"/>
    <n v="5.0500000000000003E-2"/>
    <n v="1.8499999999999999E-2"/>
    <n v="6.0699999999999997E-2"/>
    <n v="0.82699999999999996"/>
    <n v="-7.0119999999999996"/>
    <n v="342613"/>
    <n v="2020"/>
    <x v="0"/>
  </r>
  <r>
    <n v="308"/>
    <n v="181"/>
    <n v="1"/>
    <d v="2021-06-11T00:00:00"/>
    <x v="1"/>
    <s v="Modern Day"/>
    <n v="5322745"/>
    <s v="Migos"/>
    <n v="11690201"/>
    <s v="atl hip hop"/>
    <d v="2021-06-11T00:00:00"/>
    <n v="78"/>
    <x v="1"/>
    <n v="0.87"/>
    <n v="0.629"/>
    <n v="0.27900000000000003"/>
    <n v="0.17299999999999999"/>
    <n v="0.10100000000000001"/>
    <n v="0.51200000000000001"/>
    <n v="-7.5979999999999999"/>
    <n v="241790"/>
    <n v="2021"/>
    <x v="0"/>
  </r>
  <r>
    <n v="485"/>
    <n v="37"/>
    <n v="31"/>
    <d v="2020-11-06T00:00:00"/>
    <x v="3"/>
    <s v="Parce (feat. Justin Quiles)"/>
    <n v="5312876"/>
    <s v="Maluma, Lenny Tavárez"/>
    <n v="26769304"/>
    <s v="latin"/>
    <d v="2020-08-21T00:00:00"/>
    <n v="78"/>
    <x v="0"/>
    <n v="0.69099999999999995"/>
    <n v="0.73899999999999999"/>
    <n v="0.22900000000000001"/>
    <n v="0.42199999999999999"/>
    <n v="0.11"/>
    <n v="0.88400000000000001"/>
    <n v="-3.09"/>
    <n v="248345"/>
    <n v="2020"/>
    <x v="0"/>
  </r>
  <r>
    <n v="478"/>
    <n v="22"/>
    <n v="29"/>
    <d v="2020-10-23T00:00:00"/>
    <x v="3"/>
    <s v="La Tóxica"/>
    <n v="5255393"/>
    <s v="Farruko"/>
    <n v="10510156"/>
    <s v="latin"/>
    <d v="2020-07-24T00:00:00"/>
    <n v="78"/>
    <x v="0"/>
    <n v="0.65900000000000003"/>
    <n v="0.70099999999999996"/>
    <n v="0.16400000000000001"/>
    <n v="8.8200000000000001E-2"/>
    <n v="8.6599999999999996E-2"/>
    <n v="0.623"/>
    <n v="-4.1070000000000002"/>
    <n v="180520"/>
    <n v="2020"/>
    <x v="0"/>
  </r>
  <r>
    <n v="809"/>
    <n v="105"/>
    <n v="26"/>
    <d v="2020-01-03T00:00:00"/>
    <x v="2"/>
    <s v="Dancing With A Stranger (with Normani)"/>
    <n v="5229835"/>
    <s v="Sam Smith"/>
    <n v="17097317"/>
    <s v="dance pop"/>
    <d v="2019-01-11T00:00:00"/>
    <n v="78"/>
    <x v="1"/>
    <n v="0.74099999999999999"/>
    <n v="0.52"/>
    <n v="6.5600000000000006E-2"/>
    <n v="0.45"/>
    <n v="0.222"/>
    <n v="0.34699999999999998"/>
    <n v="-7.5129999999999999"/>
    <n v="171030"/>
    <n v="2019"/>
    <x v="0"/>
  </r>
  <r>
    <n v="886"/>
    <n v="64"/>
    <n v="17"/>
    <d v="2020-08-07T00:00:00"/>
    <x v="2"/>
    <s v="Secrets"/>
    <n v="5178107"/>
    <s v="Regard, RAYE"/>
    <n v="152237"/>
    <s v="dance pop"/>
    <d v="2020-04-24T00:00:00"/>
    <n v="78"/>
    <x v="0"/>
    <n v="0.84799999999999998"/>
    <n v="0.76800000000000002"/>
    <n v="3.73E-2"/>
    <n v="4.1200000000000001E-2"/>
    <n v="0.19500000000000001"/>
    <n v="0.77700000000000002"/>
    <n v="-5.3860000000000001"/>
    <n v="176767"/>
    <n v="2020"/>
    <x v="0"/>
  </r>
  <r>
    <n v="1155"/>
    <n v="54"/>
    <n v="22"/>
    <d v="2020-01-03T00:00:00"/>
    <x v="4"/>
    <s v="Goodbyes (Feat. Young Thug)"/>
    <n v="5134161"/>
    <s v="Post Malone"/>
    <n v="33663701"/>
    <s v="dfw rap"/>
    <d v="2019-09-06T00:00:00"/>
    <n v="78"/>
    <x v="0"/>
    <n v="0.54800000000000004"/>
    <n v="0.65300000000000002"/>
    <n v="8.1000000000000003E-2"/>
    <n v="0.45600000000000002"/>
    <n v="0.10299999999999999"/>
    <n v="0.16300000000000001"/>
    <n v="-3.875"/>
    <n v="174853"/>
    <n v="2019"/>
    <x v="0"/>
  </r>
  <r>
    <n v="546"/>
    <n v="22"/>
    <n v="32"/>
    <d v="2020-08-28T00:00:00"/>
    <x v="2"/>
    <s v="Tattoo - Remix with Camilo"/>
    <n v="5120753"/>
    <s v="Rauw Alejandro"/>
    <n v="6096559"/>
    <s v="puerto rican pop"/>
    <d v="2020-07-09T00:00:00"/>
    <n v="78"/>
    <x v="0"/>
    <n v="0.84799999999999998"/>
    <n v="0.63700000000000001"/>
    <n v="0.156"/>
    <n v="4.1300000000000003E-2"/>
    <n v="5.21E-2"/>
    <n v="0.69799999999999995"/>
    <n v="-5.1319999999999997"/>
    <n v="222680"/>
    <n v="2020"/>
    <x v="0"/>
  </r>
  <r>
    <n v="537"/>
    <n v="173"/>
    <n v="5"/>
    <d v="2021-02-05T00:00:00"/>
    <x v="3"/>
    <s v="Remember That Night?"/>
    <n v="5116325"/>
    <s v="Sara Kays"/>
    <n v="251549"/>
    <s v="alt z"/>
    <d v="2020-11-06T00:00:00"/>
    <n v="78"/>
    <x v="1"/>
    <n v="0.67900000000000005"/>
    <n v="0.61"/>
    <n v="3.0499999999999999E-2"/>
    <n v="0.58499999999999996"/>
    <n v="0.156"/>
    <n v="0.55400000000000005"/>
    <n v="-10.936"/>
    <n v="227186"/>
    <n v="2020"/>
    <x v="0"/>
  </r>
  <r>
    <n v="1375"/>
    <n v="140"/>
    <n v="9"/>
    <d v="2020-01-31T00:00:00"/>
    <x v="2"/>
    <s v="You Need To Calm Down"/>
    <n v="5115153"/>
    <s v="Taylor Swift"/>
    <n v="42227614"/>
    <s v="pop"/>
    <d v="2019-08-23T00:00:00"/>
    <n v="78"/>
    <x v="0"/>
    <n v="0.77100000000000002"/>
    <n v="0.67100000000000004"/>
    <n v="5.5300000000000002E-2"/>
    <n v="9.2899999999999996E-3"/>
    <n v="6.3700000000000007E-2"/>
    <n v="0.71399999999999997"/>
    <n v="-5.617"/>
    <n v="171360"/>
    <n v="2019"/>
    <x v="0"/>
  </r>
  <r>
    <n v="191"/>
    <n v="191"/>
    <n v="1"/>
    <d v="2021-07-23T00:00:00"/>
    <x v="2"/>
    <s v="Kiss My (Uh Oh)"/>
    <n v="5063181"/>
    <s v="Anne-Marie, Little Mix"/>
    <n v="8148393"/>
    <s v="dance pop"/>
    <d v="2021-07-23T00:00:00"/>
    <n v="78"/>
    <x v="0"/>
    <n v="0.63800000000000001"/>
    <n v="0.878"/>
    <n v="4.8399999999999999E-2"/>
    <n v="1.5100000000000001E-2"/>
    <n v="0.308"/>
    <n v="0.48099999999999998"/>
    <n v="-3.6389999999999998"/>
    <n v="176800"/>
    <n v="2021"/>
    <x v="0"/>
  </r>
  <r>
    <n v="458"/>
    <n v="75"/>
    <n v="5"/>
    <d v="2021-03-05T00:00:00"/>
    <x v="4"/>
    <s v="Además de Mí - Remix"/>
    <n v="5060336"/>
    <s v="Rusherking, KHEA, Duki, Maria Becerra, LIT killah, Tiago PZK"/>
    <n v="301217"/>
    <s v="trap argentino"/>
    <d v="2021-03-04T00:00:00"/>
    <n v="78"/>
    <x v="1"/>
    <n v="0.39700000000000002"/>
    <n v="0.61299999999999999"/>
    <n v="5.4899999999999997E-2"/>
    <n v="3.9600000000000003E-2"/>
    <n v="0.192"/>
    <n v="0.40500000000000003"/>
    <n v="-5.077"/>
    <n v="330040"/>
    <n v="2021"/>
    <x v="0"/>
  </r>
  <r>
    <n v="538"/>
    <n v="128"/>
    <n v="3"/>
    <d v="2021-01-22T00:00:00"/>
    <x v="2"/>
    <s v="Lifestyle (feat. Adam Levine)"/>
    <n v="5059891"/>
    <s v="Jason Derulo, Maroon 5"/>
    <n v="9778632"/>
    <s v="dance pop"/>
    <d v="2021-01-21T00:00:00"/>
    <n v="78"/>
    <x v="0"/>
    <n v="0.749"/>
    <n v="0.67400000000000004"/>
    <n v="3.6600000000000001E-2"/>
    <n v="2.0899999999999998E-2"/>
    <n v="0.16900000000000001"/>
    <n v="0.71099999999999997"/>
    <n v="-5.1280000000000001"/>
    <n v="153865"/>
    <n v="2021"/>
    <x v="0"/>
  </r>
  <r>
    <n v="758"/>
    <n v="188"/>
    <n v="1"/>
    <d v="2020-11-20T00:00:00"/>
    <x v="2"/>
    <s v="Mirrors"/>
    <n v="4988571"/>
    <s v="Justin Timberlake"/>
    <n v="11034144"/>
    <s v="dance pop"/>
    <d v="2013-03-15T00:00:00"/>
    <n v="78"/>
    <x v="1"/>
    <n v="0.57399999999999995"/>
    <n v="0.51200000000000001"/>
    <n v="5.0299999999999997E-2"/>
    <n v="0.23400000000000001"/>
    <n v="9.4600000000000004E-2"/>
    <n v="0.51200000000000001"/>
    <n v="-6.6639999999999997"/>
    <n v="484147"/>
    <n v="2013"/>
    <x v="0"/>
  </r>
  <r>
    <n v="464"/>
    <n v="45"/>
    <n v="18"/>
    <d v="2021-01-01T00:00:00"/>
    <x v="2"/>
    <s v="BEBÉ"/>
    <n v="4967348"/>
    <s v="Camilo, El Alfa"/>
    <n v="10580764"/>
    <s v="colombian pop"/>
    <d v="2020-11-25T00:00:00"/>
    <n v="78"/>
    <x v="0"/>
    <n v="0.86199999999999999"/>
    <n v="0.72"/>
    <n v="3.7900000000000003E-2"/>
    <n v="0.48699999999999999"/>
    <n v="6.0400000000000002E-2"/>
    <n v="0.96499999999999997"/>
    <n v="-4.048"/>
    <n v="198707"/>
    <n v="2020"/>
    <x v="0"/>
  </r>
  <r>
    <n v="550"/>
    <n v="2"/>
    <n v="46"/>
    <d v="2020-05-01T00:00:00"/>
    <x v="1"/>
    <s v="Toosie Slide"/>
    <n v="4966878"/>
    <s v="Drake"/>
    <n v="56327031"/>
    <s v="canadian hip hop"/>
    <d v="2020-04-03T00:00:00"/>
    <n v="78"/>
    <x v="1"/>
    <n v="0.83399999999999996"/>
    <n v="0.45400000000000001"/>
    <n v="0.20100000000000001"/>
    <n v="0.32100000000000001"/>
    <n v="0.114"/>
    <n v="0.83699999999999997"/>
    <n v="-9.75"/>
    <n v="247059"/>
    <n v="2020"/>
    <x v="0"/>
  </r>
  <r>
    <n v="237"/>
    <n v="194"/>
    <n v="4"/>
    <d v="2020-10-09T00:00:00"/>
    <x v="3"/>
    <s v="Wonderwall - Remastered"/>
    <n v="4938180"/>
    <s v="Oasis"/>
    <n v="6475631"/>
    <s v="beatlesque"/>
    <d v="1995-01-01T00:00:00"/>
    <n v="78"/>
    <x v="0"/>
    <n v="0.375"/>
    <n v="0.89300000000000002"/>
    <n v="4.0599999999999997E-2"/>
    <n v="5.0900000000000001E-4"/>
    <n v="0.187"/>
    <n v="0.434"/>
    <n v="-4.0970000000000004"/>
    <n v="258773"/>
    <n v="1995"/>
    <x v="0"/>
  </r>
  <r>
    <n v="599"/>
    <n v="21"/>
    <n v="7"/>
    <d v="2020-11-27T00:00:00"/>
    <x v="3"/>
    <s v="HACIENDO QUE ME AMAS"/>
    <n v="4935633"/>
    <s v="Bad Bunny"/>
    <n v="36177712"/>
    <s v="latin"/>
    <d v="2020-11-27T00:00:00"/>
    <n v="78"/>
    <x v="1"/>
    <n v="0.58399999999999996"/>
    <n v="0.41099999999999998"/>
    <n v="8.3799999999999999E-2"/>
    <n v="0.86899999999999999"/>
    <n v="9.5500000000000002E-2"/>
    <n v="0.41199999999999998"/>
    <n v="-7.1470000000000002"/>
    <n v="217769"/>
    <n v="2020"/>
    <x v="0"/>
  </r>
  <r>
    <n v="798"/>
    <n v="41"/>
    <n v="19"/>
    <d v="2020-07-03T00:00:00"/>
    <x v="3"/>
    <s v="Got It On Me"/>
    <n v="4924030"/>
    <s v="Pop Smoke"/>
    <n v="6852509"/>
    <s v="brooklyn drill"/>
    <d v="2020-07-03T00:00:00"/>
    <n v="78"/>
    <x v="0"/>
    <n v="0.68799999999999994"/>
    <n v="0.64700000000000002"/>
    <n v="0.19"/>
    <n v="8.1499999999999993E-3"/>
    <n v="9.5000000000000001E-2"/>
    <n v="0.19500000000000001"/>
    <n v="-7.258"/>
    <n v="164580"/>
    <n v="2020"/>
    <x v="0"/>
  </r>
  <r>
    <n v="760"/>
    <n v="24"/>
    <n v="8"/>
    <d v="2020-10-02T00:00:00"/>
    <x v="1"/>
    <s v="Runnin"/>
    <n v="4914682"/>
    <s v="21 Savage, Metro Boomin"/>
    <n v="9949044"/>
    <s v="atl hip hop"/>
    <d v="2020-10-02T00:00:00"/>
    <n v="78"/>
    <x v="1"/>
    <n v="0.81899999999999995"/>
    <n v="0.626"/>
    <n v="0.20200000000000001"/>
    <n v="7.4799999999999997E-3"/>
    <n v="0.16700000000000001"/>
    <n v="0.41499999999999998"/>
    <n v="-4.5739999999999998"/>
    <n v="195906"/>
    <n v="2020"/>
    <x v="0"/>
  </r>
  <r>
    <n v="553"/>
    <n v="193"/>
    <n v="1"/>
    <d v="2021-02-12T00:00:00"/>
    <x v="3"/>
    <s v="Wonderwall"/>
    <n v="4902737"/>
    <s v="Oasis"/>
    <n v="6478565"/>
    <s v="beatlesque"/>
    <d v="1995-01-01T00:00:00"/>
    <n v="78"/>
    <x v="0"/>
    <n v="0.375"/>
    <n v="0.89300000000000002"/>
    <n v="4.0599999999999997E-2"/>
    <n v="5.0900000000000001E-4"/>
    <n v="0.187"/>
    <n v="0.434"/>
    <n v="-4.0970000000000004"/>
    <n v="258773"/>
    <n v="1995"/>
    <x v="0"/>
  </r>
  <r>
    <n v="879"/>
    <n v="14"/>
    <n v="12"/>
    <d v="2020-07-10T00:00:00"/>
    <x v="4"/>
    <s v="Hate The Other Side (with Marshmello &amp; The Kid Laroi)"/>
    <n v="4851997"/>
    <s v="Juice WRLD, Polo G"/>
    <n v="19102888"/>
    <s v="chicago rap"/>
    <d v="2020-07-10T00:00:00"/>
    <n v="78"/>
    <x v="0"/>
    <n v="0.70099999999999996"/>
    <n v="0.65"/>
    <n v="0.104"/>
    <n v="0.29099999999999998"/>
    <n v="0.112"/>
    <n v="0.64700000000000002"/>
    <n v="-6.3129999999999997"/>
    <n v="160212"/>
    <n v="2020"/>
    <x v="0"/>
  </r>
  <r>
    <n v="1469"/>
    <n v="191"/>
    <n v="2"/>
    <d v="2020-01-24T00:00:00"/>
    <x v="2"/>
    <s v="idontwannabeyouanymore"/>
    <n v="4824483"/>
    <s v="Billie Eilish"/>
    <n v="47061119"/>
    <s v="electropop"/>
    <d v="2017-12-22T00:00:00"/>
    <n v="78"/>
    <x v="1"/>
    <n v="0.48299999999999998"/>
    <n v="0.41199999999999998"/>
    <n v="4.02E-2"/>
    <n v="0.73699999999999999"/>
    <n v="0.11600000000000001"/>
    <n v="0.247"/>
    <n v="-8.4610000000000003"/>
    <n v="203569"/>
    <n v="2017"/>
    <x v="0"/>
  </r>
  <r>
    <n v="891"/>
    <n v="10"/>
    <n v="22"/>
    <d v="2020-04-24T00:00:00"/>
    <x v="4"/>
    <s v="Righteous"/>
    <n v="4819362"/>
    <s v="Juice WRLD"/>
    <n v="19102888"/>
    <s v="chicago rap"/>
    <d v="2020-07-10T00:00:00"/>
    <n v="78"/>
    <x v="1"/>
    <n v="0.70599999999999996"/>
    <n v="0.625"/>
    <n v="3.1399999999999997E-2"/>
    <n v="4.1700000000000001E-2"/>
    <n v="0.129"/>
    <n v="0.22500000000000001"/>
    <n v="-7.4260000000000002"/>
    <n v="242181"/>
    <n v="2020"/>
    <x v="0"/>
  </r>
  <r>
    <n v="848"/>
    <n v="59"/>
    <n v="3"/>
    <d v="2020-09-25T00:00:00"/>
    <x v="1"/>
    <s v="forget me too (feat. Halsey)"/>
    <n v="4751756"/>
    <s v="Machine Gun Kelly"/>
    <n v="3868320"/>
    <s v="ohio hip hop"/>
    <d v="2020-09-25T00:00:00"/>
    <n v="78"/>
    <x v="0"/>
    <n v="0.65400000000000003"/>
    <n v="0.875"/>
    <n v="7.4399999999999994E-2"/>
    <n v="4.17E-4"/>
    <n v="0.19400000000000001"/>
    <n v="0.52200000000000002"/>
    <n v="-4.8449999999999998"/>
    <n v="171621"/>
    <n v="2020"/>
    <x v="0"/>
  </r>
  <r>
    <n v="1017"/>
    <n v="5"/>
    <n v="21"/>
    <d v="2020-03-06T00:00:00"/>
    <x v="3"/>
    <s v="La Difícil"/>
    <n v="4727554"/>
    <s v="Bad Bunny"/>
    <n v="36177712"/>
    <s v="latin"/>
    <d v="2020-02-29T00:00:00"/>
    <n v="78"/>
    <x v="0"/>
    <n v="0.68500000000000005"/>
    <n v="0.84799999999999998"/>
    <n v="8.5800000000000001E-2"/>
    <n v="8.6099999999999996E-2"/>
    <n v="7.8299999999999995E-2"/>
    <n v="0.76100000000000001"/>
    <n v="-4.5609999999999999"/>
    <n v="163084"/>
    <n v="2020"/>
    <x v="0"/>
  </r>
  <r>
    <n v="838"/>
    <n v="18"/>
    <n v="34"/>
    <d v="2020-04-03T00:00:00"/>
    <x v="3"/>
    <s v="Yo Perreo Sola"/>
    <n v="4680447"/>
    <s v="Bad Bunny"/>
    <n v="36177712"/>
    <s v="latin"/>
    <d v="2020-02-29T00:00:00"/>
    <n v="78"/>
    <x v="0"/>
    <n v="0.86"/>
    <n v="0.75800000000000001"/>
    <n v="6.9500000000000006E-2"/>
    <n v="2.1000000000000001E-2"/>
    <n v="0.34399999999999997"/>
    <n v="0.45300000000000001"/>
    <n v="-5.16"/>
    <n v="172127"/>
    <n v="2020"/>
    <x v="0"/>
  </r>
  <r>
    <n v="989"/>
    <n v="42"/>
    <n v="24"/>
    <d v="2020-04-17T00:00:00"/>
    <x v="2"/>
    <s v="Tattoo"/>
    <n v="4588064"/>
    <s v="Rauw Alejandro"/>
    <n v="6096559"/>
    <s v="puerto rican pop"/>
    <d v="2020-07-09T00:00:00"/>
    <n v="78"/>
    <x v="0"/>
    <n v="0.84799999999999998"/>
    <n v="0.63700000000000001"/>
    <n v="0.156"/>
    <n v="4.1300000000000003E-2"/>
    <n v="5.21E-2"/>
    <n v="0.69799999999999995"/>
    <n v="-5.1319999999999997"/>
    <n v="222680"/>
    <n v="2020"/>
    <x v="0"/>
  </r>
  <r>
    <n v="923"/>
    <n v="11"/>
    <n v="37"/>
    <d v="2019-12-27T00:00:00"/>
    <x v="2"/>
    <s v="RITMO (Bad Boys For Life)"/>
    <n v="4585895"/>
    <s v="Black Eyed Peas, J Balvin"/>
    <n v="5966748"/>
    <s v="dance pop"/>
    <d v="2019-10-12T00:00:00"/>
    <n v="78"/>
    <x v="0"/>
    <n v="0.72099999999999997"/>
    <n v="0.71599999999999997"/>
    <n v="6.5699999999999995E-2"/>
    <n v="3.3399999999999999E-2"/>
    <n v="0.23699999999999999"/>
    <n v="0.66700000000000004"/>
    <n v="-7.0369999999999999"/>
    <n v="221714"/>
    <n v="2019"/>
    <x v="0"/>
  </r>
  <r>
    <n v="1278"/>
    <n v="188"/>
    <n v="1"/>
    <d v="2020-03-27T00:00:00"/>
    <x v="3"/>
    <s v="Teeth"/>
    <n v="4571612"/>
    <s v="5 Seconds of Summer"/>
    <n v="7744095"/>
    <s v="boy band"/>
    <d v="2019-08-23T00:00:00"/>
    <n v="78"/>
    <x v="1"/>
    <n v="0.749"/>
    <n v="0.46100000000000002"/>
    <n v="4.1599999999999998E-2"/>
    <n v="5.16E-2"/>
    <n v="7.3800000000000004E-2"/>
    <n v="0.42"/>
    <n v="-2.9609999999999999"/>
    <n v="204887"/>
    <n v="2019"/>
    <x v="0"/>
  </r>
  <r>
    <n v="1027"/>
    <n v="132"/>
    <n v="7"/>
    <d v="2020-06-05T00:00:00"/>
    <x v="4"/>
    <s v="Goodbyes (feat. Young Thug)"/>
    <n v="4527742"/>
    <s v="Post Malone"/>
    <n v="33663701"/>
    <s v="dfw rap"/>
    <d v="2019-09-06T00:00:00"/>
    <n v="78"/>
    <x v="0"/>
    <n v="0.54800000000000004"/>
    <n v="0.65300000000000002"/>
    <n v="8.1000000000000003E-2"/>
    <n v="0.45600000000000002"/>
    <n v="0.10299999999999999"/>
    <n v="0.16300000000000001"/>
    <n v="-3.875"/>
    <n v="174853"/>
    <n v="2019"/>
    <x v="0"/>
  </r>
  <r>
    <n v="1109"/>
    <n v="15"/>
    <n v="25"/>
    <d v="2020-02-28T00:00:00"/>
    <x v="3"/>
    <s v="Vete"/>
    <n v="4486408"/>
    <s v="Bad Bunny"/>
    <n v="36177712"/>
    <s v="latin"/>
    <d v="2019-11-21T00:00:00"/>
    <n v="78"/>
    <x v="0"/>
    <n v="0.88600000000000001"/>
    <n v="0.67200000000000004"/>
    <n v="0.188"/>
    <n v="3.6299999999999999E-2"/>
    <n v="0.10100000000000001"/>
    <n v="0.52600000000000002"/>
    <n v="-4.3940000000000001"/>
    <n v="192024"/>
    <n v="2019"/>
    <x v="0"/>
  </r>
  <r>
    <n v="1111"/>
    <n v="15"/>
    <n v="24"/>
    <d v="2020-01-03T00:00:00"/>
    <x v="2"/>
    <s v="My Oh My (feat. DaBaby)"/>
    <n v="4413457"/>
    <s v="Camila Cabello"/>
    <n v="22698747"/>
    <s v="dance pop"/>
    <d v="2019-12-06T00:00:00"/>
    <n v="78"/>
    <x v="1"/>
    <n v="0.72399999999999998"/>
    <n v="0.49099999999999999"/>
    <n v="2.9600000000000001E-2"/>
    <n v="1.7999999999999999E-2"/>
    <n v="8.8700000000000001E-2"/>
    <n v="0.38300000000000001"/>
    <n v="-6.024"/>
    <n v="170746"/>
    <n v="2019"/>
    <x v="0"/>
  </r>
  <r>
    <n v="1074"/>
    <n v="88"/>
    <n v="27"/>
    <d v="2020-01-03T00:00:00"/>
    <x v="1"/>
    <s v="Money In The Grave (Drake ft. Rick Ross)"/>
    <n v="4403348"/>
    <s v="Drake"/>
    <n v="56327031"/>
    <s v="canadian hip hop"/>
    <d v="2019-06-15T00:00:00"/>
    <n v="78"/>
    <x v="1"/>
    <n v="0.83099999999999996"/>
    <n v="0.502"/>
    <n v="4.5999999999999999E-2"/>
    <n v="0.10100000000000001"/>
    <n v="0.122"/>
    <n v="0.10100000000000001"/>
    <n v="-4.0449999999999999"/>
    <n v="205427"/>
    <n v="2019"/>
    <x v="0"/>
  </r>
  <r>
    <n v="1181"/>
    <n v="131"/>
    <n v="21"/>
    <d v="2020-04-03T00:00:00"/>
    <x v="4"/>
    <s v="Can We Kiss Forever?"/>
    <n v="4397385"/>
    <s v="Kina, Adriana Proenza"/>
    <n v="661863"/>
    <s v="sad rap"/>
    <d v="2018-08-31T00:00:00"/>
    <n v="78"/>
    <x v="1"/>
    <n v="0.52200000000000002"/>
    <n v="0.128"/>
    <n v="3.5700000000000003E-2"/>
    <n v="0.89400000000000002"/>
    <n v="9.4100000000000003E-2"/>
    <n v="0.124"/>
    <n v="-18.716999999999999"/>
    <n v="187932"/>
    <n v="2018"/>
    <x v="0"/>
  </r>
  <r>
    <n v="1431"/>
    <n v="7"/>
    <n v="1"/>
    <d v="2020-02-07T00:00:00"/>
    <x v="2"/>
    <s v="Intentions"/>
    <n v="28509534"/>
    <s v="Justin Bieber, Quavo"/>
    <n v="48544923"/>
    <s v="canadian pop"/>
    <d v="2020-02-14T00:00:00"/>
    <n v="77"/>
    <x v="1"/>
    <n v="0.80600000000000005"/>
    <n v="0.54600000000000004"/>
    <n v="5.7500000000000002E-2"/>
    <n v="0.3"/>
    <n v="0.10199999999999999"/>
    <n v="0.874"/>
    <n v="-6.6369999999999996"/>
    <n v="212867"/>
    <n v="2020"/>
    <x v="0"/>
  </r>
  <r>
    <n v="258"/>
    <n v="59"/>
    <n v="1"/>
    <d v="2021-06-25T00:00:00"/>
    <x v="1"/>
    <s v="HOT WIND BLOWS (feat. Lil Wayne)"/>
    <n v="9889197"/>
    <s v="Tyler, The Creator"/>
    <n v="6777818"/>
    <s v="hip hop"/>
    <d v="2021-06-25T00:00:00"/>
    <n v="77"/>
    <x v="0"/>
    <n v="0.371"/>
    <n v="0.75"/>
    <n v="0.40200000000000002"/>
    <n v="0.60099999999999998"/>
    <n v="0.48199999999999998"/>
    <n v="0.72899999999999998"/>
    <n v="-5.3819999999999997"/>
    <n v="155293"/>
    <n v="2021"/>
    <x v="0"/>
  </r>
  <r>
    <n v="259"/>
    <n v="63"/>
    <n v="1"/>
    <d v="2021-06-25T00:00:00"/>
    <x v="1"/>
    <s v="CORSO"/>
    <n v="9503981"/>
    <s v="Tyler, The Creator"/>
    <n v="6777818"/>
    <s v="hip hop"/>
    <d v="2021-06-25T00:00:00"/>
    <n v="77"/>
    <x v="0"/>
    <n v="0.70299999999999996"/>
    <n v="0.84499999999999997"/>
    <n v="0.33700000000000002"/>
    <n v="0.16900000000000001"/>
    <n v="0.122"/>
    <n v="0.745"/>
    <n v="-4.851"/>
    <n v="146482"/>
    <n v="2021"/>
    <x v="0"/>
  </r>
  <r>
    <n v="1149"/>
    <n v="55"/>
    <n v="1"/>
    <d v="2020-05-22T00:00:00"/>
    <x v="4"/>
    <s v="Daechwita"/>
    <n v="8908179"/>
    <s v="Agust D"/>
    <n v="5564366"/>
    <s v="k-rap"/>
    <d v="2020-05-22T00:00:00"/>
    <n v="77"/>
    <x v="0"/>
    <n v="0.65"/>
    <n v="0.82699999999999996"/>
    <n v="5.9900000000000002E-2"/>
    <n v="2.29E-2"/>
    <n v="0.121"/>
    <n v="0.223"/>
    <n v="-4.0140000000000002"/>
    <n v="225668"/>
    <n v="2020"/>
    <x v="0"/>
  </r>
  <r>
    <n v="738"/>
    <n v="24"/>
    <n v="2"/>
    <d v="2020-11-20T00:00:00"/>
    <x v="2"/>
    <s v="Telepathy"/>
    <n v="7703744"/>
    <s v="BTS"/>
    <n v="37151476"/>
    <s v="k-pop"/>
    <d v="2020-11-20T00:00:00"/>
    <n v="77"/>
    <x v="0"/>
    <n v="0.78700000000000003"/>
    <n v="0.66900000000000004"/>
    <n v="4.2799999999999998E-2"/>
    <n v="7.8200000000000006E-3"/>
    <n v="0.123"/>
    <n v="0.56999999999999995"/>
    <n v="-4.3330000000000002"/>
    <n v="202313"/>
    <n v="2020"/>
    <x v="0"/>
  </r>
  <r>
    <n v="1545"/>
    <n v="72"/>
    <n v="1"/>
    <d v="2019-12-27T00:00:00"/>
    <x v="4"/>
    <s v="GATTI"/>
    <n v="7685470"/>
    <s v="JACKBOYS, Pop Smoke, Travis Scott"/>
    <n v="437907"/>
    <s v="rap"/>
    <d v="2019-12-27T00:00:00"/>
    <n v="77"/>
    <x v="0"/>
    <n v="0.59399999999999997"/>
    <n v="0.67600000000000005"/>
    <n v="0.34399999999999997"/>
    <n v="0.13500000000000001"/>
    <n v="0.16300000000000001"/>
    <n v="0.47199999999999998"/>
    <n v="-5.8079999999999998"/>
    <n v="181145"/>
    <n v="2019"/>
    <x v="0"/>
  </r>
  <r>
    <n v="299"/>
    <n v="84"/>
    <n v="3"/>
    <d v="2021-05-14T00:00:00"/>
    <x v="1"/>
    <s v="Straightenin"/>
    <n v="7615531"/>
    <s v="Migos"/>
    <n v="11690201"/>
    <s v="atl hip hop"/>
    <d v="2021-05-14T00:00:00"/>
    <n v="77"/>
    <x v="1"/>
    <n v="0.84699999999999998"/>
    <n v="0.629"/>
    <n v="0.10199999999999999"/>
    <n v="3.1800000000000002E-2"/>
    <n v="0.152"/>
    <n v="0.109"/>
    <n v="-5.81"/>
    <n v="255532"/>
    <n v="2021"/>
    <x v="0"/>
  </r>
  <r>
    <n v="343"/>
    <n v="53"/>
    <n v="5"/>
    <d v="2021-04-09T00:00:00"/>
    <x v="0"/>
    <s v="Shy Away"/>
    <n v="6634722"/>
    <s v="Twenty One Pilots"/>
    <n v="20823062"/>
    <s v="modern rock"/>
    <d v="2021-05-21T00:00:00"/>
    <n v="77"/>
    <x v="0"/>
    <n v="0.58799999999999997"/>
    <n v="0.85599999999999998"/>
    <n v="3.1600000000000003E-2"/>
    <n v="8.1800000000000004E-4"/>
    <n v="0.23799999999999999"/>
    <n v="0.63500000000000001"/>
    <n v="-5.242"/>
    <n v="175044"/>
    <n v="2021"/>
    <x v="0"/>
  </r>
  <r>
    <n v="346"/>
    <n v="67"/>
    <n v="2"/>
    <d v="2021-05-14T00:00:00"/>
    <x v="2"/>
    <s v="Seeing Green (with Drake &amp; Lil Wayne)"/>
    <n v="6299936"/>
    <s v="Nicki Minaj"/>
    <n v="22161310"/>
    <s v="dance pop"/>
    <d v="2021-05-14T00:00:00"/>
    <n v="77"/>
    <x v="0"/>
    <n v="0.57299999999999995"/>
    <n v="0.86699999999999999"/>
    <n v="0.16800000000000001"/>
    <n v="8.5300000000000001E-2"/>
    <n v="0.38"/>
    <n v="0.23100000000000001"/>
    <n v="-2.8759999999999999"/>
    <n v="339506"/>
    <n v="2021"/>
    <x v="0"/>
  </r>
  <r>
    <n v="128"/>
    <n v="128"/>
    <n v="30"/>
    <d v="2021-07-23T00:00:00"/>
    <x v="3"/>
    <s v="Smells Like Teen Spirit"/>
    <n v="6065267"/>
    <s v="Nirvana"/>
    <n v="13261089"/>
    <s v="grunge"/>
    <d v="1991-09-26T00:00:00"/>
    <n v="77"/>
    <x v="0"/>
    <n v="0.502"/>
    <n v="0.91200000000000003"/>
    <n v="5.6399999999999999E-2"/>
    <n v="2.55E-5"/>
    <n v="0.106"/>
    <n v="0.72"/>
    <n v="-4.556"/>
    <n v="301920"/>
    <n v="1991"/>
    <x v="0"/>
  </r>
  <r>
    <n v="869"/>
    <n v="123"/>
    <n v="1"/>
    <d v="2020-09-25T00:00:00"/>
    <x v="1"/>
    <s v="bloody valentine"/>
    <n v="6032935"/>
    <s v="Machine Gun Kelly"/>
    <n v="3868320"/>
    <s v="ohio hip hop"/>
    <d v="2020-09-25T00:00:00"/>
    <n v="77"/>
    <x v="0"/>
    <n v="0.53300000000000003"/>
    <n v="0.85799999999999998"/>
    <n v="7.6600000000000001E-2"/>
    <n v="2.1000000000000001E-4"/>
    <n v="0.14799999999999999"/>
    <n v="0.50600000000000001"/>
    <n v="-4.2119999999999997"/>
    <n v="205159"/>
    <n v="2020"/>
    <x v="0"/>
  </r>
  <r>
    <n v="1416"/>
    <n v="139"/>
    <n v="1"/>
    <d v="2020-02-14T00:00:00"/>
    <x v="3"/>
    <s v="Borderline"/>
    <n v="5921044"/>
    <s v="Tame Impala"/>
    <n v="5064200"/>
    <s v="australian psych"/>
    <d v="2020-02-14T00:00:00"/>
    <n v="77"/>
    <x v="0"/>
    <n v="0.621"/>
    <n v="0.873"/>
    <n v="3.6900000000000002E-2"/>
    <n v="4.0599999999999997E-2"/>
    <n v="8.2400000000000001E-2"/>
    <n v="0.873"/>
    <n v="-3.0670000000000002"/>
    <n v="237800"/>
    <n v="2020"/>
    <x v="0"/>
  </r>
  <r>
    <n v="721"/>
    <n v="86"/>
    <n v="2"/>
    <d v="2020-11-27T00:00:00"/>
    <x v="2"/>
    <s v="Angels Like You"/>
    <n v="5884221"/>
    <s v="Miley Cyrus"/>
    <n v="15778531"/>
    <s v="dance pop"/>
    <d v="2020-11-27T00:00:00"/>
    <n v="77"/>
    <x v="0"/>
    <n v="0.67200000000000004"/>
    <n v="0.64200000000000002"/>
    <n v="3.1300000000000001E-2"/>
    <n v="9.8100000000000007E-2"/>
    <n v="0.1"/>
    <n v="0.49399999999999999"/>
    <n v="-4.0350000000000001"/>
    <n v="196453"/>
    <n v="2020"/>
    <x v="0"/>
  </r>
  <r>
    <n v="240"/>
    <n v="132"/>
    <n v="1"/>
    <d v="2021-07-02T00:00:00"/>
    <x v="3"/>
    <s v="Renegade (feat. Taylor Swift)"/>
    <n v="5876058"/>
    <s v="Big Red Machine"/>
    <n v="98503"/>
    <s v="eau claire indie"/>
    <d v="2021-07-02T00:00:00"/>
    <n v="77"/>
    <x v="0"/>
    <n v="0.53200000000000003"/>
    <n v="0.70799999999999996"/>
    <n v="5.0500000000000003E-2"/>
    <n v="0.435"/>
    <n v="0.107"/>
    <n v="0.58599999999999997"/>
    <n v="-8.1210000000000004"/>
    <n v="254467"/>
    <n v="2021"/>
    <x v="0"/>
  </r>
  <r>
    <n v="140"/>
    <n v="2"/>
    <n v="52"/>
    <d v="2020-09-04T00:00:00"/>
    <x v="3"/>
    <s v="Hawái"/>
    <n v="5769714"/>
    <s v="Maluma"/>
    <n v="26769304"/>
    <s v="latin"/>
    <d v="2020-11-05T00:00:00"/>
    <n v="77"/>
    <x v="0"/>
    <n v="0.76600000000000001"/>
    <n v="0.78800000000000003"/>
    <n v="0.312"/>
    <n v="0.105"/>
    <n v="0.14199999999999999"/>
    <n v="0.60899999999999999"/>
    <n v="-3.1280000000000001"/>
    <n v="200482"/>
    <n v="2020"/>
    <x v="0"/>
  </r>
  <r>
    <n v="722"/>
    <n v="18"/>
    <n v="3"/>
    <d v="2020-11-20T00:00:00"/>
    <x v="2"/>
    <s v="Blue &amp; Grey"/>
    <n v="5698275"/>
    <s v="BTS"/>
    <n v="37151476"/>
    <s v="k-pop"/>
    <d v="2020-11-20T00:00:00"/>
    <n v="77"/>
    <x v="1"/>
    <n v="0.54700000000000004"/>
    <n v="0.60499999999999998"/>
    <n v="4.1500000000000002E-2"/>
    <n v="0.42"/>
    <n v="0.125"/>
    <n v="0.36399999999999999"/>
    <n v="-6.7549999999999999"/>
    <n v="254950"/>
    <n v="2020"/>
    <x v="0"/>
  </r>
  <r>
    <n v="159"/>
    <n v="19"/>
    <n v="18"/>
    <d v="2021-04-23T00:00:00"/>
    <x v="2"/>
    <s v="Runaway"/>
    <n v="5566150"/>
    <s v="AURORA"/>
    <n v="1687399"/>
    <s v="art pop"/>
    <d v="2014-01-01T00:00:00"/>
    <n v="77"/>
    <x v="1"/>
    <n v="0.52100000000000002"/>
    <n v="0.27700000000000002"/>
    <n v="3.56E-2"/>
    <n v="0.63400000000000001"/>
    <n v="0.10299999999999999"/>
    <n v="0.13"/>
    <n v="-10.34"/>
    <n v="248827"/>
    <n v="2014"/>
    <x v="0"/>
  </r>
  <r>
    <n v="1345"/>
    <n v="169"/>
    <n v="2"/>
    <d v="2020-03-06T00:00:00"/>
    <x v="2"/>
    <s v="i'm so tired..."/>
    <n v="5547770"/>
    <s v="Lauv, Troye Sivan"/>
    <n v="4442273"/>
    <s v="dance pop"/>
    <d v="2020-03-06T00:00:00"/>
    <n v="77"/>
    <x v="0"/>
    <n v="0.59899999999999998"/>
    <n v="0.73299999999999998"/>
    <n v="0.20300000000000001"/>
    <n v="0.17599999999999999"/>
    <n v="0.24199999999999999"/>
    <n v="0.53400000000000003"/>
    <n v="-7.0579999999999998"/>
    <n v="162583"/>
    <n v="2020"/>
    <x v="0"/>
  </r>
  <r>
    <n v="493"/>
    <n v="12"/>
    <n v="14"/>
    <d v="2020-12-25T00:00:00"/>
    <x v="3"/>
    <s v="Snowman"/>
    <n v="5454807"/>
    <s v="Sia"/>
    <n v="20528724"/>
    <s v="australian dance"/>
    <d v="2018-11-01T00:00:00"/>
    <n v="77"/>
    <x v="1"/>
    <n v="0.71599999999999997"/>
    <n v="0.51200000000000001"/>
    <n v="3.3099999999999997E-2"/>
    <n v="0.48299999999999998"/>
    <n v="9.2799999999999994E-2"/>
    <n v="0.32600000000000001"/>
    <n v="-6.2569999999999997"/>
    <n v="165907"/>
    <n v="2018"/>
    <x v="0"/>
  </r>
  <r>
    <n v="450"/>
    <n v="160"/>
    <n v="3"/>
    <d v="2021-04-02T00:00:00"/>
    <x v="3"/>
    <s v="What Other People Say"/>
    <n v="5413003"/>
    <s v="Sam Fischer, Demi Lovato"/>
    <n v="122746"/>
    <s v="alt z"/>
    <d v="2021-02-04T00:00:00"/>
    <n v="77"/>
    <x v="1"/>
    <n v="0.65200000000000002"/>
    <n v="0.47199999999999998"/>
    <n v="3.9899999999999998E-2"/>
    <n v="0.158"/>
    <n v="0.121"/>
    <n v="0.24"/>
    <n v="-8.0839999999999996"/>
    <n v="194890"/>
    <n v="2021"/>
    <x v="0"/>
  </r>
  <r>
    <n v="1310"/>
    <n v="69"/>
    <n v="3"/>
    <d v="2020-02-28T00:00:00"/>
    <x v="3"/>
    <s v="Una Vez"/>
    <n v="5411302"/>
    <s v="Bad Bunny, Mora"/>
    <n v="36177712"/>
    <s v="latin"/>
    <d v="2020-02-29T00:00:00"/>
    <n v="77"/>
    <x v="1"/>
    <n v="0.55000000000000004"/>
    <n v="0.59799999999999998"/>
    <n v="8.3099999999999993E-2"/>
    <n v="0.13200000000000001"/>
    <n v="9.5500000000000002E-2"/>
    <n v="0.54300000000000004"/>
    <n v="-5.4020000000000001"/>
    <n v="232496"/>
    <n v="2020"/>
    <x v="0"/>
  </r>
  <r>
    <n v="938"/>
    <n v="22"/>
    <n v="6"/>
    <d v="2020-02-21T00:00:00"/>
    <x v="2"/>
    <s v="ON"/>
    <n v="5391018"/>
    <s v="BTS"/>
    <n v="37151476"/>
    <s v="k-pop"/>
    <d v="2020-02-21T00:00:00"/>
    <n v="77"/>
    <x v="0"/>
    <n v="0.58299999999999996"/>
    <n v="0.81699999999999995"/>
    <n v="9.8699999999999996E-2"/>
    <n v="0.11799999999999999"/>
    <n v="0.33800000000000002"/>
    <n v="0.438"/>
    <n v="-5.1459999999999999"/>
    <n v="246381"/>
    <n v="2020"/>
    <x v="0"/>
  </r>
  <r>
    <n v="1350"/>
    <n v="41"/>
    <n v="11"/>
    <d v="2020-01-03T00:00:00"/>
    <x v="2"/>
    <s v="South of the Border (feat. Camila Cabello &amp; Cardi B)"/>
    <n v="5315827"/>
    <s v="Ed Sheeran"/>
    <n v="83337783"/>
    <s v="pop"/>
    <d v="2019-07-12T00:00:00"/>
    <n v="77"/>
    <x v="1"/>
    <n v="0.85699999999999998"/>
    <n v="0.621"/>
    <n v="8.2500000000000004E-2"/>
    <n v="0.14799999999999999"/>
    <n v="8.6499999999999994E-2"/>
    <n v="0.66800000000000004"/>
    <n v="-6.3760000000000003"/>
    <n v="204467"/>
    <n v="2019"/>
    <x v="0"/>
  </r>
  <r>
    <n v="728"/>
    <n v="35"/>
    <n v="5"/>
    <d v="2020-11-06T00:00:00"/>
    <x v="4"/>
    <s v="Mood (Remix) feat. Justin Bieber, J Balvin &amp; iann dior"/>
    <n v="5314734"/>
    <s v="24kGoldn"/>
    <n v="1276406"/>
    <s v="cali rap"/>
    <d v="2020-11-06T00:00:00"/>
    <n v="77"/>
    <x v="0"/>
    <n v="0.72099999999999997"/>
    <n v="0.745"/>
    <n v="3.6600000000000001E-2"/>
    <n v="0.151"/>
    <n v="0.372"/>
    <n v="0.69899999999999995"/>
    <n v="-3.508"/>
    <n v="192745"/>
    <n v="2020"/>
    <x v="0"/>
  </r>
  <r>
    <n v="452"/>
    <n v="91"/>
    <n v="12"/>
    <d v="2021-02-26T00:00:00"/>
    <x v="3"/>
    <s v="Hasta Abajo"/>
    <n v="5269163"/>
    <s v="Kevin Roldan, Bryant Myers, Lyanno"/>
    <n v="4026643"/>
    <s v="latin"/>
    <d v="2019-10-04T00:00:00"/>
    <n v="77"/>
    <x v="0"/>
    <n v="0.71399999999999997"/>
    <n v="0.67100000000000004"/>
    <n v="0.36199999999999999"/>
    <n v="0.28899999999999998"/>
    <n v="0.32500000000000001"/>
    <n v="0.64100000000000001"/>
    <n v="-5.1189999999999998"/>
    <n v="229827"/>
    <n v="2019"/>
    <x v="0"/>
  </r>
  <r>
    <n v="544"/>
    <n v="83"/>
    <n v="11"/>
    <d v="2021-01-01T00:00:00"/>
    <x v="1"/>
    <s v="Nathy Peluso: Bzrp Music Sessions, Vol. 36"/>
    <n v="5232509"/>
    <s v="Bizarrap, Nathy Peluso"/>
    <n v="3134041"/>
    <s v="argentine hip hop"/>
    <d v="2020-11-27T00:00:00"/>
    <n v="77"/>
    <x v="0"/>
    <n v="0.65"/>
    <n v="0.65500000000000003"/>
    <n v="0.40500000000000003"/>
    <n v="0.25"/>
    <n v="6.9099999999999995E-2"/>
    <n v="0.73499999999999999"/>
    <n v="-3.71"/>
    <n v="171215"/>
    <n v="2020"/>
    <x v="0"/>
  </r>
  <r>
    <n v="479"/>
    <n v="181"/>
    <n v="3"/>
    <d v="2021-03-12T00:00:00"/>
    <x v="2"/>
    <s v="Coração Na Cama - Ao Vivo"/>
    <n v="5211351"/>
    <s v="Hugo &amp; Guilherme"/>
    <n v="435936"/>
    <s v="sertanejo pop"/>
    <d v="2020-11-13T00:00:00"/>
    <n v="77"/>
    <x v="0"/>
    <n v="0.76400000000000001"/>
    <n v="0.79400000000000004"/>
    <n v="5.8900000000000001E-2"/>
    <n v="0.66300000000000003"/>
    <n v="0.34"/>
    <n v="0.72099999999999997"/>
    <n v="-4.0960000000000001"/>
    <n v="173227"/>
    <n v="2020"/>
    <x v="0"/>
  </r>
  <r>
    <n v="513"/>
    <n v="24"/>
    <n v="25"/>
    <d v="2020-11-06T00:00:00"/>
    <x v="2"/>
    <s v="Se Te Nota (with Guaynaa)"/>
    <n v="5168240"/>
    <s v="Lele Pons"/>
    <n v="786461"/>
    <s v="latin pop"/>
    <d v="2020-09-02T00:00:00"/>
    <n v="77"/>
    <x v="0"/>
    <n v="0.90500000000000003"/>
    <n v="0.68600000000000005"/>
    <n v="6.6400000000000001E-2"/>
    <n v="9.0700000000000003E-2"/>
    <n v="0.26600000000000001"/>
    <n v="0.96299999999999997"/>
    <n v="-3.1520000000000001"/>
    <n v="155825"/>
    <n v="2020"/>
    <x v="0"/>
  </r>
  <r>
    <n v="545"/>
    <n v="17"/>
    <n v="15"/>
    <d v="2020-11-06T00:00:00"/>
    <x v="3"/>
    <s v="Hawái - Remix"/>
    <n v="5163323"/>
    <s v="Maluma, The Weeknd"/>
    <n v="26784251"/>
    <s v="latin"/>
    <d v="2020-11-05T00:00:00"/>
    <n v="77"/>
    <x v="0"/>
    <n v="0.76600000000000001"/>
    <n v="0.78800000000000003"/>
    <n v="0.312"/>
    <n v="0.105"/>
    <n v="0.14199999999999999"/>
    <n v="0.60899999999999999"/>
    <n v="-3.1280000000000001"/>
    <n v="200482"/>
    <n v="2020"/>
    <x v="0"/>
  </r>
  <r>
    <n v="1374"/>
    <n v="146"/>
    <n v="8"/>
    <d v="2019-12-27T00:00:00"/>
    <x v="3"/>
    <s v="QUE PRETENDES"/>
    <n v="5141047"/>
    <s v="J Balvin, Bad Bunny"/>
    <n v="29067437"/>
    <s v="latin"/>
    <d v="2019-06-28T00:00:00"/>
    <n v="77"/>
    <x v="0"/>
    <n v="0.63900000000000001"/>
    <n v="0.79100000000000004"/>
    <n v="0.253"/>
    <n v="2.75E-2"/>
    <n v="0.36199999999999999"/>
    <n v="0.93899999999999995"/>
    <n v="-4.4429999999999996"/>
    <n v="222347"/>
    <n v="2019"/>
    <x v="0"/>
  </r>
  <r>
    <n v="563"/>
    <n v="140"/>
    <n v="4"/>
    <d v="2021-01-22T00:00:00"/>
    <x v="3"/>
    <s v="Can You Feel My Heart"/>
    <n v="5092250"/>
    <s v="Bring Me The Horizon"/>
    <n v="3912138"/>
    <s v="melodic metalcore"/>
    <d v="2013-04-01T00:00:00"/>
    <n v="77"/>
    <x v="0"/>
    <n v="0.15"/>
    <n v="0.85899999999999999"/>
    <n v="5.9499999999999997E-2"/>
    <n v="2.0100000000000001E-3"/>
    <n v="0.38700000000000001"/>
    <n v="0.35399999999999998"/>
    <n v="-2.827"/>
    <n v="228147"/>
    <n v="2013"/>
    <x v="0"/>
  </r>
  <r>
    <n v="845"/>
    <n v="12"/>
    <n v="32"/>
    <d v="2020-04-17T00:00:00"/>
    <x v="3"/>
    <s v="Supalonely"/>
    <n v="5089970"/>
    <s v="BENEE, Gus Dapperton"/>
    <n v="638337"/>
    <s v="alt z"/>
    <d v="2019-11-15T00:00:00"/>
    <n v="77"/>
    <x v="1"/>
    <n v="0.86299999999999999"/>
    <n v="0.63100000000000001"/>
    <n v="5.3400000000000003E-2"/>
    <n v="0.30499999999999999"/>
    <n v="0.123"/>
    <n v="0.81699999999999995"/>
    <n v="-4.6890000000000001"/>
    <n v="223480"/>
    <n v="2019"/>
    <x v="0"/>
  </r>
  <r>
    <n v="778"/>
    <n v="22"/>
    <n v="18"/>
    <d v="2020-07-17T00:00:00"/>
    <x v="1"/>
    <s v="GREECE (feat. Drake)"/>
    <n v="5043665"/>
    <s v="DJ Khaled"/>
    <n v="6281829"/>
    <s v="hip hop"/>
    <d v="2020-07-16T00:00:00"/>
    <n v="77"/>
    <x v="1"/>
    <n v="0.69499999999999995"/>
    <n v="0.34300000000000003"/>
    <n v="4.3200000000000002E-2"/>
    <n v="7.4300000000000005E-2"/>
    <n v="0.107"/>
    <n v="0.22900000000000001"/>
    <n v="-10.798"/>
    <n v="218902"/>
    <n v="2020"/>
    <x v="0"/>
  </r>
  <r>
    <n v="247"/>
    <n v="189"/>
    <n v="1"/>
    <d v="2021-07-02T00:00:00"/>
    <x v="4"/>
    <s v="Lieben wir"/>
    <n v="5029898"/>
    <s v="Shirin David"/>
    <n v="558345"/>
    <s v="frauenrap"/>
    <d v="2021-07-01T00:00:00"/>
    <n v="77"/>
    <x v="0"/>
    <n v="0.871"/>
    <n v="0.66900000000000004"/>
    <n v="0.32900000000000001"/>
    <n v="1.1299999999999999E-2"/>
    <n v="7.9500000000000001E-2"/>
    <n v="0.80600000000000005"/>
    <n v="-7.62"/>
    <n v="155363"/>
    <n v="2021"/>
    <x v="0"/>
  </r>
  <r>
    <n v="1379"/>
    <n v="82"/>
    <n v="10"/>
    <d v="2019-12-27T00:00:00"/>
    <x v="2"/>
    <s v="Truth Hurts"/>
    <n v="5024683"/>
    <s v="Lizzo"/>
    <n v="3991674"/>
    <s v="dance pop"/>
    <d v="2019-04-19T00:00:00"/>
    <n v="77"/>
    <x v="1"/>
    <n v="0.71499999999999997"/>
    <n v="0.624"/>
    <n v="0.114"/>
    <n v="0.11"/>
    <n v="0.123"/>
    <n v="0.41199999999999998"/>
    <n v="-3.0459999999999998"/>
    <n v="173325"/>
    <n v="2019"/>
    <x v="0"/>
  </r>
  <r>
    <n v="1443"/>
    <n v="89"/>
    <n v="7"/>
    <d v="2019-12-27T00:00:00"/>
    <x v="2"/>
    <s v="Loco Contigo (feat. J. Balvin &amp; Tyga)"/>
    <n v="5013732"/>
    <s v="DJ Snake, J Balvin"/>
    <n v="7408249"/>
    <s v="dance pop"/>
    <d v="2019-07-25T00:00:00"/>
    <n v="77"/>
    <x v="0"/>
    <n v="0.69399999999999995"/>
    <n v="0.75800000000000001"/>
    <n v="0.218"/>
    <n v="0.27800000000000002"/>
    <n v="0.10199999999999999"/>
    <n v="0.371"/>
    <n v="-2.9860000000000002"/>
    <n v="185195"/>
    <n v="2019"/>
    <x v="0"/>
  </r>
  <r>
    <n v="527"/>
    <n v="33"/>
    <n v="12"/>
    <d v="2020-11-27T00:00:00"/>
    <x v="3"/>
    <s v="BOOKER T"/>
    <n v="4995965"/>
    <s v="Bad Bunny"/>
    <n v="36177712"/>
    <s v="latin"/>
    <d v="2020-11-27T00:00:00"/>
    <n v="77"/>
    <x v="1"/>
    <n v="0.88300000000000001"/>
    <n v="0.6"/>
    <n v="0.37"/>
    <n v="0.114"/>
    <n v="9.3100000000000002E-2"/>
    <n v="0.69099999999999995"/>
    <n v="-7.1879999999999997"/>
    <n v="156430"/>
    <n v="2020"/>
    <x v="0"/>
  </r>
  <r>
    <n v="566"/>
    <n v="18"/>
    <n v="23"/>
    <d v="2020-03-20T00:00:00"/>
    <x v="3"/>
    <s v="Heartless"/>
    <n v="4995578"/>
    <s v="The Weeknd"/>
    <n v="35340069"/>
    <s v="canadian contemporary r&amp;b"/>
    <d v="2020-03-20T00:00:00"/>
    <n v="77"/>
    <x v="0"/>
    <n v="0.53700000000000003"/>
    <n v="0.746"/>
    <n v="0.15"/>
    <n v="2.3599999999999999E-2"/>
    <n v="0.156"/>
    <n v="0.252"/>
    <n v="-5.5069999999999997"/>
    <n v="198267"/>
    <n v="2020"/>
    <x v="0"/>
  </r>
  <r>
    <n v="528"/>
    <n v="5"/>
    <n v="53"/>
    <d v="2020-03-13T00:00:00"/>
    <x v="2"/>
    <s v="Intentions (feat. Quavo)"/>
    <n v="4994138"/>
    <s v="Justin Bieber"/>
    <n v="48544923"/>
    <s v="canadian pop"/>
    <d v="2020-02-14T00:00:00"/>
    <n v="77"/>
    <x v="1"/>
    <n v="0.80600000000000005"/>
    <n v="0.54600000000000004"/>
    <n v="5.7500000000000002E-2"/>
    <n v="0.3"/>
    <n v="0.10199999999999999"/>
    <n v="0.874"/>
    <n v="-6.6369999999999996"/>
    <n v="212867"/>
    <n v="2020"/>
    <x v="0"/>
  </r>
  <r>
    <n v="199"/>
    <n v="199"/>
    <n v="1"/>
    <d v="2021-07-23T00:00:00"/>
    <x v="1"/>
    <s v="Verdansk"/>
    <n v="4950275"/>
    <s v="Dave"/>
    <n v="1427540"/>
    <s v="uk hip hop"/>
    <d v="2021-07-22T00:00:00"/>
    <n v="77"/>
    <x v="1"/>
    <n v="0.96099999999999997"/>
    <n v="0.502"/>
    <n v="0.312"/>
    <n v="0.28000000000000003"/>
    <n v="0.14499999999999999"/>
    <n v="0.53600000000000003"/>
    <n v="-8.6050000000000004"/>
    <n v="182285"/>
    <n v="2021"/>
    <x v="0"/>
  </r>
  <r>
    <n v="583"/>
    <n v="42"/>
    <n v="17"/>
    <d v="2020-09-18T00:00:00"/>
    <x v="2"/>
    <s v="Diamonds"/>
    <n v="4931163"/>
    <s v="Sam Smith"/>
    <n v="17097317"/>
    <s v="dance pop"/>
    <d v="2020-09-17T00:00:00"/>
    <n v="77"/>
    <x v="0"/>
    <n v="0.65300000000000002"/>
    <n v="0.66700000000000004"/>
    <n v="4.2299999999999997E-2"/>
    <n v="0.154"/>
    <n v="0.107"/>
    <n v="0.55600000000000005"/>
    <n v="-6.7640000000000002"/>
    <n v="213869"/>
    <n v="2020"/>
    <x v="0"/>
  </r>
  <r>
    <n v="890"/>
    <n v="4"/>
    <n v="9"/>
    <d v="2020-07-24T00:00:00"/>
    <x v="2"/>
    <s v="exile (feat. Bon Iver)"/>
    <n v="4924533"/>
    <s v="Taylor Swift"/>
    <n v="42227614"/>
    <s v="pop"/>
    <d v="2020-07-24T00:00:00"/>
    <n v="77"/>
    <x v="1"/>
    <n v="0.29799999999999999"/>
    <n v="0.38"/>
    <n v="2.87E-2"/>
    <n v="0.77800000000000002"/>
    <n v="0.11"/>
    <n v="0.152"/>
    <n v="-8.4260000000000002"/>
    <n v="285634"/>
    <n v="2020"/>
    <x v="0"/>
  </r>
  <r>
    <n v="1483"/>
    <n v="126"/>
    <n v="4"/>
    <d v="2019-12-27T00:00:00"/>
    <x v="4"/>
    <s v="Legends"/>
    <n v="4922369"/>
    <s v="Juice WRLD"/>
    <n v="19102888"/>
    <s v="chicago rap"/>
    <d v="2018-06-22T00:00:00"/>
    <n v="77"/>
    <x v="0"/>
    <n v="0.59399999999999997"/>
    <n v="0.79800000000000004"/>
    <n v="8.4400000000000003E-2"/>
    <n v="0.115"/>
    <n v="0.14299999999999999"/>
    <n v="0.38100000000000001"/>
    <n v="-5.2439999999999998"/>
    <n v="191840"/>
    <n v="2018"/>
    <x v="0"/>
  </r>
  <r>
    <n v="1467"/>
    <n v="193"/>
    <n v="1"/>
    <d v="2020-01-31T00:00:00"/>
    <x v="2"/>
    <s v="ME! (feat. Brendon Urie of Panic! At The Disco)"/>
    <n v="4884909"/>
    <s v="Taylor Swift"/>
    <n v="42227614"/>
    <s v="pop"/>
    <d v="2019-08-23T00:00:00"/>
    <n v="77"/>
    <x v="0"/>
    <n v="0.61"/>
    <n v="0.83"/>
    <n v="5.7099999999999998E-2"/>
    <n v="3.3000000000000002E-2"/>
    <n v="0.11799999999999999"/>
    <n v="0.72799999999999998"/>
    <n v="-4.1050000000000004"/>
    <n v="193000"/>
    <n v="2019"/>
    <x v="0"/>
  </r>
  <r>
    <n v="765"/>
    <n v="9"/>
    <n v="28"/>
    <d v="2020-06-12T00:00:00"/>
    <x v="4"/>
    <s v="Party Girl"/>
    <n v="4878286"/>
    <s v="StaySolidRocky"/>
    <n v="150587"/>
    <s v="melodic rap"/>
    <d v="2020-04-21T00:00:00"/>
    <n v="77"/>
    <x v="1"/>
    <n v="0.72799999999999998"/>
    <n v="0.43099999999999999"/>
    <n v="6.2199999999999998E-2"/>
    <n v="0.749"/>
    <n v="9.9599999999999994E-2"/>
    <n v="0.629"/>
    <n v="-9.9659999999999993"/>
    <n v="147800"/>
    <n v="2020"/>
    <x v="0"/>
  </r>
  <r>
    <n v="828"/>
    <n v="197"/>
    <n v="1"/>
    <d v="2020-10-23T00:00:00"/>
    <x v="3"/>
    <s v="Someone Like You"/>
    <n v="4703672"/>
    <s v="Adele"/>
    <n v="28335338"/>
    <s v="british soul"/>
    <d v="2011-01-24T00:00:00"/>
    <n v="77"/>
    <x v="1"/>
    <n v="0.55600000000000005"/>
    <n v="0.31900000000000001"/>
    <n v="2.81E-2"/>
    <n v="0.89300000000000002"/>
    <n v="9.9599999999999994E-2"/>
    <n v="0.29399999999999998"/>
    <n v="-8.2509999999999994"/>
    <n v="285240"/>
    <n v="2011"/>
    <x v="0"/>
  </r>
  <r>
    <n v="1021"/>
    <n v="25"/>
    <n v="30"/>
    <d v="2019-12-27T00:00:00"/>
    <x v="3"/>
    <s v="China"/>
    <n v="4627026"/>
    <s v="Anuel AA, Daddy Yankee, KAROL G, Ozuna, J Balvin"/>
    <n v="18306226"/>
    <s v="latin"/>
    <d v="2019-07-19T00:00:00"/>
    <n v="77"/>
    <x v="0"/>
    <n v="0.78600000000000003"/>
    <n v="0.80800000000000005"/>
    <n v="8.8200000000000001E-2"/>
    <n v="8.4599999999999995E-2"/>
    <n v="8.2199999999999995E-2"/>
    <n v="0.60899999999999999"/>
    <n v="-3.702"/>
    <n v="301714"/>
    <n v="2019"/>
    <x v="0"/>
  </r>
  <r>
    <n v="1022"/>
    <n v="29"/>
    <n v="30"/>
    <d v="2020-01-31T00:00:00"/>
    <x v="3"/>
    <s v="Hola - Remix"/>
    <n v="4617726"/>
    <s v="Dalex, Lenny Tavárez, Chencho Corleone, Juhn, Dímelo Flow"/>
    <n v="3600989"/>
    <s v="latin"/>
    <d v="2019-11-01T00:00:00"/>
    <n v="77"/>
    <x v="0"/>
    <n v="0.65400000000000003"/>
    <n v="0.67200000000000004"/>
    <n v="0.311"/>
    <n v="0.47099999999999997"/>
    <n v="7.8100000000000003E-2"/>
    <n v="0.34300000000000003"/>
    <n v="-5.98"/>
    <n v="249520"/>
    <n v="2019"/>
    <x v="0"/>
  </r>
  <r>
    <n v="614"/>
    <n v="61"/>
    <n v="39"/>
    <d v="2020-03-20T00:00:00"/>
    <x v="3"/>
    <s v="Azul"/>
    <n v="4606011"/>
    <s v="J Balvin"/>
    <n v="29067437"/>
    <s v="latin"/>
    <d v="2020-03-19T00:00:00"/>
    <n v="77"/>
    <x v="0"/>
    <n v="0.84299999999999997"/>
    <n v="0.83599999999999997"/>
    <n v="6.9500000000000006E-2"/>
    <n v="8.1600000000000006E-2"/>
    <n v="5.3199999999999997E-2"/>
    <n v="0.65"/>
    <n v="-2.4740000000000002"/>
    <n v="205933"/>
    <n v="2020"/>
    <x v="0"/>
  </r>
  <r>
    <n v="896"/>
    <n v="12"/>
    <n v="34"/>
    <d v="2020-03-27T00:00:00"/>
    <x v="2"/>
    <s v="Physical"/>
    <n v="4599807"/>
    <s v="Dua Lipa"/>
    <n v="27167675"/>
    <s v="dance pop"/>
    <d v="2020-03-27T00:00:00"/>
    <n v="77"/>
    <x v="0"/>
    <n v="0.64700000000000002"/>
    <n v="0.84399999999999997"/>
    <n v="4.5699999999999998E-2"/>
    <n v="1.37E-2"/>
    <n v="0.10199999999999999"/>
    <n v="0.746"/>
    <n v="-3.7559999999999998"/>
    <n v="193829"/>
    <n v="2020"/>
    <x v="0"/>
  </r>
  <r>
    <n v="911"/>
    <n v="75"/>
    <n v="14"/>
    <d v="2020-08-07T00:00:00"/>
    <x v="2"/>
    <s v="Some Say - Felix Jaehn Remix"/>
    <n v="4598325"/>
    <s v="Nea"/>
    <n v="38111"/>
    <s v="scandipop"/>
    <d v="2020-01-10T00:00:00"/>
    <n v="77"/>
    <x v="0"/>
    <n v="0.68200000000000005"/>
    <n v="0.7"/>
    <n v="3.9699999999999999E-2"/>
    <n v="0.40600000000000003"/>
    <n v="0.17399999999999999"/>
    <n v="0.63700000000000001"/>
    <n v="-5.5910000000000002"/>
    <n v="186878"/>
    <n v="2020"/>
    <x v="0"/>
  </r>
  <r>
    <n v="1025"/>
    <n v="29"/>
    <n v="28"/>
    <d v="2020-02-07T00:00:00"/>
    <x v="4"/>
    <s v="High Fashion (feat. Mustard)"/>
    <n v="4592772"/>
    <s v="Roddy Ricch"/>
    <n v="6608815"/>
    <s v="melodic rap"/>
    <d v="2019-12-06T00:00:00"/>
    <n v="77"/>
    <x v="1"/>
    <n v="0.83099999999999996"/>
    <n v="0.499"/>
    <n v="0.114"/>
    <n v="0.26900000000000002"/>
    <n v="0.3"/>
    <n v="0.51100000000000001"/>
    <n v="-8.4420000000000002"/>
    <n v="220487"/>
    <n v="2019"/>
    <x v="0"/>
  </r>
  <r>
    <n v="1026"/>
    <n v="69"/>
    <n v="19"/>
    <d v="2020-04-10T00:00:00"/>
    <x v="2"/>
    <s v="Like That (feat. Gucci Mane)"/>
    <n v="4565377"/>
    <s v="Doja Cat"/>
    <n v="8671649"/>
    <s v="dance pop"/>
    <d v="2019-11-07T00:00:00"/>
    <n v="77"/>
    <x v="1"/>
    <n v="0.879"/>
    <n v="0.498"/>
    <n v="0.18"/>
    <n v="0.23899999999999999"/>
    <n v="9.6699999999999994E-2"/>
    <n v="0.40500000000000003"/>
    <n v="-6.0270000000000001"/>
    <n v="163173"/>
    <n v="2019"/>
    <x v="0"/>
  </r>
  <r>
    <n v="1041"/>
    <n v="46"/>
    <n v="29"/>
    <d v="2019-12-27T00:00:00"/>
    <x v="2"/>
    <s v="Lalala"/>
    <n v="4541965"/>
    <s v="Y2K, bbno$"/>
    <n v="268766"/>
    <s v="pop rap"/>
    <d v="2019-06-28T00:00:00"/>
    <n v="77"/>
    <x v="1"/>
    <n v="0.84299999999999997"/>
    <n v="0.39"/>
    <n v="8.4599999999999995E-2"/>
    <n v="0.17799999999999999"/>
    <n v="0.13700000000000001"/>
    <n v="0.495"/>
    <n v="-7.899"/>
    <n v="160627"/>
    <n v="2019"/>
    <x v="0"/>
  </r>
  <r>
    <n v="1056"/>
    <n v="55"/>
    <n v="28"/>
    <d v="2019-12-27T00:00:00"/>
    <x v="3"/>
    <s v="No Me Conoce - Remix"/>
    <n v="4501188"/>
    <s v="Jhay Cortez, J Balvin, Bad Bunny"/>
    <n v="2435159"/>
    <s v="latin"/>
    <d v="2019-05-24T00:00:00"/>
    <n v="77"/>
    <x v="0"/>
    <n v="0.80600000000000005"/>
    <n v="0.78600000000000003"/>
    <n v="7.4099999999999999E-2"/>
    <n v="0.14499999999999999"/>
    <n v="9.35E-2"/>
    <n v="0.57999999999999996"/>
    <n v="-3.831"/>
    <n v="309120"/>
    <n v="2019"/>
    <x v="0"/>
  </r>
  <r>
    <n v="619"/>
    <n v="158"/>
    <n v="5"/>
    <d v="2020-10-30T00:00:00"/>
    <x v="3"/>
    <s v="E-GIRLS ARE RUINING MY LIFE!"/>
    <n v="4488125"/>
    <s v="CORPSE, Savage Ga$p"/>
    <n v="1777797"/>
    <s v="dream smp"/>
    <d v="2020-09-25T00:00:00"/>
    <n v="77"/>
    <x v="0"/>
    <n v="0.61399999999999999"/>
    <n v="0.93700000000000006"/>
    <n v="0.115"/>
    <n v="1.6100000000000001E-3"/>
    <n v="0.10299999999999999"/>
    <n v="0.38600000000000001"/>
    <n v="-7.4429999999999996"/>
    <n v="105176"/>
    <n v="2020"/>
    <x v="0"/>
  </r>
  <r>
    <n v="1239"/>
    <n v="156"/>
    <n v="13"/>
    <d v="2020-01-31T00:00:00"/>
    <x v="0"/>
    <s v="3 Nights"/>
    <n v="4411998"/>
    <s v="Dominic Fike"/>
    <n v="554042"/>
    <s v="alternative pop rock"/>
    <d v="2018-10-16T00:00:00"/>
    <n v="77"/>
    <x v="1"/>
    <n v="0.81499999999999995"/>
    <n v="0.51800000000000002"/>
    <n v="8.9700000000000002E-2"/>
    <n v="0.223"/>
    <n v="0.104"/>
    <n v="0.877"/>
    <n v="-6.5940000000000003"/>
    <n v="177667"/>
    <n v="2018"/>
    <x v="0"/>
  </r>
  <r>
    <n v="1193"/>
    <n v="124"/>
    <n v="20"/>
    <d v="2020-01-03T00:00:00"/>
    <x v="2"/>
    <s v="Eastside (with Halsey &amp; Khalid)"/>
    <n v="4397708"/>
    <s v="benny blanco"/>
    <n v="804613"/>
    <s v="electropop"/>
    <d v="2018-07-12T00:00:00"/>
    <n v="77"/>
    <x v="0"/>
    <n v="0.56000000000000005"/>
    <n v="0.68"/>
    <n v="0.32100000000000001"/>
    <n v="0.55500000000000005"/>
    <n v="0.11600000000000001"/>
    <n v="0.31900000000000001"/>
    <n v="-7.6479999999999997"/>
    <n v="173800"/>
    <n v="2018"/>
    <x v="0"/>
  </r>
  <r>
    <n v="1225"/>
    <n v="80"/>
    <n v="18"/>
    <d v="2020-02-07T00:00:00"/>
    <x v="3"/>
    <s v="Alone, Pt. II"/>
    <n v="4395061"/>
    <s v="Alan Walker, Ava Max"/>
    <n v="29679430"/>
    <s v="electro house"/>
    <d v="2019-12-27T00:00:00"/>
    <n v="77"/>
    <x v="0"/>
    <n v="0.67"/>
    <n v="0.66800000000000004"/>
    <n v="4.2200000000000001E-2"/>
    <n v="0.53600000000000003"/>
    <n v="0.13300000000000001"/>
    <n v="0.60799999999999998"/>
    <n v="-4.306"/>
    <n v="179053"/>
    <n v="2019"/>
    <x v="0"/>
  </r>
  <r>
    <n v="1122"/>
    <n v="27"/>
    <n v="21"/>
    <d v="2020-01-17T00:00:00"/>
    <x v="3"/>
    <s v="What A Man Gotta Do"/>
    <n v="4360660"/>
    <s v="Jonas Brothers"/>
    <n v="5436999"/>
    <s v="boy band"/>
    <d v="2020-01-17T00:00:00"/>
    <n v="77"/>
    <x v="0"/>
    <n v="0.85199999999999998"/>
    <n v="0.69799999999999995"/>
    <n v="6.2899999999999998E-2"/>
    <n v="8.3899999999999999E-3"/>
    <n v="7.7299999999999994E-2"/>
    <n v="0.32400000000000001"/>
    <n v="-7.2060000000000004"/>
    <n v="180645"/>
    <n v="2020"/>
    <x v="0"/>
  </r>
  <r>
    <n v="1246"/>
    <n v="152"/>
    <n v="13"/>
    <d v="2020-01-03T00:00:00"/>
    <x v="2"/>
    <s v="Takeaway"/>
    <n v="4359727"/>
    <s v="The Chainsmokers, ILLENIUM, Lennon Stella"/>
    <n v="18195884"/>
    <s v="dance pop"/>
    <d v="2019-12-06T00:00:00"/>
    <n v="77"/>
    <x v="1"/>
    <n v="0.52800000000000002"/>
    <n v="0.51100000000000001"/>
    <n v="3.2399999999999998E-2"/>
    <n v="0.126"/>
    <n v="0.10100000000000001"/>
    <n v="0.35099999999999998"/>
    <n v="-8.1440000000000001"/>
    <n v="209880"/>
    <n v="2019"/>
    <x v="0"/>
  </r>
  <r>
    <n v="1099"/>
    <n v="125"/>
    <n v="15"/>
    <d v="2020-04-17T00:00:00"/>
    <x v="0"/>
    <s v="Make You Mine"/>
    <n v="4356213"/>
    <s v="PUBLIC"/>
    <n v="165504"/>
    <s v="indie rockism"/>
    <d v="2019-08-09T00:00:00"/>
    <n v="77"/>
    <x v="0"/>
    <n v="0.60599999999999998"/>
    <n v="0.79900000000000004"/>
    <n v="2.6100000000000002E-2"/>
    <n v="1.2800000000000001E-2"/>
    <n v="0.15"/>
    <n v="0.63800000000000001"/>
    <n v="-4.452"/>
    <n v="232907"/>
    <n v="2019"/>
    <x v="0"/>
  </r>
  <r>
    <n v="256"/>
    <n v="43"/>
    <n v="2"/>
    <d v="2021-06-25T00:00:00"/>
    <x v="1"/>
    <s v="LUMBERJACK"/>
    <n v="11756283"/>
    <s v="Tyler, The Creator"/>
    <n v="6777818"/>
    <s v="hip hop"/>
    <d v="2021-06-25T00:00:00"/>
    <n v="76"/>
    <x v="0"/>
    <n v="0.38600000000000001"/>
    <n v="0.76200000000000001"/>
    <n v="0.56399999999999995"/>
    <n v="0.122"/>
    <n v="0.52700000000000002"/>
    <n v="0.433"/>
    <n v="-6.3410000000000002"/>
    <n v="138312"/>
    <n v="2021"/>
    <x v="0"/>
  </r>
  <r>
    <n v="732"/>
    <n v="53"/>
    <n v="1"/>
    <d v="2020-11-27T00:00:00"/>
    <x v="3"/>
    <s v="ANTES QUE SE ACABE"/>
    <n v="11298839"/>
    <s v="Bad Bunny"/>
    <n v="36177712"/>
    <s v="latin"/>
    <d v="2020-11-27T00:00:00"/>
    <n v="76"/>
    <x v="1"/>
    <n v="0.69299999999999995"/>
    <n v="0.54900000000000004"/>
    <n v="5.7700000000000001E-2"/>
    <n v="0.505"/>
    <n v="0.32400000000000001"/>
    <n v="0.47299999999999998"/>
    <n v="-6.0979999999999999"/>
    <n v="221187"/>
    <n v="2020"/>
    <x v="0"/>
  </r>
  <r>
    <n v="737"/>
    <n v="16"/>
    <n v="2"/>
    <d v="2020-11-20T00:00:00"/>
    <x v="2"/>
    <s v="Fly To My Room"/>
    <n v="8413330"/>
    <s v="BTS"/>
    <n v="37151476"/>
    <s v="k-pop"/>
    <d v="2020-11-20T00:00:00"/>
    <n v="76"/>
    <x v="1"/>
    <n v="0.76400000000000001"/>
    <n v="0.52600000000000002"/>
    <n v="0.21199999999999999"/>
    <n v="4.8399999999999999E-2"/>
    <n v="7.1800000000000003E-2"/>
    <n v="0.58799999999999997"/>
    <n v="-7.3550000000000004"/>
    <n v="222243"/>
    <n v="2020"/>
    <x v="0"/>
  </r>
  <r>
    <n v="339"/>
    <n v="15"/>
    <n v="3"/>
    <d v="2021-05-14T00:00:00"/>
    <x v="1"/>
    <s v="i n t e r l u d e"/>
    <n v="7880155"/>
    <s v="J. Cole"/>
    <n v="14097410"/>
    <s v="conscious hip hop"/>
    <d v="2021-05-14T00:00:00"/>
    <n v="76"/>
    <x v="1"/>
    <n v="0.77"/>
    <n v="0.57399999999999995"/>
    <n v="0.106"/>
    <n v="6.1699999999999998E-2"/>
    <n v="0.104"/>
    <n v="0.104"/>
    <n v="-5.5250000000000004"/>
    <n v="133022"/>
    <n v="2021"/>
    <x v="0"/>
  </r>
  <r>
    <n v="376"/>
    <n v="47"/>
    <n v="2"/>
    <d v="2021-04-30T00:00:00"/>
    <x v="1"/>
    <s v="I DID IT (feat. Post Malone, Megan Thee Stallion, Lil Baby &amp; DaBaby)"/>
    <n v="7347891"/>
    <s v="DJ Khaled"/>
    <n v="6278835"/>
    <s v="hip hop"/>
    <d v="2021-04-30T00:00:00"/>
    <n v="76"/>
    <x v="0"/>
    <n v="0.75700000000000001"/>
    <n v="0.72099999999999997"/>
    <n v="6.9099999999999995E-2"/>
    <n v="1.9599999999999999E-3"/>
    <n v="0.64700000000000002"/>
    <n v="0.36399999999999999"/>
    <n v="-2.9060000000000001"/>
    <n v="165366"/>
    <n v="2021"/>
    <x v="0"/>
  </r>
  <r>
    <n v="740"/>
    <n v="27"/>
    <n v="2"/>
    <d v="2020-11-20T00:00:00"/>
    <x v="2"/>
    <s v="Stay"/>
    <n v="7010227"/>
    <s v="BTS"/>
    <n v="37151476"/>
    <s v="k-pop"/>
    <d v="2020-11-20T00:00:00"/>
    <n v="76"/>
    <x v="0"/>
    <n v="0.58199999999999996"/>
    <n v="0.69299999999999995"/>
    <n v="4.65E-2"/>
    <n v="0.114"/>
    <n v="0.13"/>
    <n v="0.34100000000000003"/>
    <n v="-5.048"/>
    <n v="204800"/>
    <n v="2020"/>
    <x v="0"/>
  </r>
  <r>
    <n v="394"/>
    <n v="113"/>
    <n v="1"/>
    <d v="2021-04-30T00:00:00"/>
    <x v="1"/>
    <s v="love race (feat. Kellin Quinn)"/>
    <n v="6325080"/>
    <s v="Machine Gun Kelly"/>
    <n v="3864419"/>
    <s v="ohio hip hop"/>
    <d v="2021-04-29T00:00:00"/>
    <n v="76"/>
    <x v="0"/>
    <n v="0.51700000000000002"/>
    <n v="0.84799999999999998"/>
    <n v="5.21E-2"/>
    <n v="5.8100000000000001E-3"/>
    <n v="0.214"/>
    <n v="0.42899999999999999"/>
    <n v="-4.0540000000000003"/>
    <n v="188779"/>
    <n v="2021"/>
    <x v="0"/>
  </r>
  <r>
    <n v="555"/>
    <n v="27"/>
    <n v="4"/>
    <d v="2021-01-15T00:00:00"/>
    <x v="4"/>
    <s v="Bad Boy (with Young Thug)"/>
    <n v="6011642"/>
    <s v="Juice WRLD"/>
    <n v="19102888"/>
    <s v="chicago rap"/>
    <d v="2021-01-15T00:00:00"/>
    <n v="76"/>
    <x v="0"/>
    <n v="0.69699999999999995"/>
    <n v="0.67400000000000004"/>
    <n v="5.33E-2"/>
    <n v="2.15E-3"/>
    <n v="0.13800000000000001"/>
    <n v="0.19800000000000001"/>
    <n v="-6.3259999999999996"/>
    <n v="157355"/>
    <n v="2021"/>
    <x v="0"/>
  </r>
  <r>
    <n v="466"/>
    <n v="128"/>
    <n v="2"/>
    <d v="2021-03-26T00:00:00"/>
    <x v="3"/>
    <s v="Tu Veneno"/>
    <n v="6007541"/>
    <s v="J Balvin"/>
    <n v="29067437"/>
    <s v="latin"/>
    <d v="2021-03-19T00:00:00"/>
    <n v="76"/>
    <x v="0"/>
    <n v="0.66400000000000003"/>
    <n v="0.65900000000000003"/>
    <n v="8.7300000000000003E-2"/>
    <n v="6.25E-2"/>
    <n v="8.7400000000000005E-2"/>
    <n v="0.79700000000000004"/>
    <n v="-4.2320000000000002"/>
    <n v="157320"/>
    <n v="2021"/>
    <x v="0"/>
  </r>
  <r>
    <n v="483"/>
    <n v="82"/>
    <n v="18"/>
    <d v="2021-02-05T00:00:00"/>
    <x v="3"/>
    <s v="Polvo"/>
    <n v="5528508"/>
    <s v="Nicky Jam, Myke Towers"/>
    <n v="14831925"/>
    <s v="latin"/>
    <d v="2020-11-20T00:00:00"/>
    <n v="76"/>
    <x v="1"/>
    <n v="0.76300000000000001"/>
    <n v="0.621"/>
    <n v="6.6000000000000003E-2"/>
    <n v="1.0500000000000001E-2"/>
    <n v="0.106"/>
    <n v="0.58199999999999996"/>
    <n v="-6.1689999999999996"/>
    <n v="211130"/>
    <n v="2020"/>
    <x v="0"/>
  </r>
  <r>
    <n v="535"/>
    <n v="50"/>
    <n v="5"/>
    <d v="2021-01-22T00:00:00"/>
    <x v="3"/>
    <s v="Skin"/>
    <n v="5497942"/>
    <s v="Sabrina Carpenter"/>
    <n v="3689546"/>
    <s v="alt z"/>
    <d v="2021-01-22T00:00:00"/>
    <n v="76"/>
    <x v="1"/>
    <n v="0.55700000000000005"/>
    <n v="0.45700000000000002"/>
    <n v="3.3500000000000002E-2"/>
    <n v="0.42799999999999999"/>
    <n v="5.67E-2"/>
    <n v="0.32800000000000001"/>
    <n v="-5.3719999999999999"/>
    <n v="177500"/>
    <n v="2021"/>
    <x v="0"/>
  </r>
  <r>
    <n v="226"/>
    <n v="164"/>
    <n v="1"/>
    <d v="2021-07-09T00:00:00"/>
    <x v="1"/>
    <s v="The Jackie (with J. Cole &amp; Lil Tjay)"/>
    <n v="5454994"/>
    <s v="Bas"/>
    <n v="386757"/>
    <s v="hip hop"/>
    <d v="2021-07-09T00:00:00"/>
    <n v="76"/>
    <x v="1"/>
    <n v="0.78400000000000003"/>
    <n v="0.47399999999999998"/>
    <n v="5.2400000000000002E-2"/>
    <n v="0.33300000000000002"/>
    <n v="0.27800000000000002"/>
    <n v="0.64"/>
    <n v="-6.1390000000000002"/>
    <n v="204434"/>
    <n v="2021"/>
    <x v="0"/>
  </r>
  <r>
    <n v="723"/>
    <n v="46"/>
    <n v="14"/>
    <d v="2020-09-18T00:00:00"/>
    <x v="3"/>
    <s v="Mad at Disney"/>
    <n v="5436450"/>
    <s v="salem ilese"/>
    <n v="133998"/>
    <s v="alt z"/>
    <d v="2020-07-24T00:00:00"/>
    <n v="76"/>
    <x v="1"/>
    <n v="0.73799999999999999"/>
    <n v="0.621"/>
    <n v="4.8599999999999997E-2"/>
    <n v="0.42399999999999999"/>
    <n v="0.69199999999999995"/>
    <n v="0.71499999999999997"/>
    <n v="-7.3129999999999997"/>
    <n v="136839"/>
    <n v="2020"/>
    <x v="0"/>
  </r>
  <r>
    <n v="328"/>
    <n v="170"/>
    <n v="1"/>
    <d v="2021-05-28T00:00:00"/>
    <x v="1"/>
    <s v="Killer (feat. Jack Harlow &amp; Cordae) - Remix"/>
    <n v="5404939"/>
    <s v="Eminem"/>
    <n v="46785561"/>
    <s v="detroit hip hop"/>
    <d v="2021-05-28T00:00:00"/>
    <n v="76"/>
    <x v="0"/>
    <n v="0.92400000000000004"/>
    <n v="0.73"/>
    <n v="0.27400000000000002"/>
    <n v="5.2499999999999998E-2"/>
    <n v="0.113"/>
    <n v="0.84799999999999998"/>
    <n v="-6.125"/>
    <n v="236666"/>
    <n v="2021"/>
    <x v="0"/>
  </r>
  <r>
    <n v="473"/>
    <n v="17"/>
    <n v="4"/>
    <d v="2021-03-05T00:00:00"/>
    <x v="1"/>
    <s v="Lemon Pepper Freestyle (feat. Rick Ross)"/>
    <n v="5365747"/>
    <s v="Drake"/>
    <n v="56327031"/>
    <s v="canadian hip hop"/>
    <d v="2021-03-05T00:00:00"/>
    <n v="76"/>
    <x v="0"/>
    <n v="0.77"/>
    <n v="0.63700000000000001"/>
    <n v="0.34499999999999997"/>
    <n v="0.10299999999999999"/>
    <n v="0.17100000000000001"/>
    <n v="0.43099999999999999"/>
    <n v="-5.53"/>
    <n v="383037"/>
    <n v="2021"/>
    <x v="0"/>
  </r>
  <r>
    <n v="379"/>
    <n v="169"/>
    <n v="1"/>
    <d v="2021-05-07T00:00:00"/>
    <x v="4"/>
    <s v="What You Need"/>
    <n v="5346005"/>
    <s v="Don Toliver"/>
    <n v="1605329"/>
    <s v="rap"/>
    <d v="2021-05-04T00:00:00"/>
    <n v="76"/>
    <x v="0"/>
    <n v="0.66400000000000003"/>
    <n v="0.65500000000000003"/>
    <n v="4.6100000000000002E-2"/>
    <n v="5.8999999999999997E-2"/>
    <n v="0.17"/>
    <n v="0.13"/>
    <n v="-7.327"/>
    <n v="217609"/>
    <n v="2021"/>
    <x v="0"/>
  </r>
  <r>
    <n v="793"/>
    <n v="168"/>
    <n v="1"/>
    <d v="2020-11-06T00:00:00"/>
    <x v="1"/>
    <s v="TRAGIC (feat. Youngboy Never Broke Again &amp; Internet Money)"/>
    <n v="5226940"/>
    <s v="The Kid LAROI"/>
    <n v="2238190"/>
    <s v="australian hip hop"/>
    <d v="2020-11-06T00:00:00"/>
    <n v="76"/>
    <x v="0"/>
    <n v="0.77900000000000003"/>
    <n v="0.64200000000000002"/>
    <n v="0.11600000000000001"/>
    <n v="3.8300000000000001E-2"/>
    <n v="0.2"/>
    <n v="0.38800000000000001"/>
    <n v="-6.3209999999999997"/>
    <n v="153147"/>
    <n v="2020"/>
    <x v="0"/>
  </r>
  <r>
    <n v="651"/>
    <n v="54"/>
    <n v="3"/>
    <d v="2020-12-11T00:00:00"/>
    <x v="1"/>
    <s v="Show Out (with Skepta &amp; Pop Smoke)"/>
    <n v="5209372"/>
    <s v="Kid Cudi"/>
    <n v="5002317"/>
    <s v="hip hop"/>
    <d v="2020-12-11T00:00:00"/>
    <n v="76"/>
    <x v="1"/>
    <n v="0.61899999999999999"/>
    <n v="0.58899999999999997"/>
    <n v="0.124"/>
    <n v="0.43"/>
    <n v="0.378"/>
    <n v="0.158"/>
    <n v="-6.5309999999999997"/>
    <n v="174960"/>
    <n v="2020"/>
    <x v="0"/>
  </r>
  <r>
    <n v="561"/>
    <n v="14"/>
    <n v="26"/>
    <d v="2020-08-14T00:00:00"/>
    <x v="2"/>
    <s v="Midnight Sky"/>
    <n v="5208100"/>
    <s v="Miley Cyrus"/>
    <n v="15778531"/>
    <s v="dance pop"/>
    <d v="2020-08-14T00:00:00"/>
    <n v="76"/>
    <x v="0"/>
    <n v="0.70499999999999996"/>
    <n v="0.81399999999999995"/>
    <n v="3.4599999999999999E-2"/>
    <n v="1.15E-3"/>
    <n v="0.20300000000000001"/>
    <n v="0.25900000000000001"/>
    <n v="-5.4660000000000002"/>
    <n v="223279"/>
    <n v="2020"/>
    <x v="0"/>
  </r>
  <r>
    <n v="562"/>
    <n v="175"/>
    <n v="1"/>
    <d v="2021-02-05T00:00:00"/>
    <x v="2"/>
    <s v="Pressure (feat. Tove Lo)"/>
    <n v="5197587"/>
    <s v="Martin Garrix"/>
    <n v="14921269"/>
    <s v="dance pop"/>
    <d v="2021-02-05T00:00:00"/>
    <n v="76"/>
    <x v="1"/>
    <n v="0.85899999999999999"/>
    <n v="0.55800000000000005"/>
    <n v="9.0200000000000002E-2"/>
    <n v="0.65900000000000003"/>
    <n v="0.124"/>
    <n v="0.35699999999999998"/>
    <n v="-8.9909999999999997"/>
    <n v="144391"/>
    <n v="2021"/>
    <x v="0"/>
  </r>
  <r>
    <n v="754"/>
    <n v="140"/>
    <n v="3"/>
    <d v="2020-11-06T00:00:00"/>
    <x v="1"/>
    <s v="ALWAYS DO"/>
    <n v="5196635"/>
    <s v="The Kid LAROI"/>
    <n v="2238190"/>
    <s v="australian hip hop"/>
    <d v="2020-11-06T00:00:00"/>
    <n v="76"/>
    <x v="1"/>
    <n v="0.76200000000000001"/>
    <n v="0.42599999999999999"/>
    <n v="0.113"/>
    <n v="4.4200000000000003E-2"/>
    <n v="8.5800000000000001E-2"/>
    <n v="0.58199999999999996"/>
    <n v="-6.8650000000000002"/>
    <n v="151705"/>
    <n v="2020"/>
    <x v="0"/>
  </r>
  <r>
    <n v="1425"/>
    <n v="141"/>
    <n v="6"/>
    <d v="2020-01-24T00:00:00"/>
    <x v="2"/>
    <s v="wish you were gay"/>
    <n v="5187997"/>
    <s v="Billie Eilish"/>
    <n v="47061119"/>
    <s v="electropop"/>
    <d v="2019-03-29T00:00:00"/>
    <n v="76"/>
    <x v="1"/>
    <n v="0.85299999999999998"/>
    <n v="0.35099999999999998"/>
    <n v="0.24099999999999999"/>
    <n v="0.39"/>
    <n v="0.752"/>
    <n v="0.28199999999999997"/>
    <n v="-10.198"/>
    <n v="221543"/>
    <n v="2019"/>
    <x v="0"/>
  </r>
  <r>
    <n v="217"/>
    <n v="193"/>
    <n v="1"/>
    <d v="2021-07-16T00:00:00"/>
    <x v="3"/>
    <s v="Shot in the Dark"/>
    <n v="5173308"/>
    <s v="John Mayer"/>
    <n v="5178156"/>
    <s v="neo mellow"/>
    <d v="2021-07-16T00:00:00"/>
    <n v="76"/>
    <x v="1"/>
    <n v="0.74099999999999999"/>
    <n v="0.55600000000000005"/>
    <n v="2.6599999999999999E-2"/>
    <n v="6.2899999999999998E-2"/>
    <n v="0.10299999999999999"/>
    <n v="0.58699999999999997"/>
    <n v="-9.1839999999999993"/>
    <n v="249080"/>
    <n v="2021"/>
    <x v="0"/>
  </r>
  <r>
    <n v="536"/>
    <n v="62"/>
    <n v="17"/>
    <d v="2020-10-23T00:00:00"/>
    <x v="1"/>
    <s v="Tyler Herro"/>
    <n v="5168107"/>
    <s v="Jack Harlow"/>
    <n v="1053324"/>
    <s v="deep underground hip hop"/>
    <d v="2020-10-22T00:00:00"/>
    <n v="76"/>
    <x v="0"/>
    <n v="0.79400000000000004"/>
    <n v="0.75600000000000001"/>
    <n v="0.13600000000000001"/>
    <n v="0.11"/>
    <n v="0.247"/>
    <n v="0.77500000000000002"/>
    <n v="-7.16"/>
    <n v="156498"/>
    <n v="2020"/>
    <x v="0"/>
  </r>
  <r>
    <n v="356"/>
    <n v="198"/>
    <n v="1"/>
    <d v="2021-05-21T00:00:00"/>
    <x v="3"/>
    <s v="Mask"/>
    <n v="5156496"/>
    <s v="Dream"/>
    <n v="727731"/>
    <s v="dream smp"/>
    <d v="2021-05-21T00:00:00"/>
    <n v="76"/>
    <x v="0"/>
    <n v="0.63600000000000001"/>
    <n v="0.749"/>
    <n v="6.3100000000000003E-2"/>
    <n v="0.19500000000000001"/>
    <n v="0.107"/>
    <n v="0.65300000000000002"/>
    <n v="-4.1970000000000001"/>
    <n v="174936"/>
    <n v="2021"/>
    <x v="0"/>
  </r>
  <r>
    <n v="572"/>
    <n v="176"/>
    <n v="1"/>
    <d v="2021-01-29T00:00:00"/>
    <x v="4"/>
    <s v="Gravity (feat. Tyler, The Creator)"/>
    <n v="5136895"/>
    <s v="Brent Faiyaz, DJ Dahi"/>
    <n v="1726216"/>
    <s v="dmv rap"/>
    <d v="2021-01-29T00:00:00"/>
    <n v="76"/>
    <x v="1"/>
    <n v="0.53900000000000003"/>
    <n v="0.61499999999999999"/>
    <n v="0.252"/>
    <n v="0.17299999999999999"/>
    <n v="0.14399999999999999"/>
    <n v="0.49299999999999999"/>
    <n v="-8.7460000000000004"/>
    <n v="214693"/>
    <n v="2021"/>
    <x v="0"/>
  </r>
  <r>
    <n v="1156"/>
    <n v="59"/>
    <n v="3"/>
    <d v="2020-05-08T00:00:00"/>
    <x v="3"/>
    <s v="CANCIÓN CON YANDEL"/>
    <n v="5132247"/>
    <s v="Yandel, Bad Bunny"/>
    <n v="36177712"/>
    <s v="latin"/>
    <d v="2020-05-10T00:00:00"/>
    <n v="76"/>
    <x v="0"/>
    <n v="0.75"/>
    <n v="0.74099999999999999"/>
    <n v="0.40200000000000002"/>
    <n v="0.44700000000000001"/>
    <n v="0.121"/>
    <n v="0.495"/>
    <n v="-4.43"/>
    <n v="209180"/>
    <n v="2020"/>
    <x v="0"/>
  </r>
  <r>
    <n v="489"/>
    <n v="141"/>
    <n v="13"/>
    <d v="2021-02-05T00:00:00"/>
    <x v="3"/>
    <s v="Ponte Pa' Mi"/>
    <n v="5082870"/>
    <s v="Justin Quiles"/>
    <n v="2897862"/>
    <s v="latin"/>
    <d v="2020-11-20T00:00:00"/>
    <n v="76"/>
    <x v="0"/>
    <n v="0.878"/>
    <n v="0.71299999999999997"/>
    <n v="9.4799999999999995E-2"/>
    <n v="5.8099999999999999E-2"/>
    <n v="8.2199999999999995E-2"/>
    <n v="0.61499999999999999"/>
    <n v="-4.5659999999999998"/>
    <n v="202373"/>
    <n v="2020"/>
    <x v="0"/>
  </r>
  <r>
    <n v="336"/>
    <n v="129"/>
    <n v="14"/>
    <d v="2021-04-02T00:00:00"/>
    <x v="2"/>
    <s v="Somebody That I Used To Know"/>
    <n v="5068972"/>
    <s v="Gotye, Kimbra"/>
    <n v="2263960"/>
    <s v="australian pop"/>
    <d v="2011-01-01T00:00:00"/>
    <n v="76"/>
    <x v="1"/>
    <n v="0.86399999999999999"/>
    <n v="0.495"/>
    <n v="3.6999999999999998E-2"/>
    <n v="0.59099999999999997"/>
    <n v="9.9199999999999997E-2"/>
    <n v="0.72"/>
    <n v="-7.0359999999999996"/>
    <n v="244973"/>
    <n v="2011"/>
    <x v="0"/>
  </r>
  <r>
    <n v="388"/>
    <n v="66"/>
    <n v="10"/>
    <d v="2021-03-05T00:00:00"/>
    <x v="2"/>
    <s v="Machu Picchu"/>
    <n v="5062404"/>
    <s v="Camilo, Evaluna Montaner"/>
    <n v="10561047"/>
    <s v="colombian pop"/>
    <d v="2021-03-01T00:00:00"/>
    <n v="76"/>
    <x v="0"/>
    <n v="0.78800000000000003"/>
    <n v="0.78900000000000003"/>
    <n v="0.124"/>
    <n v="0.39700000000000002"/>
    <n v="0.22600000000000001"/>
    <n v="0.86699999999999999"/>
    <n v="-2.39"/>
    <n v="179005"/>
    <n v="2021"/>
    <x v="0"/>
  </r>
  <r>
    <n v="574"/>
    <n v="103"/>
    <n v="12"/>
    <d v="2021-01-15T00:00:00"/>
    <x v="2"/>
    <s v="All I Want - From &quot;High School Musical: The Musical: The Series&quot;"/>
    <n v="5052801"/>
    <s v="Olivia Rodrigo"/>
    <n v="6313514"/>
    <s v="pop"/>
    <d v="2019-11-27T00:00:00"/>
    <n v="76"/>
    <x v="1"/>
    <n v="0.376"/>
    <n v="0.43"/>
    <n v="3.2800000000000003E-2"/>
    <n v="9.0200000000000002E-2"/>
    <n v="9.1200000000000003E-2"/>
    <n v="0.129"/>
    <n v="-6.585"/>
    <n v="177323"/>
    <n v="2019"/>
    <x v="0"/>
  </r>
  <r>
    <n v="575"/>
    <n v="45"/>
    <n v="20"/>
    <d v="2020-10-23T00:00:00"/>
    <x v="2"/>
    <s v="Daisy"/>
    <n v="5030670"/>
    <s v="Ashnikko"/>
    <n v="1248499"/>
    <s v="electropop"/>
    <d v="2020-07-09T00:00:00"/>
    <n v="76"/>
    <x v="0"/>
    <n v="0.83399999999999996"/>
    <n v="0.66300000000000003"/>
    <n v="0.13300000000000001"/>
    <n v="0.23499999999999999"/>
    <n v="0.372"/>
    <n v="0.77400000000000002"/>
    <n v="-6.1429999999999998"/>
    <n v="146523"/>
    <n v="2020"/>
    <x v="0"/>
  </r>
  <r>
    <n v="757"/>
    <n v="41"/>
    <n v="7"/>
    <d v="2020-10-02T00:00:00"/>
    <x v="2"/>
    <s v="Savage Love (Laxed – Siren Beat) [BTS Remix]"/>
    <n v="4995203"/>
    <s v="Jawsh 685, Jason Derulo"/>
    <n v="100635"/>
    <s v="nz pop"/>
    <d v="2020-10-02T00:00:00"/>
    <n v="76"/>
    <x v="1"/>
    <n v="0.75800000000000001"/>
    <n v="0.59799999999999998"/>
    <n v="8.6800000000000002E-2"/>
    <n v="0.16"/>
    <n v="0.29499999999999998"/>
    <n v="0.65800000000000003"/>
    <n v="-5.6950000000000003"/>
    <n v="184905"/>
    <n v="2020"/>
    <x v="0"/>
  </r>
  <r>
    <n v="1444"/>
    <n v="54"/>
    <n v="7"/>
    <d v="2019-12-27T00:00:00"/>
    <x v="2"/>
    <s v="Psycho"/>
    <n v="4991751"/>
    <s v="Red Velvet"/>
    <n v="5688315"/>
    <s v="k-pop"/>
    <d v="2019-12-23T00:00:00"/>
    <n v="76"/>
    <x v="0"/>
    <n v="0.66400000000000003"/>
    <n v="0.66600000000000004"/>
    <n v="4.4600000000000001E-2"/>
    <n v="0.193"/>
    <n v="8.5400000000000004E-2"/>
    <n v="0.40500000000000003"/>
    <n v="-2.2029999999999998"/>
    <n v="210560"/>
    <n v="2019"/>
    <x v="0"/>
  </r>
  <r>
    <n v="1445"/>
    <n v="113"/>
    <n v="7"/>
    <d v="2020-01-03T00:00:00"/>
    <x v="1"/>
    <s v="Suge"/>
    <n v="4986299"/>
    <s v="DaBaby"/>
    <n v="7601122"/>
    <s v="north carolina hip hop"/>
    <d v="2019-03-01T00:00:00"/>
    <n v="76"/>
    <x v="0"/>
    <n v="0.876"/>
    <n v="0.66200000000000003"/>
    <n v="0.42599999999999999"/>
    <n v="6.08E-2"/>
    <n v="0.127"/>
    <n v="0.84399999999999997"/>
    <n v="-6.4820000000000002"/>
    <n v="163320"/>
    <n v="2019"/>
    <x v="0"/>
  </r>
  <r>
    <n v="576"/>
    <n v="83"/>
    <n v="4"/>
    <d v="2021-01-08T00:00:00"/>
    <x v="5"/>
    <s v="Wasted On You"/>
    <n v="4948563"/>
    <s v="Morgan Wallen"/>
    <n v="2147875"/>
    <s v="contemporary country"/>
    <d v="2021-01-08T00:00:00"/>
    <n v="76"/>
    <x v="0"/>
    <n v="0.505"/>
    <n v="0.65700000000000003"/>
    <n v="3.1800000000000002E-2"/>
    <n v="0.373"/>
    <n v="0.126"/>
    <n v="0.252"/>
    <n v="-5.24"/>
    <n v="178520"/>
    <n v="2021"/>
    <x v="0"/>
  </r>
  <r>
    <n v="1463"/>
    <n v="131"/>
    <n v="6"/>
    <d v="2019-12-27T00:00:00"/>
    <x v="2"/>
    <s v="Turn Me On (feat. Vula)"/>
    <n v="4925843"/>
    <s v="Riton, Oliver Heldens"/>
    <n v="83743"/>
    <s v="dance pop"/>
    <d v="2019-09-13T00:00:00"/>
    <n v="76"/>
    <x v="0"/>
    <n v="0.73699999999999999"/>
    <n v="0.82799999999999996"/>
    <n v="3.9600000000000003E-2"/>
    <n v="1.49E-2"/>
    <n v="8.6199999999999999E-2"/>
    <n v="0.51700000000000002"/>
    <n v="-4.7110000000000003"/>
    <n v="208474"/>
    <n v="2019"/>
    <x v="0"/>
  </r>
  <r>
    <n v="781"/>
    <n v="32"/>
    <n v="25"/>
    <d v="2020-06-12T00:00:00"/>
    <x v="3"/>
    <s v="Hasta Que Dios Diga"/>
    <n v="4899099"/>
    <s v="Anuel AA, Bad Bunny"/>
    <n v="18306226"/>
    <s v="latin"/>
    <d v="2020-05-29T00:00:00"/>
    <n v="76"/>
    <x v="0"/>
    <n v="0.69099999999999995"/>
    <n v="0.76500000000000001"/>
    <n v="0.111"/>
    <n v="0.46400000000000002"/>
    <n v="0.20300000000000001"/>
    <n v="0.85499999999999998"/>
    <n v="-4.7270000000000003"/>
    <n v="246000"/>
    <n v="2020"/>
    <x v="0"/>
  </r>
  <r>
    <n v="1484"/>
    <n v="157"/>
    <n v="4"/>
    <d v="2019-12-27T00:00:00"/>
    <x v="3"/>
    <s v="11 PM"/>
    <n v="4891989"/>
    <s v="Maluma"/>
    <n v="26784251"/>
    <s v="latin"/>
    <d v="2019-05-17T00:00:00"/>
    <n v="76"/>
    <x v="0"/>
    <n v="0.77700000000000002"/>
    <n v="0.71199999999999997"/>
    <n v="0.27700000000000002"/>
    <n v="0.217"/>
    <n v="9.0999999999999998E-2"/>
    <n v="0.68"/>
    <n v="-4.84"/>
    <n v="175733"/>
    <n v="2019"/>
    <x v="0"/>
  </r>
  <r>
    <n v="569"/>
    <n v="174"/>
    <n v="3"/>
    <d v="2021-01-08T00:00:00"/>
    <x v="4"/>
    <s v="Cry Baby (feat. DaBaby)"/>
    <n v="4884711"/>
    <s v="Megan Thee Stallion"/>
    <n v="4794212"/>
    <s v="houston rap"/>
    <d v="2020-11-20T00:00:00"/>
    <n v="76"/>
    <x v="1"/>
    <n v="0.95699999999999996"/>
    <n v="0.437"/>
    <n v="0.35899999999999999"/>
    <n v="4.0200000000000001E-3"/>
    <n v="0.219"/>
    <n v="0.61599999999999999"/>
    <n v="-7.8819999999999997"/>
    <n v="137984"/>
    <n v="2020"/>
    <x v="0"/>
  </r>
  <r>
    <n v="1528"/>
    <n v="133"/>
    <n v="3"/>
    <d v="2019-12-27T00:00:00"/>
    <x v="3"/>
    <s v="Calma - Remix"/>
    <n v="4879713"/>
    <s v="Pedro Capó, Farruko"/>
    <n v="1353049"/>
    <s v="latin"/>
    <d v="2018-10-05T00:00:00"/>
    <n v="76"/>
    <x v="0"/>
    <n v="0.82599999999999996"/>
    <n v="0.77300000000000002"/>
    <n v="5.2400000000000002E-2"/>
    <n v="0.32300000000000001"/>
    <n v="0.14299999999999999"/>
    <n v="0.76100000000000001"/>
    <n v="-4.218"/>
    <n v="238200"/>
    <n v="2018"/>
    <x v="0"/>
  </r>
  <r>
    <n v="570"/>
    <n v="47"/>
    <n v="25"/>
    <d v="2020-09-25T00:00:00"/>
    <x v="3"/>
    <s v="Mi Cuarto"/>
    <n v="4873380"/>
    <s v="Jerry Di"/>
    <n v="149682"/>
    <s v="cubaton"/>
    <d v="2020-04-03T00:00:00"/>
    <n v="76"/>
    <x v="1"/>
    <n v="0.85399999999999998"/>
    <n v="0.52500000000000002"/>
    <n v="0.214"/>
    <n v="0.81899999999999995"/>
    <n v="0.14599999999999999"/>
    <n v="0.63"/>
    <n v="-4.4260000000000002"/>
    <n v="197587"/>
    <n v="2020"/>
    <x v="0"/>
  </r>
  <r>
    <n v="906"/>
    <n v="68"/>
    <n v="13"/>
    <d v="2020-06-26T00:00:00"/>
    <x v="1"/>
    <s v="We Paid (feat. 42 Dugg)"/>
    <n v="4776686"/>
    <s v="Lil Baby"/>
    <n v="7816213"/>
    <s v="atl hip hop"/>
    <d v="2020-05-01T00:00:00"/>
    <n v="76"/>
    <x v="1"/>
    <n v="0.92600000000000005"/>
    <n v="0.54200000000000004"/>
    <n v="0.29299999999999998"/>
    <n v="0.13500000000000001"/>
    <n v="8.77E-2"/>
    <n v="0.56399999999999995"/>
    <n v="-5.0640000000000001"/>
    <n v="181929"/>
    <n v="2020"/>
    <x v="0"/>
  </r>
  <r>
    <n v="1161"/>
    <n v="16"/>
    <n v="20"/>
    <d v="2020-01-17T00:00:00"/>
    <x v="2"/>
    <s v="You should be sad"/>
    <n v="4761908"/>
    <s v="Halsey"/>
    <n v="15663384"/>
    <s v="dance pop"/>
    <d v="2020-01-17T00:00:00"/>
    <n v="76"/>
    <x v="1"/>
    <n v="0.59099999999999997"/>
    <n v="0.58499999999999996"/>
    <n v="2.7699999999999999E-2"/>
    <n v="0.14299999999999999"/>
    <n v="0.109"/>
    <n v="0.32400000000000001"/>
    <n v="-6.35"/>
    <n v="205473"/>
    <n v="2020"/>
    <x v="0"/>
  </r>
  <r>
    <n v="789"/>
    <n v="163"/>
    <n v="4"/>
    <d v="2020-10-23T00:00:00"/>
    <x v="3"/>
    <s v="Nada"/>
    <n v="4713873"/>
    <s v="Cali Y El Dandee, Danna Paola"/>
    <n v="3152313"/>
    <s v="champeta"/>
    <d v="2020-08-14T00:00:00"/>
    <n v="76"/>
    <x v="0"/>
    <n v="0.68400000000000005"/>
    <n v="0.80800000000000005"/>
    <n v="6.0999999999999999E-2"/>
    <n v="5.1799999999999999E-2"/>
    <n v="8.5800000000000001E-2"/>
    <n v="0.71199999999999997"/>
    <n v="-2.7370000000000001"/>
    <n v="174027"/>
    <n v="2020"/>
    <x v="0"/>
  </r>
  <r>
    <n v="1550"/>
    <n v="187"/>
    <n v="1"/>
    <d v="2019-12-27T00:00:00"/>
    <x v="4"/>
    <s v="Let Me Know (I Wonder Why Freestyle)"/>
    <n v="4701532"/>
    <s v="Juice WRLD"/>
    <n v="19102888"/>
    <s v="chicago rap"/>
    <d v="2019-12-07T00:00:00"/>
    <n v="76"/>
    <x v="1"/>
    <n v="0.63500000000000001"/>
    <n v="0.53700000000000003"/>
    <n v="8.3199999999999996E-2"/>
    <n v="0.17199999999999999"/>
    <n v="0.41799999999999998"/>
    <n v="0.38300000000000001"/>
    <n v="-7.8949999999999996"/>
    <n v="215381"/>
    <n v="2019"/>
    <x v="0"/>
  </r>
  <r>
    <n v="953"/>
    <n v="79"/>
    <n v="13"/>
    <d v="2020-05-22T00:00:00"/>
    <x v="4"/>
    <s v="Flex (feat. Juice WRLD)"/>
    <n v="4664281"/>
    <s v="Polo G"/>
    <n v="4849204"/>
    <s v="chicago rap"/>
    <d v="2020-05-15T00:00:00"/>
    <n v="76"/>
    <x v="0"/>
    <n v="0.752"/>
    <n v="0.67300000000000004"/>
    <n v="0.153"/>
    <n v="5.3800000000000001E-2"/>
    <n v="0.13300000000000001"/>
    <n v="0.35"/>
    <n v="-5.7919999999999998"/>
    <n v="163902"/>
    <n v="2020"/>
    <x v="0"/>
  </r>
  <r>
    <n v="840"/>
    <n v="69"/>
    <n v="22"/>
    <d v="2020-05-22T00:00:00"/>
    <x v="1"/>
    <s v="DOLLAZ ON MY HEAD (feat. Young Thug)"/>
    <n v="4652712"/>
    <s v="Gunna"/>
    <n v="3337982"/>
    <s v="atl hip hop"/>
    <d v="2020-05-22T00:00:00"/>
    <n v="76"/>
    <x v="1"/>
    <n v="0.82499999999999996"/>
    <n v="0.45800000000000002"/>
    <n v="5.7700000000000001E-2"/>
    <n v="0.114"/>
    <n v="0.10199999999999999"/>
    <n v="0.161"/>
    <n v="-7.47"/>
    <n v="197760"/>
    <n v="2020"/>
    <x v="0"/>
  </r>
  <r>
    <n v="1162"/>
    <n v="54"/>
    <n v="14"/>
    <d v="2020-03-13T00:00:00"/>
    <x v="4"/>
    <s v="CITY OF ANGELS"/>
    <n v="4645541"/>
    <s v="24kGoldn"/>
    <n v="1276406"/>
    <s v="cali rap"/>
    <d v="2019-11-22T00:00:00"/>
    <n v="76"/>
    <x v="1"/>
    <n v="0.68600000000000005"/>
    <n v="0.54100000000000004"/>
    <n v="4.9299999999999997E-2"/>
    <n v="4.2000000000000003E-2"/>
    <n v="6.7500000000000004E-2"/>
    <n v="0.72399999999999998"/>
    <n v="-4.9930000000000003"/>
    <n v="112493"/>
    <n v="2019"/>
    <x v="0"/>
  </r>
  <r>
    <n v="1106"/>
    <n v="154"/>
    <n v="6"/>
    <d v="2020-06-05T00:00:00"/>
    <x v="3"/>
    <s v="Surrender"/>
    <n v="4627942"/>
    <s v="Natalie Taylor"/>
    <n v="120208"/>
    <m/>
    <d v="2019-10-29T00:00:00"/>
    <n v="76"/>
    <x v="1"/>
    <n v="0.39"/>
    <n v="0.44800000000000001"/>
    <n v="2.76E-2"/>
    <n v="0.8"/>
    <n v="0.107"/>
    <n v="7.6999999999999999E-2"/>
    <n v="-8.57"/>
    <n v="183103"/>
    <n v="2019"/>
    <x v="0"/>
  </r>
  <r>
    <n v="921"/>
    <n v="103"/>
    <n v="12"/>
    <d v="2020-07-17T00:00:00"/>
    <x v="3"/>
    <s v="Mariposa"/>
    <n v="4593366"/>
    <s v="Peach Tree Rascals"/>
    <n v="177972"/>
    <s v="alternative r&amp;b"/>
    <d v="2019-08-28T00:00:00"/>
    <n v="76"/>
    <x v="1"/>
    <n v="0.67600000000000005"/>
    <n v="0.52500000000000002"/>
    <n v="2.8000000000000001E-2"/>
    <n v="0.61699999999999999"/>
    <n v="0.35599999999999998"/>
    <n v="0.42099999999999999"/>
    <n v="-5.88"/>
    <n v="210000"/>
    <n v="2019"/>
    <x v="0"/>
  </r>
  <r>
    <n v="1067"/>
    <n v="32"/>
    <n v="16"/>
    <d v="2020-03-13T00:00:00"/>
    <x v="4"/>
    <s v="Myron"/>
    <n v="4593309"/>
    <s v="Lil Uzi Vert"/>
    <n v="11821805"/>
    <s v="melodic rap"/>
    <d v="2020-03-13T00:00:00"/>
    <n v="76"/>
    <x v="0"/>
    <n v="0.77100000000000002"/>
    <n v="0.65400000000000003"/>
    <n v="0.29799999999999999"/>
    <n v="5.5E-2"/>
    <n v="0.214"/>
    <n v="0.57299999999999995"/>
    <n v="-6.976"/>
    <n v="224955"/>
    <n v="2020"/>
    <x v="0"/>
  </r>
  <r>
    <n v="943"/>
    <n v="11"/>
    <n v="5"/>
    <d v="2020-07-24T00:00:00"/>
    <x v="2"/>
    <s v="august"/>
    <n v="4586236"/>
    <s v="Taylor Swift"/>
    <n v="42227614"/>
    <s v="pop"/>
    <d v="2020-07-24T00:00:00"/>
    <n v="76"/>
    <x v="1"/>
    <n v="0.53200000000000003"/>
    <n v="0.623"/>
    <n v="3.3099999999999997E-2"/>
    <n v="0.53800000000000003"/>
    <n v="9.2499999999999999E-2"/>
    <n v="0.40300000000000002"/>
    <n v="-9.2080000000000002"/>
    <n v="261923"/>
    <n v="2020"/>
    <x v="0"/>
  </r>
  <r>
    <n v="618"/>
    <n v="68"/>
    <n v="8"/>
    <d v="2020-10-30T00:00:00"/>
    <x v="2"/>
    <s v="I CAN'T STOP ME"/>
    <n v="4504304"/>
    <s v="TWICE"/>
    <n v="9998991"/>
    <s v="k-pop"/>
    <d v="2020-10-26T00:00:00"/>
    <n v="76"/>
    <x v="0"/>
    <n v="0.65700000000000003"/>
    <n v="0.88"/>
    <n v="0.10199999999999999"/>
    <n v="0.121"/>
    <n v="0.46300000000000002"/>
    <n v="0.76900000000000002"/>
    <n v="-3.6720000000000002"/>
    <n v="205493"/>
    <n v="2020"/>
    <x v="0"/>
  </r>
  <r>
    <n v="1179"/>
    <n v="126"/>
    <n v="9"/>
    <d v="2020-04-10T00:00:00"/>
    <x v="3"/>
    <s v="PTSD"/>
    <n v="4500903"/>
    <s v="G Herbo, Juice WRLD, Lil Uzi Vert, Chance the Rapper"/>
    <n v="1253138"/>
    <s v="chicago drill"/>
    <d v="2020-02-28T00:00:00"/>
    <n v="76"/>
    <x v="0"/>
    <n v="0.88300000000000001"/>
    <n v="0.80800000000000005"/>
    <n v="0.182"/>
    <n v="3.1300000000000001E-2"/>
    <n v="0.20699999999999999"/>
    <n v="0.80600000000000005"/>
    <n v="-3.1579999999999999"/>
    <n v="232065"/>
    <n v="2020"/>
    <x v="0"/>
  </r>
  <r>
    <n v="1192"/>
    <n v="46"/>
    <n v="3"/>
    <d v="2020-04-24T00:00:00"/>
    <x v="4"/>
    <s v="STARGAZING"/>
    <n v="4499820"/>
    <s v="Travis Scott"/>
    <n v="17732077"/>
    <s v="rap"/>
    <d v="2018-08-03T00:00:00"/>
    <n v="76"/>
    <x v="0"/>
    <n v="0.48699999999999999"/>
    <n v="0.78900000000000003"/>
    <n v="4.3999999999999997E-2"/>
    <n v="9.4699999999999993E-3"/>
    <n v="0.189"/>
    <n v="5.6399999999999999E-2"/>
    <n v="-3.69"/>
    <n v="270715"/>
    <n v="2018"/>
    <x v="0"/>
  </r>
  <r>
    <n v="957"/>
    <n v="100"/>
    <n v="15"/>
    <d v="2020-06-05T00:00:00"/>
    <x v="2"/>
    <s v="El Efecto"/>
    <n v="4466143"/>
    <s v="Rauw Alejandro, Chencho Corleone"/>
    <n v="6096559"/>
    <s v="puerto rican pop"/>
    <d v="2019-03-15T00:00:00"/>
    <n v="76"/>
    <x v="0"/>
    <n v="0.84899999999999998"/>
    <n v="0.78100000000000003"/>
    <n v="0.159"/>
    <n v="0.40600000000000003"/>
    <n v="8.0100000000000005E-2"/>
    <n v="0.89300000000000002"/>
    <n v="-4.6349999999999998"/>
    <n v="217143"/>
    <n v="2019"/>
    <x v="0"/>
  </r>
  <r>
    <n v="1077"/>
    <n v="36"/>
    <n v="21"/>
    <d v="2020-02-07T00:00:00"/>
    <x v="2"/>
    <s v="Know Your Worth"/>
    <n v="4374392"/>
    <s v="Khalid, Disclosure"/>
    <n v="14190858"/>
    <s v="pop"/>
    <d v="2020-02-04T00:00:00"/>
    <n v="76"/>
    <x v="0"/>
    <n v="0.79"/>
    <n v="0.69399999999999995"/>
    <n v="7.0800000000000002E-2"/>
    <n v="0.14499999999999999"/>
    <n v="0.28100000000000003"/>
    <n v="0.50800000000000001"/>
    <n v="-7.726"/>
    <n v="181436"/>
    <n v="2020"/>
    <x v="0"/>
  </r>
  <r>
    <n v="1227"/>
    <n v="85"/>
    <n v="17"/>
    <d v="2019-12-27T00:00:00"/>
    <x v="2"/>
    <s v="Hate Me (with Juice WRLD)"/>
    <n v="4367368"/>
    <s v="Ellie Goulding"/>
    <n v="9747805"/>
    <s v="dance pop"/>
    <d v="2019-06-26T00:00:00"/>
    <n v="76"/>
    <x v="0"/>
    <n v="0.65700000000000003"/>
    <n v="0.76800000000000002"/>
    <n v="5.0700000000000002E-2"/>
    <n v="0.108"/>
    <n v="0.14399999999999999"/>
    <n v="0.75900000000000001"/>
    <n v="-4.6280000000000001"/>
    <n v="186223"/>
    <n v="2019"/>
    <x v="0"/>
  </r>
  <r>
    <n v="1121"/>
    <n v="145"/>
    <n v="17"/>
    <d v="2020-01-03T00:00:00"/>
    <x v="2"/>
    <s v="If I Can't Have You"/>
    <n v="4364166"/>
    <s v="Shawn Mendes"/>
    <n v="33893352"/>
    <s v="canadian pop"/>
    <d v="2019-05-03T00:00:00"/>
    <n v="76"/>
    <x v="0"/>
    <n v="0.69199999999999995"/>
    <n v="0.80900000000000005"/>
    <n v="6.0199999999999997E-2"/>
    <n v="0.52400000000000002"/>
    <n v="0.14699999999999999"/>
    <n v="0.86399999999999999"/>
    <n v="-4.1980000000000004"/>
    <n v="190800"/>
    <n v="2019"/>
    <x v="0"/>
  </r>
  <r>
    <n v="1080"/>
    <n v="196"/>
    <n v="1"/>
    <d v="2020-06-26T00:00:00"/>
    <x v="2"/>
    <s v="Kill This Love"/>
    <n v="4341050"/>
    <s v="BLACKPINK"/>
    <n v="23848461"/>
    <s v="k-pop"/>
    <d v="2019-04-05T00:00:00"/>
    <n v="76"/>
    <x v="0"/>
    <n v="0.76300000000000001"/>
    <n v="0.83499999999999996"/>
    <n v="0.191"/>
    <n v="0.32300000000000001"/>
    <n v="0.22500000000000001"/>
    <n v="0.64500000000000002"/>
    <n v="-5.234"/>
    <n v="191050"/>
    <n v="2019"/>
    <x v="0"/>
  </r>
  <r>
    <n v="1194"/>
    <n v="23"/>
    <n v="20"/>
    <d v="2020-01-24T00:00:00"/>
    <x v="4"/>
    <s v="Suicidal"/>
    <n v="4320116"/>
    <s v="YNW Melly"/>
    <n v="6332535"/>
    <s v="melodic rap"/>
    <d v="2020-03-13T00:00:00"/>
    <n v="76"/>
    <x v="1"/>
    <n v="0.65500000000000003"/>
    <n v="0.441"/>
    <n v="6.2899999999999998E-2"/>
    <n v="0.47399999999999998"/>
    <n v="9.9000000000000005E-2"/>
    <n v="0.27300000000000002"/>
    <n v="-5.2450000000000001"/>
    <n v="225857"/>
    <n v="2020"/>
    <x v="0"/>
  </r>
  <r>
    <n v="1195"/>
    <n v="39"/>
    <n v="20"/>
    <d v="2020-01-03T00:00:00"/>
    <x v="2"/>
    <s v="How Do You Sleep?"/>
    <n v="4313625"/>
    <s v="Sam Smith"/>
    <n v="17097317"/>
    <s v="dance pop"/>
    <d v="2019-07-19T00:00:00"/>
    <n v="76"/>
    <x v="0"/>
    <n v="0.47699999999999998"/>
    <n v="0.68200000000000005"/>
    <n v="9.2499999999999999E-2"/>
    <n v="0.153"/>
    <n v="7.6300000000000007E-2"/>
    <n v="0.34499999999999997"/>
    <n v="-4.931"/>
    <n v="202205"/>
    <n v="2019"/>
    <x v="0"/>
  </r>
  <r>
    <n v="1228"/>
    <n v="109"/>
    <n v="9"/>
    <d v="2020-02-14T00:00:00"/>
    <x v="1"/>
    <s v="Still Be Friends (feat. Tory Lanez &amp; Tyga)"/>
    <n v="4299422"/>
    <s v="G-Eazy"/>
    <n v="4894656"/>
    <s v="hip hop"/>
    <d v="2020-02-07T00:00:00"/>
    <n v="76"/>
    <x v="0"/>
    <n v="0.80300000000000005"/>
    <n v="0.75900000000000001"/>
    <n v="4.9399999999999999E-2"/>
    <n v="5.0899999999999999E-3"/>
    <n v="9.2100000000000001E-2"/>
    <n v="0.28399999999999997"/>
    <n v="-4.6920000000000002"/>
    <n v="213308"/>
    <n v="2020"/>
    <x v="0"/>
  </r>
  <r>
    <n v="1127"/>
    <n v="66"/>
    <n v="11"/>
    <d v="2020-03-13T00:00:00"/>
    <x v="4"/>
    <s v="Suicidal (Remix) [feat. Juice WRLD]"/>
    <n v="4296154"/>
    <s v="YNW Melly"/>
    <n v="6332535"/>
    <s v="melodic rap"/>
    <d v="2020-03-13T00:00:00"/>
    <n v="76"/>
    <x v="1"/>
    <n v="0.65500000000000003"/>
    <n v="0.441"/>
    <n v="6.2899999999999998E-2"/>
    <n v="0.47399999999999998"/>
    <n v="9.9000000000000005E-2"/>
    <n v="0.27300000000000002"/>
    <n v="-5.2450000000000001"/>
    <n v="225857"/>
    <n v="2020"/>
    <x v="0"/>
  </r>
  <r>
    <n v="1260"/>
    <n v="170"/>
    <n v="10"/>
    <d v="2020-02-07T00:00:00"/>
    <x v="2"/>
    <s v="I.F.L.Y."/>
    <n v="4284951"/>
    <s v="Bazzi"/>
    <n v="4421378"/>
    <s v="dance pop"/>
    <d v="2019-08-09T00:00:00"/>
    <n v="76"/>
    <x v="1"/>
    <n v="0.81200000000000006"/>
    <n v="0.51900000000000002"/>
    <n v="3.85E-2"/>
    <n v="0.379"/>
    <n v="0.13"/>
    <n v="0.55400000000000005"/>
    <n v="-4.8230000000000004"/>
    <n v="165714"/>
    <n v="2019"/>
    <x v="0"/>
  </r>
  <r>
    <n v="261"/>
    <n v="73"/>
    <n v="1"/>
    <d v="2021-06-25T00:00:00"/>
    <x v="1"/>
    <s v="SIR BAUDELAIRE (feat. DJ Drama)"/>
    <n v="8884283"/>
    <s v="Tyler, The Creator"/>
    <n v="6777818"/>
    <s v="hip hop"/>
    <d v="2021-06-25T00:00:00"/>
    <n v="75"/>
    <x v="0"/>
    <n v="0.46700000000000003"/>
    <n v="0.63500000000000001"/>
    <n v="0.154"/>
    <n v="0.314"/>
    <n v="0.84399999999999997"/>
    <n v="0.51"/>
    <n v="-6.1150000000000002"/>
    <n v="88625"/>
    <n v="2021"/>
    <x v="0"/>
  </r>
  <r>
    <n v="393"/>
    <n v="72"/>
    <n v="1"/>
    <d v="2021-04-30T00:00:00"/>
    <x v="1"/>
    <s v="durag activity (with Travis Scott)"/>
    <n v="7939784"/>
    <s v="Baby Keem"/>
    <n v="279741"/>
    <s v="hip hop"/>
    <d v="2021-04-30T00:00:00"/>
    <n v="75"/>
    <x v="0"/>
    <n v="0.89"/>
    <n v="0.70099999999999996"/>
    <n v="0.34200000000000003"/>
    <n v="3.0599999999999998E-3"/>
    <n v="8.9499999999999996E-2"/>
    <n v="0.505"/>
    <n v="-5.7119999999999997"/>
    <n v="225020"/>
    <n v="2021"/>
    <x v="0"/>
  </r>
  <r>
    <n v="263"/>
    <n v="85"/>
    <n v="1"/>
    <d v="2021-06-25T00:00:00"/>
    <x v="1"/>
    <s v="RUNITUP (feat. Teezo Touchdown)"/>
    <n v="7917707"/>
    <s v="Tyler, The Creator"/>
    <n v="6777818"/>
    <s v="hip hop"/>
    <d v="2021-06-25T00:00:00"/>
    <n v="75"/>
    <x v="1"/>
    <n v="0.66500000000000004"/>
    <n v="0.46899999999999997"/>
    <n v="0.13"/>
    <n v="0.56499999999999995"/>
    <n v="0.219"/>
    <n v="0.14199999999999999"/>
    <n v="-7.7779999999999996"/>
    <n v="229565"/>
    <n v="2021"/>
    <x v="0"/>
  </r>
  <r>
    <n v="739"/>
    <n v="26"/>
    <n v="2"/>
    <d v="2020-11-20T00:00:00"/>
    <x v="2"/>
    <s v="Dis-ease"/>
    <n v="7165808"/>
    <s v="BTS"/>
    <n v="37151476"/>
    <s v="k-pop"/>
    <d v="2020-11-20T00:00:00"/>
    <n v="75"/>
    <x v="0"/>
    <n v="0.73099999999999998"/>
    <n v="0.84499999999999997"/>
    <n v="0.13200000000000001"/>
    <n v="1.32E-2"/>
    <n v="7.8200000000000006E-2"/>
    <n v="0.48399999999999999"/>
    <n v="-5.3520000000000003"/>
    <n v="239722"/>
    <n v="2020"/>
    <x v="0"/>
  </r>
  <r>
    <n v="1474"/>
    <n v="38"/>
    <n v="2"/>
    <d v="2020-01-17T00:00:00"/>
    <x v="1"/>
    <s v="Blue World"/>
    <n v="7060589"/>
    <s v="Mac Miller"/>
    <n v="6189454"/>
    <s v="hip hop"/>
    <d v="2020-01-17T00:00:00"/>
    <n v="75"/>
    <x v="1"/>
    <n v="0.74199999999999999"/>
    <n v="0.55300000000000005"/>
    <n v="0.41899999999999998"/>
    <n v="0.38900000000000001"/>
    <n v="6.9400000000000003E-2"/>
    <n v="0.50800000000000001"/>
    <n v="-8.98"/>
    <n v="209440"/>
    <n v="2020"/>
    <x v="0"/>
  </r>
  <r>
    <n v="301"/>
    <n v="106"/>
    <n v="1"/>
    <d v="2021-06-11T00:00:00"/>
    <x v="4"/>
    <s v="Black Hearted"/>
    <n v="6989528"/>
    <s v="Polo G"/>
    <n v="4840346"/>
    <s v="chicago rap"/>
    <d v="2021-06-11T00:00:00"/>
    <n v="75"/>
    <x v="1"/>
    <n v="0.50600000000000001"/>
    <n v="0.56299999999999994"/>
    <n v="0.41099999999999998"/>
    <n v="3.2599999999999997E-2"/>
    <n v="8.5599999999999996E-2"/>
    <n v="0.153"/>
    <n v="-7.6639999999999997"/>
    <n v="190509"/>
    <n v="2021"/>
    <x v="0"/>
  </r>
  <r>
    <n v="344"/>
    <n v="118"/>
    <n v="1"/>
    <d v="2021-05-21T00:00:00"/>
    <x v="0"/>
    <s v="Saturday"/>
    <n v="6628638"/>
    <s v="Twenty One Pilots"/>
    <n v="20823062"/>
    <s v="modern rock"/>
    <d v="2021-05-21T00:00:00"/>
    <n v="75"/>
    <x v="0"/>
    <n v="0.68700000000000006"/>
    <n v="0.89"/>
    <n v="3.44E-2"/>
    <n v="3.96E-3"/>
    <n v="4.36E-2"/>
    <n v="0.85399999999999998"/>
    <n v="-5.99"/>
    <n v="172232"/>
    <n v="2021"/>
    <x v="0"/>
  </r>
  <r>
    <n v="317"/>
    <n v="117"/>
    <n v="1"/>
    <d v="2021-06-04T00:00:00"/>
    <x v="3"/>
    <s v="Last Train Home"/>
    <n v="6439718"/>
    <s v="John Mayer"/>
    <n v="5178156"/>
    <s v="neo mellow"/>
    <d v="2021-07-16T00:00:00"/>
    <n v="75"/>
    <x v="0"/>
    <n v="0.59099999999999997"/>
    <n v="0.83099999999999996"/>
    <n v="3.5499999999999997E-2"/>
    <n v="0.23499999999999999"/>
    <n v="5.7099999999999998E-2"/>
    <n v="0.67800000000000005"/>
    <n v="-6.6120000000000001"/>
    <n v="187307"/>
    <n v="2021"/>
    <x v="0"/>
  </r>
  <r>
    <n v="345"/>
    <n v="18"/>
    <n v="2"/>
    <d v="2021-05-14T00:00:00"/>
    <x v="1"/>
    <s v="9 5 . s o u t h"/>
    <n v="6333126"/>
    <s v="J. Cole"/>
    <n v="14097410"/>
    <s v="conscious hip hop"/>
    <d v="2021-05-14T00:00:00"/>
    <n v="75"/>
    <x v="0"/>
    <n v="0.71299999999999997"/>
    <n v="0.79300000000000004"/>
    <n v="0.39700000000000002"/>
    <n v="0.27100000000000002"/>
    <n v="0.72699999999999998"/>
    <n v="0.20300000000000001"/>
    <n v="-5.2770000000000001"/>
    <n v="196946"/>
    <n v="2021"/>
    <x v="0"/>
  </r>
  <r>
    <n v="348"/>
    <n v="137"/>
    <n v="1"/>
    <d v="2021-05-21T00:00:00"/>
    <x v="3"/>
    <s v="SHUM"/>
    <n v="6237019"/>
    <s v="Go_A"/>
    <n v="107553"/>
    <s v="eurovision"/>
    <d v="2021-03-10T00:00:00"/>
    <n v="75"/>
    <x v="0"/>
    <n v="0.52700000000000002"/>
    <n v="0.73699999999999999"/>
    <n v="6.4199999999999993E-2"/>
    <n v="0.05"/>
    <n v="0.105"/>
    <n v="0.499"/>
    <n v="-5.34"/>
    <n v="172675"/>
    <n v="2021"/>
    <x v="0"/>
  </r>
  <r>
    <n v="748"/>
    <n v="139"/>
    <n v="1"/>
    <d v="2020-11-20T00:00:00"/>
    <x v="3"/>
    <s v="Dime Cómo Quieres"/>
    <n v="6152821"/>
    <s v="Christian Nodal, Ángela Aguilar"/>
    <n v="8123757"/>
    <s v="mariachi"/>
    <d v="2020-11-13T00:00:00"/>
    <n v="75"/>
    <x v="0"/>
    <n v="0.83899999999999997"/>
    <n v="0.66700000000000004"/>
    <n v="3.1E-2"/>
    <n v="0.32200000000000001"/>
    <n v="0.24399999999999999"/>
    <n v="0.878"/>
    <n v="-3.9609999999999999"/>
    <n v="171360"/>
    <n v="2020"/>
    <x v="0"/>
  </r>
  <r>
    <n v="396"/>
    <n v="122"/>
    <n v="1"/>
    <d v="2021-04-30T00:00:00"/>
    <x v="1"/>
    <s v="LET IT GO (feat. Justin Bieber &amp; 21 Savage)"/>
    <n v="6083338"/>
    <s v="DJ Khaled"/>
    <n v="6278835"/>
    <s v="hip hop"/>
    <d v="2021-04-30T00:00:00"/>
    <n v="75"/>
    <x v="1"/>
    <n v="0.877"/>
    <n v="0.44400000000000001"/>
    <n v="0.17199999999999999"/>
    <n v="0.24"/>
    <n v="0.16900000000000001"/>
    <n v="0.65800000000000003"/>
    <n v="-7.5469999999999997"/>
    <n v="165527"/>
    <n v="2021"/>
    <x v="0"/>
  </r>
  <r>
    <n v="588"/>
    <n v="73"/>
    <n v="6"/>
    <d v="2020-12-11T00:00:00"/>
    <x v="4"/>
    <s v="Reminds Me Of You"/>
    <n v="5942551"/>
    <s v="Juice WRLD, The Kid LAROI"/>
    <n v="19102888"/>
    <s v="chicago rap"/>
    <d v="2020-12-08T00:00:00"/>
    <n v="75"/>
    <x v="1"/>
    <n v="0.61299999999999999"/>
    <n v="0.63100000000000001"/>
    <n v="0.12"/>
    <n v="6.6299999999999998E-2"/>
    <n v="0.16900000000000001"/>
    <n v="0.33"/>
    <n v="-6.9649999999999999"/>
    <n v="158033"/>
    <n v="2020"/>
    <x v="0"/>
  </r>
  <r>
    <n v="520"/>
    <n v="42"/>
    <n v="12"/>
    <d v="2020-11-06T00:00:00"/>
    <x v="3"/>
    <s v="Tú Me Dejaste De Querer"/>
    <n v="5874460"/>
    <s v="C. Tangana, Niño de Elche, La Húngara"/>
    <n v="1453875"/>
    <s v="urbano espanol"/>
    <d v="2021-02-26T00:00:00"/>
    <n v="75"/>
    <x v="0"/>
    <n v="0.82299999999999995"/>
    <n v="0.72299999999999998"/>
    <n v="0.22900000000000001"/>
    <n v="0.311"/>
    <n v="9.98E-2"/>
    <n v="0.505"/>
    <n v="-4.7779999999999996"/>
    <n v="198493"/>
    <n v="2021"/>
    <x v="0"/>
  </r>
  <r>
    <n v="1220"/>
    <n v="115"/>
    <n v="1"/>
    <d v="2020-04-24T00:00:00"/>
    <x v="4"/>
    <s v="YOSEMITE"/>
    <n v="5686981"/>
    <s v="Travis Scott"/>
    <n v="17732077"/>
    <s v="rap"/>
    <d v="2018-08-03T00:00:00"/>
    <n v="75"/>
    <x v="1"/>
    <n v="0.78500000000000003"/>
    <n v="0.55400000000000005"/>
    <n v="4.0899999999999999E-2"/>
    <n v="0.28299999999999997"/>
    <n v="0.11600000000000001"/>
    <n v="0.14399999999999999"/>
    <n v="-6.5709999999999997"/>
    <n v="150043"/>
    <n v="2018"/>
    <x v="0"/>
  </r>
  <r>
    <n v="268"/>
    <n v="165"/>
    <n v="1"/>
    <d v="2021-06-25T00:00:00"/>
    <x v="2"/>
    <s v="Naked"/>
    <n v="5527865"/>
    <s v="Doja Cat"/>
    <n v="8640063"/>
    <s v="dance pop"/>
    <d v="2021-06-25T00:00:00"/>
    <n v="75"/>
    <x v="0"/>
    <n v="0.73299999999999998"/>
    <n v="0.86199999999999999"/>
    <n v="0.19700000000000001"/>
    <n v="0.374"/>
    <n v="0.13100000000000001"/>
    <n v="0.53600000000000003"/>
    <n v="-5.7359999999999998"/>
    <n v="223560"/>
    <n v="2021"/>
    <x v="0"/>
  </r>
  <r>
    <n v="873"/>
    <n v="112"/>
    <n v="5"/>
    <d v="2020-09-11T00:00:00"/>
    <x v="3"/>
    <s v="feel something"/>
    <n v="5463424"/>
    <s v="Bea Miller"/>
    <n v="2396662"/>
    <s v="alt z"/>
    <d v="2019-06-21T00:00:00"/>
    <n v="75"/>
    <x v="1"/>
    <n v="0.74"/>
    <n v="0.41499999999999998"/>
    <n v="7.0699999999999999E-2"/>
    <n v="0.24199999999999999"/>
    <n v="0.31900000000000001"/>
    <n v="0.156"/>
    <n v="-8.9139999999999997"/>
    <n v="180161"/>
    <n v="2019"/>
    <x v="0"/>
  </r>
  <r>
    <n v="507"/>
    <n v="64"/>
    <n v="2"/>
    <d v="2021-02-26T00:00:00"/>
    <x v="3"/>
    <s v="AP - Music from the film Boogie"/>
    <n v="5462333"/>
    <s v="Pop Smoke"/>
    <n v="6852509"/>
    <s v="brooklyn drill"/>
    <d v="2021-02-26T00:00:00"/>
    <n v="75"/>
    <x v="0"/>
    <n v="0.751"/>
    <n v="0.74399999999999999"/>
    <n v="0.17699999999999999"/>
    <n v="0.152"/>
    <n v="0.252"/>
    <n v="0.63400000000000001"/>
    <n v="-6.859"/>
    <n v="171892"/>
    <n v="2021"/>
    <x v="0"/>
  </r>
  <r>
    <n v="596"/>
    <n v="158"/>
    <n v="1"/>
    <d v="2021-01-08T00:00:00"/>
    <x v="5"/>
    <s v="Sand In My Boots"/>
    <n v="5446609"/>
    <s v="Morgan Wallen"/>
    <n v="2147875"/>
    <s v="contemporary country"/>
    <d v="2021-01-08T00:00:00"/>
    <n v="75"/>
    <x v="1"/>
    <n v="0.40300000000000002"/>
    <n v="0.53700000000000003"/>
    <n v="3.1E-2"/>
    <n v="0.59"/>
    <n v="0.112"/>
    <n v="0.41399999999999998"/>
    <n v="-6.6280000000000001"/>
    <n v="202133"/>
    <n v="2021"/>
    <x v="0"/>
  </r>
  <r>
    <n v="170"/>
    <n v="155"/>
    <n v="22"/>
    <d v="2021-07-02T00:00:00"/>
    <x v="0"/>
    <s v="Mr. Brightside"/>
    <n v="5382191"/>
    <s v="The Killers"/>
    <n v="6118063"/>
    <s v="dance rock"/>
    <d v="2004-06-15T00:00:00"/>
    <n v="75"/>
    <x v="0"/>
    <n v="0.35599999999999998"/>
    <n v="0.92400000000000004"/>
    <n v="8.0799999999999997E-2"/>
    <n v="1.01E-3"/>
    <n v="9.5299999999999996E-2"/>
    <n v="0.23200000000000001"/>
    <n v="-3.74"/>
    <n v="222587"/>
    <n v="2004"/>
    <x v="0"/>
  </r>
  <r>
    <n v="331"/>
    <n v="175"/>
    <n v="1"/>
    <d v="2021-05-28T00:00:00"/>
    <x v="4"/>
    <s v="734"/>
    <n v="5368759"/>
    <s v="Juice WRLD"/>
    <n v="19085118"/>
    <s v="chicago rap"/>
    <d v="2021-05-28T00:00:00"/>
    <n v="75"/>
    <x v="1"/>
    <n v="0.66300000000000003"/>
    <n v="0.54500000000000004"/>
    <n v="3.5999999999999997E-2"/>
    <n v="0.123"/>
    <n v="0.106"/>
    <n v="0.34399999999999997"/>
    <n v="-3.93"/>
    <n v="196147"/>
    <n v="2021"/>
    <x v="0"/>
  </r>
  <r>
    <n v="174"/>
    <n v="110"/>
    <n v="2"/>
    <d v="2021-07-16T00:00:00"/>
    <x v="2"/>
    <s v="Wild Side (feat. Cardi B)"/>
    <n v="5366242"/>
    <s v="Normani"/>
    <n v="1304510"/>
    <s v="dance pop"/>
    <d v="2021-07-22T00:00:00"/>
    <n v="75"/>
    <x v="1"/>
    <n v="0.74"/>
    <n v="0.57599999999999996"/>
    <n v="0.14599999999999999"/>
    <n v="2.4899999999999999E-2"/>
    <n v="0.104"/>
    <n v="0.315"/>
    <n v="-6.7439999999999998"/>
    <n v="209476"/>
    <n v="2021"/>
    <x v="0"/>
  </r>
  <r>
    <n v="1424"/>
    <n v="14"/>
    <n v="6"/>
    <d v="2020-01-17T00:00:00"/>
    <x v="1"/>
    <s v="Good News"/>
    <n v="5210780"/>
    <s v="Mac Miller"/>
    <n v="6189454"/>
    <s v="hip hop"/>
    <d v="2020-01-17T00:00:00"/>
    <n v="75"/>
    <x v="1"/>
    <n v="0.79400000000000004"/>
    <n v="0.32"/>
    <n v="0.17299999999999999"/>
    <n v="0.85299999999999998"/>
    <n v="0.112"/>
    <n v="0.24099999999999999"/>
    <n v="-12.92"/>
    <n v="342040"/>
    <n v="2020"/>
    <x v="0"/>
  </r>
  <r>
    <n v="1312"/>
    <n v="163"/>
    <n v="1"/>
    <d v="2020-03-13T00:00:00"/>
    <x v="2"/>
    <s v="Black And White"/>
    <n v="5204120"/>
    <s v="Niall Horan"/>
    <n v="7564659"/>
    <s v="dance pop"/>
    <d v="2020-03-13T00:00:00"/>
    <n v="75"/>
    <x v="1"/>
    <n v="0.443"/>
    <n v="0.58199999999999996"/>
    <n v="4.82E-2"/>
    <n v="3.0099999999999998E-2"/>
    <n v="0.127"/>
    <n v="0.23899999999999999"/>
    <n v="-6.02"/>
    <n v="193090"/>
    <n v="2020"/>
    <x v="0"/>
  </r>
  <r>
    <n v="1522"/>
    <n v="138"/>
    <n v="3"/>
    <d v="2020-01-03T00:00:00"/>
    <x v="4"/>
    <s v="Take What You Want (feat. Ozzy Osbourne &amp; Travis Scott)"/>
    <n v="5199618"/>
    <s v="Post Malone"/>
    <n v="33663701"/>
    <s v="dfw rap"/>
    <d v="2019-09-06T00:00:00"/>
    <n v="75"/>
    <x v="0"/>
    <n v="0.499"/>
    <n v="0.8"/>
    <n v="5.0200000000000002E-2"/>
    <n v="9.06E-2"/>
    <n v="0.14699999999999999"/>
    <n v="0.27200000000000002"/>
    <n v="-2.665"/>
    <n v="229573"/>
    <n v="2019"/>
    <x v="0"/>
  </r>
  <r>
    <n v="403"/>
    <n v="100"/>
    <n v="11"/>
    <d v="2021-03-19T00:00:00"/>
    <x v="1"/>
    <s v="Back In Blood (feat. Lil Durk)"/>
    <n v="5198209"/>
    <s v="Pooh Shiesty"/>
    <n v="423237"/>
    <s v="memphis hip hop"/>
    <d v="2020-11-06T00:00:00"/>
    <n v="75"/>
    <x v="1"/>
    <n v="0.75900000000000001"/>
    <n v="0.53800000000000003"/>
    <n v="0.38400000000000001"/>
    <n v="0.151"/>
    <n v="0.126"/>
    <n v="0.83099999999999996"/>
    <n v="-8.2560000000000002"/>
    <n v="184490"/>
    <n v="2020"/>
    <x v="0"/>
  </r>
  <r>
    <n v="447"/>
    <n v="153"/>
    <n v="2"/>
    <d v="2021-04-02T00:00:00"/>
    <x v="1"/>
    <s v="WACHA"/>
    <n v="5172999"/>
    <s v="KHEA, Duki"/>
    <n v="3198705"/>
    <s v="argentine hip hop"/>
    <d v="2021-04-01T00:00:00"/>
    <n v="75"/>
    <x v="0"/>
    <n v="0.73699999999999999"/>
    <n v="0.63400000000000001"/>
    <n v="4.24E-2"/>
    <n v="0.34499999999999997"/>
    <n v="0.111"/>
    <n v="0.52800000000000002"/>
    <n v="-4.25"/>
    <n v="206360"/>
    <n v="2021"/>
    <x v="0"/>
  </r>
  <r>
    <n v="755"/>
    <n v="7"/>
    <n v="16"/>
    <d v="2020-08-07T00:00:00"/>
    <x v="4"/>
    <s v="Smile (with The Weeknd)"/>
    <n v="5164187"/>
    <s v="Juice WRLD"/>
    <n v="19102888"/>
    <s v="chicago rap"/>
    <d v="2020-07-10T00:00:00"/>
    <n v="75"/>
    <x v="0"/>
    <n v="0.69399999999999995"/>
    <n v="0.68500000000000005"/>
    <n v="0.13300000000000001"/>
    <n v="0.224"/>
    <n v="0.124"/>
    <n v="0.30599999999999999"/>
    <n v="-6.5350000000000001"/>
    <n v="196180"/>
    <n v="2020"/>
    <x v="0"/>
  </r>
  <r>
    <n v="522"/>
    <n v="35"/>
    <n v="27"/>
    <d v="2020-11-13T00:00:00"/>
    <x v="3"/>
    <s v="Jeans"/>
    <n v="5145966"/>
    <s v="Justin Quiles"/>
    <n v="2897862"/>
    <s v="latin"/>
    <d v="2020-08-14T00:00:00"/>
    <n v="75"/>
    <x v="0"/>
    <n v="0.80700000000000005"/>
    <n v="0.65600000000000003"/>
    <n v="0.105"/>
    <n v="1.6500000000000001E-2"/>
    <n v="6.93E-2"/>
    <n v="0.89"/>
    <n v="-4.3949999999999996"/>
    <n v="185840"/>
    <n v="2020"/>
    <x v="0"/>
  </r>
  <r>
    <n v="1355"/>
    <n v="69"/>
    <n v="11"/>
    <d v="2020-01-10T00:00:00"/>
    <x v="1"/>
    <s v="VIBEZ"/>
    <n v="5121486"/>
    <s v="DaBaby"/>
    <n v="7601122"/>
    <s v="north carolina hip hop"/>
    <d v="2019-09-27T00:00:00"/>
    <n v="75"/>
    <x v="0"/>
    <n v="0.76800000000000002"/>
    <n v="0.65200000000000002"/>
    <n v="0.307"/>
    <n v="0.113"/>
    <n v="0.107"/>
    <n v="0.77700000000000002"/>
    <n v="-2.7080000000000002"/>
    <n v="144935"/>
    <n v="2019"/>
    <x v="0"/>
  </r>
  <r>
    <n v="1393"/>
    <n v="129"/>
    <n v="3"/>
    <d v="2020-02-07T00:00:00"/>
    <x v="1"/>
    <s v="Lose Yourself - From &quot;8 Mile&quot; Soundtrack"/>
    <n v="5118004"/>
    <s v="Eminem"/>
    <n v="46814751"/>
    <s v="detroit hip hop"/>
    <d v="2005-12-06T00:00:00"/>
    <n v="75"/>
    <x v="0"/>
    <n v="0.69199999999999995"/>
    <n v="0.74399999999999999"/>
    <n v="0.25700000000000001"/>
    <n v="8.6800000000000002E-3"/>
    <n v="0.35899999999999999"/>
    <n v="6.1199999999999997E-2"/>
    <n v="-4.5650000000000004"/>
    <n v="326467"/>
    <n v="2005"/>
    <x v="0"/>
  </r>
  <r>
    <n v="1377"/>
    <n v="106"/>
    <n v="10"/>
    <d v="2019-12-27T00:00:00"/>
    <x v="3"/>
    <s v="Soltera - Remix"/>
    <n v="5078459"/>
    <s v="Lunay, Daddy Yankee, Bad Bunny"/>
    <n v="4963516"/>
    <s v="latin"/>
    <d v="2019-05-10T00:00:00"/>
    <n v="75"/>
    <x v="0"/>
    <n v="0.79500000000000004"/>
    <n v="0.78300000000000003"/>
    <n v="4.3200000000000002E-2"/>
    <n v="0.36099999999999999"/>
    <n v="0.437"/>
    <n v="0.79900000000000004"/>
    <n v="-4.2709999999999999"/>
    <n v="266087"/>
    <n v="2019"/>
    <x v="0"/>
  </r>
  <r>
    <n v="1394"/>
    <n v="118"/>
    <n v="8"/>
    <d v="2020-01-24T00:00:00"/>
    <x v="2"/>
    <s v="all the good girls go to hell"/>
    <n v="5074485"/>
    <s v="Billie Eilish"/>
    <n v="47061119"/>
    <s v="electropop"/>
    <d v="2019-03-29T00:00:00"/>
    <n v="75"/>
    <x v="1"/>
    <n v="0.72599999999999998"/>
    <n v="0.44400000000000001"/>
    <n v="0.372"/>
    <n v="0.28299999999999997"/>
    <n v="0.17699999999999999"/>
    <n v="0.56899999999999995"/>
    <n v="-8.9220000000000006"/>
    <n v="168840"/>
    <n v="2019"/>
    <x v="0"/>
  </r>
  <r>
    <n v="564"/>
    <n v="167"/>
    <n v="2"/>
    <d v="2021-01-29T00:00:00"/>
    <x v="3"/>
    <s v="Agua de Jamaica"/>
    <n v="5072462"/>
    <s v="Maluma"/>
    <n v="26784251"/>
    <s v="latin"/>
    <d v="2021-01-28T00:00:00"/>
    <n v="75"/>
    <x v="0"/>
    <n v="0.66400000000000003"/>
    <n v="0.66500000000000004"/>
    <n v="8.7900000000000006E-2"/>
    <n v="0.123"/>
    <n v="0.41099999999999998"/>
    <n v="0.72599999999999998"/>
    <n v="-3.6160000000000001"/>
    <n v="176970"/>
    <n v="2021"/>
    <x v="0"/>
  </r>
  <r>
    <n v="996"/>
    <n v="37"/>
    <n v="3"/>
    <d v="2020-07-10T00:00:00"/>
    <x v="4"/>
    <s v="Stay High"/>
    <n v="5047752"/>
    <s v="Juice WRLD"/>
    <n v="19102888"/>
    <s v="chicago rap"/>
    <d v="2020-07-10T00:00:00"/>
    <n v="75"/>
    <x v="1"/>
    <n v="0.745"/>
    <n v="0.5"/>
    <n v="0.13500000000000001"/>
    <n v="0.439"/>
    <n v="9.4299999999999995E-2"/>
    <n v="0.433"/>
    <n v="-6.1840000000000002"/>
    <n v="168685"/>
    <n v="2020"/>
    <x v="0"/>
  </r>
  <r>
    <n v="756"/>
    <n v="22"/>
    <n v="8"/>
    <d v="2020-10-02T00:00:00"/>
    <x v="2"/>
    <s v="Pretty Savage"/>
    <n v="5039047"/>
    <s v="BLACKPINK"/>
    <n v="23848461"/>
    <s v="k-pop"/>
    <d v="2020-10-02T00:00:00"/>
    <n v="75"/>
    <x v="1"/>
    <n v="0.70099999999999996"/>
    <n v="0.55600000000000005"/>
    <n v="4.1399999999999999E-2"/>
    <n v="8.8599999999999998E-3"/>
    <n v="0.106"/>
    <n v="0.33300000000000002"/>
    <n v="-7.42"/>
    <n v="201122"/>
    <n v="2020"/>
    <x v="0"/>
  </r>
  <r>
    <n v="540"/>
    <n v="37"/>
    <n v="25"/>
    <d v="2020-10-09T00:00:00"/>
    <x v="3"/>
    <s v="Despeinada"/>
    <n v="5004462"/>
    <s v="Ozuna, Camilo"/>
    <n v="29238936"/>
    <s v="latin"/>
    <d v="2020-09-04T00:00:00"/>
    <n v="75"/>
    <x v="0"/>
    <n v="0.73399999999999999"/>
    <n v="0.77500000000000002"/>
    <n v="6.1400000000000003E-2"/>
    <n v="0.186"/>
    <n v="0.123"/>
    <n v="0.72"/>
    <n v="-3.855"/>
    <n v="224187"/>
    <n v="2020"/>
    <x v="0"/>
  </r>
  <r>
    <n v="461"/>
    <n v="37"/>
    <n v="3"/>
    <d v="2021-03-19T00:00:00"/>
    <x v="2"/>
    <s v="Off My Face"/>
    <n v="5004111"/>
    <s v="Justin Bieber"/>
    <n v="48544923"/>
    <s v="canadian pop"/>
    <d v="2021-03-19T00:00:00"/>
    <n v="75"/>
    <x v="1"/>
    <n v="0.50900000000000001"/>
    <n v="0.22800000000000001"/>
    <n v="3.32E-2"/>
    <n v="0.92"/>
    <n v="0.104"/>
    <n v="0.58599999999999997"/>
    <n v="-8.68"/>
    <n v="156468"/>
    <n v="2021"/>
    <x v="0"/>
  </r>
  <r>
    <n v="1446"/>
    <n v="101"/>
    <n v="7"/>
    <d v="2019-12-27T00:00:00"/>
    <x v="3"/>
    <s v="Con Altura"/>
    <n v="4961249"/>
    <s v="ROSALÍA, J Balvin, El Guincho"/>
    <n v="4769627"/>
    <s v="r&amp;b en espanol"/>
    <d v="2019-03-28T00:00:00"/>
    <n v="75"/>
    <x v="0"/>
    <n v="0.88200000000000001"/>
    <n v="0.68899999999999995"/>
    <n v="0.124"/>
    <n v="0.39"/>
    <n v="5.0099999999999999E-2"/>
    <n v="0.746"/>
    <n v="-4.0270000000000001"/>
    <n v="161627"/>
    <n v="2019"/>
    <x v="0"/>
  </r>
  <r>
    <n v="797"/>
    <n v="25"/>
    <n v="6"/>
    <d v="2020-10-02T00:00:00"/>
    <x v="1"/>
    <s v="Mr. Right Now (feat. Drake)"/>
    <n v="4951481"/>
    <s v="21 Savage, Metro Boomin"/>
    <n v="9949044"/>
    <s v="atl hip hop"/>
    <d v="2020-10-02T00:00:00"/>
    <n v="75"/>
    <x v="0"/>
    <n v="0.64700000000000002"/>
    <n v="0.66700000000000004"/>
    <n v="0.30399999999999999"/>
    <n v="0.23100000000000001"/>
    <n v="0.13300000000000001"/>
    <n v="0.70399999999999996"/>
    <n v="-5.5629999999999997"/>
    <n v="193839"/>
    <n v="2020"/>
    <x v="0"/>
  </r>
  <r>
    <n v="1275"/>
    <n v="44"/>
    <n v="5"/>
    <d v="2020-02-28T00:00:00"/>
    <x v="3"/>
    <s v="Bichiyal"/>
    <n v="4946613"/>
    <s v="Bad Bunny, Yaviah"/>
    <n v="36177712"/>
    <s v="latin"/>
    <d v="2020-02-29T00:00:00"/>
    <n v="75"/>
    <x v="0"/>
    <n v="0.73699999999999999"/>
    <n v="0.76600000000000001"/>
    <n v="4.58E-2"/>
    <n v="0.31"/>
    <n v="0.114"/>
    <n v="0.66200000000000003"/>
    <n v="-4.242"/>
    <n v="196500"/>
    <n v="2020"/>
    <x v="0"/>
  </r>
  <r>
    <n v="577"/>
    <n v="13"/>
    <n v="38"/>
    <d v="2020-07-31T00:00:00"/>
    <x v="3"/>
    <s v="La Jeepeta - Remix"/>
    <n v="4942545"/>
    <s v="Nio Garcia, Anuel AA, Myke Towers, Brray, Juanka"/>
    <n v="2127531"/>
    <s v="latin"/>
    <d v="2020-04-24T00:00:00"/>
    <n v="75"/>
    <x v="0"/>
    <n v="0.81499999999999995"/>
    <n v="0.71499999999999997"/>
    <n v="0.20699999999999999"/>
    <n v="0.3"/>
    <n v="9.0999999999999998E-2"/>
    <n v="0.78600000000000003"/>
    <n v="-4.6500000000000004"/>
    <n v="345241"/>
    <n v="2020"/>
    <x v="0"/>
  </r>
  <r>
    <n v="602"/>
    <n v="188"/>
    <n v="1"/>
    <d v="2021-01-08T00:00:00"/>
    <x v="5"/>
    <s v="More Than My Hometown"/>
    <n v="4879971"/>
    <s v="Morgan Wallen"/>
    <n v="2147875"/>
    <s v="contemporary country"/>
    <d v="2021-01-08T00:00:00"/>
    <n v="75"/>
    <x v="0"/>
    <n v="0.62"/>
    <n v="0.86899999999999999"/>
    <n v="4.6199999999999998E-2"/>
    <n v="0.61499999999999999"/>
    <n v="0.13100000000000001"/>
    <n v="0.59699999999999998"/>
    <n v="-5.4790000000000001"/>
    <n v="216573"/>
    <n v="2021"/>
    <x v="0"/>
  </r>
  <r>
    <n v="586"/>
    <n v="10"/>
    <n v="7"/>
    <d v="2020-12-11T00:00:00"/>
    <x v="2"/>
    <s v="champagne problems"/>
    <n v="4848954"/>
    <s v="Taylor Swift"/>
    <n v="42227614"/>
    <s v="pop"/>
    <d v="2020-12-11T00:00:00"/>
    <n v="75"/>
    <x v="1"/>
    <n v="0.46200000000000002"/>
    <n v="0.24"/>
    <n v="3.7699999999999997E-2"/>
    <n v="0.92"/>
    <n v="0.113"/>
    <n v="0.32"/>
    <n v="-12.077"/>
    <n v="244000"/>
    <n v="2020"/>
    <x v="0"/>
  </r>
  <r>
    <n v="824"/>
    <n v="37"/>
    <n v="14"/>
    <d v="2020-07-31T00:00:00"/>
    <x v="1"/>
    <s v="Mamichula - con Nicki Nicole"/>
    <n v="4817969"/>
    <s v="Trueno, Bizarrap, Taiu, TATOOL"/>
    <n v="2172969"/>
    <s v="argentine hip hop"/>
    <d v="2020-07-23T00:00:00"/>
    <n v="75"/>
    <x v="0"/>
    <n v="0.69599999999999995"/>
    <n v="0.67800000000000005"/>
    <n v="7.3499999999999996E-2"/>
    <n v="0.58199999999999996"/>
    <n v="0.13400000000000001"/>
    <n v="0.34599999999999997"/>
    <n v="-5.8929999999999998"/>
    <n v="219202"/>
    <n v="2020"/>
    <x v="0"/>
  </r>
  <r>
    <n v="892"/>
    <n v="9"/>
    <n v="11"/>
    <d v="2020-07-10T00:00:00"/>
    <x v="4"/>
    <s v="Conversations"/>
    <n v="4805366"/>
    <s v="Juice WRLD"/>
    <n v="19102888"/>
    <s v="chicago rap"/>
    <d v="2020-07-10T00:00:00"/>
    <n v="75"/>
    <x v="1"/>
    <n v="0.747"/>
    <n v="0.622"/>
    <n v="8.3799999999999999E-2"/>
    <n v="0.17599999999999999"/>
    <n v="0.151"/>
    <n v="0.56999999999999995"/>
    <n v="-5.8250000000000002"/>
    <n v="181661"/>
    <n v="2020"/>
    <x v="0"/>
  </r>
  <r>
    <n v="593"/>
    <n v="6"/>
    <n v="15"/>
    <d v="2020-10-02T00:00:00"/>
    <x v="2"/>
    <s v="Lovesick Girls"/>
    <n v="4796365"/>
    <s v="BLACKPINK"/>
    <n v="23848461"/>
    <s v="k-pop"/>
    <d v="2020-10-02T00:00:00"/>
    <n v="75"/>
    <x v="0"/>
    <n v="0.65400000000000003"/>
    <n v="0.70699999999999996"/>
    <n v="6.6400000000000001E-2"/>
    <n v="5.5900000000000004E-3"/>
    <n v="8.7300000000000003E-2"/>
    <n v="0.44800000000000001"/>
    <n v="-5.6609999999999996"/>
    <n v="194765"/>
    <n v="2020"/>
    <x v="0"/>
  </r>
  <r>
    <n v="1325"/>
    <n v="61"/>
    <n v="12"/>
    <d v="2019-12-27T00:00:00"/>
    <x v="3"/>
    <s v="Adicto (with Anuel AA &amp; Ozuna)"/>
    <n v="4785720"/>
    <s v="Tainy"/>
    <n v="509411"/>
    <s v="latin"/>
    <d v="2019-08-22T00:00:00"/>
    <n v="75"/>
    <x v="0"/>
    <n v="0.73399999999999999"/>
    <n v="0.83599999999999997"/>
    <n v="7.3499999999999996E-2"/>
    <n v="1.7000000000000001E-2"/>
    <n v="0.17899999999999999"/>
    <n v="0.623"/>
    <n v="-4.8029999999999999"/>
    <n v="270741"/>
    <n v="2019"/>
    <x v="0"/>
  </r>
  <r>
    <n v="825"/>
    <n v="172"/>
    <n v="14"/>
    <d v="2020-08-14T00:00:00"/>
    <x v="2"/>
    <s v="Let Her Go"/>
    <n v="4765198"/>
    <s v="Passenger"/>
    <n v="2819406"/>
    <s v="folk-pop"/>
    <d v="2013-02-17T00:00:00"/>
    <n v="75"/>
    <x v="1"/>
    <n v="0.47899999999999998"/>
    <n v="0.54500000000000004"/>
    <n v="6.88E-2"/>
    <n v="0.36499999999999999"/>
    <n v="9.6299999999999997E-2"/>
    <n v="0.24299999999999999"/>
    <n v="-7.3460000000000001"/>
    <n v="252733"/>
    <n v="2013"/>
    <x v="0"/>
  </r>
  <r>
    <n v="1160"/>
    <n v="62"/>
    <n v="4"/>
    <d v="2020-05-08T00:00:00"/>
    <x v="2"/>
    <s v="eight(Prod.&amp;Feat. SUGA of BTS)"/>
    <n v="4764954"/>
    <s v="IU"/>
    <n v="4939593"/>
    <s v="k-pop"/>
    <d v="2020-05-06T00:00:00"/>
    <n v="75"/>
    <x v="0"/>
    <n v="0.67600000000000005"/>
    <n v="0.86899999999999999"/>
    <n v="4.2299999999999997E-2"/>
    <n v="0.115"/>
    <n v="0.13200000000000001"/>
    <n v="0.59399999999999997"/>
    <n v="-1.573"/>
    <n v="167573"/>
    <n v="2020"/>
    <x v="0"/>
  </r>
  <r>
    <n v="836"/>
    <n v="15"/>
    <n v="21"/>
    <d v="2020-05-29T00:00:00"/>
    <x v="3"/>
    <s v="TKN (feat. Travis Scott)"/>
    <n v="4752289"/>
    <s v="ROSALÍA"/>
    <n v="4769627"/>
    <s v="r&amp;b en espanol"/>
    <d v="2020-05-28T00:00:00"/>
    <n v="75"/>
    <x v="1"/>
    <n v="0.77600000000000002"/>
    <n v="0.50900000000000001"/>
    <n v="0.46700000000000003"/>
    <n v="0.192"/>
    <n v="0.115"/>
    <n v="0.48499999999999999"/>
    <n v="-6.266"/>
    <n v="129371"/>
    <n v="2020"/>
    <x v="0"/>
  </r>
  <r>
    <n v="972"/>
    <n v="170"/>
    <n v="1"/>
    <d v="2020-08-07T00:00:00"/>
    <x v="2"/>
    <s v="Freak"/>
    <n v="4736059"/>
    <s v="Doja Cat"/>
    <n v="8671649"/>
    <s v="dance pop"/>
    <d v="2020-08-07T00:00:00"/>
    <n v="75"/>
    <x v="0"/>
    <n v="0.68799999999999994"/>
    <n v="0.71599999999999997"/>
    <n v="3.85E-2"/>
    <n v="9.69E-2"/>
    <n v="9.8900000000000002E-2"/>
    <n v="0.373"/>
    <n v="-5.702"/>
    <n v="284480"/>
    <n v="2020"/>
    <x v="0"/>
  </r>
  <r>
    <n v="827"/>
    <n v="32"/>
    <n v="23"/>
    <d v="2020-05-29T00:00:00"/>
    <x v="3"/>
    <s v="Lose Somebody"/>
    <n v="4709053"/>
    <s v="Kygo, OneRepublic"/>
    <n v="7593792"/>
    <s v="edm"/>
    <d v="2020-05-29T00:00:00"/>
    <n v="75"/>
    <x v="1"/>
    <n v="0.57999999999999996"/>
    <n v="0.58599999999999997"/>
    <n v="3.5700000000000003E-2"/>
    <n v="0.34399999999999997"/>
    <n v="7.5499999999999998E-2"/>
    <n v="0.50700000000000001"/>
    <n v="-6.883"/>
    <n v="199549"/>
    <n v="2020"/>
    <x v="0"/>
  </r>
  <r>
    <n v="837"/>
    <n v="135"/>
    <n v="15"/>
    <d v="2020-08-28T00:00:00"/>
    <x v="2"/>
    <s v="El Mismo Aire - con Pablo Alborán"/>
    <n v="4705484"/>
    <s v="Camilo"/>
    <n v="10580764"/>
    <s v="colombian pop"/>
    <d v="2020-06-10T00:00:00"/>
    <n v="75"/>
    <x v="1"/>
    <n v="0.48299999999999998"/>
    <n v="0.49199999999999999"/>
    <n v="0.29499999999999998"/>
    <n v="0.60299999999999998"/>
    <n v="0.32300000000000001"/>
    <n v="0.66"/>
    <n v="-6.5910000000000002"/>
    <n v="188213"/>
    <n v="2020"/>
    <x v="0"/>
  </r>
  <r>
    <n v="883"/>
    <n v="143"/>
    <n v="7"/>
    <d v="2020-08-28T00:00:00"/>
    <x v="1"/>
    <s v="Money Trees"/>
    <n v="4632724"/>
    <s v="Kendrick Lamar, Jay Rock"/>
    <n v="17931101"/>
    <s v="conscious hip hop"/>
    <d v="2012-01-01T00:00:00"/>
    <n v="75"/>
    <x v="1"/>
    <n v="0.71599999999999997"/>
    <n v="0.53100000000000003"/>
    <n v="0.122"/>
    <n v="7.0300000000000001E-2"/>
    <n v="0.224"/>
    <n v="0.34399999999999997"/>
    <n v="-7.3550000000000004"/>
    <n v="386907"/>
    <n v="2012"/>
    <x v="0"/>
  </r>
  <r>
    <n v="1190"/>
    <n v="42"/>
    <n v="12"/>
    <d v="2020-02-28T00:00:00"/>
    <x v="3"/>
    <s v="Moral of the Story"/>
    <n v="4609358"/>
    <s v="Ashe"/>
    <n v="644479"/>
    <s v="alt z"/>
    <d v="2019-02-14T00:00:00"/>
    <n v="75"/>
    <x v="1"/>
    <n v="0.57199999999999995"/>
    <n v="0.40600000000000003"/>
    <n v="4.2700000000000002E-2"/>
    <n v="0.58699999999999997"/>
    <n v="0.10199999999999999"/>
    <n v="0.26500000000000001"/>
    <n v="-8.6240000000000006"/>
    <n v="201084"/>
    <n v="2019"/>
    <x v="0"/>
  </r>
  <r>
    <n v="841"/>
    <n v="54"/>
    <n v="29"/>
    <d v="2020-06-05T00:00:00"/>
    <x v="2"/>
    <s v="Elegí (feat. Dímelo Flow)"/>
    <n v="4607003"/>
    <s v="Rauw Alejandro, Dalex, Lenny Tavárez"/>
    <n v="6096559"/>
    <s v="puerto rican pop"/>
    <d v="2020-03-26T00:00:00"/>
    <n v="75"/>
    <x v="1"/>
    <n v="0.82399999999999995"/>
    <n v="0.63100000000000001"/>
    <n v="8.09E-2"/>
    <n v="0.23699999999999999"/>
    <n v="5.3100000000000001E-2"/>
    <n v="0.67800000000000005"/>
    <n v="-2.7909999999999999"/>
    <n v="197721"/>
    <n v="2020"/>
    <x v="0"/>
  </r>
  <r>
    <n v="922"/>
    <n v="5"/>
    <n v="7"/>
    <d v="2020-07-24T00:00:00"/>
    <x v="2"/>
    <s v="the 1"/>
    <n v="4587573"/>
    <s v="Taylor Swift"/>
    <n v="42227614"/>
    <s v="pop"/>
    <d v="2020-07-24T00:00:00"/>
    <n v="75"/>
    <x v="1"/>
    <n v="0.77700000000000002"/>
    <n v="0.35699999999999998"/>
    <n v="5.2200000000000003E-2"/>
    <n v="0.75700000000000001"/>
    <n v="0.108"/>
    <n v="0.17199999999999999"/>
    <n v="-6.9420000000000002"/>
    <n v="210252"/>
    <n v="2020"/>
    <x v="0"/>
  </r>
  <r>
    <n v="1164"/>
    <n v="7"/>
    <n v="15"/>
    <d v="2020-02-21T00:00:00"/>
    <x v="3"/>
    <s v="After Hours"/>
    <n v="4559855"/>
    <s v="The Weeknd"/>
    <n v="35340069"/>
    <s v="canadian contemporary r&amp;b"/>
    <d v="2020-03-20T00:00:00"/>
    <n v="75"/>
    <x v="1"/>
    <n v="0.66400000000000003"/>
    <n v="0.57199999999999995"/>
    <n v="3.0499999999999999E-2"/>
    <n v="8.1100000000000005E-2"/>
    <n v="0.121"/>
    <n v="0.14299999999999999"/>
    <n v="-6.0990000000000002"/>
    <n v="361027"/>
    <n v="2020"/>
    <x v="0"/>
  </r>
  <r>
    <n v="976"/>
    <n v="16"/>
    <n v="20"/>
    <d v="2020-04-17T00:00:00"/>
    <x v="4"/>
    <s v="Savage"/>
    <n v="4510218"/>
    <s v="Megan Thee Stallion"/>
    <n v="4794212"/>
    <s v="houston rap"/>
    <d v="2020-03-06T00:00:00"/>
    <n v="75"/>
    <x v="0"/>
    <n v="0.84299999999999997"/>
    <n v="0.74099999999999999"/>
    <n v="0.33400000000000002"/>
    <n v="2.52E-2"/>
    <n v="9.6000000000000002E-2"/>
    <n v="0.68"/>
    <n v="-5.609"/>
    <n v="155497"/>
    <n v="2020"/>
    <x v="0"/>
  </r>
  <r>
    <n v="1029"/>
    <n v="21"/>
    <n v="30"/>
    <d v="2020-01-31T00:00:00"/>
    <x v="3"/>
    <s v="Sigues Con El"/>
    <n v="4485060"/>
    <s v="Dímelo Flow, Arcangel, Sech"/>
    <n v="231580"/>
    <s v="latin"/>
    <d v="2019-12-13T00:00:00"/>
    <n v="75"/>
    <x v="0"/>
    <n v="0.88300000000000001"/>
    <n v="0.66800000000000004"/>
    <n v="0.113"/>
    <n v="0.11"/>
    <n v="7.3400000000000007E-2"/>
    <n v="0.67600000000000005"/>
    <n v="-2.9569999999999999"/>
    <n v="226533"/>
    <n v="2019"/>
    <x v="0"/>
  </r>
  <r>
    <n v="1119"/>
    <n v="33"/>
    <n v="24"/>
    <d v="2020-01-03T00:00:00"/>
    <x v="2"/>
    <s v="Fantasias"/>
    <n v="4432324"/>
    <s v="Rauw Alejandro, Farruko"/>
    <n v="6096559"/>
    <s v="puerto rican pop"/>
    <d v="2019-08-29T00:00:00"/>
    <n v="75"/>
    <x v="0"/>
    <n v="0.879"/>
    <n v="0.70299999999999996"/>
    <n v="7.0099999999999996E-2"/>
    <n v="0.14299999999999999"/>
    <n v="5.6899999999999999E-2"/>
    <n v="0.78800000000000003"/>
    <n v="-4.2190000000000003"/>
    <n v="199711"/>
    <n v="2019"/>
    <x v="0"/>
  </r>
  <r>
    <n v="1216"/>
    <n v="109"/>
    <n v="5"/>
    <d v="2020-04-10T00:00:00"/>
    <x v="1"/>
    <s v="Broke In A Minute"/>
    <n v="4402281"/>
    <s v="Tory Lanez"/>
    <n v="3828418"/>
    <s v="canadian hip hop"/>
    <d v="2020-04-10T00:00:00"/>
    <n v="75"/>
    <x v="0"/>
    <n v="0.92900000000000005"/>
    <n v="0.7"/>
    <n v="9.06E-2"/>
    <n v="0.14399999999999999"/>
    <n v="0.34899999999999998"/>
    <n v="0.80200000000000005"/>
    <n v="-5.5949999999999998"/>
    <n v="132024"/>
    <n v="2020"/>
    <x v="0"/>
  </r>
  <r>
    <n v="1245"/>
    <n v="86"/>
    <n v="5"/>
    <d v="2020-03-13T00:00:00"/>
    <x v="2"/>
    <s v="WANNABE"/>
    <n v="4383521"/>
    <s v="ITZY"/>
    <n v="2384076"/>
    <s v="k-pop girl group"/>
    <d v="2020-03-09T00:00:00"/>
    <n v="75"/>
    <x v="0"/>
    <n v="0.80900000000000005"/>
    <n v="0.91100000000000003"/>
    <n v="6.1699999999999998E-2"/>
    <n v="7.9500000000000005E-3"/>
    <n v="0.18099999999999999"/>
    <n v="0.64"/>
    <n v="-4.41"/>
    <n v="191242"/>
    <n v="2020"/>
    <x v="0"/>
  </r>
  <r>
    <n v="1218"/>
    <n v="38"/>
    <n v="18"/>
    <d v="2020-01-31T00:00:00"/>
    <x v="3"/>
    <s v="SUGAR"/>
    <n v="4362442"/>
    <s v="BROCKHAMPTON"/>
    <n v="1836564"/>
    <s v="boy band"/>
    <d v="2019-08-23T00:00:00"/>
    <n v="75"/>
    <x v="1"/>
    <n v="0.45300000000000001"/>
    <n v="0.53800000000000003"/>
    <n v="6.3799999999999996E-2"/>
    <n v="0.44900000000000001"/>
    <n v="0.19"/>
    <n v="0.51600000000000001"/>
    <n v="-8.2119999999999997"/>
    <n v="204533"/>
    <n v="2019"/>
    <x v="0"/>
  </r>
  <r>
    <n v="1081"/>
    <n v="68"/>
    <n v="24"/>
    <d v="2019-12-27T00:00:00"/>
    <x v="2"/>
    <s v="Lights Up"/>
    <n v="4325411"/>
    <s v="Harry Styles"/>
    <n v="16127908"/>
    <s v="pop"/>
    <d v="2019-12-13T00:00:00"/>
    <n v="75"/>
    <x v="1"/>
    <n v="0.57499999999999996"/>
    <n v="0.621"/>
    <n v="3.2000000000000001E-2"/>
    <n v="3.9199999999999999E-2"/>
    <n v="0.14099999999999999"/>
    <n v="0.27"/>
    <n v="-8.1649999999999991"/>
    <n v="172213"/>
    <n v="2019"/>
    <x v="0"/>
  </r>
  <r>
    <n v="1196"/>
    <n v="4"/>
    <n v="13"/>
    <d v="2020-02-14T00:00:00"/>
    <x v="2"/>
    <s v="No Time To Die"/>
    <n v="4293009"/>
    <s v="Billie Eilish"/>
    <n v="47061119"/>
    <s v="electropop"/>
    <d v="2020-02-13T00:00:00"/>
    <n v="75"/>
    <x v="1"/>
    <n v="0.38"/>
    <n v="0.219"/>
    <n v="3.5799999999999998E-2"/>
    <n v="0.91700000000000004"/>
    <n v="8.2699999999999996E-2"/>
    <n v="5.1700000000000003E-2"/>
    <n v="-13.273"/>
    <n v="242265"/>
    <n v="2020"/>
    <x v="0"/>
  </r>
  <r>
    <n v="262"/>
    <n v="82"/>
    <n v="1"/>
    <d v="2021-06-25T00:00:00"/>
    <x v="1"/>
    <s v="MASSA"/>
    <n v="8218423"/>
    <s v="Tyler, The Creator"/>
    <n v="6777818"/>
    <s v="hip hop"/>
    <d v="2021-06-25T00:00:00"/>
    <n v="74"/>
    <x v="0"/>
    <n v="0.68500000000000005"/>
    <n v="0.85499999999999998"/>
    <n v="0.438"/>
    <n v="0.32900000000000001"/>
    <n v="0.30099999999999999"/>
    <n v="0.46"/>
    <n v="-6.7240000000000002"/>
    <n v="223719"/>
    <n v="2021"/>
    <x v="0"/>
  </r>
  <r>
    <n v="1455"/>
    <n v="113"/>
    <n v="5"/>
    <d v="2020-01-31T00:00:00"/>
    <x v="2"/>
    <s v="FML"/>
    <n v="6350496"/>
    <s v="Arizona Zervas"/>
    <n v="621200"/>
    <s v="pop rap"/>
    <d v="2018-06-03T00:00:00"/>
    <n v="74"/>
    <x v="1"/>
    <n v="0.82199999999999995"/>
    <n v="0.57499999999999996"/>
    <n v="9.3399999999999997E-2"/>
    <n v="0.113"/>
    <n v="0.106"/>
    <n v="0.61599999999999999"/>
    <n v="-5.95"/>
    <n v="223000"/>
    <n v="2018"/>
    <x v="0"/>
  </r>
  <r>
    <n v="492"/>
    <n v="56"/>
    <n v="2"/>
    <d v="2021-03-05T00:00:00"/>
    <x v="2"/>
    <s v="Selfish Love (with Selena Gomez)"/>
    <n v="6020785"/>
    <s v="DJ Snake"/>
    <n v="7408249"/>
    <s v="dance pop"/>
    <d v="2021-03-04T00:00:00"/>
    <n v="74"/>
    <x v="0"/>
    <n v="0.72299999999999998"/>
    <n v="0.64600000000000002"/>
    <n v="0.10199999999999999"/>
    <n v="2.06E-2"/>
    <n v="9.9400000000000002E-2"/>
    <n v="0.443"/>
    <n v="-7.9729999999999999"/>
    <n v="168649"/>
    <n v="2021"/>
    <x v="0"/>
  </r>
  <r>
    <n v="136"/>
    <n v="108"/>
    <n v="37"/>
    <d v="2021-04-30T00:00:00"/>
    <x v="3"/>
    <s v="Take Me To Church"/>
    <n v="5907750"/>
    <s v="Hozier"/>
    <n v="4781906"/>
    <s v="irish singer-songwriter"/>
    <d v="2014-09-19T00:00:00"/>
    <n v="74"/>
    <x v="0"/>
    <n v="0.56599999999999995"/>
    <n v="0.66400000000000003"/>
    <n v="4.6399999999999997E-2"/>
    <n v="0.63400000000000001"/>
    <n v="0.11600000000000001"/>
    <n v="0.437"/>
    <n v="-5.3029999999999999"/>
    <n v="241693"/>
    <n v="2014"/>
    <x v="0"/>
  </r>
  <r>
    <n v="743"/>
    <n v="172"/>
    <n v="1"/>
    <d v="2020-11-27T00:00:00"/>
    <x v="2"/>
    <s v="Plastic Hearts"/>
    <n v="5816739"/>
    <s v="Miley Cyrus"/>
    <n v="15778531"/>
    <s v="dance pop"/>
    <d v="2020-11-27T00:00:00"/>
    <n v="74"/>
    <x v="0"/>
    <n v="0.55100000000000005"/>
    <n v="0.75600000000000001"/>
    <n v="6.5199999999999994E-2"/>
    <n v="5.11E-2"/>
    <n v="7.6499999999999999E-2"/>
    <n v="0.61799999999999999"/>
    <n v="-4.9480000000000004"/>
    <n v="205733"/>
    <n v="2020"/>
    <x v="0"/>
  </r>
  <r>
    <n v="142"/>
    <n v="81"/>
    <n v="81"/>
    <d v="2019-12-27T00:00:00"/>
    <x v="0"/>
    <s v="Bohemian Rhapsody - Remastered 2011"/>
    <n v="5756583"/>
    <s v="Queen"/>
    <n v="35888760"/>
    <s v="classic rock"/>
    <d v="1975-11-21T00:00:00"/>
    <n v="74"/>
    <x v="1"/>
    <n v="0.39200000000000002"/>
    <n v="0.40200000000000002"/>
    <n v="5.3600000000000002E-2"/>
    <n v="0.28799999999999998"/>
    <n v="0.24299999999999999"/>
    <n v="0.22800000000000001"/>
    <n v="-9.9610000000000003"/>
    <n v="354320"/>
    <n v="1975"/>
    <x v="0"/>
  </r>
  <r>
    <n v="1518"/>
    <n v="102"/>
    <n v="3"/>
    <d v="2020-01-03T00:00:00"/>
    <x v="3"/>
    <s v="Into the Unknown"/>
    <n v="5705999"/>
    <s v="Idina Menzel, AURORA"/>
    <n v="1251372"/>
    <m/>
    <d v="2019-11-15T00:00:00"/>
    <n v="74"/>
    <x v="1"/>
    <n v="0.32300000000000001"/>
    <n v="0.40500000000000003"/>
    <n v="4.1300000000000003E-2"/>
    <n v="0.84899999999999998"/>
    <n v="0.13800000000000001"/>
    <n v="0.27400000000000002"/>
    <n v="-8.5329999999999995"/>
    <n v="194848"/>
    <n v="2019"/>
    <x v="0"/>
  </r>
  <r>
    <n v="398"/>
    <n v="10"/>
    <n v="8"/>
    <d v="2021-03-12T00:00:00"/>
    <x v="3"/>
    <s v="On The Ground"/>
    <n v="5655879"/>
    <s v="ROSÉ"/>
    <n v="1094731"/>
    <m/>
    <d v="2021-03-12T00:00:00"/>
    <n v="74"/>
    <x v="1"/>
    <n v="0.311"/>
    <n v="0.60699999999999998"/>
    <n v="0.11"/>
    <n v="1.7399999999999999E-2"/>
    <n v="0.13100000000000001"/>
    <n v="0.28599999999999998"/>
    <n v="-6.5780000000000003"/>
    <n v="168086"/>
    <n v="2021"/>
    <x v="0"/>
  </r>
  <r>
    <n v="151"/>
    <n v="147"/>
    <n v="24"/>
    <d v="2021-06-18T00:00:00"/>
    <x v="2"/>
    <s v="Counting Stars"/>
    <n v="5647568"/>
    <s v="OneRepublic"/>
    <n v="12169108"/>
    <s v="dance pop"/>
    <d v="2014-01-01T00:00:00"/>
    <n v="74"/>
    <x v="0"/>
    <n v="0.66400000000000003"/>
    <n v="0.70499999999999996"/>
    <n v="3.8199999999999998E-2"/>
    <n v="6.54E-2"/>
    <n v="0.115"/>
    <n v="0.47699999999999998"/>
    <n v="-4.9720000000000004"/>
    <n v="257840"/>
    <n v="2014"/>
    <x v="0"/>
  </r>
  <r>
    <n v="407"/>
    <n v="150"/>
    <n v="1"/>
    <d v="2021-04-23T00:00:00"/>
    <x v="3"/>
    <s v="Come Through (feat. Chris Brown)"/>
    <n v="5531998"/>
    <s v="H.E.R."/>
    <n v="4138951"/>
    <s v="alternative r&amp;b"/>
    <d v="2021-04-23T00:00:00"/>
    <n v="74"/>
    <x v="1"/>
    <n v="0.61499999999999999"/>
    <n v="0.42199999999999999"/>
    <n v="5.04E-2"/>
    <n v="0.60399999999999998"/>
    <n v="0.112"/>
    <n v="0.185"/>
    <n v="-8.0190000000000001"/>
    <n v="214094"/>
    <n v="2021"/>
    <x v="0"/>
  </r>
  <r>
    <n v="399"/>
    <n v="20"/>
    <n v="5"/>
    <d v="2021-04-09T00:00:00"/>
    <x v="2"/>
    <s v="Mr. Perfectly Fine (Taylor’s Version) (From The Vault)"/>
    <n v="5480722"/>
    <s v="Taylor Swift"/>
    <n v="42227614"/>
    <s v="pop"/>
    <d v="2021-04-09T00:00:00"/>
    <n v="74"/>
    <x v="0"/>
    <n v="0.66"/>
    <n v="0.81699999999999995"/>
    <n v="5.21E-2"/>
    <n v="0.16200000000000001"/>
    <n v="6.6699999999999995E-2"/>
    <n v="0.71399999999999997"/>
    <n v="-6.2690000000000001"/>
    <n v="277592"/>
    <n v="2021"/>
    <x v="0"/>
  </r>
  <r>
    <n v="1174"/>
    <n v="128"/>
    <n v="1"/>
    <d v="2020-05-15T00:00:00"/>
    <x v="4"/>
    <s v="Go Stupid"/>
    <n v="5464816"/>
    <s v="Polo G, Stunna 4 Vegas, NLE Choppa, Mike WiLL Made-It"/>
    <n v="4849204"/>
    <s v="chicago rap"/>
    <d v="2020-05-15T00:00:00"/>
    <n v="74"/>
    <x v="0"/>
    <n v="0.92"/>
    <n v="0.83299999999999996"/>
    <n v="0.253"/>
    <n v="2.7699999999999999E-2"/>
    <n v="5.96E-2"/>
    <n v="0.64500000000000002"/>
    <n v="-3.18"/>
    <n v="165726"/>
    <n v="2020"/>
    <x v="0"/>
  </r>
  <r>
    <n v="521"/>
    <n v="46"/>
    <n v="19"/>
    <d v="2020-11-06T00:00:00"/>
    <x v="1"/>
    <s v="SO DONE"/>
    <n v="5440707"/>
    <s v="The Kid LAROI"/>
    <n v="2238190"/>
    <s v="australian hip hop"/>
    <d v="2020-10-23T00:00:00"/>
    <n v="74"/>
    <x v="1"/>
    <n v="0.71899999999999997"/>
    <n v="0.59799999999999998"/>
    <n v="7.6999999999999999E-2"/>
    <n v="0.23200000000000001"/>
    <n v="0.115"/>
    <n v="0.30299999999999999"/>
    <n v="-6.2539999999999996"/>
    <n v="126521"/>
    <n v="2020"/>
    <x v="0"/>
  </r>
  <r>
    <n v="494"/>
    <n v="168"/>
    <n v="1"/>
    <d v="2021-03-12T00:00:00"/>
    <x v="1"/>
    <s v="DAYWALKER! (feat. CORPSE)"/>
    <n v="5439646"/>
    <s v="Machine Gun Kelly"/>
    <n v="3868320"/>
    <s v="ohio hip hop"/>
    <d v="2021-03-12T00:00:00"/>
    <n v="74"/>
    <x v="0"/>
    <n v="0.63200000000000001"/>
    <n v="0.92200000000000004"/>
    <n v="7.9399999999999998E-2"/>
    <n v="5.5799999999999999E-3"/>
    <n v="9.2700000000000005E-2"/>
    <n v="0.497"/>
    <n v="-2.173"/>
    <n v="137747"/>
    <n v="2021"/>
    <x v="0"/>
  </r>
  <r>
    <n v="579"/>
    <n v="132"/>
    <n v="9"/>
    <d v="2021-01-01T00:00:00"/>
    <x v="2"/>
    <s v="Si Me Tomo Una Cerveza"/>
    <n v="5427534"/>
    <s v="Migrantes, Alico"/>
    <n v="114348"/>
    <s v="cumbia pop"/>
    <d v="2020-11-07T00:00:00"/>
    <n v="74"/>
    <x v="1"/>
    <n v="0.72"/>
    <n v="0.61299999999999999"/>
    <n v="5.7200000000000001E-2"/>
    <n v="0.185"/>
    <n v="0.155"/>
    <n v="0.85699999999999998"/>
    <n v="-6.899"/>
    <n v="182199"/>
    <n v="2020"/>
    <x v="0"/>
  </r>
  <r>
    <n v="271"/>
    <n v="179"/>
    <n v="1"/>
    <d v="2021-06-25T00:00:00"/>
    <x v="2"/>
    <s v="Been Like This"/>
    <n v="5362817"/>
    <s v="Doja Cat"/>
    <n v="8640063"/>
    <s v="dance pop"/>
    <d v="2021-06-25T00:00:00"/>
    <n v="74"/>
    <x v="1"/>
    <n v="0.67800000000000005"/>
    <n v="0.53100000000000003"/>
    <n v="3.7400000000000003E-2"/>
    <n v="0.126"/>
    <n v="0.377"/>
    <n v="0.17599999999999999"/>
    <n v="-5.0289999999999999"/>
    <n v="177373"/>
    <n v="2021"/>
    <x v="0"/>
  </r>
  <r>
    <n v="307"/>
    <n v="179"/>
    <n v="1"/>
    <d v="2021-06-11T00:00:00"/>
    <x v="4"/>
    <s v="Clueless (with Pop Smoke &amp; Fivio Foreign)"/>
    <n v="5335308"/>
    <s v="Polo G"/>
    <n v="4840346"/>
    <s v="chicago rap"/>
    <d v="2021-06-11T00:00:00"/>
    <n v="74"/>
    <x v="0"/>
    <n v="0.73399999999999999"/>
    <n v="0.71199999999999997"/>
    <n v="0.20100000000000001"/>
    <n v="0.39100000000000001"/>
    <n v="0.10299999999999999"/>
    <n v="0.67400000000000004"/>
    <n v="-6.2169999999999996"/>
    <n v="165405"/>
    <n v="2021"/>
    <x v="0"/>
  </r>
  <r>
    <n v="1367"/>
    <n v="123"/>
    <n v="8"/>
    <d v="2020-01-31T00:00:00"/>
    <x v="4"/>
    <s v="GOODMORNINGTOKYO!"/>
    <n v="5286044"/>
    <s v="TOKYO’S REVENGE"/>
    <n v="313480"/>
    <s v="meme rap"/>
    <d v="2019-10-18T00:00:00"/>
    <n v="74"/>
    <x v="1"/>
    <n v="0.90700000000000003"/>
    <n v="0.53900000000000003"/>
    <n v="0.36"/>
    <n v="4.0800000000000003E-2"/>
    <n v="0.253"/>
    <n v="0.66400000000000003"/>
    <n v="-7.782"/>
    <n v="150115"/>
    <n v="2019"/>
    <x v="0"/>
  </r>
  <r>
    <n v="1352"/>
    <n v="191"/>
    <n v="1"/>
    <d v="2020-03-06T00:00:00"/>
    <x v="2"/>
    <s v="fuck, i'm lonely (with Anne-Marie)"/>
    <n v="5226991"/>
    <s v="Lauv"/>
    <n v="4442273"/>
    <s v="dance pop"/>
    <d v="2020-03-06T00:00:00"/>
    <n v="74"/>
    <x v="1"/>
    <n v="0.80600000000000005"/>
    <n v="0.55800000000000005"/>
    <n v="6.83E-2"/>
    <n v="0.48199999999999998"/>
    <n v="6.1800000000000001E-2"/>
    <n v="0.67800000000000005"/>
    <n v="-6.46"/>
    <n v="198973"/>
    <n v="2020"/>
    <x v="0"/>
  </r>
  <r>
    <n v="1370"/>
    <n v="58"/>
    <n v="2"/>
    <d v="2020-02-21T00:00:00"/>
    <x v="2"/>
    <s v="My Time"/>
    <n v="5212053"/>
    <s v="BTS"/>
    <n v="37151476"/>
    <s v="k-pop"/>
    <d v="2020-02-21T00:00:00"/>
    <n v="74"/>
    <x v="0"/>
    <n v="0.67400000000000004"/>
    <n v="0.64"/>
    <n v="3.39E-2"/>
    <n v="0.151"/>
    <n v="9.2499999999999999E-2"/>
    <n v="0.66400000000000003"/>
    <n v="-5.1390000000000002"/>
    <n v="234458"/>
    <n v="2020"/>
    <x v="0"/>
  </r>
  <r>
    <n v="179"/>
    <n v="138"/>
    <n v="22"/>
    <d v="2021-04-02T00:00:00"/>
    <x v="0"/>
    <s v="Another One Bites The Dust - Remastered 2011"/>
    <n v="5204983"/>
    <s v="Queen"/>
    <n v="35888760"/>
    <s v="classic rock"/>
    <d v="1980-06-27T00:00:00"/>
    <n v="74"/>
    <x v="1"/>
    <n v="0.93300000000000005"/>
    <n v="0.52800000000000002"/>
    <n v="0.16200000000000001"/>
    <n v="0.112"/>
    <n v="0.16300000000000001"/>
    <n v="0.75600000000000001"/>
    <n v="-6.4720000000000004"/>
    <n v="214653"/>
    <n v="1980"/>
    <x v="0"/>
  </r>
  <r>
    <n v="1439"/>
    <n v="95"/>
    <n v="7"/>
    <d v="2019-12-27T00:00:00"/>
    <x v="3"/>
    <s v="Yo x Ti, Tu x Mi"/>
    <n v="5202210"/>
    <s v="ROSALÍA, Ozuna"/>
    <n v="4769627"/>
    <s v="r&amp;b en espanol"/>
    <d v="2019-08-15T00:00:00"/>
    <n v="74"/>
    <x v="0"/>
    <n v="0.78"/>
    <n v="0.75900000000000001"/>
    <n v="0.22500000000000001"/>
    <n v="0.46200000000000002"/>
    <n v="0.14299999999999999"/>
    <n v="0.57899999999999996"/>
    <n v="-3.2919999999999998"/>
    <n v="201040"/>
    <n v="2019"/>
    <x v="0"/>
  </r>
  <r>
    <n v="1372"/>
    <n v="185"/>
    <n v="1"/>
    <d v="2020-02-28T00:00:00"/>
    <x v="2"/>
    <s v="Drown (feat. Clinton Kane)"/>
    <n v="5186141"/>
    <s v="Martin Garrix"/>
    <n v="14921269"/>
    <s v="dance pop"/>
    <d v="2020-02-27T00:00:00"/>
    <n v="74"/>
    <x v="0"/>
    <n v="0.57299999999999995"/>
    <n v="0.73899999999999999"/>
    <n v="5.8099999999999999E-2"/>
    <n v="0.21199999999999999"/>
    <n v="0.17499999999999999"/>
    <n v="0.36299999999999999"/>
    <n v="-5.4550000000000001"/>
    <n v="174062"/>
    <n v="2020"/>
    <x v="0"/>
  </r>
  <r>
    <n v="512"/>
    <n v="180"/>
    <n v="1"/>
    <d v="2021-03-05T00:00:00"/>
    <x v="1"/>
    <s v="Real As It Gets (feat. EST Gee)"/>
    <n v="5170861"/>
    <s v="Lil Baby"/>
    <n v="7816213"/>
    <s v="atl hip hop"/>
    <d v="2021-03-04T00:00:00"/>
    <n v="74"/>
    <x v="0"/>
    <n v="0.77900000000000003"/>
    <n v="0.70499999999999996"/>
    <n v="0.16300000000000001"/>
    <n v="4.7099999999999998E-3"/>
    <n v="9.7100000000000006E-2"/>
    <n v="0.19600000000000001"/>
    <n v="-5.891"/>
    <n v="192804"/>
    <n v="2021"/>
    <x v="0"/>
  </r>
  <r>
    <n v="496"/>
    <n v="86"/>
    <n v="12"/>
    <d v="2021-01-22T00:00:00"/>
    <x v="2"/>
    <s v="All We Got (feat. KIDDO)"/>
    <n v="5156937"/>
    <s v="Robin Schulz"/>
    <n v="2786366"/>
    <s v="dance pop"/>
    <d v="2020-10-16T00:00:00"/>
    <n v="74"/>
    <x v="0"/>
    <n v="0.504"/>
    <n v="0.76"/>
    <n v="4.2599999999999999E-2"/>
    <n v="0.28599999999999998"/>
    <n v="0.151"/>
    <n v="0.64"/>
    <n v="-4.2460000000000004"/>
    <n v="190218"/>
    <n v="2020"/>
    <x v="0"/>
  </r>
  <r>
    <n v="454"/>
    <n v="28"/>
    <n v="3"/>
    <d v="2021-03-19T00:00:00"/>
    <x v="2"/>
    <s v="Unstable (feat. The Kid LAROI)"/>
    <n v="5137645"/>
    <s v="Justin Bieber"/>
    <n v="48544923"/>
    <s v="canadian pop"/>
    <d v="2021-03-19T00:00:00"/>
    <n v="74"/>
    <x v="1"/>
    <n v="0.495"/>
    <n v="0.33300000000000002"/>
    <n v="2.8799999999999999E-2"/>
    <n v="0.73699999999999999"/>
    <n v="0.112"/>
    <n v="0.37"/>
    <n v="-10.109"/>
    <n v="158324"/>
    <n v="2021"/>
    <x v="0"/>
  </r>
  <r>
    <n v="1442"/>
    <n v="157"/>
    <n v="7"/>
    <d v="2020-01-24T00:00:00"/>
    <x v="2"/>
    <s v="Pa' Olvidarme De Ella"/>
    <n v="5066711"/>
    <s v="Piso 21, Christian Nodal"/>
    <n v="7226268"/>
    <s v="colombian pop"/>
    <d v="2019-09-06T00:00:00"/>
    <n v="74"/>
    <x v="1"/>
    <n v="0.72799999999999998"/>
    <n v="0.54200000000000004"/>
    <n v="5.1400000000000001E-2"/>
    <n v="0.25900000000000001"/>
    <n v="0.13600000000000001"/>
    <n v="0.63700000000000001"/>
    <n v="-5.1950000000000003"/>
    <n v="227234"/>
    <n v="2019"/>
    <x v="0"/>
  </r>
  <r>
    <n v="459"/>
    <n v="193"/>
    <n v="3"/>
    <d v="2021-03-19T00:00:00"/>
    <x v="2"/>
    <s v="Payphone"/>
    <n v="5052717"/>
    <s v="Maroon 5, Wiz Khalifa"/>
    <n v="32279979"/>
    <s v="pop"/>
    <d v="2012-01-01T00:00:00"/>
    <n v="74"/>
    <x v="0"/>
    <n v="0.73899999999999999"/>
    <n v="0.75600000000000001"/>
    <n v="3.9399999999999998E-2"/>
    <n v="1.3599999999999999E-2"/>
    <n v="0.37"/>
    <n v="0.52300000000000002"/>
    <n v="-4.8280000000000003"/>
    <n v="231387"/>
    <n v="2012"/>
    <x v="0"/>
  </r>
  <r>
    <n v="901"/>
    <n v="72"/>
    <n v="2"/>
    <d v="2020-09-04T00:00:00"/>
    <x v="2"/>
    <s v="Hit Different"/>
    <n v="5049863"/>
    <s v="SZA, The Neptunes, Pharrell Williams, Ty Dolla $ign"/>
    <n v="5888533"/>
    <s v="pop"/>
    <d v="2020-09-04T00:00:00"/>
    <n v="74"/>
    <x v="1"/>
    <n v="0.67900000000000005"/>
    <n v="0.51600000000000001"/>
    <n v="4.5199999999999997E-2"/>
    <n v="0.19900000000000001"/>
    <n v="9.6500000000000002E-2"/>
    <n v="0.71599999999999997"/>
    <n v="-6.3710000000000004"/>
    <n v="202008"/>
    <n v="2020"/>
    <x v="0"/>
  </r>
  <r>
    <n v="1315"/>
    <n v="37"/>
    <n v="12"/>
    <d v="2020-01-03T00:00:00"/>
    <x v="2"/>
    <s v="Ayy Macarena"/>
    <n v="5046905"/>
    <s v="Tyga"/>
    <n v="6298789"/>
    <s v="dance pop"/>
    <d v="2019-11-13T00:00:00"/>
    <n v="74"/>
    <x v="1"/>
    <n v="0.81599999999999995"/>
    <n v="0.629"/>
    <n v="0.22600000000000001"/>
    <n v="0.13300000000000001"/>
    <n v="6.9199999999999998E-2"/>
    <n v="0.71399999999999997"/>
    <n v="-5.5679999999999996"/>
    <n v="131607"/>
    <n v="2019"/>
    <x v="0"/>
  </r>
  <r>
    <n v="820"/>
    <n v="19"/>
    <n v="28"/>
    <d v="2020-07-17T00:00:00"/>
    <x v="2"/>
    <s v="MAMACITA"/>
    <n v="5016343"/>
    <s v="Black Eyed Peas, Ozuna, J. Rey Soul"/>
    <n v="5966748"/>
    <s v="dance pop"/>
    <d v="2020-04-10T00:00:00"/>
    <n v="74"/>
    <x v="0"/>
    <n v="0.89400000000000002"/>
    <n v="0.63500000000000001"/>
    <n v="4.7300000000000002E-2"/>
    <n v="0.193"/>
    <n v="8.2299999999999998E-2"/>
    <n v="0.42799999999999999"/>
    <n v="-6.9290000000000003"/>
    <n v="249143"/>
    <n v="2020"/>
    <x v="0"/>
  </r>
  <r>
    <n v="1317"/>
    <n v="113"/>
    <n v="2"/>
    <d v="2020-03-06T00:00:00"/>
    <x v="2"/>
    <s v="Who (feat. BTS)"/>
    <n v="5004752"/>
    <s v="Lauv"/>
    <n v="4442273"/>
    <s v="dance pop"/>
    <d v="2020-03-06T00:00:00"/>
    <n v="74"/>
    <x v="1"/>
    <n v="0.63200000000000001"/>
    <n v="0.34499999999999997"/>
    <n v="3.49E-2"/>
    <n v="0.55100000000000005"/>
    <n v="0.104"/>
    <n v="8.1799999999999998E-2"/>
    <n v="-8"/>
    <n v="180413"/>
    <n v="2020"/>
    <x v="0"/>
  </r>
  <r>
    <n v="1447"/>
    <n v="140"/>
    <n v="7"/>
    <d v="2020-01-03T00:00:00"/>
    <x v="3"/>
    <s v="Only Human"/>
    <n v="4953866"/>
    <s v="Jonas Brothers"/>
    <n v="5436999"/>
    <s v="boy band"/>
    <d v="2019-06-07T00:00:00"/>
    <n v="74"/>
    <x v="1"/>
    <n v="0.79500000000000004"/>
    <n v="0.496"/>
    <n v="7.22E-2"/>
    <n v="0.108"/>
    <n v="6.4500000000000002E-2"/>
    <n v="0.874"/>
    <n v="-5.883"/>
    <n v="183000"/>
    <n v="2019"/>
    <x v="0"/>
  </r>
  <r>
    <n v="1538"/>
    <n v="169"/>
    <n v="2"/>
    <d v="2020-01-03T00:00:00"/>
    <x v="4"/>
    <s v="VALENTINO"/>
    <n v="4935492"/>
    <s v="24kGoldn"/>
    <n v="1276406"/>
    <s v="cali rap"/>
    <d v="2019-11-22T00:00:00"/>
    <n v="74"/>
    <x v="0"/>
    <n v="0.746"/>
    <n v="0.71699999999999997"/>
    <n v="0.17899999999999999"/>
    <n v="0.19900000000000001"/>
    <n v="0.13200000000000001"/>
    <n v="0.52300000000000002"/>
    <n v="-4.8410000000000002"/>
    <n v="179133"/>
    <n v="2019"/>
    <x v="0"/>
  </r>
  <r>
    <n v="814"/>
    <n v="133"/>
    <n v="8"/>
    <d v="2020-10-16T00:00:00"/>
    <x v="1"/>
    <s v="24 (feat. Lil Baby)"/>
    <n v="4904772"/>
    <s v="Money Man"/>
    <n v="345027"/>
    <s v="memphis hip hop"/>
    <d v="2020-08-21T00:00:00"/>
    <n v="74"/>
    <x v="0"/>
    <n v="0.86799999999999999"/>
    <n v="0.63800000000000001"/>
    <n v="7.3599999999999999E-2"/>
    <n v="0.14599999999999999"/>
    <n v="9.3100000000000002E-2"/>
    <n v="0.45900000000000002"/>
    <n v="-7.7460000000000004"/>
    <n v="182857"/>
    <n v="2020"/>
    <x v="0"/>
  </r>
  <r>
    <n v="764"/>
    <n v="129"/>
    <n v="14"/>
    <d v="2020-10-16T00:00:00"/>
    <x v="2"/>
    <s v="Quiéreme Mientras Se Pueda"/>
    <n v="4899440"/>
    <s v="Manuel Turizo"/>
    <n v="7909963"/>
    <s v="colombian pop"/>
    <d v="2020-05-01T00:00:00"/>
    <n v="74"/>
    <x v="0"/>
    <n v="0.79300000000000004"/>
    <n v="0.78200000000000003"/>
    <n v="5.8200000000000002E-2"/>
    <n v="0.44700000000000001"/>
    <n v="0.124"/>
    <n v="0.81"/>
    <n v="-3.9449999999999998"/>
    <n v="191945"/>
    <n v="2020"/>
    <x v="0"/>
  </r>
  <r>
    <n v="940"/>
    <n v="8"/>
    <n v="8"/>
    <d v="2020-07-10T00:00:00"/>
    <x v="4"/>
    <s v="Life's A Mess (feat. Halsey)"/>
    <n v="4883202"/>
    <s v="Juice WRLD"/>
    <n v="19102888"/>
    <s v="chicago rap"/>
    <d v="2020-07-10T00:00:00"/>
    <n v="74"/>
    <x v="1"/>
    <n v="0.63"/>
    <n v="0.44600000000000001"/>
    <n v="3.5099999999999999E-2"/>
    <n v="0.33700000000000002"/>
    <n v="0.16600000000000001"/>
    <n v="0.17699999999999999"/>
    <n v="-8.9"/>
    <n v="202193"/>
    <n v="2020"/>
    <x v="0"/>
  </r>
  <r>
    <n v="905"/>
    <n v="122"/>
    <n v="29"/>
    <d v="2020-04-24T00:00:00"/>
    <x v="3"/>
    <s v="Jangueo"/>
    <n v="4877753"/>
    <s v="Alex Rose, Rafa Pabön"/>
    <n v="2168452"/>
    <s v="latin"/>
    <d v="2019-11-08T00:00:00"/>
    <n v="74"/>
    <x v="0"/>
    <n v="0.86099999999999999"/>
    <n v="0.67800000000000005"/>
    <n v="5.3600000000000002E-2"/>
    <n v="0.253"/>
    <n v="0.106"/>
    <n v="0.72299999999999998"/>
    <n v="-4.157"/>
    <n v="259600"/>
    <n v="2019"/>
    <x v="0"/>
  </r>
  <r>
    <n v="1015"/>
    <n v="49"/>
    <n v="23"/>
    <d v="2020-03-13T00:00:00"/>
    <x v="4"/>
    <s v="Diosa"/>
    <n v="4868180"/>
    <s v="Myke Towers"/>
    <n v="6161098"/>
    <s v="trap latino"/>
    <d v="2020-01-24T00:00:00"/>
    <n v="74"/>
    <x v="0"/>
    <n v="0.80100000000000005"/>
    <n v="0.745"/>
    <n v="6.3E-2"/>
    <n v="0.39800000000000002"/>
    <n v="0.153"/>
    <n v="0.245"/>
    <n v="-3.7330000000000001"/>
    <n v="214013"/>
    <n v="2020"/>
    <x v="0"/>
  </r>
  <r>
    <n v="1468"/>
    <n v="134"/>
    <n v="5"/>
    <d v="2019-12-27T00:00:00"/>
    <x v="1"/>
    <s v="Panini"/>
    <n v="4867723"/>
    <s v="Lil Nas X"/>
    <n v="5488666"/>
    <s v="lgbtq+ hip hop"/>
    <d v="2019-09-13T00:00:00"/>
    <n v="74"/>
    <x v="1"/>
    <n v="0.70299999999999996"/>
    <n v="0.59399999999999997"/>
    <n v="7.5200000000000003E-2"/>
    <n v="0.34200000000000003"/>
    <n v="0.123"/>
    <n v="0.47499999999999998"/>
    <n v="-6.1459999999999999"/>
    <n v="114893"/>
    <n v="2019"/>
    <x v="0"/>
  </r>
  <r>
    <n v="783"/>
    <n v="162"/>
    <n v="4"/>
    <d v="2020-10-30T00:00:00"/>
    <x v="4"/>
    <s v="Moonwalking in Calabasas (feat. Blueface) - Remix"/>
    <n v="4863053"/>
    <s v="DDG"/>
    <n v="486194"/>
    <s v="rap"/>
    <d v="2020-12-02T00:00:00"/>
    <n v="74"/>
    <x v="1"/>
    <n v="0.92800000000000005"/>
    <n v="0.34100000000000003"/>
    <n v="0.10299999999999999"/>
    <n v="6.1400000000000003E-2"/>
    <n v="0.16200000000000001"/>
    <n v="0.745"/>
    <n v="-10.196"/>
    <n v="170233"/>
    <n v="2020"/>
    <x v="0"/>
  </r>
  <r>
    <n v="816"/>
    <n v="14"/>
    <n v="6"/>
    <d v="2020-09-25T00:00:00"/>
    <x v="4"/>
    <s v="FRANCHISE (feat. Young Thug &amp; M.I.A.)"/>
    <n v="4821213"/>
    <s v="Travis Scott"/>
    <n v="17732077"/>
    <s v="rap"/>
    <d v="2020-09-25T00:00:00"/>
    <n v="74"/>
    <x v="0"/>
    <n v="0.83499999999999996"/>
    <n v="0.69899999999999995"/>
    <n v="0.27700000000000002"/>
    <n v="6.7099999999999998E-3"/>
    <n v="0.19500000000000001"/>
    <n v="0.54700000000000004"/>
    <n v="-5.4050000000000002"/>
    <n v="202795"/>
    <n v="2020"/>
    <x v="0"/>
  </r>
  <r>
    <n v="1454"/>
    <n v="136"/>
    <n v="7"/>
    <d v="2019-12-27T00:00:00"/>
    <x v="3"/>
    <s v="Otro Trago - Remix"/>
    <n v="4803294"/>
    <s v="Sech, Ozuna, Anuel AA, Darell, Nicky Jam"/>
    <n v="8766508"/>
    <s v="latin"/>
    <d v="2019-07-26T00:00:00"/>
    <n v="74"/>
    <x v="0"/>
    <n v="0.72499999999999998"/>
    <n v="0.79"/>
    <n v="0.19700000000000001"/>
    <n v="7.1099999999999997E-2"/>
    <n v="6.0199999999999997E-2"/>
    <n v="0.76300000000000001"/>
    <n v="-2.331"/>
    <n v="287773"/>
    <n v="2019"/>
    <x v="0"/>
  </r>
  <r>
    <n v="594"/>
    <n v="17"/>
    <n v="31"/>
    <d v="2020-08-07T00:00:00"/>
    <x v="3"/>
    <s v="Caramelo"/>
    <n v="4790233"/>
    <s v="Ozuna"/>
    <n v="29238936"/>
    <s v="latin"/>
    <d v="2020-06-11T00:00:00"/>
    <n v="74"/>
    <x v="0"/>
    <n v="0.72799999999999998"/>
    <n v="0.80600000000000005"/>
    <n v="6.2300000000000001E-2"/>
    <n v="5.3100000000000001E-2"/>
    <n v="0.153"/>
    <n v="0.69799999999999995"/>
    <n v="-3.766"/>
    <n v="217547"/>
    <n v="2020"/>
    <x v="0"/>
  </r>
  <r>
    <n v="1541"/>
    <n v="187"/>
    <n v="1"/>
    <d v="2020-01-03T00:00:00"/>
    <x v="2"/>
    <s v="Never Really Over"/>
    <n v="4679948"/>
    <s v="Katy Perry"/>
    <n v="18936929"/>
    <s v="dance pop"/>
    <d v="2019-05-31T00:00:00"/>
    <n v="74"/>
    <x v="0"/>
    <n v="0.77"/>
    <n v="0.88200000000000001"/>
    <n v="6.0199999999999997E-2"/>
    <n v="0.19400000000000001"/>
    <n v="0.316"/>
    <n v="0.38500000000000001"/>
    <n v="-4.7919999999999998"/>
    <n v="223523"/>
    <n v="2019"/>
    <x v="0"/>
  </r>
  <r>
    <n v="613"/>
    <n v="138"/>
    <n v="13"/>
    <d v="2019-12-27T00:00:00"/>
    <x v="0"/>
    <s v="Don't Stop Me Now - Remastered 2011"/>
    <n v="4630572"/>
    <s v="Queen"/>
    <n v="35910149"/>
    <s v="classic rock"/>
    <d v="1978-11-10T00:00:00"/>
    <n v="74"/>
    <x v="0"/>
    <n v="0.56299999999999994"/>
    <n v="0.86499999999999999"/>
    <n v="0.16"/>
    <n v="4.7199999999999999E-2"/>
    <n v="0.77"/>
    <n v="0.60099999999999998"/>
    <n v="-5.2770000000000001"/>
    <n v="209413"/>
    <n v="1978"/>
    <x v="0"/>
  </r>
  <r>
    <n v="1023"/>
    <n v="6"/>
    <n v="23"/>
    <d v="2020-02-28T00:00:00"/>
    <x v="3"/>
    <s v="Ignorantes"/>
    <n v="4613982"/>
    <s v="Bad Bunny, Sech"/>
    <n v="36177712"/>
    <s v="latin"/>
    <d v="2020-02-14T00:00:00"/>
    <n v="74"/>
    <x v="1"/>
    <n v="0.85"/>
    <n v="0.53600000000000003"/>
    <n v="5.9900000000000002E-2"/>
    <n v="0.26700000000000002"/>
    <n v="9.9599999999999994E-2"/>
    <n v="0.505"/>
    <n v="-5.1609999999999996"/>
    <n v="210607"/>
    <n v="2020"/>
    <x v="0"/>
  </r>
  <r>
    <n v="616"/>
    <n v="49"/>
    <n v="4"/>
    <d v="2020-12-11T00:00:00"/>
    <x v="1"/>
    <s v="Tequila Shots"/>
    <n v="4540781"/>
    <s v="Kid Cudi"/>
    <n v="5002317"/>
    <s v="hip hop"/>
    <d v="2020-12-11T00:00:00"/>
    <n v="74"/>
    <x v="1"/>
    <n v="0.71199999999999997"/>
    <n v="0.55600000000000005"/>
    <n v="5.3100000000000001E-2"/>
    <n v="8.4000000000000005E-2"/>
    <n v="0.52700000000000002"/>
    <n v="0.22"/>
    <n v="-7.2140000000000004"/>
    <n v="193293"/>
    <n v="2020"/>
    <x v="0"/>
  </r>
  <r>
    <n v="925"/>
    <n v="86"/>
    <n v="8"/>
    <d v="2020-07-17T00:00:00"/>
    <x v="3"/>
    <s v="What's Love Got to Do with It"/>
    <n v="4538382"/>
    <s v="Kygo, Tina Turner"/>
    <n v="7593792"/>
    <s v="edm"/>
    <d v="2020-07-17T00:00:00"/>
    <n v="74"/>
    <x v="0"/>
    <n v="0.75"/>
    <n v="0.66400000000000003"/>
    <n v="0.154"/>
    <n v="0.27500000000000002"/>
    <n v="6.3200000000000006E-2"/>
    <n v="0.61699999999999999"/>
    <n v="-5.9080000000000004"/>
    <n v="208156"/>
    <n v="2020"/>
    <x v="0"/>
  </r>
  <r>
    <n v="1226"/>
    <n v="97"/>
    <n v="11"/>
    <d v="2019-12-27T00:00:00"/>
    <x v="2"/>
    <s v="Tutu"/>
    <n v="4393037"/>
    <s v="Camilo, Pedro Capó"/>
    <n v="10580764"/>
    <s v="colombian pop"/>
    <d v="2019-08-09T00:00:00"/>
    <n v="74"/>
    <x v="0"/>
    <n v="0.73099999999999998"/>
    <n v="0.83199999999999996"/>
    <n v="5.0299999999999997E-2"/>
    <n v="0.27300000000000002"/>
    <n v="6.6500000000000004E-2"/>
    <n v="0.94"/>
    <n v="-2.5920000000000001"/>
    <n v="178613"/>
    <n v="2019"/>
    <x v="0"/>
  </r>
  <r>
    <n v="964"/>
    <n v="50"/>
    <n v="22"/>
    <d v="2020-04-17T00:00:00"/>
    <x v="4"/>
    <s v="Walk Em Down (feat. Roddy Ricch)"/>
    <n v="4371370"/>
    <s v="NLE Choppa"/>
    <n v="6608815"/>
    <s v="melodic rap"/>
    <d v="2020-03-19T00:00:00"/>
    <n v="74"/>
    <x v="0"/>
    <n v="0.86699999999999999"/>
    <n v="0.74399999999999999"/>
    <n v="0.22700000000000001"/>
    <n v="0.26800000000000002"/>
    <n v="7.1300000000000002E-2"/>
    <n v="0.64500000000000002"/>
    <n v="-5.1710000000000003"/>
    <n v="173288"/>
    <n v="2020"/>
    <x v="0"/>
  </r>
  <r>
    <n v="1113"/>
    <n v="22"/>
    <n v="12"/>
    <d v="2020-03-27T00:00:00"/>
    <x v="2"/>
    <s v="BELIEVE IT"/>
    <n v="4361970"/>
    <s v="PARTYNEXTDOOR, Rihanna"/>
    <n v="3129968"/>
    <s v="pop"/>
    <d v="2020-03-27T00:00:00"/>
    <n v="74"/>
    <x v="0"/>
    <n v="0.43"/>
    <n v="0.7"/>
    <n v="0.26400000000000001"/>
    <n v="9.0200000000000002E-2"/>
    <n v="0.216"/>
    <n v="0.73099999999999998"/>
    <n v="-5.35"/>
    <n v="183219"/>
    <n v="2020"/>
    <x v="0"/>
  </r>
  <r>
    <n v="429"/>
    <n v="52"/>
    <n v="1"/>
    <d v="2021-04-09T00:00:00"/>
    <x v="2"/>
    <s v="You Belong With Me (Taylor’s Version)"/>
    <n v="9872084"/>
    <s v="Taylor Swift"/>
    <n v="42227614"/>
    <s v="pop"/>
    <d v="2021-04-09T00:00:00"/>
    <n v="73"/>
    <x v="0"/>
    <n v="0.63200000000000001"/>
    <n v="0.77300000000000002"/>
    <n v="3.4599999999999999E-2"/>
    <n v="6.2300000000000001E-2"/>
    <n v="8.8499999999999995E-2"/>
    <n v="0.47399999999999998"/>
    <n v="-4.8559999999999999"/>
    <n v="231124"/>
    <n v="2021"/>
    <x v="0"/>
  </r>
  <r>
    <n v="852"/>
    <n v="65"/>
    <n v="1"/>
    <d v="2020-10-02T00:00:00"/>
    <x v="1"/>
    <s v="Rich Nigga Shit (feat. Young Thug)"/>
    <n v="9129562"/>
    <s v="21 Savage, Metro Boomin"/>
    <n v="9949044"/>
    <s v="atl hip hop"/>
    <d v="2020-10-02T00:00:00"/>
    <n v="73"/>
    <x v="0"/>
    <n v="0.82499999999999996"/>
    <n v="0.73299999999999998"/>
    <n v="9.69E-2"/>
    <n v="0.34899999999999998"/>
    <n v="0.112"/>
    <n v="0.62"/>
    <n v="-5.625"/>
    <n v="190331"/>
    <n v="2020"/>
    <x v="0"/>
  </r>
  <r>
    <n v="1544"/>
    <n v="59"/>
    <n v="1"/>
    <d v="2019-12-27T00:00:00"/>
    <x v="2"/>
    <s v="Trampoline"/>
    <n v="8896030"/>
    <s v="SHAED, ZAYN"/>
    <n v="139434"/>
    <s v="electropop"/>
    <d v="2019-09-26T00:00:00"/>
    <n v="73"/>
    <x v="1"/>
    <n v="0.61899999999999999"/>
    <n v="0.45900000000000002"/>
    <n v="3.3399999999999999E-2"/>
    <n v="0.56000000000000005"/>
    <n v="0.13700000000000001"/>
    <n v="0.498"/>
    <n v="-5.782"/>
    <n v="184280"/>
    <n v="2019"/>
    <x v="0"/>
  </r>
  <r>
    <n v="431"/>
    <n v="68"/>
    <n v="1"/>
    <d v="2021-04-09T00:00:00"/>
    <x v="1"/>
    <s v="X Gon' Give It To Ya"/>
    <n v="8638360"/>
    <s v="DMX"/>
    <n v="2815928"/>
    <s v="east coast hip hop"/>
    <d v="2007-06-12T00:00:00"/>
    <n v="73"/>
    <x v="0"/>
    <n v="0.76100000000000001"/>
    <n v="0.89900000000000002"/>
    <n v="0.183"/>
    <n v="1.35E-2"/>
    <n v="7.1900000000000006E-2"/>
    <n v="0.67300000000000004"/>
    <n v="-3.09"/>
    <n v="217587"/>
    <n v="2007"/>
    <x v="0"/>
  </r>
  <r>
    <n v="264"/>
    <n v="108"/>
    <n v="1"/>
    <d v="2021-06-25T00:00:00"/>
    <x v="1"/>
    <s v="MANIFESTO (feat. Domo Genesis)"/>
    <n v="6988886"/>
    <s v="Tyler, The Creator"/>
    <n v="6777818"/>
    <s v="hip hop"/>
    <d v="2021-06-25T00:00:00"/>
    <n v="73"/>
    <x v="0"/>
    <n v="0.45400000000000001"/>
    <n v="0.86599999999999999"/>
    <n v="0.39100000000000001"/>
    <n v="0.121"/>
    <n v="0.16700000000000001"/>
    <n v="0.51800000000000002"/>
    <n v="-5.3479999999999999"/>
    <n v="175123"/>
    <n v="2021"/>
    <x v="0"/>
  </r>
  <r>
    <n v="711"/>
    <n v="17"/>
    <n v="3"/>
    <d v="2020-11-27T00:00:00"/>
    <x v="3"/>
    <s v="YO VISTO ASÍ"/>
    <n v="6388079"/>
    <s v="Bad Bunny"/>
    <n v="36177712"/>
    <s v="latin"/>
    <d v="2020-11-27T00:00:00"/>
    <n v="73"/>
    <x v="0"/>
    <n v="0.68799999999999994"/>
    <n v="0.88100000000000001"/>
    <n v="4.7399999999999998E-2"/>
    <n v="9.4700000000000006E-2"/>
    <n v="8.0399999999999999E-2"/>
    <n v="0.67700000000000005"/>
    <n v="-4.8890000000000002"/>
    <n v="191526"/>
    <n v="2020"/>
    <x v="0"/>
  </r>
  <r>
    <n v="266"/>
    <n v="132"/>
    <n v="1"/>
    <d v="2021-06-25T00:00:00"/>
    <x v="1"/>
    <s v="WILSHIRE"/>
    <n v="6268542"/>
    <s v="Tyler, The Creator"/>
    <n v="6777818"/>
    <s v="hip hop"/>
    <d v="2021-06-25T00:00:00"/>
    <n v="73"/>
    <x v="0"/>
    <n v="0.55500000000000005"/>
    <n v="0.71199999999999997"/>
    <n v="0.32300000000000001"/>
    <n v="4.5100000000000001E-2"/>
    <n v="0.182"/>
    <n v="0.55500000000000005"/>
    <n v="-7.4459999999999997"/>
    <n v="515865"/>
    <n v="2021"/>
    <x v="0"/>
  </r>
  <r>
    <n v="1008"/>
    <n v="46"/>
    <n v="2"/>
    <d v="2020-07-10T00:00:00"/>
    <x v="4"/>
    <s v="Man Of The Year"/>
    <n v="6223001"/>
    <s v="Juice WRLD"/>
    <n v="19102888"/>
    <s v="chicago rap"/>
    <d v="2020-07-10T00:00:00"/>
    <n v="73"/>
    <x v="0"/>
    <n v="0.621"/>
    <n v="0.69499999999999995"/>
    <n v="9.11E-2"/>
    <n v="5.8399999999999997E-3"/>
    <n v="8.5999999999999993E-2"/>
    <n v="0.29799999999999999"/>
    <n v="-5.1239999999999997"/>
    <n v="136408"/>
    <n v="2020"/>
    <x v="0"/>
  </r>
  <r>
    <n v="422"/>
    <n v="8"/>
    <n v="5"/>
    <d v="2021-02-12T00:00:00"/>
    <x v="2"/>
    <s v="Love Story (Taylor’s Version)"/>
    <n v="6202933"/>
    <s v="Taylor Swift"/>
    <n v="42227614"/>
    <s v="pop"/>
    <d v="2021-04-09T00:00:00"/>
    <n v="73"/>
    <x v="0"/>
    <n v="0.627"/>
    <n v="0.79200000000000004"/>
    <n v="3.1E-2"/>
    <n v="0.13"/>
    <n v="8.4500000000000006E-2"/>
    <n v="0.41499999999999998"/>
    <n v="-4.3109999999999999"/>
    <n v="235767"/>
    <n v="2021"/>
    <x v="0"/>
  </r>
  <r>
    <n v="267"/>
    <n v="141"/>
    <n v="1"/>
    <d v="2021-06-25T00:00:00"/>
    <x v="1"/>
    <s v="RISE! (feat. DAISY WORLD)"/>
    <n v="6034281"/>
    <s v="Tyler, The Creator"/>
    <n v="6777818"/>
    <s v="hip hop"/>
    <d v="2021-06-25T00:00:00"/>
    <n v="73"/>
    <x v="0"/>
    <n v="0.76600000000000001"/>
    <n v="0.81399999999999995"/>
    <n v="7.3300000000000004E-2"/>
    <n v="4.3999999999999997E-2"/>
    <n v="0.19500000000000001"/>
    <n v="0.48099999999999998"/>
    <n v="-3.367"/>
    <n v="203588"/>
    <n v="2021"/>
    <x v="0"/>
  </r>
  <r>
    <n v="578"/>
    <n v="137"/>
    <n v="1"/>
    <d v="2021-01-22T00:00:00"/>
    <x v="3"/>
    <s v="Los Dioses"/>
    <n v="5929507"/>
    <s v="Anuel AA, Ozuna"/>
    <n v="18306226"/>
    <s v="latin"/>
    <d v="2021-01-22T00:00:00"/>
    <n v="73"/>
    <x v="0"/>
    <n v="0.81699999999999995"/>
    <n v="0.73699999999999999"/>
    <n v="0.10199999999999999"/>
    <n v="4.5999999999999999E-2"/>
    <n v="9.1999999999999998E-2"/>
    <n v="0.67"/>
    <n v="-5.4530000000000003"/>
    <n v="206587"/>
    <n v="2021"/>
    <x v="0"/>
  </r>
  <r>
    <n v="768"/>
    <n v="74"/>
    <n v="3"/>
    <d v="2020-10-30T00:00:00"/>
    <x v="2"/>
    <s v="MORE"/>
    <n v="5602168"/>
    <s v="K/DA, Madison Beer, (G)I-DLE, Lexie Liu, Jaira Burns, Seraphine, League of Legends"/>
    <n v="1245965"/>
    <s v="k-pop girl group"/>
    <d v="2020-10-28T00:00:00"/>
    <n v="73"/>
    <x v="0"/>
    <n v="0.66"/>
    <n v="0.78700000000000003"/>
    <n v="3.2000000000000001E-2"/>
    <n v="2.5699999999999998E-3"/>
    <n v="0.32300000000000001"/>
    <n v="0.19900000000000001"/>
    <n v="-4.5919999999999996"/>
    <n v="217088"/>
    <n v="2020"/>
    <x v="0"/>
  </r>
  <r>
    <n v="484"/>
    <n v="138"/>
    <n v="2"/>
    <d v="2021-01-15T00:00:00"/>
    <x v="2"/>
    <s v="Chemtrails Over The Country Club"/>
    <n v="5418816"/>
    <s v="Lana Del Rey"/>
    <n v="13697048"/>
    <s v="art pop"/>
    <d v="2021-03-19T00:00:00"/>
    <n v="73"/>
    <x v="1"/>
    <n v="0.33400000000000002"/>
    <n v="0.27600000000000002"/>
    <n v="6.4299999999999996E-2"/>
    <n v="0.877"/>
    <n v="0.113"/>
    <n v="0.42899999999999999"/>
    <n v="-13.125"/>
    <n v="271177"/>
    <n v="2021"/>
    <x v="0"/>
  </r>
  <r>
    <n v="270"/>
    <n v="176"/>
    <n v="1"/>
    <d v="2021-06-25T00:00:00"/>
    <x v="2"/>
    <s v="Payday (feat. Young Thug)"/>
    <n v="5393789"/>
    <s v="Doja Cat"/>
    <n v="8640063"/>
    <s v="dance pop"/>
    <d v="2021-06-25T00:00:00"/>
    <n v="73"/>
    <x v="0"/>
    <n v="0.61899999999999999"/>
    <n v="0.70699999999999996"/>
    <n v="4.99E-2"/>
    <n v="3.6600000000000001E-2"/>
    <n v="0.13"/>
    <n v="0.55800000000000005"/>
    <n v="-5.7910000000000004"/>
    <n v="212947"/>
    <n v="2021"/>
    <x v="0"/>
  </r>
  <r>
    <n v="350"/>
    <n v="27"/>
    <n v="2"/>
    <d v="2021-05-14T00:00:00"/>
    <x v="1"/>
    <s v="l e t . g o . m y . h a n d (with Bas &amp; 6LACK)"/>
    <n v="5393643"/>
    <s v="J. Cole"/>
    <n v="14097410"/>
    <s v="conscious hip hop"/>
    <d v="2021-05-14T00:00:00"/>
    <n v="73"/>
    <x v="1"/>
    <n v="0.58299999999999996"/>
    <n v="0.625"/>
    <n v="0.27700000000000002"/>
    <n v="0.50600000000000001"/>
    <n v="0.19600000000000001"/>
    <n v="0.51600000000000001"/>
    <n v="-8.0109999999999992"/>
    <n v="266291"/>
    <n v="2021"/>
    <x v="0"/>
  </r>
  <r>
    <n v="423"/>
    <n v="107"/>
    <n v="14"/>
    <d v="2021-02-12T00:00:00"/>
    <x v="3"/>
    <s v="Ele É Ele, Eu Sou Eu"/>
    <n v="5380517"/>
    <s v="Wesley Safadão, Os Barões Da Pisadinha"/>
    <n v="9907270"/>
    <s v="forro"/>
    <d v="2020-11-12T00:00:00"/>
    <n v="73"/>
    <x v="0"/>
    <n v="0.75800000000000001"/>
    <n v="0.76300000000000001"/>
    <n v="7.6799999999999993E-2"/>
    <n v="0.23"/>
    <n v="7.0300000000000001E-2"/>
    <n v="0.85399999999999998"/>
    <n v="-8.7539999999999996"/>
    <n v="155210"/>
    <n v="2020"/>
    <x v="0"/>
  </r>
  <r>
    <n v="368"/>
    <n v="148"/>
    <n v="7"/>
    <d v="2021-04-23T00:00:00"/>
    <x v="2"/>
    <s v="Bubblegum Bitch"/>
    <n v="5375782"/>
    <s v="MARINA"/>
    <n v="2918229"/>
    <s v="dance pop"/>
    <d v="2012-04-30T00:00:00"/>
    <n v="73"/>
    <x v="0"/>
    <n v="0.495"/>
    <n v="0.85599999999999998"/>
    <n v="3.1099999999999999E-2"/>
    <n v="2.1900000000000001E-4"/>
    <n v="0.10299999999999999"/>
    <n v="0.60899999999999999"/>
    <n v="-5.1230000000000002"/>
    <n v="154667"/>
    <n v="2012"/>
    <x v="0"/>
  </r>
  <r>
    <n v="771"/>
    <n v="117"/>
    <n v="4"/>
    <d v="2020-11-06T00:00:00"/>
    <x v="3"/>
    <s v="Papi Chulo"/>
    <n v="5361669"/>
    <s v="Octavian, Skepta"/>
    <n v="213344"/>
    <s v="afroswing"/>
    <d v="2020-03-13T00:00:00"/>
    <n v="73"/>
    <x v="1"/>
    <n v="0.86599999999999999"/>
    <n v="0.56299999999999994"/>
    <n v="0.108"/>
    <n v="0.185"/>
    <n v="8.8900000000000007E-2"/>
    <n v="0.307"/>
    <n v="-6.9640000000000004"/>
    <n v="161668"/>
    <n v="2020"/>
    <x v="0"/>
  </r>
  <r>
    <n v="474"/>
    <n v="97"/>
    <n v="9"/>
    <d v="2021-02-12T00:00:00"/>
    <x v="3"/>
    <s v="Esquema Preferido"/>
    <n v="5356696"/>
    <s v="DJ Ivis, Tarcísio do Acordeon"/>
    <n v="342930"/>
    <s v="piseiro"/>
    <d v="2020-11-26T00:00:00"/>
    <n v="73"/>
    <x v="0"/>
    <n v="0.67600000000000005"/>
    <n v="0.82299999999999995"/>
    <n v="0.10199999999999999"/>
    <n v="0.24199999999999999"/>
    <n v="7.7299999999999994E-2"/>
    <n v="0.90700000000000003"/>
    <n v="-4.3860000000000001"/>
    <n v="190680"/>
    <n v="2020"/>
    <x v="0"/>
  </r>
  <r>
    <n v="559"/>
    <n v="89"/>
    <n v="2"/>
    <d v="2021-01-29T00:00:00"/>
    <x v="2"/>
    <s v="You (with Marshmello &amp; Vance Joy)"/>
    <n v="5342938"/>
    <s v="benny blanco"/>
    <n v="804613"/>
    <s v="electropop"/>
    <d v="2021-01-29T00:00:00"/>
    <n v="73"/>
    <x v="1"/>
    <n v="0.66800000000000004"/>
    <n v="0.56299999999999994"/>
    <n v="5.2200000000000003E-2"/>
    <n v="4.9299999999999997E-2"/>
    <n v="0.11899999999999999"/>
    <n v="0.30499999999999999"/>
    <n v="-6.4329999999999998"/>
    <n v="169632"/>
    <n v="2021"/>
    <x v="0"/>
  </r>
  <r>
    <n v="1459"/>
    <n v="120"/>
    <n v="3"/>
    <d v="2020-01-24T00:00:00"/>
    <x v="2"/>
    <s v="Break My Stride"/>
    <n v="5312936"/>
    <s v="Matthew Wilder"/>
    <n v="30386"/>
    <s v="new wave pop"/>
    <d v="1983-03-19T00:00:00"/>
    <n v="73"/>
    <x v="1"/>
    <n v="0.91700000000000004"/>
    <n v="0.58799999999999997"/>
    <n v="6.0699999999999997E-2"/>
    <n v="0.19500000000000001"/>
    <n v="9.1399999999999995E-2"/>
    <n v="0.82799999999999996"/>
    <n v="-11.047000000000001"/>
    <n v="184480"/>
    <n v="1983"/>
    <x v="0"/>
  </r>
  <r>
    <n v="1521"/>
    <n v="131"/>
    <n v="3"/>
    <d v="2020-01-03T00:00:00"/>
    <x v="4"/>
    <s v="Stuck In A Dream (feat. Gunna)"/>
    <n v="5258047"/>
    <s v="Lil Mosey"/>
    <n v="3818503"/>
    <s v="melodic rap"/>
    <d v="2019-11-08T00:00:00"/>
    <n v="73"/>
    <x v="0"/>
    <n v="0.748"/>
    <n v="0.64800000000000002"/>
    <n v="8.1600000000000006E-2"/>
    <n v="0.48399999999999999"/>
    <n v="0.126"/>
    <n v="0.72599999999999998"/>
    <n v="-6.4450000000000003"/>
    <n v="123560"/>
    <n v="2019"/>
    <x v="0"/>
  </r>
  <r>
    <n v="486"/>
    <n v="40"/>
    <n v="9"/>
    <d v="2021-02-05T00:00:00"/>
    <x v="2"/>
    <s v="Ropa Cara"/>
    <n v="5249427"/>
    <s v="Camilo"/>
    <n v="10580764"/>
    <s v="colombian pop"/>
    <d v="2021-01-18T00:00:00"/>
    <n v="73"/>
    <x v="1"/>
    <n v="0.81299999999999994"/>
    <n v="0.52600000000000002"/>
    <n v="0.125"/>
    <n v="0.105"/>
    <n v="0.11"/>
    <n v="0.60799999999999998"/>
    <n v="-4.7869999999999999"/>
    <n v="163320"/>
    <n v="2021"/>
    <x v="0"/>
  </r>
  <r>
    <n v="510"/>
    <n v="54"/>
    <n v="7"/>
    <d v="2021-01-22T00:00:00"/>
    <x v="3"/>
    <s v="Antes"/>
    <n v="5232377"/>
    <s v="Anuel AA, Ozuna"/>
    <n v="18306226"/>
    <s v="latin"/>
    <d v="2021-01-22T00:00:00"/>
    <n v="73"/>
    <x v="0"/>
    <n v="0.81699999999999995"/>
    <n v="0.73699999999999999"/>
    <n v="0.10199999999999999"/>
    <n v="4.5999999999999999E-2"/>
    <n v="9.1999999999999998E-2"/>
    <n v="0.67"/>
    <n v="-5.4530000000000003"/>
    <n v="206587"/>
    <n v="2021"/>
    <x v="0"/>
  </r>
  <r>
    <n v="874"/>
    <n v="86"/>
    <n v="8"/>
    <d v="2020-08-21T00:00:00"/>
    <x v="4"/>
    <s v="Tap In"/>
    <n v="5220309"/>
    <s v="Saweetie"/>
    <n v="1255573"/>
    <s v="cali rap"/>
    <d v="2020-06-17T00:00:00"/>
    <n v="73"/>
    <x v="0"/>
    <n v="0.95399999999999996"/>
    <n v="0.69599999999999995"/>
    <n v="0.20399999999999999"/>
    <n v="5.7600000000000004E-3"/>
    <n v="7.5399999999999995E-2"/>
    <n v="0.432"/>
    <n v="-7.117"/>
    <n v="139413"/>
    <n v="2020"/>
    <x v="0"/>
  </r>
  <r>
    <n v="774"/>
    <n v="124"/>
    <n v="3"/>
    <d v="2020-11-06T00:00:00"/>
    <x v="2"/>
    <s v="Sweet Melody"/>
    <n v="5201322"/>
    <s v="Little Mix"/>
    <n v="9398941"/>
    <s v="dance pop"/>
    <d v="2020-11-06T00:00:00"/>
    <n v="73"/>
    <x v="0"/>
    <n v="0.44800000000000001"/>
    <n v="0.82399999999999995"/>
    <n v="5.7000000000000002E-2"/>
    <n v="7.3899999999999993E-2"/>
    <n v="0.113"/>
    <n v="0.41899999999999998"/>
    <n v="-4.2489999999999997"/>
    <n v="213693"/>
    <n v="2020"/>
    <x v="0"/>
  </r>
  <r>
    <n v="589"/>
    <n v="177"/>
    <n v="1"/>
    <d v="2021-01-15T00:00:00"/>
    <x v="2"/>
    <s v="Don't Play"/>
    <n v="5119828"/>
    <s v="Anne-Marie, KSI, Digital Farm Animals"/>
    <n v="8153871"/>
    <s v="dance pop"/>
    <d v="2021-01-15T00:00:00"/>
    <n v="73"/>
    <x v="0"/>
    <n v="0.69499999999999995"/>
    <n v="0.78400000000000003"/>
    <n v="4.02E-2"/>
    <n v="8.8900000000000007E-2"/>
    <n v="8.43E-2"/>
    <n v="0.52"/>
    <n v="-6.5640000000000001"/>
    <n v="188581"/>
    <n v="2021"/>
    <x v="0"/>
  </r>
  <r>
    <n v="1376"/>
    <n v="90"/>
    <n v="10"/>
    <d v="2019-12-27T00:00:00"/>
    <x v="3"/>
    <s v="Quizas"/>
    <n v="5112244"/>
    <s v="Rich Music LTD, Sech, Dalex, Justin Quiles, Lenny Tavárez, Feid, Wisin, Zion"/>
    <n v="206225"/>
    <s v="latin"/>
    <d v="2019-10-11T00:00:00"/>
    <n v="73"/>
    <x v="0"/>
    <n v="0.72699999999999998"/>
    <n v="0.81499999999999995"/>
    <n v="0.153"/>
    <n v="2.58E-2"/>
    <n v="0.23100000000000001"/>
    <n v="0.67700000000000005"/>
    <n v="-2.4540000000000002"/>
    <n v="216067"/>
    <n v="2019"/>
    <x v="0"/>
  </r>
  <r>
    <n v="457"/>
    <n v="191"/>
    <n v="1"/>
    <d v="2021-04-02T00:00:00"/>
    <x v="3"/>
    <s v="Esquema Preferido (feat. Tarcísio do Acordeon)"/>
    <n v="5078174"/>
    <s v="DJ Ivis"/>
    <n v="342930"/>
    <s v="piseiro"/>
    <d v="2020-11-26T00:00:00"/>
    <n v="73"/>
    <x v="0"/>
    <n v="0.67600000000000005"/>
    <n v="0.82299999999999995"/>
    <n v="0.10199999999999999"/>
    <n v="0.24199999999999999"/>
    <n v="7.7299999999999994E-2"/>
    <n v="0.90700000000000003"/>
    <n v="-4.3860000000000001"/>
    <n v="190680"/>
    <n v="2020"/>
    <x v="0"/>
  </r>
  <r>
    <n v="1378"/>
    <n v="46"/>
    <n v="9"/>
    <d v="2020-01-03T00:00:00"/>
    <x v="2"/>
    <s v="Trampoline (with ZAYN)"/>
    <n v="5075520"/>
    <s v="SHAED"/>
    <n v="139434"/>
    <s v="electropop"/>
    <d v="2019-09-26T00:00:00"/>
    <n v="73"/>
    <x v="1"/>
    <n v="0.61899999999999999"/>
    <n v="0.45900000000000002"/>
    <n v="3.3399999999999999E-2"/>
    <n v="0.56000000000000005"/>
    <n v="0.13700000000000001"/>
    <n v="0.498"/>
    <n v="-5.782"/>
    <n v="184280"/>
    <n v="2019"/>
    <x v="0"/>
  </r>
  <r>
    <n v="598"/>
    <n v="53"/>
    <n v="5"/>
    <d v="2020-08-14T00:00:00"/>
    <x v="5"/>
    <s v="7 Summers"/>
    <n v="5064504"/>
    <s v="Morgan Wallen"/>
    <n v="2147875"/>
    <s v="contemporary country"/>
    <d v="2021-01-08T00:00:00"/>
    <n v="73"/>
    <x v="0"/>
    <n v="0.46600000000000003"/>
    <n v="0.78600000000000003"/>
    <n v="3.2800000000000003E-2"/>
    <n v="0.41699999999999998"/>
    <n v="0.125"/>
    <n v="0.57099999999999995"/>
    <n v="-5.13"/>
    <n v="210507"/>
    <n v="2021"/>
    <x v="0"/>
  </r>
  <r>
    <n v="795"/>
    <n v="119"/>
    <n v="11"/>
    <d v="2020-09-11T00:00:00"/>
    <x v="3"/>
    <s v="Madrid (feat. Myke Towers)"/>
    <n v="5064484"/>
    <s v="Maluma"/>
    <n v="26784251"/>
    <s v="latin"/>
    <d v="2020-08-21T00:00:00"/>
    <n v="73"/>
    <x v="0"/>
    <n v="0.76400000000000001"/>
    <n v="0.74099999999999999"/>
    <n v="0.10100000000000001"/>
    <n v="0.23899999999999999"/>
    <n v="0.107"/>
    <n v="0.80200000000000005"/>
    <n v="-3.617"/>
    <n v="198570"/>
    <n v="2020"/>
    <x v="0"/>
  </r>
  <r>
    <n v="1052"/>
    <n v="56"/>
    <n v="4"/>
    <d v="2020-06-19T00:00:00"/>
    <x v="4"/>
    <s v="Tommy Lee (feat. Post Malone)"/>
    <n v="5031845"/>
    <s v="Tyla Yaweh"/>
    <n v="359133"/>
    <s v="cali rap"/>
    <d v="2020-06-12T00:00:00"/>
    <n v="73"/>
    <x v="1"/>
    <n v="0.45700000000000002"/>
    <n v="0.621"/>
    <n v="0.13800000000000001"/>
    <n v="0.218"/>
    <n v="9.4399999999999998E-2"/>
    <n v="0.63400000000000001"/>
    <n v="-5.923"/>
    <n v="224638"/>
    <n v="2020"/>
    <x v="0"/>
  </r>
  <r>
    <n v="821"/>
    <n v="137"/>
    <n v="2"/>
    <d v="2020-10-16T00:00:00"/>
    <x v="2"/>
    <s v="Fake"/>
    <n v="5010179"/>
    <s v="Lauv, Conan Gray"/>
    <n v="4442273"/>
    <s v="dance pop"/>
    <d v="2020-10-13T00:00:00"/>
    <n v="73"/>
    <x v="0"/>
    <n v="0.70299999999999996"/>
    <n v="0.65700000000000003"/>
    <n v="7.8299999999999995E-2"/>
    <n v="0.13900000000000001"/>
    <n v="9.2999999999999999E-2"/>
    <n v="0.45500000000000002"/>
    <n v="-5.3630000000000004"/>
    <n v="146375"/>
    <n v="2020"/>
    <x v="0"/>
  </r>
  <r>
    <n v="915"/>
    <n v="91"/>
    <n v="3"/>
    <d v="2020-08-21T00:00:00"/>
    <x v="2"/>
    <s v="Not Shy"/>
    <n v="4982232"/>
    <s v="ITZY"/>
    <n v="2384076"/>
    <s v="k-pop girl group"/>
    <d v="2020-08-17T00:00:00"/>
    <n v="73"/>
    <x v="0"/>
    <n v="0.77600000000000002"/>
    <n v="0.91100000000000003"/>
    <n v="0.13100000000000001"/>
    <n v="0.155"/>
    <n v="0.26800000000000002"/>
    <n v="0.56000000000000005"/>
    <n v="-3.08"/>
    <n v="177728"/>
    <n v="2020"/>
    <x v="0"/>
  </r>
  <r>
    <n v="985"/>
    <n v="25"/>
    <n v="4"/>
    <d v="2020-07-10T00:00:00"/>
    <x v="4"/>
    <s v="Blood On My Jeans"/>
    <n v="4978899"/>
    <s v="Juice WRLD"/>
    <n v="19102888"/>
    <s v="chicago rap"/>
    <d v="2020-07-10T00:00:00"/>
    <n v="73"/>
    <x v="1"/>
    <n v="0.86799999999999999"/>
    <n v="0.55000000000000004"/>
    <n v="0.22600000000000001"/>
    <n v="0.183"/>
    <n v="0.109"/>
    <n v="0.46400000000000002"/>
    <n v="-6.4169999999999998"/>
    <n v="154767"/>
    <n v="2020"/>
    <x v="0"/>
  </r>
  <r>
    <n v="462"/>
    <n v="140"/>
    <n v="13"/>
    <d v="2021-01-01T00:00:00"/>
    <x v="1"/>
    <s v="Whats Poppin (feat. DaBaby, Tory Lanez &amp; Lil Wayne) [Remix] - Bonus Track"/>
    <n v="4972518"/>
    <s v="Jack Harlow"/>
    <n v="1053324"/>
    <s v="deep underground hip hop"/>
    <d v="2020-12-11T00:00:00"/>
    <n v="73"/>
    <x v="0"/>
    <n v="0.90400000000000003"/>
    <n v="0.72299999999999998"/>
    <n v="0.26"/>
    <n v="6.3100000000000003E-2"/>
    <n v="0.185"/>
    <n v="0.83499999999999996"/>
    <n v="-5.2240000000000002"/>
    <n v="227478"/>
    <n v="2020"/>
    <x v="0"/>
  </r>
  <r>
    <n v="902"/>
    <n v="65"/>
    <n v="8"/>
    <d v="2020-07-31T00:00:00"/>
    <x v="2"/>
    <s v="Nobody's Love"/>
    <n v="4957966"/>
    <s v="Maroon 5"/>
    <n v="32279979"/>
    <s v="pop"/>
    <d v="2021-06-11T00:00:00"/>
    <n v="73"/>
    <x v="1"/>
    <n v="0.48499999999999999"/>
    <n v="0.56699999999999995"/>
    <n v="3.8800000000000001E-2"/>
    <n v="0.316"/>
    <n v="9.4899999999999998E-2"/>
    <n v="0.157"/>
    <n v="-6.4560000000000004"/>
    <n v="211254"/>
    <n v="2021"/>
    <x v="0"/>
  </r>
  <r>
    <n v="1449"/>
    <n v="135"/>
    <n v="6"/>
    <d v="2019-12-27T00:00:00"/>
    <x v="2"/>
    <s v="Talk (feat. Disclosure)"/>
    <n v="4940984"/>
    <s v="Khalid"/>
    <n v="14190858"/>
    <s v="pop"/>
    <d v="2019-04-05T00:00:00"/>
    <n v="73"/>
    <x v="1"/>
    <n v="0.9"/>
    <n v="0.4"/>
    <n v="0.127"/>
    <n v="5.16E-2"/>
    <n v="5.9900000000000002E-2"/>
    <n v="0.34599999999999997"/>
    <n v="-8.5749999999999993"/>
    <n v="197573"/>
    <n v="2019"/>
    <x v="0"/>
  </r>
  <r>
    <n v="1290"/>
    <n v="65"/>
    <n v="12"/>
    <d v="2020-01-24T00:00:00"/>
    <x v="1"/>
    <s v="TOES (feat. Lil Baby &amp; Moneybagg Yo)"/>
    <n v="4878903"/>
    <s v="DaBaby"/>
    <n v="7601122"/>
    <s v="north carolina hip hop"/>
    <d v="2019-09-27T00:00:00"/>
    <n v="73"/>
    <x v="1"/>
    <n v="0.81599999999999995"/>
    <n v="0.58199999999999996"/>
    <n v="0.34100000000000003"/>
    <n v="7.9399999999999998E-2"/>
    <n v="9.1600000000000001E-2"/>
    <n v="0.54200000000000004"/>
    <n v="-4.141"/>
    <n v="136366"/>
    <n v="2019"/>
    <x v="0"/>
  </r>
  <r>
    <n v="585"/>
    <n v="116"/>
    <n v="8"/>
    <d v="2020-11-13T00:00:00"/>
    <x v="2"/>
    <s v="De Cora &lt;3"/>
    <n v="4864544"/>
    <s v="Rauw Alejandro, J Balvin"/>
    <n v="6096559"/>
    <s v="puerto rican pop"/>
    <d v="2020-11-13T00:00:00"/>
    <n v="73"/>
    <x v="0"/>
    <n v="0.81100000000000005"/>
    <n v="0.68300000000000005"/>
    <n v="0.24099999999999999"/>
    <n v="0.46"/>
    <n v="0.128"/>
    <n v="0.57099999999999995"/>
    <n v="-2.028"/>
    <n v="190101"/>
    <n v="2020"/>
    <x v="0"/>
  </r>
  <r>
    <n v="1485"/>
    <n v="182"/>
    <n v="3"/>
    <d v="2020-01-03T00:00:00"/>
    <x v="2"/>
    <s v="Post Malone (feat. RANI)"/>
    <n v="4855270"/>
    <s v="Sam Feldt"/>
    <n v="639516"/>
    <s v="dance pop"/>
    <d v="2019-05-24T00:00:00"/>
    <n v="73"/>
    <x v="0"/>
    <n v="0.59"/>
    <n v="0.64200000000000002"/>
    <n v="0.122"/>
    <n v="7.7100000000000002E-2"/>
    <n v="0.105"/>
    <n v="0.65100000000000002"/>
    <n v="-3.87"/>
    <n v="174444"/>
    <n v="2019"/>
    <x v="0"/>
  </r>
  <r>
    <n v="802"/>
    <n v="29"/>
    <n v="32"/>
    <d v="2020-04-17T00:00:00"/>
    <x v="2"/>
    <s v="Favorito"/>
    <n v="4787127"/>
    <s v="Camilo"/>
    <n v="10580764"/>
    <s v="colombian pop"/>
    <d v="2020-03-26T00:00:00"/>
    <n v="73"/>
    <x v="0"/>
    <n v="0.61099999999999999"/>
    <n v="0.85099999999999998"/>
    <n v="5.9799999999999999E-2"/>
    <n v="0.22900000000000001"/>
    <n v="0.23200000000000001"/>
    <n v="0.82299999999999995"/>
    <n v="-2.9820000000000002"/>
    <n v="211613"/>
    <n v="2020"/>
    <x v="0"/>
  </r>
  <r>
    <n v="1104"/>
    <n v="21"/>
    <n v="15"/>
    <d v="2020-03-06T00:00:00"/>
    <x v="4"/>
    <s v="P2"/>
    <n v="4769996"/>
    <s v="Lil Uzi Vert"/>
    <n v="11821805"/>
    <s v="melodic rap"/>
    <d v="2020-03-06T00:00:00"/>
    <n v="73"/>
    <x v="0"/>
    <n v="0.77500000000000002"/>
    <n v="0.72"/>
    <n v="0.193"/>
    <n v="2.3599999999999999E-2"/>
    <n v="0.114"/>
    <n v="0.49"/>
    <n v="-5.3529999999999998"/>
    <n v="234627"/>
    <n v="2020"/>
    <x v="0"/>
  </r>
  <r>
    <n v="607"/>
    <n v="76"/>
    <n v="8"/>
    <d v="2020-11-06T00:00:00"/>
    <x v="2"/>
    <s v="Fever"/>
    <n v="4769618"/>
    <s v="Dua Lipa, Angèle"/>
    <n v="27167675"/>
    <s v="dance pop"/>
    <d v="2020-10-29T00:00:00"/>
    <n v="73"/>
    <x v="0"/>
    <n v="0.86799999999999999"/>
    <n v="0.69299999999999995"/>
    <n v="0.18099999999999999"/>
    <n v="5.9700000000000003E-2"/>
    <n v="0.106"/>
    <n v="0.39600000000000002"/>
    <n v="-7.0519999999999996"/>
    <n v="156911"/>
    <n v="2020"/>
    <x v="0"/>
  </r>
  <r>
    <n v="987"/>
    <n v="26"/>
    <n v="20"/>
    <d v="2020-03-20T00:00:00"/>
    <x v="3"/>
    <s v="Amarillo"/>
    <n v="4695091"/>
    <s v="J Balvin"/>
    <n v="29067437"/>
    <s v="latin"/>
    <d v="2020-03-19T00:00:00"/>
    <n v="73"/>
    <x v="0"/>
    <n v="0.64100000000000001"/>
    <n v="0.85699999999999998"/>
    <n v="0.30099999999999999"/>
    <n v="1.2999999999999999E-2"/>
    <n v="6.9500000000000006E-2"/>
    <n v="0.96099999999999997"/>
    <n v="-5.7249999999999996"/>
    <n v="157733"/>
    <n v="2020"/>
    <x v="0"/>
  </r>
  <r>
    <n v="1002"/>
    <n v="31"/>
    <n v="20"/>
    <d v="2020-04-10T00:00:00"/>
    <x v="4"/>
    <s v="Skechers"/>
    <n v="4669248"/>
    <s v="DripReport"/>
    <n v="92356"/>
    <s v="viral rap"/>
    <d v="2020-01-12T00:00:00"/>
    <n v="73"/>
    <x v="1"/>
    <n v="0.90300000000000002"/>
    <n v="0.32700000000000001"/>
    <n v="8.77E-2"/>
    <n v="0.26"/>
    <n v="0.108"/>
    <n v="0.27400000000000002"/>
    <n v="-9.7270000000000003"/>
    <n v="106000"/>
    <n v="2020"/>
    <x v="0"/>
  </r>
  <r>
    <n v="912"/>
    <n v="13"/>
    <n v="21"/>
    <d v="2020-05-01T00:00:00"/>
    <x v="2"/>
    <s v="Savage Remix (feat. Beyoncé)"/>
    <n v="4568308"/>
    <s v="Beyoncé, Megan Thee Stallion"/>
    <n v="28335112"/>
    <s v="dance pop"/>
    <d v="2020-04-29T00:00:00"/>
    <n v="73"/>
    <x v="0"/>
    <n v="0.82199999999999995"/>
    <n v="0.74299999999999999"/>
    <n v="0.28000000000000003"/>
    <n v="1.6E-2"/>
    <n v="0.127"/>
    <n v="0.63600000000000001"/>
    <n v="-4.7720000000000002"/>
    <n v="242001"/>
    <n v="2020"/>
    <x v="0"/>
  </r>
  <r>
    <n v="898"/>
    <n v="197"/>
    <n v="1"/>
    <d v="2020-09-18T00:00:00"/>
    <x v="2"/>
    <s v="Who's Laughing Now"/>
    <n v="4526982"/>
    <s v="Ava Max"/>
    <n v="3916979"/>
    <s v="dance pop"/>
    <d v="2020-09-18T00:00:00"/>
    <n v="73"/>
    <x v="0"/>
    <n v="0.64800000000000002"/>
    <n v="0.64100000000000001"/>
    <n v="3.8899999999999997E-2"/>
    <n v="5.6499999999999996E-3"/>
    <n v="0.109"/>
    <n v="0.505"/>
    <n v="-5.5209999999999999"/>
    <n v="180348"/>
    <n v="2020"/>
    <x v="0"/>
  </r>
  <r>
    <n v="935"/>
    <n v="117"/>
    <n v="16"/>
    <d v="2020-06-26T00:00:00"/>
    <x v="3"/>
    <s v="PAM"/>
    <n v="4501441"/>
    <s v="Justin Quiles, Daddy Yankee, El Alfa"/>
    <n v="2897862"/>
    <s v="latin"/>
    <d v="2020-05-01T00:00:00"/>
    <n v="73"/>
    <x v="0"/>
    <n v="0.88900000000000001"/>
    <n v="0.86299999999999999"/>
    <n v="7.5700000000000003E-2"/>
    <n v="0.28899999999999998"/>
    <n v="7.9799999999999996E-2"/>
    <n v="0.77600000000000002"/>
    <n v="-3.0110000000000001"/>
    <n v="201000"/>
    <n v="2020"/>
    <x v="0"/>
  </r>
  <r>
    <n v="954"/>
    <n v="77"/>
    <n v="14"/>
    <d v="2020-06-26T00:00:00"/>
    <x v="3"/>
    <s v="Rover (feat. DTG)"/>
    <n v="4488631"/>
    <s v="S1mba"/>
    <n v="46992"/>
    <s v="afroswing"/>
    <d v="2020-03-04T00:00:00"/>
    <n v="73"/>
    <x v="1"/>
    <n v="0.61299999999999999"/>
    <n v="0.624"/>
    <n v="0.20599999999999999"/>
    <n v="0.496"/>
    <n v="0.28299999999999997"/>
    <n v="0.80400000000000005"/>
    <n v="-6.66"/>
    <n v="167917"/>
    <n v="2020"/>
    <x v="0"/>
  </r>
  <r>
    <n v="1059"/>
    <n v="158"/>
    <n v="9"/>
    <d v="2020-05-22T00:00:00"/>
    <x v="2"/>
    <s v="El Efecto - Remix"/>
    <n v="4433384"/>
    <s v="Rauw Alejandro, Chencho Corleone, KEVVO, Bryant Myers, Lyanno, Dalex"/>
    <n v="6096559"/>
    <s v="puerto rican pop"/>
    <d v="2019-12-13T00:00:00"/>
    <n v="73"/>
    <x v="0"/>
    <n v="0.77100000000000002"/>
    <n v="0.76900000000000002"/>
    <n v="6.9400000000000003E-2"/>
    <n v="0.18"/>
    <n v="0.34499999999999997"/>
    <n v="0.93100000000000005"/>
    <n v="-3.504"/>
    <n v="289899"/>
    <n v="2019"/>
    <x v="0"/>
  </r>
  <r>
    <n v="946"/>
    <n v="72"/>
    <n v="4"/>
    <d v="2020-06-19T00:00:00"/>
    <x v="2"/>
    <s v="Stay Gold"/>
    <n v="4405338"/>
    <s v="BTS"/>
    <n v="37151476"/>
    <s v="k-pop"/>
    <d v="2020-07-14T00:00:00"/>
    <n v="73"/>
    <x v="0"/>
    <n v="0.72299999999999998"/>
    <n v="0.63400000000000001"/>
    <n v="5.4199999999999998E-2"/>
    <n v="8.9200000000000002E-2"/>
    <n v="7.8700000000000006E-2"/>
    <n v="0.58199999999999996"/>
    <n v="-5.415"/>
    <n v="243267"/>
    <n v="2020"/>
    <x v="0"/>
  </r>
  <r>
    <n v="1240"/>
    <n v="163"/>
    <n v="5"/>
    <d v="2020-04-10T00:00:00"/>
    <x v="1"/>
    <s v="The Take (feat. Chris Brown)"/>
    <n v="4394195"/>
    <s v="Tory Lanez"/>
    <n v="3828418"/>
    <s v="canadian hip hop"/>
    <d v="2019-11-15T00:00:00"/>
    <n v="73"/>
    <x v="1"/>
    <n v="0.46400000000000002"/>
    <n v="0.54700000000000004"/>
    <n v="0.33900000000000002"/>
    <n v="5.11E-2"/>
    <n v="0.155"/>
    <n v="0.42299999999999999"/>
    <n v="-8.1370000000000005"/>
    <n v="221492"/>
    <n v="2019"/>
    <x v="0"/>
  </r>
  <r>
    <n v="1250"/>
    <n v="192"/>
    <n v="3"/>
    <d v="2020-03-27T00:00:00"/>
    <x v="2"/>
    <s v="Cradles"/>
    <n v="4218201"/>
    <s v="Sub Urban"/>
    <n v="908351"/>
    <s v="modern indie pop"/>
    <d v="2019-01-04T00:00:00"/>
    <n v="73"/>
    <x v="1"/>
    <n v="0.53400000000000003"/>
    <n v="0.58899999999999997"/>
    <n v="0.32500000000000001"/>
    <n v="0.25600000000000001"/>
    <n v="0.17599999999999999"/>
    <n v="0.63200000000000001"/>
    <n v="-1.865"/>
    <n v="209829"/>
    <n v="2019"/>
    <x v="0"/>
  </r>
  <r>
    <n v="360"/>
    <n v="30"/>
    <n v="1"/>
    <d v="2021-05-14T00:00:00"/>
    <x v="1"/>
    <s v="1 0 0 . m i l ‘ (with Bas)"/>
    <n v="15171655"/>
    <s v="J. Cole"/>
    <n v="14097410"/>
    <s v="conscious hip hop"/>
    <d v="2021-05-14T00:00:00"/>
    <n v="72"/>
    <x v="0"/>
    <n v="0.71099999999999997"/>
    <n v="0.64700000000000002"/>
    <n v="8.2199999999999995E-2"/>
    <n v="0.33400000000000002"/>
    <n v="0.312"/>
    <n v="0.22700000000000001"/>
    <n v="-5.6669999999999998"/>
    <n v="163302"/>
    <n v="2021"/>
    <x v="0"/>
  </r>
  <r>
    <n v="734"/>
    <n v="63"/>
    <n v="1"/>
    <d v="2020-11-27T00:00:00"/>
    <x v="3"/>
    <s v="120"/>
    <n v="10957181"/>
    <s v="Bad Bunny"/>
    <n v="36177712"/>
    <s v="latin"/>
    <d v="2020-11-27T00:00:00"/>
    <n v="72"/>
    <x v="0"/>
    <n v="0.63600000000000001"/>
    <n v="0.65600000000000003"/>
    <n v="6.7599999999999993E-2"/>
    <n v="0.45100000000000001"/>
    <n v="0.28699999999999998"/>
    <n v="0.439"/>
    <n v="-5.5419999999999998"/>
    <n v="151506"/>
    <n v="2020"/>
    <x v="0"/>
  </r>
  <r>
    <n v="1381"/>
    <n v="54"/>
    <n v="1"/>
    <d v="2020-02-21T00:00:00"/>
    <x v="2"/>
    <s v="Louder than bombs"/>
    <n v="10016907"/>
    <s v="BTS"/>
    <n v="37151476"/>
    <s v="k-pop"/>
    <d v="2020-02-21T00:00:00"/>
    <n v="72"/>
    <x v="0"/>
    <n v="0.64300000000000002"/>
    <n v="0.66700000000000004"/>
    <n v="0.152"/>
    <n v="4.3299999999999998E-2"/>
    <n v="9.0399999999999994E-2"/>
    <n v="0.48499999999999999"/>
    <n v="-6.9930000000000003"/>
    <n v="217404"/>
    <n v="2020"/>
    <x v="0"/>
  </r>
  <r>
    <n v="1382"/>
    <n v="56"/>
    <n v="1"/>
    <d v="2020-02-21T00:00:00"/>
    <x v="2"/>
    <s v="UGH!"/>
    <n v="9991177"/>
    <s v="BTS"/>
    <n v="37151476"/>
    <s v="k-pop"/>
    <d v="2020-02-21T00:00:00"/>
    <n v="72"/>
    <x v="0"/>
    <n v="0.72"/>
    <n v="0.82399999999999995"/>
    <n v="0.128"/>
    <n v="3.9399999999999998E-2"/>
    <n v="5.0900000000000001E-2"/>
    <n v="0.33300000000000002"/>
    <n v="-5.0860000000000003"/>
    <n v="225012"/>
    <n v="2020"/>
    <x v="0"/>
  </r>
  <r>
    <n v="1383"/>
    <n v="67"/>
    <n v="1"/>
    <d v="2020-02-21T00:00:00"/>
    <x v="2"/>
    <s v="00:00 (Zero O’Clock)"/>
    <n v="9372219"/>
    <s v="BTS"/>
    <n v="37151476"/>
    <s v="k-pop"/>
    <d v="2020-02-21T00:00:00"/>
    <n v="72"/>
    <x v="1"/>
    <n v="0.56599999999999995"/>
    <n v="0.54800000000000004"/>
    <n v="5.79E-2"/>
    <n v="8.0199999999999994E-2"/>
    <n v="0.11"/>
    <n v="0.19600000000000001"/>
    <n v="-6.4560000000000004"/>
    <n v="250296"/>
    <n v="2020"/>
    <x v="0"/>
  </r>
  <r>
    <n v="1384"/>
    <n v="74"/>
    <n v="1"/>
    <d v="2020-02-21T00:00:00"/>
    <x v="2"/>
    <s v="Friends"/>
    <n v="8822365"/>
    <s v="BTS"/>
    <n v="37151476"/>
    <s v="k-pop"/>
    <d v="2020-02-21T00:00:00"/>
    <n v="72"/>
    <x v="0"/>
    <n v="0.55000000000000004"/>
    <n v="0.747"/>
    <n v="4.07E-2"/>
    <n v="6.6799999999999998E-2"/>
    <n v="5.3600000000000002E-2"/>
    <n v="0.64800000000000002"/>
    <n v="-5.2110000000000003"/>
    <n v="199339"/>
    <n v="2020"/>
    <x v="0"/>
  </r>
  <r>
    <n v="1385"/>
    <n v="75"/>
    <n v="1"/>
    <d v="2020-02-21T00:00:00"/>
    <x v="2"/>
    <s v="We are Bulletproof : the Eternal"/>
    <n v="8516710"/>
    <s v="BTS"/>
    <n v="37151476"/>
    <s v="k-pop"/>
    <d v="2020-02-21T00:00:00"/>
    <n v="72"/>
    <x v="1"/>
    <n v="0.52600000000000002"/>
    <n v="0.57499999999999996"/>
    <n v="3.09E-2"/>
    <n v="0.22500000000000001"/>
    <n v="0.108"/>
    <n v="0.19"/>
    <n v="-5.2149999999999999"/>
    <n v="261543"/>
    <n v="2020"/>
    <x v="0"/>
  </r>
  <r>
    <n v="1387"/>
    <n v="84"/>
    <n v="1"/>
    <d v="2020-02-21T00:00:00"/>
    <x v="2"/>
    <s v="Moon"/>
    <n v="7850129"/>
    <s v="BTS"/>
    <n v="37151476"/>
    <s v="k-pop"/>
    <d v="2020-02-21T00:00:00"/>
    <n v="72"/>
    <x v="0"/>
    <n v="0.70299999999999996"/>
    <n v="0.64600000000000002"/>
    <n v="5.96E-2"/>
    <n v="1.04E-2"/>
    <n v="0.191"/>
    <n v="0.64"/>
    <n v="-6.6580000000000004"/>
    <n v="208590"/>
    <n v="2020"/>
    <x v="0"/>
  </r>
  <r>
    <n v="433"/>
    <n v="84"/>
    <n v="1"/>
    <d v="2021-04-09T00:00:00"/>
    <x v="2"/>
    <s v="The Way I Loved You (Taylor’s Version)"/>
    <n v="7736262"/>
    <s v="Taylor Swift"/>
    <n v="42227614"/>
    <s v="pop"/>
    <d v="2021-04-09T00:00:00"/>
    <n v="72"/>
    <x v="0"/>
    <n v="0.40200000000000002"/>
    <n v="0.73199999999999998"/>
    <n v="4.8399999999999999E-2"/>
    <n v="3.3E-3"/>
    <n v="0.108"/>
    <n v="0.47199999999999998"/>
    <n v="-4.665"/>
    <n v="243137"/>
    <n v="2021"/>
    <x v="0"/>
  </r>
  <r>
    <n v="518"/>
    <n v="74"/>
    <n v="1"/>
    <d v="2021-02-26T00:00:00"/>
    <x v="4"/>
    <s v="Only Wanna Be With You - Pokémon 25 Version"/>
    <n v="7464020"/>
    <s v="Post Malone"/>
    <n v="33663701"/>
    <s v="dfw rap"/>
    <d v="2021-02-25T00:00:00"/>
    <n v="72"/>
    <x v="0"/>
    <n v="0.47"/>
    <n v="0.70899999999999996"/>
    <n v="2.9899999999999999E-2"/>
    <n v="1.24E-3"/>
    <n v="0.30199999999999999"/>
    <n v="0.247"/>
    <n v="-4.5629999999999997"/>
    <n v="241360"/>
    <n v="2021"/>
    <x v="0"/>
  </r>
  <r>
    <n v="342"/>
    <n v="106"/>
    <n v="1"/>
    <d v="2021-05-21T00:00:00"/>
    <x v="3"/>
    <s v="Voilà"/>
    <n v="6935400"/>
    <s v="Barbara Pravi"/>
    <n v="75496"/>
    <s v="eurovision"/>
    <d v="2020-11-06T00:00:00"/>
    <n v="72"/>
    <x v="1"/>
    <n v="0.44700000000000001"/>
    <n v="0.33700000000000002"/>
    <n v="6.3100000000000003E-2"/>
    <n v="0.77300000000000002"/>
    <n v="0.29799999999999999"/>
    <n v="0.60299999999999998"/>
    <n v="-8.6649999999999991"/>
    <n v="176816"/>
    <n v="2020"/>
    <x v="0"/>
  </r>
  <r>
    <n v="867"/>
    <n v="99"/>
    <n v="2"/>
    <d v="2020-09-25T00:00:00"/>
    <x v="3"/>
    <s v="Daylight"/>
    <n v="6819838"/>
    <s v="Joji, Diplo"/>
    <n v="4759367"/>
    <s v="alternative r&amp;b"/>
    <d v="2020-08-06T00:00:00"/>
    <n v="72"/>
    <x v="0"/>
    <n v="0.52800000000000002"/>
    <n v="0.749"/>
    <n v="4.7899999999999998E-2"/>
    <n v="4.8799999999999998E-3"/>
    <n v="9.4899999999999998E-2"/>
    <n v="0.72899999999999998"/>
    <n v="-7.5709999999999997"/>
    <n v="163906"/>
    <n v="2020"/>
    <x v="0"/>
  </r>
  <r>
    <n v="107"/>
    <n v="3"/>
    <n v="83"/>
    <d v="2020-06-19T00:00:00"/>
    <x v="4"/>
    <s v="Roses - Imanbek Remix"/>
    <n v="6653690"/>
    <s v="SAINt JHN"/>
    <n v="742692"/>
    <s v="melodic rap"/>
    <d v="2020-11-20T00:00:00"/>
    <n v="72"/>
    <x v="0"/>
    <n v="0.76900000000000002"/>
    <n v="0.71899999999999997"/>
    <n v="4.7399999999999998E-2"/>
    <n v="1.43E-2"/>
    <n v="0.35899999999999999"/>
    <n v="0.86299999999999999"/>
    <n v="-5.4720000000000004"/>
    <n v="176867"/>
    <n v="2020"/>
    <x v="0"/>
  </r>
  <r>
    <n v="347"/>
    <n v="134"/>
    <n v="1"/>
    <d v="2021-05-21T00:00:00"/>
    <x v="3"/>
    <s v="Dark Side"/>
    <n v="6277641"/>
    <s v="Blind Channel"/>
    <n v="121225"/>
    <s v="eurovision"/>
    <d v="2021-01-21T00:00:00"/>
    <n v="72"/>
    <x v="0"/>
    <n v="0.57099999999999995"/>
    <n v="0.95499999999999996"/>
    <n v="0.105"/>
    <n v="2.5400000000000002E-3"/>
    <n v="0.27400000000000002"/>
    <n v="0.437"/>
    <n v="-3.7949999999999999"/>
    <n v="177790"/>
    <n v="2021"/>
    <x v="0"/>
  </r>
  <r>
    <n v="1007"/>
    <n v="43"/>
    <n v="2"/>
    <d v="2020-07-10T00:00:00"/>
    <x v="4"/>
    <s v="Up Up And Away"/>
    <n v="6229316"/>
    <s v="Juice WRLD"/>
    <n v="19102888"/>
    <s v="chicago rap"/>
    <d v="2020-07-10T00:00:00"/>
    <n v="72"/>
    <x v="0"/>
    <n v="0.66100000000000003"/>
    <n v="0.66500000000000004"/>
    <n v="5.2999999999999999E-2"/>
    <n v="0.53800000000000003"/>
    <n v="9.8100000000000007E-2"/>
    <n v="0.48599999999999999"/>
    <n v="-6.3559999999999999"/>
    <n v="147548"/>
    <n v="2020"/>
    <x v="0"/>
  </r>
  <r>
    <n v="439"/>
    <n v="139"/>
    <n v="1"/>
    <d v="2021-04-09T00:00:00"/>
    <x v="1"/>
    <s v="Ruff Ryders' Anthem"/>
    <n v="5988511"/>
    <s v="DMX"/>
    <n v="2815928"/>
    <s v="east coast hip hop"/>
    <d v="1998-05-01T00:00:00"/>
    <n v="72"/>
    <x v="1"/>
    <n v="0.88"/>
    <n v="0.57699999999999996"/>
    <n v="0.30199999999999999"/>
    <n v="5.6399999999999999E-2"/>
    <n v="0.20100000000000001"/>
    <n v="0.74"/>
    <n v="-8.093"/>
    <n v="214440"/>
    <n v="1998"/>
    <x v="0"/>
  </r>
  <r>
    <n v="406"/>
    <n v="9"/>
    <n v="6"/>
    <d v="2021-03-19T00:00:00"/>
    <x v="2"/>
    <s v="As I Am (feat. Khalid)"/>
    <n v="5896065"/>
    <s v="Justin Bieber"/>
    <n v="48544923"/>
    <s v="canadian pop"/>
    <d v="2021-03-19T00:00:00"/>
    <n v="72"/>
    <x v="1"/>
    <n v="0.59499999999999997"/>
    <n v="0.54300000000000004"/>
    <n v="3.7999999999999999E-2"/>
    <n v="0.127"/>
    <n v="9.7500000000000003E-2"/>
    <n v="0.109"/>
    <n v="-8.1489999999999991"/>
    <n v="174406"/>
    <n v="2021"/>
    <x v="0"/>
  </r>
  <r>
    <n v="595"/>
    <n v="67"/>
    <n v="13"/>
    <d v="2020-11-13T00:00:00"/>
    <x v="3"/>
    <s v="Deep End"/>
    <n v="5622565"/>
    <s v="Fousheé"/>
    <n v="411262"/>
    <s v="brooklyn drill"/>
    <d v="2020-06-05T00:00:00"/>
    <n v="72"/>
    <x v="1"/>
    <n v="0.86799999999999999"/>
    <n v="0.47899999999999998"/>
    <n v="0.44500000000000001"/>
    <n v="0.70299999999999996"/>
    <n v="0.10199999999999999"/>
    <n v="0.77600000000000002"/>
    <n v="-6.6870000000000003"/>
    <n v="115200"/>
    <n v="2020"/>
    <x v="0"/>
  </r>
  <r>
    <n v="1364"/>
    <n v="139"/>
    <n v="9"/>
    <d v="2020-01-10T00:00:00"/>
    <x v="3"/>
    <s v="Infeliz"/>
    <n v="5490386"/>
    <s v="Arcangel, Bad Bunny"/>
    <n v="6671084"/>
    <s v="latin"/>
    <d v="2019-12-20T00:00:00"/>
    <n v="72"/>
    <x v="0"/>
    <n v="0.71299999999999997"/>
    <n v="0.79800000000000004"/>
    <n v="0.219"/>
    <n v="0.36599999999999999"/>
    <n v="0.246"/>
    <n v="0.72099999999999997"/>
    <n v="-3.1469999999999998"/>
    <n v="221103"/>
    <n v="2019"/>
    <x v="0"/>
  </r>
  <r>
    <n v="305"/>
    <n v="166"/>
    <n v="1"/>
    <d v="2021-06-11T00:00:00"/>
    <x v="1"/>
    <s v="Malibu (feat. Polo G)"/>
    <n v="5456648"/>
    <s v="Migos"/>
    <n v="11690201"/>
    <s v="atl hip hop"/>
    <d v="2021-06-11T00:00:00"/>
    <n v="72"/>
    <x v="0"/>
    <n v="0.83099999999999996"/>
    <n v="0.71899999999999997"/>
    <n v="0.23499999999999999"/>
    <n v="0.51400000000000001"/>
    <n v="6.7500000000000004E-2"/>
    <n v="0.85899999999999999"/>
    <n v="-6.8360000000000003"/>
    <n v="248652"/>
    <n v="2021"/>
    <x v="0"/>
  </r>
  <r>
    <n v="1365"/>
    <n v="60"/>
    <n v="10"/>
    <d v="2019-12-27T00:00:00"/>
    <x v="3"/>
    <s v="Que Tire Pa Lante"/>
    <n v="5436773"/>
    <s v="Daddy Yankee"/>
    <n v="23936368"/>
    <s v="latin"/>
    <d v="2019-10-18T00:00:00"/>
    <n v="72"/>
    <x v="0"/>
    <n v="0.65800000000000003"/>
    <n v="0.90100000000000002"/>
    <n v="3.5700000000000003E-2"/>
    <n v="4.7800000000000002E-2"/>
    <n v="0.12"/>
    <n v="0.70799999999999996"/>
    <n v="-2.8140000000000001"/>
    <n v="210520"/>
    <n v="2019"/>
    <x v="0"/>
  </r>
  <r>
    <n v="1347"/>
    <n v="105"/>
    <n v="6"/>
    <d v="2020-02-14T00:00:00"/>
    <x v="4"/>
    <s v="Girl"/>
    <n v="5434180"/>
    <s v="Myke Towers"/>
    <n v="6161098"/>
    <s v="trap latino"/>
    <d v="2020-01-24T00:00:00"/>
    <n v="72"/>
    <x v="0"/>
    <n v="0.73299999999999998"/>
    <n v="0.70799999999999996"/>
    <n v="9.3700000000000006E-2"/>
    <n v="3.2500000000000001E-2"/>
    <n v="0.32400000000000001"/>
    <n v="0.69399999999999995"/>
    <n v="-4.9569999999999999"/>
    <n v="186427"/>
    <n v="2020"/>
    <x v="0"/>
  </r>
  <r>
    <n v="508"/>
    <n v="166"/>
    <n v="1"/>
    <d v="2021-03-05T00:00:00"/>
    <x v="4"/>
    <s v="Life's A Mess II (with Clever &amp; Post Malone)"/>
    <n v="5393459"/>
    <s v="Juice WRLD"/>
    <n v="19102888"/>
    <s v="chicago rap"/>
    <d v="2021-03-05T00:00:00"/>
    <n v="72"/>
    <x v="1"/>
    <n v="0.53"/>
    <n v="0.37"/>
    <n v="2.7900000000000001E-2"/>
    <n v="0.80600000000000005"/>
    <n v="0.112"/>
    <n v="0.70099999999999996"/>
    <n v="-9.9890000000000008"/>
    <n v="206734"/>
    <n v="2021"/>
    <x v="0"/>
  </r>
  <r>
    <n v="727"/>
    <n v="180"/>
    <n v="2"/>
    <d v="2020-11-27T00:00:00"/>
    <x v="3"/>
    <s v="Jenny (I Wanna Ruin Our Friendship)"/>
    <n v="5364223"/>
    <s v="Studio Killers"/>
    <n v="181236"/>
    <m/>
    <d v="2020-12-04T00:00:00"/>
    <n v="72"/>
    <x v="0"/>
    <n v="0.66800000000000004"/>
    <n v="0.79800000000000004"/>
    <n v="3.3399999999999999E-2"/>
    <n v="3.0500000000000002E-3"/>
    <n v="0.27700000000000002"/>
    <n v="0.57499999999999996"/>
    <n v="-5.7009999999999996"/>
    <n v="215280"/>
    <n v="2020"/>
    <x v="0"/>
  </r>
  <r>
    <n v="1051"/>
    <n v="72"/>
    <n v="8"/>
    <d v="2020-06-05T00:00:00"/>
    <x v="3"/>
    <s v="Deep End Freestyle"/>
    <n v="5280810"/>
    <s v="Sleepy Hallow, Fousheé"/>
    <n v="411262"/>
    <s v="brooklyn drill"/>
    <d v="2020-06-05T00:00:00"/>
    <n v="72"/>
    <x v="1"/>
    <n v="0.86799999999999999"/>
    <n v="0.47899999999999998"/>
    <n v="0.44500000000000001"/>
    <n v="0.70299999999999996"/>
    <n v="0.10199999999999999"/>
    <n v="0.77600000000000002"/>
    <n v="-6.6870000000000003"/>
    <n v="115200"/>
    <n v="2020"/>
    <x v="0"/>
  </r>
  <r>
    <n v="1368"/>
    <n v="58"/>
    <n v="10"/>
    <d v="2020-01-03T00:00:00"/>
    <x v="3"/>
    <s v="Own It (feat. Ed Sheeran &amp; Burna Boy)"/>
    <n v="5273046"/>
    <s v="Stormzy"/>
    <n v="2317758"/>
    <s v="grime"/>
    <d v="2019-12-13T00:00:00"/>
    <n v="72"/>
    <x v="0"/>
    <n v="0.81699999999999995"/>
    <n v="0.78100000000000003"/>
    <n v="0.112"/>
    <n v="8.3800000000000003E-3"/>
    <n v="0.123"/>
    <n v="0.35899999999999999"/>
    <n v="-4.1779999999999999"/>
    <n v="216707"/>
    <n v="2019"/>
    <x v="0"/>
  </r>
  <r>
    <n v="511"/>
    <n v="175"/>
    <n v="1"/>
    <d v="2021-03-05T00:00:00"/>
    <x v="1"/>
    <s v="Mona Lisa"/>
    <n v="5208787"/>
    <s v="Booba, JSX"/>
    <n v="2161609"/>
    <s v="french hip hop"/>
    <d v="2021-03-04T00:00:00"/>
    <n v="72"/>
    <x v="1"/>
    <n v="0.78400000000000003"/>
    <n v="0.52900000000000003"/>
    <n v="7.4200000000000002E-2"/>
    <n v="0.68300000000000005"/>
    <n v="0.11799999999999999"/>
    <n v="0.246"/>
    <n v="-7.681"/>
    <n v="187362"/>
    <n v="2021"/>
    <x v="0"/>
  </r>
  <r>
    <n v="753"/>
    <n v="36"/>
    <n v="22"/>
    <d v="2020-08-07T00:00:00"/>
    <x v="3"/>
    <s v="Djadja (feat. Maluma) - Remix"/>
    <n v="5203423"/>
    <s v="Aya Nakamura"/>
    <n v="2953525"/>
    <s v="basshall"/>
    <d v="2020-06-12T00:00:00"/>
    <n v="72"/>
    <x v="0"/>
    <n v="0.79100000000000004"/>
    <n v="0.68200000000000005"/>
    <n v="0.158"/>
    <n v="0.17499999999999999"/>
    <n v="9.2600000000000002E-2"/>
    <n v="0.67200000000000004"/>
    <n v="-7.3280000000000003"/>
    <n v="166851"/>
    <n v="2020"/>
    <x v="0"/>
  </r>
  <r>
    <n v="402"/>
    <n v="33"/>
    <n v="5"/>
    <d v="2021-04-02T00:00:00"/>
    <x v="2"/>
    <s v="Met Him Last Night (feat. Ariana Grande)"/>
    <n v="5200695"/>
    <s v="Demi Lovato"/>
    <n v="20331923"/>
    <s v="dance pop"/>
    <d v="2021-04-02T00:00:00"/>
    <n v="72"/>
    <x v="1"/>
    <n v="0.53800000000000003"/>
    <n v="0.51200000000000001"/>
    <n v="2.6200000000000001E-2"/>
    <n v="0.22"/>
    <n v="0.10100000000000001"/>
    <n v="0.12"/>
    <n v="-4.548"/>
    <n v="204632"/>
    <n v="2021"/>
    <x v="0"/>
  </r>
  <r>
    <n v="652"/>
    <n v="166"/>
    <n v="11"/>
    <d v="2020-10-23T00:00:00"/>
    <x v="3"/>
    <s v="Investe Em Mim"/>
    <n v="5191001"/>
    <s v="Jonas Esticado"/>
    <n v="1293055"/>
    <s v="forro"/>
    <d v="2019-12-13T00:00:00"/>
    <n v="72"/>
    <x v="0"/>
    <n v="0.63200000000000001"/>
    <n v="0.95299999999999996"/>
    <n v="3.2500000000000001E-2"/>
    <n v="0.317"/>
    <n v="0.125"/>
    <n v="0.79800000000000004"/>
    <n v="-1.2829999999999999"/>
    <n v="186533"/>
    <n v="2019"/>
    <x v="0"/>
  </r>
  <r>
    <n v="775"/>
    <n v="144"/>
    <n v="4"/>
    <d v="2020-10-23T00:00:00"/>
    <x v="2"/>
    <s v="Blueberry Eyes (feat. SUGA of BTS)"/>
    <n v="5158896"/>
    <s v="MAX"/>
    <n v="689627"/>
    <s v="dance pop"/>
    <d v="2020-09-15T00:00:00"/>
    <n v="72"/>
    <x v="1"/>
    <n v="0.746"/>
    <n v="0.61099999999999999"/>
    <n v="0.10100000000000001"/>
    <n v="0.45400000000000001"/>
    <n v="0.13300000000000001"/>
    <n v="0.41099999999999998"/>
    <n v="-7.0339999999999998"/>
    <n v="172245"/>
    <n v="2020"/>
    <x v="0"/>
  </r>
  <r>
    <n v="653"/>
    <n v="197"/>
    <n v="1"/>
    <d v="2020-12-25T00:00:00"/>
    <x v="3"/>
    <s v="Lance Individual"/>
    <n v="5152906"/>
    <s v="Jorge &amp; Mateus"/>
    <n v="15019109"/>
    <s v="sertanejo"/>
    <d v="2020-11-13T00:00:00"/>
    <n v="72"/>
    <x v="1"/>
    <n v="0.752"/>
    <n v="0.62"/>
    <n v="5.0900000000000001E-2"/>
    <n v="0.309"/>
    <n v="7.4999999999999997E-2"/>
    <n v="0.96199999999999997"/>
    <n v="-5.5359999999999996"/>
    <n v="164459"/>
    <n v="2020"/>
    <x v="0"/>
  </r>
  <r>
    <n v="358"/>
    <n v="127"/>
    <n v="2"/>
    <d v="2021-04-30T00:00:00"/>
    <x v="0"/>
    <s v="Choker"/>
    <n v="5150176"/>
    <s v="Twenty One Pilots"/>
    <n v="20823062"/>
    <s v="modern rock"/>
    <d v="2021-05-21T00:00:00"/>
    <n v="72"/>
    <x v="0"/>
    <n v="0.7"/>
    <n v="0.66400000000000003"/>
    <n v="3.9399999999999998E-2"/>
    <n v="0.30599999999999999"/>
    <n v="0.249"/>
    <n v="0.58499999999999996"/>
    <n v="-8.2110000000000003"/>
    <n v="223066"/>
    <n v="2021"/>
    <x v="0"/>
  </r>
  <r>
    <n v="1440"/>
    <n v="161"/>
    <n v="7"/>
    <d v="2020-01-31T00:00:00"/>
    <x v="3"/>
    <s v="DJ No Pare (feat. Zion, Dalex, Lenny Tavárez) - Remix"/>
    <n v="5148516"/>
    <s v="Justin Quiles, Natti Natasha, Farruko"/>
    <n v="2897862"/>
    <s v="latin"/>
    <d v="2019-09-06T00:00:00"/>
    <n v="72"/>
    <x v="0"/>
    <n v="0.74299999999999999"/>
    <n v="0.70899999999999996"/>
    <n v="8.7900000000000006E-2"/>
    <n v="4.5100000000000001E-2"/>
    <n v="8.09E-2"/>
    <n v="0.83099999999999996"/>
    <n v="-3.9220000000000002"/>
    <n v="258600"/>
    <n v="2019"/>
    <x v="0"/>
  </r>
  <r>
    <n v="314"/>
    <n v="195"/>
    <n v="1"/>
    <d v="2021-06-11T00:00:00"/>
    <x v="4"/>
    <s v="Painting Pictures"/>
    <n v="5119845"/>
    <s v="Polo G"/>
    <n v="4840346"/>
    <s v="chicago rap"/>
    <d v="2021-06-11T00:00:00"/>
    <n v="72"/>
    <x v="1"/>
    <n v="0.52200000000000002"/>
    <n v="0.46600000000000003"/>
    <n v="0.45800000000000002"/>
    <n v="0.33100000000000002"/>
    <n v="0.11"/>
    <n v="0.45900000000000002"/>
    <n v="-8.0500000000000007"/>
    <n v="137692"/>
    <n v="2021"/>
    <x v="0"/>
  </r>
  <r>
    <n v="833"/>
    <n v="89"/>
    <n v="9"/>
    <d v="2020-09-11T00:00:00"/>
    <x v="1"/>
    <s v="Bande organisée"/>
    <n v="5112572"/>
    <s v="13 Organisé, SCH, Kofs, Jul, Naps, Soso Maness, Elams, Solda, Houari"/>
    <n v="249910"/>
    <s v="french hip hop"/>
    <d v="2020-08-15T00:00:00"/>
    <n v="72"/>
    <x v="0"/>
    <n v="0.90100000000000002"/>
    <n v="0.93899999999999995"/>
    <n v="0.27400000000000002"/>
    <n v="0.11700000000000001"/>
    <n v="6.4299999999999996E-2"/>
    <n v="0.80500000000000005"/>
    <n v="-2.762"/>
    <n v="356347"/>
    <n v="2020"/>
    <x v="0"/>
  </r>
  <r>
    <n v="1356"/>
    <n v="69"/>
    <n v="7"/>
    <d v="2020-01-03T00:00:00"/>
    <x v="2"/>
    <s v="Mean It"/>
    <n v="5110064"/>
    <s v="Lauv, LANY"/>
    <n v="4442273"/>
    <s v="dance pop"/>
    <d v="2020-03-06T00:00:00"/>
    <n v="72"/>
    <x v="1"/>
    <n v="0.746"/>
    <n v="0.45"/>
    <n v="8.72E-2"/>
    <n v="4.07E-2"/>
    <n v="0.17199999999999999"/>
    <n v="0.33600000000000002"/>
    <n v="-8.5429999999999993"/>
    <n v="232853"/>
    <n v="2020"/>
    <x v="0"/>
  </r>
  <r>
    <n v="565"/>
    <n v="162"/>
    <n v="3"/>
    <d v="2021-01-29T00:00:00"/>
    <x v="1"/>
    <s v="Mds"/>
    <n v="5046418"/>
    <s v="Kawe, Mc Lele JP"/>
    <n v="444736"/>
    <s v="brazilian hip hop"/>
    <d v="2020-05-19T00:00:00"/>
    <n v="72"/>
    <x v="1"/>
    <n v="0.88500000000000001"/>
    <n v="0.56100000000000005"/>
    <n v="0.249"/>
    <n v="0.26100000000000001"/>
    <n v="0.121"/>
    <n v="0.64400000000000002"/>
    <n v="-5.3310000000000004"/>
    <n v="125143"/>
    <n v="2020"/>
    <x v="0"/>
  </r>
  <r>
    <n v="796"/>
    <n v="85"/>
    <n v="12"/>
    <d v="2020-09-11T00:00:00"/>
    <x v="3"/>
    <s v="Caramelo - Remix"/>
    <n v="5033798"/>
    <s v="Ozuna, KAROL G, Myke Towers"/>
    <n v="29238936"/>
    <s v="latin"/>
    <d v="2020-08-17T00:00:00"/>
    <n v="72"/>
    <x v="0"/>
    <n v="0.754"/>
    <n v="0.79600000000000004"/>
    <n v="0.13900000000000001"/>
    <n v="6.2E-2"/>
    <n v="0.20399999999999999"/>
    <n v="0.62"/>
    <n v="-3.7429999999999999"/>
    <n v="233160"/>
    <n v="2020"/>
    <x v="0"/>
  </r>
  <r>
    <n v="391"/>
    <n v="199"/>
    <n v="1"/>
    <d v="2021-05-07T00:00:00"/>
    <x v="3"/>
    <s v="Paradigmas"/>
    <n v="5018076"/>
    <s v="Jorge &amp; Mateus"/>
    <n v="15013645"/>
    <s v="sertanejo"/>
    <d v="2021-04-22T00:00:00"/>
    <n v="72"/>
    <x v="0"/>
    <n v="0.68600000000000005"/>
    <n v="0.78900000000000003"/>
    <n v="0.126"/>
    <n v="0.32200000000000001"/>
    <n v="0.4"/>
    <n v="0.82199999999999995"/>
    <n v="-4.1029999999999998"/>
    <n v="157355"/>
    <n v="2021"/>
    <x v="0"/>
  </r>
  <r>
    <n v="1430"/>
    <n v="186"/>
    <n v="2"/>
    <d v="2020-02-07T00:00:00"/>
    <x v="2"/>
    <s v="Too Good At Goodbyes"/>
    <n v="4984764"/>
    <s v="Sam Smith"/>
    <n v="17097317"/>
    <s v="dance pop"/>
    <d v="2017-11-03T00:00:00"/>
    <n v="72"/>
    <x v="1"/>
    <n v="0.68100000000000005"/>
    <n v="0.372"/>
    <n v="4.3200000000000002E-2"/>
    <n v="0.64"/>
    <n v="0.16900000000000001"/>
    <n v="0.47599999999999998"/>
    <n v="-8.2370000000000001"/>
    <n v="201000"/>
    <n v="2017"/>
    <x v="0"/>
  </r>
  <r>
    <n v="582"/>
    <n v="121"/>
    <n v="7"/>
    <d v="2021-01-01T00:00:00"/>
    <x v="1"/>
    <s v="Way Out (feat. Big Sean)"/>
    <n v="4962949"/>
    <s v="Jack Harlow"/>
    <n v="1053324"/>
    <s v="deep underground hip hop"/>
    <d v="2020-12-09T00:00:00"/>
    <n v="72"/>
    <x v="1"/>
    <n v="0.94499999999999995"/>
    <n v="0.58199999999999996"/>
    <n v="7.1900000000000006E-2"/>
    <n v="0.114"/>
    <n v="0.10299999999999999"/>
    <n v="0.90700000000000003"/>
    <n v="-8.3569999999999993"/>
    <n v="168906"/>
    <n v="2020"/>
    <x v="0"/>
  </r>
  <r>
    <n v="591"/>
    <n v="191"/>
    <n v="1"/>
    <d v="2021-01-15T00:00:00"/>
    <x v="4"/>
    <s v="Buss It"/>
    <n v="4915403"/>
    <s v="Erica Banks"/>
    <n v="41551"/>
    <s v="trap queen"/>
    <d v="2020-06-19T00:00:00"/>
    <n v="72"/>
    <x v="1"/>
    <n v="0.95599999999999996"/>
    <n v="0.502"/>
    <n v="0.21299999999999999"/>
    <n v="5.9299999999999999E-2"/>
    <n v="0.23799999999999999"/>
    <n v="0.79500000000000004"/>
    <n v="-5.9950000000000001"/>
    <n v="187000"/>
    <n v="2020"/>
    <x v="0"/>
  </r>
  <r>
    <n v="813"/>
    <n v="38"/>
    <n v="7"/>
    <d v="2020-09-18T00:00:00"/>
    <x v="3"/>
    <s v="Me Gusta (with Cardi B &amp; Myke Towers)"/>
    <n v="4914412"/>
    <s v="Anitta"/>
    <n v="10741972"/>
    <s v="funk carioca"/>
    <d v="2020-09-18T00:00:00"/>
    <n v="72"/>
    <x v="1"/>
    <n v="0.91"/>
    <n v="0.60399999999999998"/>
    <n v="8.2000000000000003E-2"/>
    <n v="0.44800000000000001"/>
    <n v="8.6300000000000002E-2"/>
    <n v="0.80700000000000005"/>
    <n v="-4.3920000000000003"/>
    <n v="180788"/>
    <n v="2020"/>
    <x v="0"/>
  </r>
  <r>
    <n v="878"/>
    <n v="24"/>
    <n v="5"/>
    <d v="2020-08-28T00:00:00"/>
    <x v="2"/>
    <s v="Over Now (with The Weeknd)"/>
    <n v="4867620"/>
    <s v="Calvin Harris"/>
    <n v="21946934"/>
    <s v="dance pop"/>
    <d v="2020-08-28T00:00:00"/>
    <n v="72"/>
    <x v="0"/>
    <n v="0.61199999999999999"/>
    <n v="0.88400000000000001"/>
    <n v="4.5400000000000003E-2"/>
    <n v="7.5899999999999995E-2"/>
    <n v="0.247"/>
    <n v="0.67900000000000005"/>
    <n v="-4.1130000000000004"/>
    <n v="210795"/>
    <n v="2020"/>
    <x v="0"/>
  </r>
  <r>
    <n v="880"/>
    <n v="188"/>
    <n v="1"/>
    <d v="2020-09-25T00:00:00"/>
    <x v="1"/>
    <s v="drunk face"/>
    <n v="4834258"/>
    <s v="Machine Gun Kelly"/>
    <n v="3868320"/>
    <s v="ohio hip hop"/>
    <d v="2020-09-25T00:00:00"/>
    <n v="72"/>
    <x v="0"/>
    <n v="0.69099999999999995"/>
    <n v="0.77"/>
    <n v="3.6700000000000003E-2"/>
    <n v="2.8199999999999999E-2"/>
    <n v="0.497"/>
    <n v="0.34399999999999997"/>
    <n v="-4.5780000000000003"/>
    <n v="143901"/>
    <n v="2020"/>
    <x v="0"/>
  </r>
  <r>
    <n v="999"/>
    <n v="35"/>
    <n v="6"/>
    <d v="2020-07-10T00:00:00"/>
    <x v="4"/>
    <s v="Tell Me U Luv Me (with Trippie Redd)"/>
    <n v="4798078"/>
    <s v="Juice WRLD"/>
    <n v="19102888"/>
    <s v="chicago rap"/>
    <d v="2020-07-10T00:00:00"/>
    <n v="72"/>
    <x v="0"/>
    <n v="0.66"/>
    <n v="0.76"/>
    <n v="7.8700000000000006E-2"/>
    <n v="0.29099999999999998"/>
    <n v="0.63200000000000001"/>
    <n v="0.39400000000000002"/>
    <n v="-5.726"/>
    <n v="180129"/>
    <n v="2020"/>
    <x v="0"/>
  </r>
  <r>
    <n v="1470"/>
    <n v="158"/>
    <n v="5"/>
    <d v="2020-01-03T00:00:00"/>
    <x v="1"/>
    <s v="The London (feat. J. Cole &amp; Travis Scott)"/>
    <n v="4791732"/>
    <s v="J. Cole, Young Thug"/>
    <n v="6383275"/>
    <s v="atl hip hop"/>
    <d v="2019-05-23T00:00:00"/>
    <n v="72"/>
    <x v="1"/>
    <n v="0.79600000000000004"/>
    <n v="0.58599999999999997"/>
    <n v="0.14699999999999999"/>
    <n v="2.47E-2"/>
    <n v="0.13200000000000001"/>
    <n v="0.17899999999999999"/>
    <n v="-6.9459999999999997"/>
    <n v="200107"/>
    <n v="2019"/>
    <x v="0"/>
  </r>
  <r>
    <n v="1000"/>
    <n v="27"/>
    <n v="3"/>
    <d v="2020-07-10T00:00:00"/>
    <x v="4"/>
    <s v="Bad Energy"/>
    <n v="4761155"/>
    <s v="Juice WRLD"/>
    <n v="19102888"/>
    <s v="chicago rap"/>
    <d v="2020-07-10T00:00:00"/>
    <n v="72"/>
    <x v="1"/>
    <n v="0.65400000000000003"/>
    <n v="0.45200000000000001"/>
    <n v="4.3900000000000002E-2"/>
    <n v="0.17"/>
    <n v="0.114"/>
    <n v="0.53200000000000003"/>
    <n v="-6.36"/>
    <n v="186749"/>
    <n v="2020"/>
    <x v="0"/>
  </r>
  <r>
    <n v="917"/>
    <n v="152"/>
    <n v="3"/>
    <d v="2020-08-28T00:00:00"/>
    <x v="3"/>
    <s v="ADMV"/>
    <n v="4737291"/>
    <s v="Maluma"/>
    <n v="26784251"/>
    <s v="latin"/>
    <d v="2020-04-23T00:00:00"/>
    <n v="72"/>
    <x v="1"/>
    <n v="0.56499999999999995"/>
    <n v="0.39"/>
    <n v="5.5599999999999997E-2"/>
    <n v="0.81699999999999995"/>
    <n v="0.126"/>
    <n v="0.70799999999999996"/>
    <n v="-4.9589999999999996"/>
    <n v="193700"/>
    <n v="2020"/>
    <x v="0"/>
  </r>
  <r>
    <n v="1255"/>
    <n v="29"/>
    <n v="6"/>
    <d v="2020-02-28T00:00:00"/>
    <x v="3"/>
    <s v="Pero Ya No"/>
    <n v="4666658"/>
    <s v="Bad Bunny"/>
    <n v="36177712"/>
    <s v="latin"/>
    <d v="2020-02-29T00:00:00"/>
    <n v="72"/>
    <x v="1"/>
    <n v="0.88200000000000001"/>
    <n v="0.61199999999999999"/>
    <n v="0.11799999999999999"/>
    <n v="4.7500000000000001E-2"/>
    <n v="0.182"/>
    <n v="0.74199999999999999"/>
    <n v="-6.1029999999999998"/>
    <n v="160638"/>
    <n v="2020"/>
    <x v="0"/>
  </r>
  <r>
    <n v="1024"/>
    <n v="2"/>
    <n v="29"/>
    <d v="2020-01-03T00:00:00"/>
    <x v="2"/>
    <s v="Yummy"/>
    <n v="4599349"/>
    <s v="Justin Bieber"/>
    <n v="48544923"/>
    <s v="canadian pop"/>
    <d v="2020-01-03T00:00:00"/>
    <n v="72"/>
    <x v="1"/>
    <n v="0.68700000000000006"/>
    <n v="0.51400000000000001"/>
    <n v="8.9700000000000002E-2"/>
    <n v="0.36599999999999999"/>
    <n v="0.11600000000000001"/>
    <n v="0.49399999999999999"/>
    <n v="-6.6120000000000001"/>
    <n v="210427"/>
    <n v="2020"/>
    <x v="0"/>
  </r>
  <r>
    <n v="1069"/>
    <n v="166"/>
    <n v="1"/>
    <d v="2020-06-26T00:00:00"/>
    <x v="4"/>
    <s v="Girls in the Hood"/>
    <n v="4577209"/>
    <s v="Megan Thee Stallion"/>
    <n v="4794212"/>
    <s v="houston rap"/>
    <d v="2020-06-26T00:00:00"/>
    <n v="72"/>
    <x v="0"/>
    <n v="0.82099999999999995"/>
    <n v="0.86299999999999999"/>
    <n v="0.35299999999999998"/>
    <n v="8.2400000000000008E-3"/>
    <n v="3.7699999999999997E-2"/>
    <n v="0.874"/>
    <n v="-3.1589999999999998"/>
    <n v="154324"/>
    <n v="2020"/>
    <x v="0"/>
  </r>
  <r>
    <n v="1147"/>
    <n v="99"/>
    <n v="2"/>
    <d v="2020-04-17T00:00:00"/>
    <x v="3"/>
    <s v="Freedom"/>
    <n v="4573723"/>
    <s v="Kygo, Zak Abel"/>
    <n v="7593792"/>
    <s v="edm"/>
    <d v="2020-04-17T00:00:00"/>
    <n v="72"/>
    <x v="0"/>
    <n v="0.71499999999999997"/>
    <n v="0.63500000000000001"/>
    <n v="7.9100000000000004E-2"/>
    <n v="0.127"/>
    <n v="8.6199999999999999E-2"/>
    <n v="0.39"/>
    <n v="-6.5910000000000002"/>
    <n v="198635"/>
    <n v="2020"/>
    <x v="0"/>
  </r>
  <r>
    <n v="1108"/>
    <n v="48"/>
    <n v="6"/>
    <d v="2020-05-08T00:00:00"/>
    <x v="3"/>
    <s v="BYE ME FUI"/>
    <n v="4567732"/>
    <s v="Bad Bunny"/>
    <n v="36177712"/>
    <s v="latin"/>
    <d v="2020-05-10T00:00:00"/>
    <n v="72"/>
    <x v="1"/>
    <n v="0.71199999999999997"/>
    <n v="0.59899999999999998"/>
    <n v="0.112"/>
    <n v="0.41199999999999998"/>
    <n v="0.10299999999999999"/>
    <n v="0.58799999999999997"/>
    <n v="-6.3419999999999996"/>
    <n v="178000"/>
    <n v="2020"/>
    <x v="0"/>
  </r>
  <r>
    <n v="1295"/>
    <n v="130"/>
    <n v="3"/>
    <d v="2020-03-06T00:00:00"/>
    <x v="3"/>
    <s v="B.S. (feat. H.E.R.)"/>
    <n v="4557817"/>
    <s v="Jhené Aiko"/>
    <n v="4720858"/>
    <s v="alternative r&amp;b"/>
    <d v="2020-03-06T00:00:00"/>
    <n v="72"/>
    <x v="1"/>
    <n v="0.61699999999999999"/>
    <n v="0.52500000000000002"/>
    <n v="0.12"/>
    <n v="0.55400000000000005"/>
    <n v="0.13500000000000001"/>
    <n v="0.377"/>
    <n v="-10.426"/>
    <n v="212867"/>
    <n v="2020"/>
    <x v="0"/>
  </r>
  <r>
    <n v="1042"/>
    <n v="79"/>
    <n v="2"/>
    <d v="2020-07-03T00:00:00"/>
    <x v="3"/>
    <s v="Something Special"/>
    <n v="4535580"/>
    <s v="Pop Smoke"/>
    <n v="6852509"/>
    <s v="brooklyn drill"/>
    <d v="2020-07-03T00:00:00"/>
    <n v="72"/>
    <x v="1"/>
    <n v="0.73899999999999999"/>
    <n v="0.61599999999999999"/>
    <n v="3.3799999999999997E-2"/>
    <n v="0.252"/>
    <n v="0.10100000000000001"/>
    <n v="0.65400000000000003"/>
    <n v="-6.9630000000000001"/>
    <n v="158466"/>
    <n v="2020"/>
    <x v="0"/>
  </r>
  <r>
    <n v="1296"/>
    <n v="45"/>
    <n v="4"/>
    <d v="2020-02-28T00:00:00"/>
    <x v="3"/>
    <s v="Soliá"/>
    <n v="4516243"/>
    <s v="Bad Bunny"/>
    <n v="36177712"/>
    <s v="latin"/>
    <d v="2020-02-29T00:00:00"/>
    <n v="72"/>
    <x v="0"/>
    <n v="0.71"/>
    <n v="0.81"/>
    <n v="8.5400000000000004E-2"/>
    <n v="0.11700000000000001"/>
    <n v="0.154"/>
    <n v="0.184"/>
    <n v="-5.5069999999999997"/>
    <n v="159282"/>
    <n v="2020"/>
    <x v="0"/>
  </r>
  <r>
    <n v="956"/>
    <n v="55"/>
    <n v="4"/>
    <d v="2020-03-27T00:00:00"/>
    <x v="2"/>
    <s v="Hallucinate"/>
    <n v="4472669"/>
    <s v="Dua Lipa"/>
    <n v="27167675"/>
    <s v="dance pop"/>
    <d v="2020-03-27T00:00:00"/>
    <n v="72"/>
    <x v="0"/>
    <n v="0.627"/>
    <n v="0.69"/>
    <n v="0.13900000000000001"/>
    <n v="3.3000000000000002E-2"/>
    <n v="7.4200000000000002E-2"/>
    <n v="0.627"/>
    <n v="-5.3959999999999999"/>
    <n v="208505"/>
    <n v="2020"/>
    <x v="0"/>
  </r>
  <r>
    <n v="1223"/>
    <n v="47"/>
    <n v="15"/>
    <d v="2020-01-31T00:00:00"/>
    <x v="2"/>
    <s v="Me Gusta"/>
    <n v="4440661"/>
    <s v="Shakira, Anuel AA"/>
    <n v="22136717"/>
    <s v="colombian pop"/>
    <d v="2020-01-13T00:00:00"/>
    <n v="72"/>
    <x v="0"/>
    <n v="0.77500000000000002"/>
    <n v="0.69599999999999995"/>
    <n v="6.8099999999999994E-2"/>
    <n v="5.5899999999999998E-2"/>
    <n v="0.157"/>
    <n v="0.77500000000000002"/>
    <n v="-5.1840000000000002"/>
    <n v="190570"/>
    <n v="2020"/>
    <x v="0"/>
  </r>
  <r>
    <n v="1168"/>
    <n v="197"/>
    <n v="1"/>
    <d v="2020-05-22T00:00:00"/>
    <x v="3"/>
    <s v="ANGELS &amp; DEMONS"/>
    <n v="4435538"/>
    <s v="jxdn"/>
    <n v="799682"/>
    <m/>
    <d v="2021-07-02T00:00:00"/>
    <n v="72"/>
    <x v="0"/>
    <n v="0.55400000000000005"/>
    <n v="0.8"/>
    <n v="3.95E-2"/>
    <n v="0.11899999999999999"/>
    <n v="0.629"/>
    <n v="0.46300000000000002"/>
    <n v="-3.9359999999999999"/>
    <n v="160120"/>
    <n v="2021"/>
    <x v="0"/>
  </r>
  <r>
    <n v="1170"/>
    <n v="44"/>
    <n v="20"/>
    <d v="2020-01-31T00:00:00"/>
    <x v="3"/>
    <s v="Muévelo"/>
    <n v="4407165"/>
    <s v="Nicky Jam, Daddy Yankee"/>
    <n v="14831925"/>
    <s v="latin"/>
    <d v="2020-01-08T00:00:00"/>
    <n v="72"/>
    <x v="0"/>
    <n v="0.59399999999999997"/>
    <n v="0.80800000000000005"/>
    <n v="4.8899999999999999E-2"/>
    <n v="0.41499999999999998"/>
    <n v="0.56499999999999995"/>
    <n v="0.91900000000000004"/>
    <n v="-2.4089999999999998"/>
    <n v="194892"/>
    <n v="2020"/>
    <x v="0"/>
  </r>
  <r>
    <n v="1084"/>
    <n v="47"/>
    <n v="8"/>
    <d v="2020-05-08T00:00:00"/>
    <x v="3"/>
    <s v="PA' ROMPERLA"/>
    <n v="4312675"/>
    <s v="Bad Bunny, Don Omar"/>
    <n v="36177712"/>
    <s v="latin"/>
    <d v="2020-05-10T00:00:00"/>
    <n v="72"/>
    <x v="0"/>
    <n v="0.77200000000000002"/>
    <n v="0.83"/>
    <n v="5.9900000000000002E-2"/>
    <n v="1.6E-2"/>
    <n v="8.43E-2"/>
    <n v="0.69699999999999995"/>
    <n v="-5.0190000000000001"/>
    <n v="194200"/>
    <n v="2020"/>
    <x v="0"/>
  </r>
  <r>
    <n v="1128"/>
    <n v="30"/>
    <n v="9"/>
    <d v="2020-04-10T00:00:00"/>
    <x v="0"/>
    <s v="Level of Concern"/>
    <n v="4252898"/>
    <s v="Twenty One Pilots"/>
    <n v="20829526"/>
    <s v="modern rock"/>
    <d v="2020-04-09T00:00:00"/>
    <n v="72"/>
    <x v="1"/>
    <n v="0.754"/>
    <n v="0.58299999999999996"/>
    <n v="4.3200000000000002E-2"/>
    <n v="0.32"/>
    <n v="0.14399999999999999"/>
    <n v="0.77"/>
    <n v="-7.34"/>
    <n v="220051"/>
    <n v="2020"/>
    <x v="0"/>
  </r>
  <r>
    <n v="359"/>
    <n v="25"/>
    <n v="1"/>
    <d v="2021-05-14T00:00:00"/>
    <x v="1"/>
    <s v="a p p l y i n g . p r e s s u r e"/>
    <n v="15967986"/>
    <s v="J. Cole"/>
    <n v="14097410"/>
    <s v="conscious hip hop"/>
    <d v="2021-05-14T00:00:00"/>
    <n v="71"/>
    <x v="0"/>
    <n v="0.69899999999999995"/>
    <n v="0.75900000000000001"/>
    <n v="0.311"/>
    <n v="8.14E-2"/>
    <n v="0.312"/>
    <n v="0.40400000000000003"/>
    <n v="-5.3019999999999996"/>
    <n v="177337"/>
    <n v="2021"/>
    <x v="0"/>
  </r>
  <r>
    <n v="363"/>
    <n v="48"/>
    <n v="1"/>
    <d v="2021-05-14T00:00:00"/>
    <x v="1"/>
    <s v="h u n g e r . o n . h i l l s i d e (with Bas)"/>
    <n v="11647489"/>
    <s v="J. Cole"/>
    <n v="14097410"/>
    <s v="conscious hip hop"/>
    <d v="2021-05-14T00:00:00"/>
    <n v="71"/>
    <x v="0"/>
    <n v="0.56299999999999994"/>
    <n v="0.70299999999999996"/>
    <n v="7.0199999999999999E-2"/>
    <n v="0.126"/>
    <n v="0.21299999999999999"/>
    <n v="0.29399999999999998"/>
    <n v="-5.7560000000000002"/>
    <n v="238972"/>
    <n v="2021"/>
    <x v="0"/>
  </r>
  <r>
    <n v="1198"/>
    <n v="51"/>
    <n v="1"/>
    <d v="2020-05-01T00:00:00"/>
    <x v="1"/>
    <s v="Time Flies"/>
    <n v="9904749"/>
    <s v="Drake"/>
    <n v="56327031"/>
    <s v="canadian hip hop"/>
    <d v="2020-05-01T00:00:00"/>
    <n v="71"/>
    <x v="1"/>
    <n v="0.86399999999999999"/>
    <n v="0.47699999999999998"/>
    <n v="0.224"/>
    <n v="0.20100000000000001"/>
    <n v="0.182"/>
    <n v="0.5"/>
    <n v="-5.7859999999999996"/>
    <n v="192932"/>
    <n v="2020"/>
    <x v="0"/>
  </r>
  <r>
    <n v="1386"/>
    <n v="79"/>
    <n v="1"/>
    <d v="2020-02-21T00:00:00"/>
    <x v="2"/>
    <s v="Inner Child"/>
    <n v="8312399"/>
    <s v="BTS"/>
    <n v="37151476"/>
    <s v="k-pop"/>
    <d v="2020-02-21T00:00:00"/>
    <n v="71"/>
    <x v="0"/>
    <n v="0.58899999999999997"/>
    <n v="0.69599999999999995"/>
    <n v="7.2499999999999995E-2"/>
    <n v="1.7000000000000001E-2"/>
    <n v="8.0799999999999997E-2"/>
    <n v="0.33200000000000002"/>
    <n v="-7.9809999999999999"/>
    <n v="233266"/>
    <n v="2020"/>
    <x v="0"/>
  </r>
  <r>
    <n v="519"/>
    <n v="38"/>
    <n v="2"/>
    <d v="2021-02-19T00:00:00"/>
    <x v="2"/>
    <s v="test drive"/>
    <n v="6591829"/>
    <s v="Ariana Grande"/>
    <n v="67208170"/>
    <s v="dance pop"/>
    <d v="2021-02-19T00:00:00"/>
    <n v="71"/>
    <x v="0"/>
    <n v="0.69799999999999995"/>
    <n v="0.70799999999999996"/>
    <n v="4.5400000000000003E-2"/>
    <n v="2.5100000000000001E-2"/>
    <n v="0.124"/>
    <n v="0.32200000000000001"/>
    <n v="-4.9429999999999996"/>
    <n v="122174"/>
    <n v="2021"/>
    <x v="0"/>
  </r>
  <r>
    <n v="1360"/>
    <n v="75"/>
    <n v="6"/>
    <d v="2020-01-10T00:00:00"/>
    <x v="1"/>
    <s v="Sum 2 Prove"/>
    <n v="6497610"/>
    <s v="Lil Baby"/>
    <n v="7816213"/>
    <s v="atl hip hop"/>
    <d v="2020-01-10T00:00:00"/>
    <n v="71"/>
    <x v="1"/>
    <n v="0.82299999999999995"/>
    <n v="0.55200000000000005"/>
    <n v="0.32400000000000001"/>
    <n v="1.7399999999999999E-2"/>
    <n v="0.122"/>
    <n v="0.41799999999999998"/>
    <n v="-7.57"/>
    <n v="205760"/>
    <n v="2020"/>
    <x v="0"/>
  </r>
  <r>
    <n v="303"/>
    <n v="128"/>
    <n v="1"/>
    <d v="2021-06-11T00:00:00"/>
    <x v="1"/>
    <s v="Avalanche"/>
    <n v="6323268"/>
    <s v="Migos"/>
    <n v="11690201"/>
    <s v="atl hip hop"/>
    <d v="2021-06-11T00:00:00"/>
    <n v="71"/>
    <x v="1"/>
    <n v="0.91700000000000004"/>
    <n v="0.623"/>
    <n v="0.13500000000000001"/>
    <n v="9.8500000000000004E-2"/>
    <n v="8.3299999999999999E-2"/>
    <n v="0.68700000000000006"/>
    <n v="-8.2309999999999999"/>
    <n v="206272"/>
    <n v="2021"/>
    <x v="0"/>
  </r>
  <r>
    <n v="868"/>
    <n v="116"/>
    <n v="1"/>
    <d v="2020-09-25T00:00:00"/>
    <x v="4"/>
    <s v="Epidemic"/>
    <n v="6292620"/>
    <s v="Polo G"/>
    <n v="4849204"/>
    <s v="chicago rap"/>
    <d v="2020-09-25T00:00:00"/>
    <n v="71"/>
    <x v="1"/>
    <n v="0.61599999999999999"/>
    <n v="0.61699999999999999"/>
    <n v="0.52"/>
    <n v="0.128"/>
    <n v="0.17699999999999999"/>
    <n v="0.47599999999999998"/>
    <n v="-8.4309999999999992"/>
    <n v="177273"/>
    <n v="2020"/>
    <x v="0"/>
  </r>
  <r>
    <n v="491"/>
    <n v="121"/>
    <n v="1"/>
    <d v="2021-03-12T00:00:00"/>
    <x v="1"/>
    <s v="Patience (feat. YUNGBLUD &amp; Polo G)"/>
    <n v="6155698"/>
    <s v="KSI"/>
    <n v="2010879"/>
    <s v="uk hip hop"/>
    <d v="2021-03-12T00:00:00"/>
    <n v="71"/>
    <x v="0"/>
    <n v="0.61599999999999999"/>
    <n v="0.74099999999999999"/>
    <n v="4.2599999999999999E-2"/>
    <n v="2.5100000000000001E-3"/>
    <n v="0.307"/>
    <n v="0.43099999999999999"/>
    <n v="-4.2720000000000002"/>
    <n v="181720"/>
    <n v="2021"/>
    <x v="0"/>
  </r>
  <r>
    <n v="1436"/>
    <n v="65"/>
    <n v="7"/>
    <d v="2019-12-27T00:00:00"/>
    <x v="2"/>
    <s v="Good as Hell (feat. Ariana Grande) - Remix"/>
    <n v="6066001"/>
    <s v="Lizzo"/>
    <n v="3991674"/>
    <s v="dance pop"/>
    <d v="2016-01-01T00:00:00"/>
    <n v="71"/>
    <x v="0"/>
    <n v="0.66800000000000004"/>
    <n v="0.89200000000000002"/>
    <n v="6.4500000000000002E-2"/>
    <n v="0.29799999999999999"/>
    <n v="0.73499999999999999"/>
    <n v="0.47799999999999998"/>
    <n v="-3.0009999999999999"/>
    <n v="159011"/>
    <n v="2016"/>
    <x v="0"/>
  </r>
  <r>
    <n v="741"/>
    <n v="151"/>
    <n v="5"/>
    <d v="2020-10-02T00:00:00"/>
    <x v="2"/>
    <s v="Heart Of Glass (Live from the iHeart Festival)"/>
    <n v="6006877"/>
    <s v="Miley Cyrus"/>
    <n v="15778531"/>
    <s v="dance pop"/>
    <d v="2020-09-29T00:00:00"/>
    <n v="71"/>
    <x v="0"/>
    <n v="0.57999999999999996"/>
    <n v="0.90800000000000003"/>
    <n v="3.4099999999999998E-2"/>
    <n v="3.3500000000000001E-4"/>
    <n v="8.6999999999999994E-2"/>
    <n v="0.42699999999999999"/>
    <n v="-5.3029999999999999"/>
    <n v="213672"/>
    <n v="2020"/>
    <x v="0"/>
  </r>
  <r>
    <n v="1010"/>
    <n v="49"/>
    <n v="2"/>
    <d v="2020-07-10T00:00:00"/>
    <x v="4"/>
    <s v="Can't Die"/>
    <n v="5777859"/>
    <s v="Juice WRLD"/>
    <n v="19102888"/>
    <s v="chicago rap"/>
    <d v="2020-07-10T00:00:00"/>
    <n v="71"/>
    <x v="0"/>
    <n v="0.65200000000000002"/>
    <n v="0.67100000000000004"/>
    <n v="7.5600000000000001E-2"/>
    <n v="2.2200000000000001E-2"/>
    <n v="0.107"/>
    <n v="0.27400000000000002"/>
    <n v="-5.89"/>
    <n v="182922"/>
    <n v="2020"/>
    <x v="0"/>
  </r>
  <r>
    <n v="1546"/>
    <n v="128"/>
    <n v="1"/>
    <d v="2019-12-27T00:00:00"/>
    <x v="2"/>
    <s v="Candy"/>
    <n v="5632102"/>
    <s v="Doja Cat"/>
    <n v="8671649"/>
    <s v="dance pop"/>
    <d v="2018-03-30T00:00:00"/>
    <n v="71"/>
    <x v="1"/>
    <n v="0.68899999999999995"/>
    <n v="0.51600000000000001"/>
    <n v="4.4400000000000002E-2"/>
    <n v="0.51300000000000001"/>
    <n v="0.16300000000000001"/>
    <n v="0.20899999999999999"/>
    <n v="-5.8570000000000002"/>
    <n v="190920"/>
    <n v="2018"/>
    <x v="0"/>
  </r>
  <r>
    <n v="1344"/>
    <n v="167"/>
    <n v="1"/>
    <d v="2020-03-06T00:00:00"/>
    <x v="2"/>
    <s v="Young &amp; Alive"/>
    <n v="5578323"/>
    <s v="Bazzi"/>
    <n v="4421378"/>
    <s v="dance pop"/>
    <d v="2020-03-05T00:00:00"/>
    <n v="71"/>
    <x v="1"/>
    <n v="0.71599999999999997"/>
    <n v="0.56299999999999994"/>
    <n v="4.2500000000000003E-2"/>
    <n v="0.32600000000000001"/>
    <n v="0.11899999999999999"/>
    <n v="0.495"/>
    <n v="-5.4859999999999998"/>
    <n v="160465"/>
    <n v="2020"/>
    <x v="0"/>
  </r>
  <r>
    <n v="449"/>
    <n v="26"/>
    <n v="4"/>
    <d v="2021-03-12T00:00:00"/>
    <x v="3"/>
    <s v="Gone"/>
    <n v="5427638"/>
    <s v="ROSÉ"/>
    <n v="1099480"/>
    <m/>
    <d v="2021-03-12T00:00:00"/>
    <n v="71"/>
    <x v="1"/>
    <n v="0.64700000000000002"/>
    <n v="0.377"/>
    <n v="3.7499999999999999E-2"/>
    <n v="0.59399999999999997"/>
    <n v="7.6799999999999993E-2"/>
    <n v="0.65300000000000002"/>
    <n v="-6.0030000000000001"/>
    <n v="207164"/>
    <n v="2021"/>
    <x v="0"/>
  </r>
  <r>
    <n v="794"/>
    <n v="49"/>
    <n v="12"/>
    <d v="2020-08-28T00:00:00"/>
    <x v="1"/>
    <s v="Ayer Me Llamó Mi Ex (feat. Lenny Santos)"/>
    <n v="5220504"/>
    <s v="KHEA"/>
    <n v="3198705"/>
    <s v="argentine hip hop"/>
    <d v="2020-08-20T00:00:00"/>
    <n v="71"/>
    <x v="0"/>
    <n v="0.752"/>
    <n v="0.71599999999999997"/>
    <n v="3.2500000000000001E-2"/>
    <n v="0.254"/>
    <n v="0.24299999999999999"/>
    <n v="0.55300000000000005"/>
    <n v="-5.2"/>
    <n v="206760"/>
    <n v="2020"/>
    <x v="0"/>
  </r>
  <r>
    <n v="1373"/>
    <n v="103"/>
    <n v="7"/>
    <d v="2020-01-24T00:00:00"/>
    <x v="2"/>
    <s v="me &amp; ur ghost"/>
    <n v="5184069"/>
    <s v="blackbear"/>
    <n v="4272745"/>
    <s v="electropop"/>
    <d v="2020-08-21T00:00:00"/>
    <n v="71"/>
    <x v="0"/>
    <n v="0.74199999999999999"/>
    <n v="0.67900000000000005"/>
    <n v="2.5899999999999999E-2"/>
    <n v="4.8800000000000003E-2"/>
    <n v="7.5399999999999995E-2"/>
    <n v="0.85599999999999998"/>
    <n v="-4.5940000000000003"/>
    <n v="201398"/>
    <n v="2020"/>
    <x v="0"/>
  </r>
  <r>
    <n v="182"/>
    <n v="181"/>
    <n v="4"/>
    <d v="2021-07-09T00:00:00"/>
    <x v="3"/>
    <s v="As the World Caves In"/>
    <n v="5145493"/>
    <s v="Sarah Cothran"/>
    <n v="180723"/>
    <m/>
    <d v="2021-06-10T00:00:00"/>
    <n v="71"/>
    <x v="1"/>
    <n v="0.42199999999999999"/>
    <n v="0.25"/>
    <n v="3.5099999999999999E-2"/>
    <n v="0.441"/>
    <n v="0.35"/>
    <n v="0.246"/>
    <n v="-6.8360000000000003"/>
    <n v="161613"/>
    <n v="2021"/>
    <x v="0"/>
  </r>
  <r>
    <n v="969"/>
    <n v="24"/>
    <n v="3"/>
    <d v="2020-07-24T00:00:00"/>
    <x v="2"/>
    <s v="betty"/>
    <n v="5112180"/>
    <s v="Taylor Swift"/>
    <n v="42227614"/>
    <s v="pop"/>
    <d v="2020-07-24T00:00:00"/>
    <n v="71"/>
    <x v="1"/>
    <n v="0.59299999999999997"/>
    <n v="0.377"/>
    <n v="2.53E-2"/>
    <n v="0.6"/>
    <n v="9.7600000000000006E-2"/>
    <n v="0.502"/>
    <n v="-8.7609999999999992"/>
    <n v="294521"/>
    <n v="2020"/>
    <x v="0"/>
  </r>
  <r>
    <n v="951"/>
    <n v="10"/>
    <n v="4"/>
    <d v="2020-07-24T00:00:00"/>
    <x v="2"/>
    <s v="my tears ricochet"/>
    <n v="5111416"/>
    <s v="Taylor Swift"/>
    <n v="42227614"/>
    <s v="pop"/>
    <d v="2020-07-24T00:00:00"/>
    <n v="71"/>
    <x v="1"/>
    <n v="0.45600000000000002"/>
    <n v="0.26300000000000001"/>
    <n v="3.32E-2"/>
    <n v="0.80600000000000005"/>
    <n v="7.4899999999999994E-2"/>
    <n v="0.111"/>
    <n v="-10.63"/>
    <n v="255894"/>
    <n v="2020"/>
    <x v="0"/>
  </r>
  <r>
    <n v="1035"/>
    <n v="53"/>
    <n v="2"/>
    <d v="2020-07-03T00:00:00"/>
    <x v="3"/>
    <s v="Gangstas"/>
    <n v="5104422"/>
    <s v="Pop Smoke"/>
    <n v="6852509"/>
    <s v="brooklyn drill"/>
    <d v="2020-07-03T00:00:00"/>
    <n v="71"/>
    <x v="1"/>
    <n v="0.54800000000000004"/>
    <n v="0.50600000000000001"/>
    <n v="0.10199999999999999"/>
    <n v="0.20300000000000001"/>
    <n v="7.8799999999999995E-2"/>
    <n v="0.55700000000000005"/>
    <n v="-7.4340000000000002"/>
    <n v="160000"/>
    <n v="2020"/>
    <x v="0"/>
  </r>
  <r>
    <n v="995"/>
    <n v="163"/>
    <n v="1"/>
    <d v="2020-07-24T00:00:00"/>
    <x v="1"/>
    <s v="TELL ME WHY"/>
    <n v="5056986"/>
    <s v="The Kid LAROI"/>
    <n v="2238190"/>
    <s v="australian hip hop"/>
    <d v="2020-07-24T00:00:00"/>
    <n v="71"/>
    <x v="0"/>
    <n v="0.6"/>
    <n v="0.72299999999999998"/>
    <n v="0.158"/>
    <n v="0.109"/>
    <n v="0.16700000000000001"/>
    <n v="0.46300000000000002"/>
    <n v="-4.9279999999999999"/>
    <n v="195268"/>
    <n v="2020"/>
    <x v="0"/>
  </r>
  <r>
    <n v="1461"/>
    <n v="86"/>
    <n v="6"/>
    <d v="2020-01-03T00:00:00"/>
    <x v="2"/>
    <s v="Graveyard"/>
    <n v="5044853"/>
    <s v="Halsey"/>
    <n v="15663384"/>
    <s v="dance pop"/>
    <d v="2020-01-17T00:00:00"/>
    <n v="71"/>
    <x v="1"/>
    <n v="0.66700000000000004"/>
    <n v="0.58299999999999996"/>
    <n v="7.4700000000000003E-2"/>
    <n v="0.23100000000000001"/>
    <n v="0.18099999999999999"/>
    <n v="0.187"/>
    <n v="-5.1269999999999998"/>
    <n v="181806"/>
    <n v="2020"/>
    <x v="0"/>
  </r>
  <r>
    <n v="460"/>
    <n v="50"/>
    <n v="3"/>
    <d v="2021-03-19T00:00:00"/>
    <x v="2"/>
    <s v="Ghost"/>
    <n v="5013450"/>
    <s v="Justin Bieber"/>
    <n v="48544923"/>
    <s v="canadian pop"/>
    <d v="2021-03-19T00:00:00"/>
    <n v="71"/>
    <x v="0"/>
    <n v="0.60099999999999998"/>
    <n v="0.74099999999999999"/>
    <n v="4.7800000000000002E-2"/>
    <n v="0.185"/>
    <n v="0.41499999999999998"/>
    <n v="0.441"/>
    <n v="-5.569"/>
    <n v="153190"/>
    <n v="2021"/>
    <x v="0"/>
  </r>
  <r>
    <n v="1159"/>
    <n v="159"/>
    <n v="1"/>
    <d v="2020-05-22T00:00:00"/>
    <x v="3"/>
    <s v="Together"/>
    <n v="4861870"/>
    <s v="Sia"/>
    <n v="20528724"/>
    <s v="australian dance"/>
    <d v="2020-05-20T00:00:00"/>
    <n v="71"/>
    <x v="0"/>
    <n v="0.52100000000000002"/>
    <n v="0.877"/>
    <n v="6.83E-2"/>
    <n v="1.32E-2"/>
    <n v="9.2899999999999996E-2"/>
    <n v="0.19900000000000001"/>
    <n v="-5.444"/>
    <n v="205208"/>
    <n v="2020"/>
    <x v="0"/>
  </r>
  <r>
    <n v="1532"/>
    <n v="153"/>
    <n v="3"/>
    <d v="2019-12-27T00:00:00"/>
    <x v="2"/>
    <s v="Taki Taki (feat. Selena Gomez, Ozuna &amp; Cardi B)"/>
    <n v="4816702"/>
    <s v="DJ Snake"/>
    <n v="7408249"/>
    <s v="dance pop"/>
    <d v="2019-07-25T00:00:00"/>
    <n v="71"/>
    <x v="0"/>
    <n v="0.84199999999999997"/>
    <n v="0.80100000000000005"/>
    <n v="0.22800000000000001"/>
    <n v="0.157"/>
    <n v="6.4199999999999993E-2"/>
    <n v="0.61699999999999999"/>
    <n v="-4.1669999999999998"/>
    <n v="212500"/>
    <n v="2019"/>
    <x v="0"/>
  </r>
  <r>
    <n v="605"/>
    <n v="5"/>
    <n v="19"/>
    <d v="2020-08-28T00:00:00"/>
    <x v="2"/>
    <s v="Ice Cream (with Selena Gomez)"/>
    <n v="4812765"/>
    <s v="BLACKPINK"/>
    <n v="23848461"/>
    <s v="k-pop"/>
    <d v="2020-10-02T00:00:00"/>
    <n v="71"/>
    <x v="0"/>
    <n v="0.79"/>
    <n v="0.70099999999999996"/>
    <n v="0.36499999999999999"/>
    <n v="3.1699999999999999E-2"/>
    <n v="3.1099999999999999E-2"/>
    <n v="0.91"/>
    <n v="-4.8099999999999996"/>
    <n v="177813"/>
    <n v="2020"/>
    <x v="0"/>
  </r>
  <r>
    <n v="881"/>
    <n v="76"/>
    <n v="17"/>
    <d v="2020-06-26T00:00:00"/>
    <x v="4"/>
    <s v="Tak Tiki Tak"/>
    <n v="4761286"/>
    <s v="Harry Nach"/>
    <n v="134339"/>
    <s v="trap chileno"/>
    <d v="2020-07-10T00:00:00"/>
    <n v="71"/>
    <x v="1"/>
    <n v="0.80100000000000005"/>
    <n v="0.57899999999999996"/>
    <n v="8.1299999999999997E-2"/>
    <n v="0.33300000000000002"/>
    <n v="0.17199999999999999"/>
    <n v="0.23100000000000001"/>
    <n v="-4.78"/>
    <n v="212406"/>
    <n v="2020"/>
    <x v="0"/>
  </r>
  <r>
    <n v="1118"/>
    <n v="63"/>
    <n v="2"/>
    <d v="2020-05-29T00:00:00"/>
    <x v="1"/>
    <s v="This Is America"/>
    <n v="4727415"/>
    <s v="Childish Gambino"/>
    <n v="8099554"/>
    <s v="atl hip hop"/>
    <d v="2018-05-06T00:00:00"/>
    <n v="71"/>
    <x v="1"/>
    <n v="0.85399999999999998"/>
    <n v="0.46300000000000002"/>
    <n v="0.13700000000000001"/>
    <n v="0.11700000000000001"/>
    <n v="0.35399999999999998"/>
    <n v="0.54900000000000004"/>
    <n v="-6.1589999999999998"/>
    <n v="225773"/>
    <n v="2018"/>
    <x v="0"/>
  </r>
  <r>
    <n v="1001"/>
    <n v="24"/>
    <n v="3"/>
    <d v="2020-07-10T00:00:00"/>
    <x v="4"/>
    <s v="Titanic"/>
    <n v="4687464"/>
    <s v="Juice WRLD"/>
    <n v="19102888"/>
    <s v="chicago rap"/>
    <d v="2020-07-10T00:00:00"/>
    <n v="71"/>
    <x v="1"/>
    <n v="0.56699999999999995"/>
    <n v="0.54500000000000004"/>
    <n v="4.48E-2"/>
    <n v="0.16800000000000001"/>
    <n v="0.112"/>
    <n v="0.23400000000000001"/>
    <n v="-6.6680000000000001"/>
    <n v="176650"/>
    <n v="2020"/>
    <x v="0"/>
  </r>
  <r>
    <n v="1293"/>
    <n v="63"/>
    <n v="4"/>
    <d v="2020-02-28T00:00:00"/>
    <x v="3"/>
    <s v="25/8"/>
    <n v="4684378"/>
    <s v="Bad Bunny"/>
    <n v="36177712"/>
    <s v="latin"/>
    <d v="2020-02-29T00:00:00"/>
    <n v="71"/>
    <x v="0"/>
    <n v="0.76100000000000001"/>
    <n v="0.73199999999999998"/>
    <n v="5.4899999999999997E-2"/>
    <n v="9.1999999999999998E-2"/>
    <n v="7.1599999999999997E-2"/>
    <n v="0.54200000000000004"/>
    <n v="-5.4690000000000003"/>
    <n v="243276"/>
    <n v="2020"/>
    <x v="0"/>
  </r>
  <r>
    <n v="1092"/>
    <n v="84"/>
    <n v="15"/>
    <d v="2020-04-03T00:00:00"/>
    <x v="2"/>
    <s v="In Your Eyes (feat. Alida)"/>
    <n v="4654587"/>
    <s v="Alida, Robin Schulz"/>
    <n v="2786366"/>
    <s v="dance pop"/>
    <d v="2020-01-10T00:00:00"/>
    <n v="71"/>
    <x v="0"/>
    <n v="0.56999999999999995"/>
    <n v="0.67200000000000004"/>
    <n v="7.1599999999999997E-2"/>
    <n v="0.17199999999999999"/>
    <n v="7.6799999999999993E-2"/>
    <n v="0.46100000000000002"/>
    <n v="-5.8879999999999999"/>
    <n v="208222"/>
    <n v="2020"/>
    <x v="0"/>
  </r>
  <r>
    <n v="1163"/>
    <n v="98"/>
    <n v="8"/>
    <d v="2020-04-24T00:00:00"/>
    <x v="3"/>
    <s v="Astronomia"/>
    <n v="4642284"/>
    <s v="Vicetone, Tony Igy"/>
    <n v="378114"/>
    <s v="edm"/>
    <d v="2016-09-16T00:00:00"/>
    <n v="71"/>
    <x v="0"/>
    <n v="0.65300000000000002"/>
    <n v="0.94499999999999995"/>
    <n v="9.6000000000000002E-2"/>
    <n v="5.6100000000000004E-3"/>
    <n v="0.439"/>
    <n v="0.32600000000000001"/>
    <n v="-2.6339999999999999"/>
    <n v="198095"/>
    <n v="2016"/>
    <x v="0"/>
  </r>
  <r>
    <n v="1066"/>
    <n v="142"/>
    <n v="3"/>
    <d v="2020-06-12T00:00:00"/>
    <x v="1"/>
    <s v="Emotionally Scarred"/>
    <n v="4633237"/>
    <s v="Lil Baby"/>
    <n v="7816213"/>
    <s v="atl hip hop"/>
    <d v="2020-02-28T00:00:00"/>
    <n v="71"/>
    <x v="0"/>
    <n v="0.58499999999999996"/>
    <n v="0.64100000000000001"/>
    <n v="0.13300000000000001"/>
    <n v="2.86E-2"/>
    <n v="0.316"/>
    <n v="0.26600000000000001"/>
    <n v="-4.2690000000000001"/>
    <n v="197530"/>
    <n v="2020"/>
    <x v="0"/>
  </r>
  <r>
    <n v="1294"/>
    <n v="81"/>
    <n v="3"/>
    <d v="2020-03-06T00:00:00"/>
    <x v="3"/>
    <s v="Se Me Olvidó"/>
    <n v="4591194"/>
    <s v="Christian Nodal"/>
    <n v="8123757"/>
    <s v="mariachi"/>
    <d v="2020-05-29T00:00:00"/>
    <n v="71"/>
    <x v="1"/>
    <n v="0.65"/>
    <n v="0.55800000000000005"/>
    <n v="3.09E-2"/>
    <n v="0.36799999999999999"/>
    <n v="0.30299999999999999"/>
    <n v="0.72499999999999998"/>
    <n v="-3.0819999999999999"/>
    <n v="159533"/>
    <n v="2020"/>
    <x v="0"/>
  </r>
  <r>
    <n v="990"/>
    <n v="86"/>
    <n v="5"/>
    <d v="2020-07-03T00:00:00"/>
    <x v="1"/>
    <s v="Ego Death (feat. Kanye West, FKA twigs &amp; Skrillex)"/>
    <n v="4583475"/>
    <s v="Ty Dolla $ign"/>
    <n v="3866304"/>
    <s v="hip hop"/>
    <d v="2020-10-22T00:00:00"/>
    <n v="71"/>
    <x v="1"/>
    <n v="0.81799999999999995"/>
    <n v="0.59799999999999998"/>
    <n v="0.113"/>
    <n v="5.7299999999999997E-2"/>
    <n v="0.63400000000000001"/>
    <n v="0.33100000000000002"/>
    <n v="-5.9480000000000004"/>
    <n v="231618"/>
    <n v="2020"/>
    <x v="0"/>
  </r>
  <r>
    <n v="897"/>
    <n v="194"/>
    <n v="1"/>
    <d v="2020-09-18T00:00:00"/>
    <x v="3"/>
    <s v="Hot Stuff"/>
    <n v="4569978"/>
    <s v="Kygo, Donna Summer"/>
    <n v="7593792"/>
    <s v="edm"/>
    <d v="2020-09-18T00:00:00"/>
    <n v="71"/>
    <x v="0"/>
    <n v="0.68100000000000005"/>
    <n v="0.77300000000000002"/>
    <n v="0.14799999999999999"/>
    <n v="1.9E-2"/>
    <n v="0.11"/>
    <n v="0.42899999999999999"/>
    <n v="-5.7489999999999997"/>
    <n v="199008"/>
    <n v="2020"/>
    <x v="0"/>
  </r>
  <r>
    <n v="991"/>
    <n v="33"/>
    <n v="30"/>
    <d v="2020-03-20T00:00:00"/>
    <x v="3"/>
    <s v="Morado"/>
    <n v="4561936"/>
    <s v="J Balvin"/>
    <n v="29067437"/>
    <s v="latin"/>
    <d v="2020-01-09T00:00:00"/>
    <n v="71"/>
    <x v="0"/>
    <n v="0.88100000000000001"/>
    <n v="0.69599999999999995"/>
    <n v="7.9699999999999993E-2"/>
    <n v="0.13700000000000001"/>
    <n v="9.2700000000000005E-2"/>
    <n v="0.78100000000000003"/>
    <n v="-3.8380000000000001"/>
    <n v="200667"/>
    <n v="2020"/>
    <x v="0"/>
  </r>
  <r>
    <n v="1120"/>
    <n v="60"/>
    <n v="5"/>
    <d v="2020-05-08T00:00:00"/>
    <x v="3"/>
    <s v="BAD CON NICKY"/>
    <n v="4432210"/>
    <s v="Bad Bunny, Nicky Jam"/>
    <n v="36177712"/>
    <s v="latin"/>
    <d v="2020-05-10T00:00:00"/>
    <n v="71"/>
    <x v="0"/>
    <n v="0.59"/>
    <n v="0.72899999999999998"/>
    <n v="8.9300000000000004E-2"/>
    <n v="0.32100000000000001"/>
    <n v="0.65900000000000003"/>
    <n v="0.71199999999999997"/>
    <n v="-4.95"/>
    <n v="202240"/>
    <n v="2020"/>
    <x v="0"/>
  </r>
  <r>
    <n v="961"/>
    <n v="17"/>
    <n v="4"/>
    <d v="2020-07-24T00:00:00"/>
    <x v="2"/>
    <s v="invisible string"/>
    <n v="4424118"/>
    <s v="Taylor Swift"/>
    <n v="42227614"/>
    <s v="pop"/>
    <d v="2020-07-24T00:00:00"/>
    <n v="71"/>
    <x v="1"/>
    <n v="0.65300000000000002"/>
    <n v="0.45200000000000001"/>
    <n v="5.5E-2"/>
    <n v="0.83799999999999997"/>
    <n v="0.108"/>
    <n v="0.45"/>
    <n v="-11.143000000000001"/>
    <n v="252881"/>
    <n v="2020"/>
    <x v="0"/>
  </r>
  <r>
    <n v="949"/>
    <n v="8"/>
    <n v="5"/>
    <d v="2020-07-24T00:00:00"/>
    <x v="2"/>
    <s v="the last great american dynasty"/>
    <n v="4389670"/>
    <s v="Taylor Swift"/>
    <n v="42227614"/>
    <s v="pop"/>
    <d v="2020-07-24T00:00:00"/>
    <n v="71"/>
    <x v="0"/>
    <n v="0.68600000000000005"/>
    <n v="0.66200000000000003"/>
    <n v="4.1300000000000003E-2"/>
    <n v="0.46700000000000003"/>
    <n v="0.109"/>
    <n v="0.70599999999999996"/>
    <n v="-8.5050000000000008"/>
    <n v="230999"/>
    <n v="2020"/>
    <x v="0"/>
  </r>
  <r>
    <n v="1079"/>
    <n v="145"/>
    <n v="7"/>
    <d v="2020-06-19T00:00:00"/>
    <x v="4"/>
    <s v="Airwaves"/>
    <n v="4352767"/>
    <s v="Pashanim"/>
    <n v="208926"/>
    <s v="german alternative rap"/>
    <d v="2020-05-14T00:00:00"/>
    <n v="71"/>
    <x v="1"/>
    <n v="0.88500000000000001"/>
    <n v="0.57799999999999996"/>
    <n v="7.8299999999999995E-2"/>
    <n v="7.3899999999999993E-2"/>
    <n v="0.10199999999999999"/>
    <n v="0.38800000000000001"/>
    <n v="-7.4160000000000004"/>
    <n v="178933"/>
    <n v="2020"/>
    <x v="0"/>
  </r>
  <r>
    <n v="1251"/>
    <n v="117"/>
    <n v="8"/>
    <d v="2020-02-14T00:00:00"/>
    <x v="2"/>
    <s v="Good as Hell (feat. Ariana Grande)"/>
    <n v="4176083"/>
    <s v="Lizzo"/>
    <n v="3991674"/>
    <s v="dance pop"/>
    <d v="2016-01-01T00:00:00"/>
    <n v="71"/>
    <x v="0"/>
    <n v="0.66800000000000004"/>
    <n v="0.89200000000000002"/>
    <n v="6.4500000000000002E-2"/>
    <n v="0.29799999999999999"/>
    <n v="0.73499999999999999"/>
    <n v="0.47799999999999998"/>
    <n v="-3.0009999999999999"/>
    <n v="159011"/>
    <n v="2016"/>
    <x v="0"/>
  </r>
  <r>
    <n v="361"/>
    <n v="32"/>
    <n v="1"/>
    <d v="2021-05-14T00:00:00"/>
    <x v="1"/>
    <s v="p u n c h i n ‘ . t h e . c l o c k"/>
    <n v="14051831"/>
    <s v="J. Cole"/>
    <n v="14097410"/>
    <s v="conscious hip hop"/>
    <d v="2021-05-14T00:00:00"/>
    <n v="70"/>
    <x v="0"/>
    <n v="0.76900000000000002"/>
    <n v="0.74"/>
    <n v="0.378"/>
    <n v="0.19700000000000001"/>
    <n v="0.17100000000000001"/>
    <n v="0.69199999999999995"/>
    <n v="-6.5789999999999997"/>
    <n v="112579"/>
    <n v="2021"/>
    <x v="0"/>
  </r>
  <r>
    <n v="729"/>
    <n v="41"/>
    <n v="1"/>
    <d v="2020-11-27T00:00:00"/>
    <x v="3"/>
    <s v="HOY COBRÉ"/>
    <n v="12914431"/>
    <s v="Bad Bunny"/>
    <n v="36177712"/>
    <s v="latin"/>
    <d v="2020-11-27T00:00:00"/>
    <n v="70"/>
    <x v="0"/>
    <n v="0.86"/>
    <n v="0.72499999999999998"/>
    <n v="0.249"/>
    <n v="4.6399999999999997E-2"/>
    <n v="9.9400000000000002E-2"/>
    <n v="0.375"/>
    <n v="-6.7"/>
    <n v="162151"/>
    <n v="2020"/>
    <x v="0"/>
  </r>
  <r>
    <n v="362"/>
    <n v="36"/>
    <n v="2"/>
    <d v="2021-05-14T00:00:00"/>
    <x v="1"/>
    <s v="t h e . c l i m b . b a c k"/>
    <n v="12648655"/>
    <s v="J. Cole"/>
    <n v="14097410"/>
    <s v="conscious hip hop"/>
    <d v="2021-05-14T00:00:00"/>
    <n v="70"/>
    <x v="1"/>
    <n v="0.61799999999999999"/>
    <n v="0.63200000000000001"/>
    <n v="0.34599999999999997"/>
    <n v="5.2600000000000001E-2"/>
    <n v="0.35299999999999998"/>
    <n v="0.31900000000000001"/>
    <n v="-6.9729999999999999"/>
    <n v="306257"/>
    <n v="2021"/>
    <x v="0"/>
  </r>
  <r>
    <n v="733"/>
    <n v="59"/>
    <n v="1"/>
    <d v="2020-11-27T00:00:00"/>
    <x v="3"/>
    <s v="SORRY PAPI"/>
    <n v="11066606"/>
    <s v="Bad Bunny, ABRA"/>
    <n v="36177712"/>
    <s v="latin"/>
    <d v="2020-11-27T00:00:00"/>
    <n v="70"/>
    <x v="1"/>
    <n v="0.61199999999999999"/>
    <n v="0.56100000000000005"/>
    <n v="8.5099999999999995E-2"/>
    <n v="6.0100000000000001E-2"/>
    <n v="0.14499999999999999"/>
    <n v="0.39300000000000002"/>
    <n v="-6.0540000000000003"/>
    <n v="163053"/>
    <n v="2020"/>
    <x v="0"/>
  </r>
  <r>
    <n v="715"/>
    <n v="74"/>
    <n v="1"/>
    <d v="2020-12-04T00:00:00"/>
    <x v="4"/>
    <s v="Real Shit (with benny blanco)"/>
    <n v="9325928"/>
    <s v="Juice WRLD"/>
    <n v="19102888"/>
    <s v="chicago rap"/>
    <d v="2020-12-02T00:00:00"/>
    <n v="70"/>
    <x v="0"/>
    <n v="0.70299999999999996"/>
    <n v="0.70299999999999996"/>
    <n v="0.13300000000000001"/>
    <n v="0.60499999999999998"/>
    <n v="0.12"/>
    <n v="0.69699999999999995"/>
    <n v="-4.6719999999999997"/>
    <n v="183783"/>
    <n v="2020"/>
    <x v="0"/>
  </r>
  <r>
    <n v="664"/>
    <n v="107"/>
    <n v="1"/>
    <d v="2020-12-18T00:00:00"/>
    <x v="1"/>
    <s v="Gnat"/>
    <n v="8614955"/>
    <s v="Eminem"/>
    <n v="46814751"/>
    <s v="detroit hip hop"/>
    <d v="2020-12-18T00:00:00"/>
    <n v="70"/>
    <x v="0"/>
    <n v="0.83499999999999996"/>
    <n v="0.86899999999999999"/>
    <n v="0.27"/>
    <n v="0.248"/>
    <n v="0.46200000000000002"/>
    <n v="0.82"/>
    <n v="-4.5819999999999999"/>
    <n v="224656"/>
    <n v="2020"/>
    <x v="0"/>
  </r>
  <r>
    <n v="1299"/>
    <n v="68"/>
    <n v="1"/>
    <d v="2020-03-13T00:00:00"/>
    <x v="4"/>
    <s v="Yessirskiii"/>
    <n v="8374259"/>
    <s v="Lil Uzi Vert, 21 Savage"/>
    <n v="11821805"/>
    <s v="melodic rap"/>
    <d v="2020-03-13T00:00:00"/>
    <n v="70"/>
    <x v="0"/>
    <n v="0.89500000000000002"/>
    <n v="0.73899999999999999"/>
    <n v="0.28299999999999997"/>
    <n v="1.83E-2"/>
    <n v="0.10199999999999999"/>
    <n v="0.76300000000000001"/>
    <n v="-6.633"/>
    <n v="219340"/>
    <n v="2020"/>
    <x v="0"/>
  </r>
  <r>
    <n v="672"/>
    <n v="19"/>
    <n v="2"/>
    <d v="2020-12-11T00:00:00"/>
    <x v="2"/>
    <s v="gold rush"/>
    <n v="7901968"/>
    <s v="Taylor Swift"/>
    <n v="42227614"/>
    <s v="pop"/>
    <d v="2020-12-11T00:00:00"/>
    <n v="70"/>
    <x v="1"/>
    <n v="0.51200000000000001"/>
    <n v="0.46200000000000002"/>
    <n v="4.0800000000000003E-2"/>
    <n v="0.83"/>
    <n v="0.121"/>
    <n v="0.35299999999999998"/>
    <n v="-10.491"/>
    <n v="185320"/>
    <n v="2020"/>
    <x v="0"/>
  </r>
  <r>
    <n v="340"/>
    <n v="95"/>
    <n v="1"/>
    <d v="2021-05-21T00:00:00"/>
    <x v="2"/>
    <s v="Butter (Instrumental)"/>
    <n v="7450126"/>
    <s v="BTS"/>
    <n v="37106176"/>
    <s v="k-pop"/>
    <d v="2021-06-04T00:00:00"/>
    <n v="70"/>
    <x v="1"/>
    <n v="0.42899999999999999"/>
    <n v="0.38700000000000001"/>
    <n v="7.5300000000000006E-2"/>
    <n v="1.7799999999999999E-4"/>
    <n v="0.14199999999999999"/>
    <n v="0.41"/>
    <n v="-7.4859999999999998"/>
    <n v="162147"/>
    <n v="2021"/>
    <x v="0"/>
  </r>
  <r>
    <n v="1047"/>
    <n v="100"/>
    <n v="1"/>
    <d v="2020-07-03T00:00:00"/>
    <x v="3"/>
    <s v="Enjoy Yourself (feat. Karol G)"/>
    <n v="6620040"/>
    <s v="Pop Smoke"/>
    <n v="6852509"/>
    <s v="brooklyn drill"/>
    <d v="2020-07-03T00:00:00"/>
    <n v="70"/>
    <x v="0"/>
    <n v="0.76400000000000001"/>
    <n v="0.67600000000000005"/>
    <n v="9.2700000000000005E-2"/>
    <n v="0.38900000000000001"/>
    <n v="0.215"/>
    <n v="0.46100000000000002"/>
    <n v="-6.7610000000000001"/>
    <n v="197938"/>
    <n v="2020"/>
    <x v="0"/>
  </r>
  <r>
    <n v="1300"/>
    <n v="104"/>
    <n v="1"/>
    <d v="2020-03-13T00:00:00"/>
    <x v="4"/>
    <s v="Cardigan"/>
    <n v="6586204"/>
    <s v="Don Toliver"/>
    <n v="1606884"/>
    <s v="rap"/>
    <d v="2020-03-13T00:00:00"/>
    <n v="70"/>
    <x v="1"/>
    <n v="0.747"/>
    <n v="0.497"/>
    <n v="4.0099999999999997E-2"/>
    <n v="0.248"/>
    <n v="0.13800000000000001"/>
    <n v="6.6299999999999998E-2"/>
    <n v="-6.5419999999999998"/>
    <n v="158709"/>
    <n v="2020"/>
    <x v="0"/>
  </r>
  <r>
    <n v="1432"/>
    <n v="105"/>
    <n v="1"/>
    <d v="2020-02-07T00:00:00"/>
    <x v="2"/>
    <s v="Yikes"/>
    <n v="6561188"/>
    <s v="Nicki Minaj"/>
    <n v="22170982"/>
    <s v="dance pop"/>
    <d v="2020-02-07T00:00:00"/>
    <n v="70"/>
    <x v="0"/>
    <n v="0.91100000000000003"/>
    <n v="0.63700000000000001"/>
    <n v="0.44700000000000001"/>
    <n v="4.0899999999999999E-2"/>
    <n v="0.23799999999999999"/>
    <n v="0.66"/>
    <n v="-8.3810000000000002"/>
    <n v="156882"/>
    <n v="2020"/>
    <x v="0"/>
  </r>
  <r>
    <n v="1433"/>
    <n v="66"/>
    <n v="7"/>
    <d v="2020-01-03T00:00:00"/>
    <x v="3"/>
    <s v="Yellow Hearts"/>
    <n v="6554824"/>
    <s v="Ant Saunders"/>
    <n v="82522"/>
    <s v="chill r&amp;b"/>
    <d v="2019-06-18T00:00:00"/>
    <n v="70"/>
    <x v="1"/>
    <n v="0.86599999999999999"/>
    <n v="0.438"/>
    <n v="7.1900000000000006E-2"/>
    <n v="0.17699999999999999"/>
    <n v="7.4300000000000005E-2"/>
    <n v="0.69499999999999995"/>
    <n v="-8.9429999999999996"/>
    <n v="223258"/>
    <n v="2019"/>
    <x v="0"/>
  </r>
  <r>
    <n v="719"/>
    <n v="29"/>
    <n v="2"/>
    <d v="2020-11-27T00:00:00"/>
    <x v="3"/>
    <s v="TE DESEO LO MEJOR"/>
    <n v="6204228"/>
    <s v="Bad Bunny"/>
    <n v="36177712"/>
    <s v="latin"/>
    <d v="2020-11-27T00:00:00"/>
    <n v="70"/>
    <x v="1"/>
    <n v="0.76300000000000001"/>
    <n v="0.59699999999999998"/>
    <n v="4.1599999999999998E-2"/>
    <n v="0.158"/>
    <n v="0.111"/>
    <n v="0.19400000000000001"/>
    <n v="-5.0540000000000003"/>
    <n v="139576"/>
    <n v="2020"/>
    <x v="0"/>
  </r>
  <r>
    <n v="1009"/>
    <n v="36"/>
    <n v="2"/>
    <d v="2020-07-10T00:00:00"/>
    <x v="4"/>
    <s v="Fighting Demons"/>
    <n v="5946573"/>
    <s v="Juice WRLD"/>
    <n v="19102888"/>
    <s v="chicago rap"/>
    <d v="2020-07-10T00:00:00"/>
    <n v="70"/>
    <x v="0"/>
    <n v="0.70699999999999996"/>
    <n v="0.67"/>
    <n v="0.25700000000000001"/>
    <n v="8.1299999999999997E-2"/>
    <n v="9.8000000000000004E-2"/>
    <n v="0.23499999999999999"/>
    <n v="-6.3280000000000003"/>
    <n v="200629"/>
    <n v="2020"/>
    <x v="0"/>
  </r>
  <r>
    <n v="790"/>
    <n v="38"/>
    <n v="2"/>
    <d v="2020-10-30T00:00:00"/>
    <x v="2"/>
    <s v="safety net (feat. Ty Dolla $ign)"/>
    <n v="5798744"/>
    <s v="Ariana Grande"/>
    <n v="67208170"/>
    <s v="dance pop"/>
    <d v="2020-10-30T00:00:00"/>
    <n v="70"/>
    <x v="1"/>
    <n v="0.55200000000000005"/>
    <n v="0.59899999999999998"/>
    <n v="4.0399999999999998E-2"/>
    <n v="7.0300000000000001E-2"/>
    <n v="9.8599999999999993E-2"/>
    <n v="9.1600000000000001E-2"/>
    <n v="-5.75"/>
    <n v="208457"/>
    <n v="2020"/>
    <x v="0"/>
  </r>
  <r>
    <n v="468"/>
    <n v="44"/>
    <n v="2"/>
    <d v="2021-03-19T00:00:00"/>
    <x v="2"/>
    <s v="2 Much"/>
    <n v="5794583"/>
    <s v="Justin Bieber"/>
    <n v="48544923"/>
    <s v="canadian pop"/>
    <d v="2021-03-19T00:00:00"/>
    <n v="70"/>
    <x v="1"/>
    <n v="0.58299999999999996"/>
    <n v="0.44400000000000001"/>
    <n v="4.5600000000000002E-2"/>
    <n v="0.59299999999999997"/>
    <n v="0.35299999999999998"/>
    <n v="0.16700000000000001"/>
    <n v="-8.6010000000000009"/>
    <n v="152796"/>
    <n v="2021"/>
    <x v="0"/>
  </r>
  <r>
    <n v="1207"/>
    <n v="25"/>
    <n v="6"/>
    <d v="2020-03-27T00:00:00"/>
    <x v="1"/>
    <s v="Turks (feat. Travis Scott)"/>
    <n v="5594561"/>
    <s v="NAV, Gunna"/>
    <n v="2613211"/>
    <s v="canadian hip hop"/>
    <d v="2020-03-27T00:00:00"/>
    <n v="70"/>
    <x v="1"/>
    <n v="0.89300000000000002"/>
    <n v="0.61799999999999999"/>
    <n v="0.112"/>
    <n v="8.2699999999999996E-2"/>
    <n v="0.54200000000000004"/>
    <n v="0.38900000000000001"/>
    <n v="-4.4249999999999998"/>
    <n v="161377"/>
    <n v="2020"/>
    <x v="0"/>
  </r>
  <r>
    <n v="1536"/>
    <n v="38"/>
    <n v="2"/>
    <d v="2019-12-27T00:00:00"/>
    <x v="4"/>
    <s v="WHAT TO DO? (feat. Don Toliver)"/>
    <n v="5586351"/>
    <s v="JACKBOYS, Travis Scott"/>
    <n v="437907"/>
    <s v="rap"/>
    <d v="2019-12-27T00:00:00"/>
    <n v="70"/>
    <x v="1"/>
    <n v="0.64300000000000002"/>
    <n v="0.59399999999999997"/>
    <n v="3.1199999999999999E-2"/>
    <n v="6.9500000000000006E-2"/>
    <n v="0.115"/>
    <n v="0.19500000000000001"/>
    <n v="-5.1909999999999998"/>
    <n v="250142"/>
    <n v="2019"/>
    <x v="0"/>
  </r>
  <r>
    <n v="966"/>
    <n v="13"/>
    <n v="3"/>
    <d v="2020-07-24T00:00:00"/>
    <x v="2"/>
    <s v="mirrorball"/>
    <n v="5564072"/>
    <s v="Taylor Swift"/>
    <n v="42227614"/>
    <s v="pop"/>
    <d v="2020-07-24T00:00:00"/>
    <n v="70"/>
    <x v="1"/>
    <n v="0.55300000000000005"/>
    <n v="0.41299999999999998"/>
    <n v="3.3399999999999999E-2"/>
    <n v="0.68700000000000006"/>
    <n v="5.9400000000000001E-2"/>
    <n v="0.379"/>
    <n v="-10.037000000000001"/>
    <n v="208978"/>
    <n v="2020"/>
    <x v="0"/>
  </r>
  <r>
    <n v="769"/>
    <n v="140"/>
    <n v="5"/>
    <d v="2020-10-30T00:00:00"/>
    <x v="2"/>
    <s v="Enchule"/>
    <n v="5561227"/>
    <s v="Rauw Alejandro"/>
    <n v="6096559"/>
    <s v="puerto rican pop"/>
    <d v="2020-09-18T00:00:00"/>
    <n v="70"/>
    <x v="0"/>
    <n v="0.76300000000000001"/>
    <n v="0.66600000000000004"/>
    <n v="0.19400000000000001"/>
    <n v="0.153"/>
    <n v="0.30099999999999999"/>
    <n v="0.58699999999999997"/>
    <n v="-3.3159999999999998"/>
    <n v="185719"/>
    <n v="2020"/>
    <x v="0"/>
  </r>
  <r>
    <n v="571"/>
    <n v="99"/>
    <n v="3"/>
    <d v="2021-01-15T00:00:00"/>
    <x v="4"/>
    <s v="Ohne Dich"/>
    <n v="5487774"/>
    <s v="KASIMIR1441, badmómzjay, WILDBWOYS"/>
    <n v="197320"/>
    <s v="german alternative rap"/>
    <d v="2021-01-14T00:00:00"/>
    <n v="70"/>
    <x v="1"/>
    <n v="0.80700000000000005"/>
    <n v="0.53500000000000003"/>
    <n v="0.34899999999999998"/>
    <n v="0.191"/>
    <n v="0.125"/>
    <n v="0.92500000000000004"/>
    <n v="-6.5190000000000001"/>
    <n v="125720"/>
    <n v="2021"/>
    <x v="0"/>
  </r>
  <r>
    <n v="725"/>
    <n v="43"/>
    <n v="2"/>
    <d v="2020-11-27T00:00:00"/>
    <x v="3"/>
    <s v="LA DROGA"/>
    <n v="5375449"/>
    <s v="Bad Bunny"/>
    <n v="36177712"/>
    <s v="latin"/>
    <d v="2020-11-27T00:00:00"/>
    <n v="70"/>
    <x v="0"/>
    <n v="0.64300000000000002"/>
    <n v="0.72699999999999998"/>
    <n v="3.8899999999999997E-2"/>
    <n v="4.3900000000000002E-2"/>
    <n v="0.123"/>
    <n v="0.29499999999999998"/>
    <n v="-5.5060000000000002"/>
    <n v="162299"/>
    <n v="2020"/>
    <x v="0"/>
  </r>
  <r>
    <n v="1184"/>
    <n v="130"/>
    <n v="1"/>
    <d v="2020-05-08T00:00:00"/>
    <x v="3"/>
    <s v="Zoo York (feat. Fivio Foreign &amp; Pop Smoke)"/>
    <n v="5368705"/>
    <s v="Lil Tjay"/>
    <n v="3559267"/>
    <s v="brooklyn drill"/>
    <d v="2020-05-08T00:00:00"/>
    <n v="70"/>
    <x v="1"/>
    <n v="0.56499999999999995"/>
    <n v="0.56899999999999995"/>
    <n v="0.379"/>
    <n v="3.5200000000000002E-2"/>
    <n v="0.106"/>
    <n v="0.30299999999999999"/>
    <n v="-6.0839999999999996"/>
    <n v="214825"/>
    <n v="2020"/>
    <x v="0"/>
  </r>
  <r>
    <n v="580"/>
    <n v="90"/>
    <n v="4"/>
    <d v="2021-01-08T00:00:00"/>
    <x v="5"/>
    <s v="Somebody’s Problem"/>
    <n v="5332437"/>
    <s v="Morgan Wallen"/>
    <n v="2147875"/>
    <s v="contemporary country"/>
    <d v="2020-11-20T00:00:00"/>
    <n v="70"/>
    <x v="1"/>
    <n v="0.65700000000000003"/>
    <n v="0.54"/>
    <n v="2.87E-2"/>
    <n v="0.66200000000000003"/>
    <n v="0.123"/>
    <n v="0.625"/>
    <n v="-7.6749999999999998"/>
    <n v="161773"/>
    <n v="2020"/>
    <x v="0"/>
  </r>
  <r>
    <n v="581"/>
    <n v="66"/>
    <n v="2"/>
    <d v="2021-01-15T00:00:00"/>
    <x v="2"/>
    <s v="De Una Vez"/>
    <n v="5186567"/>
    <s v="Selena Gomez"/>
    <n v="28931149"/>
    <s v="dance pop"/>
    <d v="2021-03-12T00:00:00"/>
    <n v="70"/>
    <x v="1"/>
    <n v="0.65900000000000003"/>
    <n v="0.47899999999999998"/>
    <n v="0.2"/>
    <n v="0.152"/>
    <n v="0.26800000000000002"/>
    <n v="3.95E-2"/>
    <n v="-6.79"/>
    <n v="155956"/>
    <n v="2021"/>
    <x v="0"/>
  </r>
  <r>
    <n v="1115"/>
    <n v="134"/>
    <n v="1"/>
    <d v="2020-06-05T00:00:00"/>
    <x v="4"/>
    <s v="Riot"/>
    <n v="5163633"/>
    <s v="XXXTENTACION"/>
    <n v="29566516"/>
    <s v="emo rap"/>
    <d v="2020-06-01T00:00:00"/>
    <n v="70"/>
    <x v="1"/>
    <n v="0.50900000000000001"/>
    <n v="0.54200000000000004"/>
    <n v="0.442"/>
    <n v="1.9E-2"/>
    <n v="0.23"/>
    <n v="0.151"/>
    <n v="-8.0269999999999992"/>
    <n v="78681"/>
    <n v="2020"/>
    <x v="0"/>
  </r>
  <r>
    <n v="597"/>
    <n v="168"/>
    <n v="1"/>
    <d v="2021-01-08T00:00:00"/>
    <x v="5"/>
    <s v="865"/>
    <n v="5160123"/>
    <s v="Morgan Wallen"/>
    <n v="2147875"/>
    <s v="contemporary country"/>
    <d v="2021-01-08T00:00:00"/>
    <n v="70"/>
    <x v="1"/>
    <n v="0.53200000000000003"/>
    <n v="0.58399999999999996"/>
    <n v="2.4799999999999999E-2"/>
    <n v="0.72299999999999998"/>
    <n v="0.10100000000000001"/>
    <n v="0.36699999999999999"/>
    <n v="-5.2539999999999996"/>
    <n v="190680"/>
    <n v="2021"/>
    <x v="0"/>
  </r>
  <r>
    <n v="357"/>
    <n v="199"/>
    <n v="1"/>
    <d v="2021-05-21T00:00:00"/>
    <x v="2"/>
    <s v="10 Years"/>
    <n v="5152139"/>
    <s v="Daði Freyr"/>
    <n v="169137"/>
    <s v="icelandic pop"/>
    <d v="2021-03-13T00:00:00"/>
    <n v="70"/>
    <x v="1"/>
    <n v="0.79800000000000004"/>
    <n v="0.621"/>
    <n v="3.9100000000000003E-2"/>
    <n v="1.41E-2"/>
    <n v="9.2600000000000002E-2"/>
    <n v="0.443"/>
    <n v="-6.9160000000000004"/>
    <n v="166000"/>
    <n v="2021"/>
    <x v="0"/>
  </r>
  <r>
    <n v="1314"/>
    <n v="53"/>
    <n v="12"/>
    <d v="2020-01-03T00:00:00"/>
    <x v="3"/>
    <s v="Whine Up"/>
    <n v="5130783"/>
    <s v="Nicky Jam, Anuel AA"/>
    <n v="14831925"/>
    <s v="latin"/>
    <d v="2019-11-01T00:00:00"/>
    <n v="70"/>
    <x v="0"/>
    <n v="0.81699999999999995"/>
    <n v="0.66500000000000004"/>
    <n v="7.5800000000000006E-2"/>
    <n v="5.4899999999999997E-2"/>
    <n v="0.10299999999999999"/>
    <n v="0.66200000000000003"/>
    <n v="-6.2240000000000002"/>
    <n v="215460"/>
    <n v="2019"/>
    <x v="0"/>
  </r>
  <r>
    <n v="968"/>
    <n v="18"/>
    <n v="3"/>
    <d v="2020-07-24T00:00:00"/>
    <x v="2"/>
    <s v="this is me trying"/>
    <n v="5128412"/>
    <s v="Taylor Swift"/>
    <n v="42227614"/>
    <s v="pop"/>
    <d v="2020-07-24T00:00:00"/>
    <n v="70"/>
    <x v="1"/>
    <n v="0.51500000000000001"/>
    <n v="0.47599999999999998"/>
    <n v="3.2800000000000003E-2"/>
    <n v="0.314"/>
    <n v="0.17100000000000001"/>
    <n v="0.41199999999999998"/>
    <n v="-9.843"/>
    <n v="195097"/>
    <n v="2020"/>
    <x v="0"/>
  </r>
  <r>
    <n v="525"/>
    <n v="185"/>
    <n v="1"/>
    <d v="2021-02-26T00:00:00"/>
    <x v="3"/>
    <s v="Párteme La Cara"/>
    <n v="5079580"/>
    <s v="C. Tangana, Ed Maverick"/>
    <n v="1453875"/>
    <s v="urbano espanol"/>
    <d v="2021-02-26T00:00:00"/>
    <n v="70"/>
    <x v="1"/>
    <n v="0.76100000000000001"/>
    <n v="0.29599999999999999"/>
    <n v="4.8399999999999999E-2"/>
    <n v="0.55100000000000005"/>
    <n v="0.13400000000000001"/>
    <n v="0.57899999999999996"/>
    <n v="-10.220000000000001"/>
    <n v="167867"/>
    <n v="2021"/>
    <x v="0"/>
  </r>
  <r>
    <n v="971"/>
    <n v="20"/>
    <n v="3"/>
    <d v="2020-07-24T00:00:00"/>
    <x v="2"/>
    <s v="illicit affairs"/>
    <n v="5053658"/>
    <s v="Taylor Swift"/>
    <n v="42227614"/>
    <s v="pop"/>
    <d v="2020-07-24T00:00:00"/>
    <n v="70"/>
    <x v="1"/>
    <n v="0.55900000000000005"/>
    <n v="0.31"/>
    <n v="3.3799999999999997E-2"/>
    <n v="0.88100000000000001"/>
    <n v="0.106"/>
    <n v="0.46"/>
    <n v="-10.445"/>
    <n v="190898"/>
    <n v="2020"/>
    <x v="0"/>
  </r>
  <r>
    <n v="1036"/>
    <n v="164"/>
    <n v="1"/>
    <d v="2020-07-10T00:00:00"/>
    <x v="2"/>
    <s v="Monster"/>
    <n v="5030481"/>
    <s v="Red Velvet - IRENE &amp; SEULGI"/>
    <n v="383695"/>
    <s v="k-pop"/>
    <d v="2020-07-06T00:00:00"/>
    <n v="70"/>
    <x v="0"/>
    <n v="0.63100000000000001"/>
    <n v="0.748"/>
    <n v="4.8800000000000003E-2"/>
    <n v="0.21199999999999999"/>
    <n v="0.53700000000000003"/>
    <n v="0.35099999999999998"/>
    <n v="-2.569"/>
    <n v="178413"/>
    <n v="2020"/>
    <x v="0"/>
  </r>
  <r>
    <n v="1157"/>
    <n v="92"/>
    <n v="2"/>
    <d v="2020-05-15T00:00:00"/>
    <x v="3"/>
    <s v="X (with KAROL G)"/>
    <n v="5018592"/>
    <s v="Jonas Brothers"/>
    <n v="5436999"/>
    <s v="boy band"/>
    <d v="2020-05-15T00:00:00"/>
    <n v="70"/>
    <x v="0"/>
    <n v="0.71499999999999997"/>
    <n v="0.82699999999999996"/>
    <n v="6.1699999999999998E-2"/>
    <n v="4.8500000000000001E-2"/>
    <n v="0.32100000000000001"/>
    <n v="0.75"/>
    <n v="-5.09"/>
    <n v="185277"/>
    <n v="2020"/>
    <x v="0"/>
  </r>
  <r>
    <n v="903"/>
    <n v="167"/>
    <n v="1"/>
    <d v="2020-09-11T00:00:00"/>
    <x v="3"/>
    <s v="Máquina do Tempo"/>
    <n v="4938139"/>
    <s v="Matuê"/>
    <n v="3263283"/>
    <s v="r&amp;b brasileiro"/>
    <d v="2020-09-10T00:00:00"/>
    <n v="70"/>
    <x v="0"/>
    <n v="0.629"/>
    <n v="0.72699999999999998"/>
    <n v="4.99E-2"/>
    <n v="6.4699999999999994E-2"/>
    <n v="0.13800000000000001"/>
    <n v="0.13200000000000001"/>
    <n v="-4.3869999999999996"/>
    <n v="230400"/>
    <n v="2020"/>
    <x v="0"/>
  </r>
  <r>
    <n v="600"/>
    <n v="65"/>
    <n v="10"/>
    <d v="2020-11-06T00:00:00"/>
    <x v="3"/>
    <s v="La Luz"/>
    <n v="4906324"/>
    <s v="Sech, J Balvin"/>
    <n v="8766508"/>
    <s v="latin"/>
    <d v="2020-10-31T00:00:00"/>
    <n v="70"/>
    <x v="0"/>
    <n v="0.66500000000000004"/>
    <n v="0.69699999999999995"/>
    <n v="0.154"/>
    <n v="0.42699999999999999"/>
    <n v="0.59899999999999998"/>
    <n v="0.55600000000000005"/>
    <n v="-4.819"/>
    <n v="216747"/>
    <n v="2020"/>
    <x v="0"/>
  </r>
  <r>
    <n v="1276"/>
    <n v="85"/>
    <n v="8"/>
    <d v="2020-02-07T00:00:00"/>
    <x v="3"/>
    <s v="Medusa"/>
    <n v="4901559"/>
    <s v="Jhay Cortez, Anuel AA, J Balvin"/>
    <n v="2435159"/>
    <s v="latin"/>
    <d v="2020-02-05T00:00:00"/>
    <n v="70"/>
    <x v="1"/>
    <n v="0.88600000000000001"/>
    <n v="0.60399999999999998"/>
    <n v="0.20799999999999999"/>
    <n v="0.19400000000000001"/>
    <n v="0.107"/>
    <n v="0.38300000000000001"/>
    <n v="-7.2930000000000001"/>
    <n v="305333"/>
    <n v="2020"/>
    <x v="0"/>
  </r>
  <r>
    <n v="1323"/>
    <n v="19"/>
    <n v="9"/>
    <d v="2020-01-17T00:00:00"/>
    <x v="2"/>
    <s v="Black Swan"/>
    <n v="4802069"/>
    <s v="BTS"/>
    <n v="37151476"/>
    <s v="k-pop"/>
    <d v="2020-02-21T00:00:00"/>
    <n v="70"/>
    <x v="0"/>
    <n v="0.71899999999999997"/>
    <n v="0.75800000000000001"/>
    <n v="8.5099999999999995E-2"/>
    <n v="0.13700000000000001"/>
    <n v="0.129"/>
    <n v="0.49"/>
    <n v="-5.1669999999999998"/>
    <n v="198261"/>
    <n v="2020"/>
    <x v="0"/>
  </r>
  <r>
    <n v="1105"/>
    <n v="79"/>
    <n v="11"/>
    <d v="2020-04-24T00:00:00"/>
    <x v="3"/>
    <s v="Selfish"/>
    <n v="4754830"/>
    <s v="Madison Beer"/>
    <n v="3370013"/>
    <s v="alt z"/>
    <d v="2020-02-14T00:00:00"/>
    <n v="70"/>
    <x v="1"/>
    <n v="0.375"/>
    <n v="0.46100000000000002"/>
    <n v="2.7900000000000001E-2"/>
    <n v="0.627"/>
    <n v="0.38600000000000001"/>
    <n v="0.23300000000000001"/>
    <n v="-6.202"/>
    <n v="223270"/>
    <n v="2020"/>
    <x v="0"/>
  </r>
  <r>
    <n v="1540"/>
    <n v="150"/>
    <n v="2"/>
    <d v="2019-12-27T00:00:00"/>
    <x v="1"/>
    <s v="Roller"/>
    <n v="4732292"/>
    <s v="Apache 207"/>
    <n v="1674348"/>
    <s v="german hip hop"/>
    <d v="2019-10-25T00:00:00"/>
    <n v="70"/>
    <x v="0"/>
    <n v="0.94099999999999995"/>
    <n v="0.75800000000000001"/>
    <n v="0.17"/>
    <n v="2.5600000000000001E-2"/>
    <n v="0.193"/>
    <n v="0.68300000000000005"/>
    <n v="-6.47"/>
    <n v="157093"/>
    <n v="2019"/>
    <x v="0"/>
  </r>
  <r>
    <n v="850"/>
    <n v="81"/>
    <n v="16"/>
    <d v="2020-07-17T00:00:00"/>
    <x v="2"/>
    <s v="PORFA Remix ( Feat. Maluma, Nicky Jam, Sech) - Remix"/>
    <n v="4727923"/>
    <s v="Feid, J Balvin, Justin Quiles"/>
    <n v="613348"/>
    <s v="colombian pop"/>
    <d v="2020-06-26T00:00:00"/>
    <n v="70"/>
    <x v="0"/>
    <n v="0.79300000000000004"/>
    <n v="0.73699999999999999"/>
    <n v="7.85E-2"/>
    <n v="7.6499999999999999E-2"/>
    <n v="7.4700000000000003E-2"/>
    <n v="0.69699999999999995"/>
    <n v="-4.7309999999999999"/>
    <n v="333800"/>
    <n v="2020"/>
    <x v="0"/>
  </r>
  <r>
    <n v="895"/>
    <n v="4"/>
    <n v="20"/>
    <d v="2020-05-08T00:00:00"/>
    <x v="4"/>
    <s v="GOOBA"/>
    <n v="4690955"/>
    <s v="6ix9ine"/>
    <n v="6514102"/>
    <s v="emo rap"/>
    <d v="2020-05-08T00:00:00"/>
    <n v="70"/>
    <x v="0"/>
    <n v="0.61099999999999999"/>
    <n v="0.68799999999999994"/>
    <n v="0.34100000000000003"/>
    <n v="2.64E-2"/>
    <n v="0.251"/>
    <n v="0.39300000000000002"/>
    <n v="-5.6879999999999997"/>
    <n v="132303"/>
    <n v="2020"/>
    <x v="0"/>
  </r>
  <r>
    <n v="1235"/>
    <n v="80"/>
    <n v="3"/>
    <d v="2020-04-03T00:00:00"/>
    <x v="3"/>
    <s v="I'll Wait"/>
    <n v="4674532"/>
    <s v="Kygo, Sasha Alex Sloan"/>
    <n v="7593792"/>
    <s v="edm"/>
    <d v="2020-04-03T00:00:00"/>
    <n v="70"/>
    <x v="0"/>
    <n v="0.61099999999999999"/>
    <n v="0.65100000000000002"/>
    <n v="5.8900000000000001E-2"/>
    <n v="0.14399999999999999"/>
    <n v="0.105"/>
    <n v="0.35099999999999998"/>
    <n v="-6.9729999999999999"/>
    <n v="215361"/>
    <n v="2020"/>
    <x v="0"/>
  </r>
  <r>
    <n v="919"/>
    <n v="82"/>
    <n v="2"/>
    <d v="2020-08-28T00:00:00"/>
    <x v="2"/>
    <s v="THE BADDEST"/>
    <n v="4642057"/>
    <s v="K/DA, (G)I-DLE, Wolftyla, Bea Miller, League of Legends"/>
    <n v="1245965"/>
    <s v="k-pop girl group"/>
    <d v="2020-08-27T00:00:00"/>
    <n v="70"/>
    <x v="0"/>
    <n v="0.67600000000000005"/>
    <n v="0.85699999999999998"/>
    <n v="4.3799999999999999E-2"/>
    <n v="2.1499999999999998E-2"/>
    <n v="0.254"/>
    <n v="0.71699999999999997"/>
    <n v="-4.3680000000000003"/>
    <n v="162600"/>
    <n v="2020"/>
    <x v="0"/>
  </r>
  <r>
    <n v="1003"/>
    <n v="47"/>
    <n v="7"/>
    <d v="2020-06-12T00:00:00"/>
    <x v="1"/>
    <s v="The Bigger Picture"/>
    <n v="4629083"/>
    <s v="Lil Baby"/>
    <n v="7816213"/>
    <s v="atl hip hop"/>
    <d v="2020-06-12T00:00:00"/>
    <n v="70"/>
    <x v="1"/>
    <n v="0.59"/>
    <n v="0.61799999999999999"/>
    <n v="0.33400000000000002"/>
    <n v="1.2699999999999999E-2"/>
    <n v="0.24399999999999999"/>
    <n v="0.153"/>
    <n v="-5.7560000000000002"/>
    <n v="252729"/>
    <n v="2020"/>
    <x v="0"/>
  </r>
  <r>
    <n v="884"/>
    <n v="65"/>
    <n v="5"/>
    <d v="2020-08-28T00:00:00"/>
    <x v="2"/>
    <s v="Blastoff (feat. Juice Wrld &amp; Trippie Redd)"/>
    <n v="4628159"/>
    <s v="Internet Money, Diplo"/>
    <n v="412466"/>
    <s v="pop rap"/>
    <d v="2020-08-29T00:00:00"/>
    <n v="70"/>
    <x v="1"/>
    <n v="0.76100000000000001"/>
    <n v="0.51700000000000002"/>
    <n v="9.2700000000000005E-2"/>
    <n v="0.114"/>
    <n v="0.157"/>
    <n v="0.46"/>
    <n v="-6.9160000000000004"/>
    <n v="174730"/>
    <n v="2020"/>
    <x v="0"/>
  </r>
  <r>
    <n v="927"/>
    <n v="71"/>
    <n v="12"/>
    <d v="2020-07-03T00:00:00"/>
    <x v="3"/>
    <s v="Banana (feat. Shaggy) - DJ FLe - Minisiren Remix"/>
    <n v="4624448"/>
    <s v="Conkarah"/>
    <n v="67074"/>
    <s v="jawaiian"/>
    <d v="2020-05-15T00:00:00"/>
    <n v="70"/>
    <x v="0"/>
    <n v="0.82399999999999995"/>
    <n v="0.85399999999999998"/>
    <n v="0.17699999999999999"/>
    <n v="1.6E-2"/>
    <n v="0.11700000000000001"/>
    <n v="0.89600000000000002"/>
    <n v="-5.3120000000000003"/>
    <n v="210329"/>
    <n v="2020"/>
    <x v="0"/>
  </r>
  <r>
    <n v="1556"/>
    <n v="199"/>
    <n v="1"/>
    <d v="2019-12-27T00:00:00"/>
    <x v="2"/>
    <s v="Lover (Remix) [feat. Shawn Mendes]"/>
    <n v="4595450"/>
    <s v="Taylor Swift"/>
    <n v="42227614"/>
    <s v="pop"/>
    <d v="2019-11-13T00:00:00"/>
    <n v="70"/>
    <x v="1"/>
    <n v="0.44800000000000001"/>
    <n v="0.60299999999999998"/>
    <n v="6.4000000000000001E-2"/>
    <n v="0.433"/>
    <n v="8.6199999999999999E-2"/>
    <n v="0.42199999999999999"/>
    <n v="-7.1760000000000002"/>
    <n v="221307"/>
    <n v="2019"/>
    <x v="0"/>
  </r>
  <r>
    <n v="1068"/>
    <n v="67"/>
    <n v="5"/>
    <d v="2020-06-05T00:00:00"/>
    <x v="2"/>
    <s v="MORE &amp; MORE"/>
    <n v="4592745"/>
    <s v="TWICE"/>
    <n v="9998991"/>
    <s v="k-pop"/>
    <d v="2020-06-01T00:00:00"/>
    <n v="70"/>
    <x v="0"/>
    <n v="0.73899999999999999"/>
    <n v="0.84099999999999997"/>
    <n v="0.06"/>
    <n v="3.1199999999999999E-2"/>
    <n v="0.17299999999999999"/>
    <n v="0.56200000000000006"/>
    <n v="-4.1619999999999999"/>
    <n v="199653"/>
    <n v="2020"/>
    <x v="0"/>
  </r>
  <r>
    <n v="932"/>
    <n v="5"/>
    <n v="11"/>
    <d v="2020-05-29T00:00:00"/>
    <x v="2"/>
    <s v="Sour Candy (with BLACKPINK)"/>
    <n v="4556900"/>
    <s v="Lady Gaga"/>
    <n v="18585963"/>
    <s v="dance pop"/>
    <d v="2020-05-28T00:00:00"/>
    <n v="70"/>
    <x v="0"/>
    <n v="0.752"/>
    <n v="0.87"/>
    <n v="6.2300000000000001E-2"/>
    <n v="6.0400000000000002E-2"/>
    <n v="0.48899999999999999"/>
    <n v="0.78400000000000003"/>
    <n v="-3.8119999999999998"/>
    <n v="157707"/>
    <n v="2020"/>
    <x v="0"/>
  </r>
  <r>
    <n v="1244"/>
    <n v="30"/>
    <n v="9"/>
    <d v="2020-02-14T00:00:00"/>
    <x v="2"/>
    <s v="To Die For"/>
    <n v="4527835"/>
    <s v="Sam Smith"/>
    <n v="17097317"/>
    <s v="dance pop"/>
    <d v="2020-02-14T00:00:00"/>
    <n v="70"/>
    <x v="1"/>
    <n v="0.48299999999999998"/>
    <n v="0.36099999999999999"/>
    <n v="7.3800000000000004E-2"/>
    <n v="0.83199999999999996"/>
    <n v="9.8000000000000004E-2"/>
    <n v="0.307"/>
    <n v="-7.8890000000000002"/>
    <n v="193795"/>
    <n v="2020"/>
    <x v="0"/>
  </r>
  <r>
    <n v="1214"/>
    <n v="103"/>
    <n v="4"/>
    <d v="2020-04-17T00:00:00"/>
    <x v="2"/>
    <s v="Por Primera Vez"/>
    <n v="4478685"/>
    <s v="Camilo, Evaluna Montaner"/>
    <n v="10580764"/>
    <s v="colombian pop"/>
    <d v="2020-03-09T00:00:00"/>
    <n v="70"/>
    <x v="1"/>
    <n v="0.71599999999999997"/>
    <n v="0.58799999999999997"/>
    <n v="0.11600000000000001"/>
    <n v="0.152"/>
    <n v="8.4699999999999998E-2"/>
    <n v="0.70699999999999996"/>
    <n v="-3.952"/>
    <n v="183547"/>
    <n v="2020"/>
    <x v="0"/>
  </r>
  <r>
    <n v="1217"/>
    <n v="139"/>
    <n v="8"/>
    <d v="2020-03-13T00:00:00"/>
    <x v="2"/>
    <s v="Fantasias - Remix"/>
    <n v="4401019"/>
    <s v="Rauw Alejandro, Anuel AA, Natti Natasha, Farruko, Lunay"/>
    <n v="6096559"/>
    <s v="puerto rican pop"/>
    <d v="2020-03-06T00:00:00"/>
    <n v="70"/>
    <x v="0"/>
    <n v="0.81599999999999995"/>
    <n v="0.72"/>
    <n v="6.8400000000000002E-2"/>
    <n v="0.20599999999999999"/>
    <n v="0.27700000000000002"/>
    <n v="0.78"/>
    <n v="-4.4539999999999997"/>
    <n v="267242"/>
    <n v="2020"/>
    <x v="0"/>
  </r>
  <r>
    <n v="1247"/>
    <n v="190"/>
    <n v="2"/>
    <d v="2020-04-03T00:00:00"/>
    <x v="4"/>
    <s v="Heart On Ice"/>
    <n v="4324610"/>
    <s v="Rod Wave"/>
    <n v="2203386"/>
    <s v="florida rap"/>
    <d v="2019-06-14T00:00:00"/>
    <n v="70"/>
    <x v="1"/>
    <n v="0.73299999999999998"/>
    <n v="0.38900000000000001"/>
    <n v="7.3800000000000004E-2"/>
    <n v="5.1299999999999998E-2"/>
    <n v="0.14099999999999999"/>
    <n v="0.24399999999999999"/>
    <n v="-8.468"/>
    <n v="159670"/>
    <n v="2019"/>
    <x v="0"/>
  </r>
  <r>
    <n v="430"/>
    <n v="54"/>
    <n v="1"/>
    <d v="2021-04-09T00:00:00"/>
    <x v="2"/>
    <s v="Fearless (Taylor’s Version)"/>
    <n v="9676024"/>
    <s v="Taylor Swift"/>
    <n v="42227614"/>
    <s v="pop"/>
    <d v="2021-04-09T00:00:00"/>
    <n v="69"/>
    <x v="0"/>
    <n v="0.56899999999999995"/>
    <n v="0.74099999999999999"/>
    <n v="2.8199999999999999E-2"/>
    <n v="1.2200000000000001E-2"/>
    <n v="0.33300000000000002"/>
    <n v="0.43"/>
    <n v="-4.9630000000000001"/>
    <n v="241592"/>
    <n v="2021"/>
    <x v="1"/>
  </r>
  <r>
    <n v="421"/>
    <n v="75"/>
    <n v="1"/>
    <d v="2021-04-16T00:00:00"/>
    <x v="4"/>
    <s v="Diamonds Dancing (feat. Travis Scott)"/>
    <n v="7515766"/>
    <s v="Young Stoner Life, Young Thug, Gunna"/>
    <n v="61930"/>
    <s v="rap"/>
    <d v="2021-04-16T00:00:00"/>
    <n v="69"/>
    <x v="0"/>
    <n v="0.85099999999999998"/>
    <n v="0.70299999999999996"/>
    <n v="0.30299999999999999"/>
    <n v="9.4900000000000002E-3"/>
    <n v="8.9499999999999996E-2"/>
    <n v="0.59599999999999997"/>
    <n v="-7.351"/>
    <n v="242600"/>
    <n v="2021"/>
    <x v="1"/>
  </r>
  <r>
    <n v="865"/>
    <n v="58"/>
    <n v="4"/>
    <d v="2020-04-17T00:00:00"/>
    <x v="3"/>
    <s v="Gimme Love"/>
    <n v="7471309"/>
    <s v="Joji"/>
    <n v="4759367"/>
    <s v="alternative r&amp;b"/>
    <d v="2020-04-16T00:00:00"/>
    <n v="69"/>
    <x v="1"/>
    <n v="0.48199999999999998"/>
    <n v="0.63100000000000001"/>
    <n v="9.8599999999999993E-2"/>
    <n v="0.69599999999999995"/>
    <n v="0.20899999999999999"/>
    <n v="7.4300000000000005E-2"/>
    <n v="-6.9169999999999998"/>
    <n v="214558"/>
    <n v="2020"/>
    <x v="1"/>
  </r>
  <r>
    <n v="746"/>
    <n v="105"/>
    <n v="1"/>
    <d v="2020-11-20T00:00:00"/>
    <x v="1"/>
    <s v="Baby (with J Balvin)"/>
    <n v="7276896"/>
    <s v="Sfera Ebbasta"/>
    <n v="4430628"/>
    <s v="italian hip hop"/>
    <d v="2020-12-18T00:00:00"/>
    <n v="69"/>
    <x v="0"/>
    <n v="0.755"/>
    <n v="0.88200000000000001"/>
    <n v="5.3199999999999997E-2"/>
    <n v="0.125"/>
    <n v="0.10299999999999999"/>
    <n v="0.60599999999999998"/>
    <n v="-1.9570000000000001"/>
    <n v="193555"/>
    <n v="2020"/>
    <x v="1"/>
  </r>
  <r>
    <n v="1388"/>
    <n v="104"/>
    <n v="1"/>
    <d v="2020-02-21T00:00:00"/>
    <x v="2"/>
    <s v="Outro : Ego"/>
    <n v="6857808"/>
    <s v="BTS"/>
    <n v="37151476"/>
    <s v="k-pop"/>
    <d v="2020-02-21T00:00:00"/>
    <n v="69"/>
    <x v="0"/>
    <n v="0.80800000000000005"/>
    <n v="0.90300000000000002"/>
    <n v="9.5799999999999996E-2"/>
    <n v="1.21E-2"/>
    <n v="9.9299999999999999E-2"/>
    <n v="0.47299999999999998"/>
    <n v="-3.1059999999999999"/>
    <n v="196199"/>
    <n v="2020"/>
    <x v="1"/>
  </r>
  <r>
    <n v="1302"/>
    <n v="70"/>
    <n v="3"/>
    <d v="2020-02-28T00:00:00"/>
    <x v="3"/>
    <s v="Hablamos Mañana"/>
    <n v="6105711"/>
    <s v="Bad Bunny, Duki, Pablo Chill-E"/>
    <n v="36177712"/>
    <s v="latin"/>
    <d v="2020-02-29T00:00:00"/>
    <n v="69"/>
    <x v="0"/>
    <n v="0.68300000000000005"/>
    <n v="0.67700000000000005"/>
    <n v="4.6899999999999997E-2"/>
    <n v="8.6900000000000005E-2"/>
    <n v="9.98E-2"/>
    <n v="0.51400000000000001"/>
    <n v="-4.4960000000000004"/>
    <n v="240253"/>
    <n v="2020"/>
    <x v="1"/>
  </r>
  <r>
    <n v="1534"/>
    <n v="36"/>
    <n v="2"/>
    <d v="2019-12-27T00:00:00"/>
    <x v="4"/>
    <s v="GANG GANG"/>
    <n v="5898484"/>
    <s v="JACKBOYS, Sheck Wes"/>
    <n v="437907"/>
    <s v="rap"/>
    <d v="2019-12-27T00:00:00"/>
    <n v="69"/>
    <x v="1"/>
    <n v="0.85899999999999999"/>
    <n v="0.6"/>
    <n v="0.30099999999999999"/>
    <n v="7.0999999999999994E-2"/>
    <n v="0.35299999999999998"/>
    <n v="0.56799999999999995"/>
    <n v="-4.63"/>
    <n v="244761"/>
    <n v="2019"/>
    <x v="1"/>
  </r>
  <r>
    <n v="533"/>
    <n v="144"/>
    <n v="1"/>
    <d v="2021-02-19T00:00:00"/>
    <x v="1"/>
    <s v="CLOUDS"/>
    <n v="5897983"/>
    <s v="NF"/>
    <n v="5831194"/>
    <s v="hip hop"/>
    <d v="2021-02-18T00:00:00"/>
    <n v="69"/>
    <x v="0"/>
    <n v="0.79300000000000004"/>
    <n v="0.65"/>
    <n v="0.39700000000000002"/>
    <n v="0.371"/>
    <n v="0.85399999999999998"/>
    <n v="0.80900000000000005"/>
    <n v="-3.944"/>
    <n v="243750"/>
    <n v="2021"/>
    <x v="1"/>
  </r>
  <r>
    <n v="467"/>
    <n v="49"/>
    <n v="2"/>
    <d v="2021-03-19T00:00:00"/>
    <x v="2"/>
    <s v="Deserve You"/>
    <n v="5837372"/>
    <s v="Justin Bieber"/>
    <n v="48544923"/>
    <s v="canadian pop"/>
    <d v="2021-03-19T00:00:00"/>
    <n v="69"/>
    <x v="1"/>
    <n v="0.67700000000000005"/>
    <n v="0.63300000000000001"/>
    <n v="7.7100000000000002E-2"/>
    <n v="3.1399999999999997E-2"/>
    <n v="0.112"/>
    <n v="0.40899999999999997"/>
    <n v="-7.8310000000000004"/>
    <n v="187239"/>
    <n v="2021"/>
    <x v="1"/>
  </r>
  <r>
    <n v="1516"/>
    <n v="83"/>
    <n v="3"/>
    <d v="2020-01-03T00:00:00"/>
    <x v="2"/>
    <s v="Up All Night"/>
    <n v="5834918"/>
    <s v="Khalid"/>
    <n v="14190858"/>
    <s v="pop"/>
    <d v="2019-11-14T00:00:00"/>
    <n v="69"/>
    <x v="0"/>
    <n v="0.66500000000000004"/>
    <n v="0.71199999999999997"/>
    <n v="5.2699999999999997E-2"/>
    <n v="1.0300000000000001E-3"/>
    <n v="0.10199999999999999"/>
    <n v="0.66900000000000004"/>
    <n v="-7.5359999999999996"/>
    <n v="157220"/>
    <n v="2019"/>
    <x v="1"/>
  </r>
  <r>
    <n v="397"/>
    <n v="137"/>
    <n v="1"/>
    <d v="2021-04-30T00:00:00"/>
    <x v="3"/>
    <s v="Girl From Rio"/>
    <n v="5768836"/>
    <s v="Anitta"/>
    <n v="10740222"/>
    <s v="funk carioca"/>
    <d v="2021-05-21T00:00:00"/>
    <n v="69"/>
    <x v="1"/>
    <n v="0.73199999999999998"/>
    <n v="0.60399999999999998"/>
    <n v="4.4299999999999999E-2"/>
    <n v="1.12E-2"/>
    <n v="0.219"/>
    <n v="0.73199999999999998"/>
    <n v="-7.4720000000000004"/>
    <n v="195429"/>
    <n v="2021"/>
    <x v="1"/>
  </r>
  <r>
    <n v="1285"/>
    <n v="15"/>
    <n v="3"/>
    <d v="2020-03-06T00:00:00"/>
    <x v="4"/>
    <s v="Baby Pluto"/>
    <n v="5600261"/>
    <s v="Lil Uzi Vert"/>
    <n v="11821805"/>
    <s v="melodic rap"/>
    <d v="2020-03-06T00:00:00"/>
    <n v="69"/>
    <x v="0"/>
    <n v="0.77200000000000002"/>
    <n v="0.63400000000000001"/>
    <n v="0.21199999999999999"/>
    <n v="0.13500000000000001"/>
    <n v="0.432"/>
    <n v="0.67100000000000004"/>
    <n v="-6.101"/>
    <n v="210261"/>
    <n v="2020"/>
    <x v="1"/>
  </r>
  <r>
    <n v="859"/>
    <n v="153"/>
    <n v="1"/>
    <d v="2020-10-02T00:00:00"/>
    <x v="2"/>
    <s v="Lemonade (Feat. Roddy Ricch &amp; Don Toliver) [Remix]"/>
    <n v="5550390"/>
    <s v="Internet Money"/>
    <n v="412466"/>
    <s v="pop rap"/>
    <d v="2020-09-30T00:00:00"/>
    <n v="69"/>
    <x v="1"/>
    <n v="0.83199999999999996"/>
    <n v="0.54900000000000004"/>
    <n v="6.0199999999999997E-2"/>
    <n v="0.16800000000000001"/>
    <n v="0.11"/>
    <n v="0.38400000000000001"/>
    <n v="-8.2590000000000003"/>
    <n v="181496"/>
    <n v="2020"/>
    <x v="1"/>
  </r>
  <r>
    <n v="1305"/>
    <n v="57"/>
    <n v="3"/>
    <d v="2020-02-28T00:00:00"/>
    <x v="3"/>
    <s v="Que Malo"/>
    <n v="5544180"/>
    <s v="Bad Bunny, Ñengo Flow"/>
    <n v="36177712"/>
    <s v="latin"/>
    <d v="2020-02-29T00:00:00"/>
    <n v="69"/>
    <x v="0"/>
    <n v="0.80200000000000005"/>
    <n v="0.78700000000000003"/>
    <n v="5.9900000000000002E-2"/>
    <n v="8.3199999999999996E-2"/>
    <n v="0.153"/>
    <n v="0.44600000000000001"/>
    <n v="-6.181"/>
    <n v="167975"/>
    <n v="2020"/>
    <x v="1"/>
  </r>
  <r>
    <n v="872"/>
    <n v="151"/>
    <n v="1"/>
    <d v="2020-09-25T00:00:00"/>
    <x v="3"/>
    <s v="Sanctuary"/>
    <n v="5482390"/>
    <s v="Joji"/>
    <n v="4759367"/>
    <s v="alternative r&amp;b"/>
    <d v="2019-06-14T00:00:00"/>
    <n v="69"/>
    <x v="0"/>
    <n v="0.55200000000000005"/>
    <n v="0.65"/>
    <n v="0.128"/>
    <n v="0.42199999999999999"/>
    <n v="0.372"/>
    <n v="0.316"/>
    <n v="-7.1989999999999998"/>
    <n v="180019"/>
    <n v="2019"/>
    <x v="1"/>
  </r>
  <r>
    <n v="967"/>
    <n v="15"/>
    <n v="3"/>
    <d v="2020-07-24T00:00:00"/>
    <x v="2"/>
    <s v="seven"/>
    <n v="5459423"/>
    <s v="Taylor Swift"/>
    <n v="42227614"/>
    <s v="pop"/>
    <d v="2020-07-24T00:00:00"/>
    <n v="69"/>
    <x v="1"/>
    <n v="0.59599999999999997"/>
    <n v="0.48799999999999999"/>
    <n v="2.7400000000000001E-2"/>
    <n v="0.9"/>
    <n v="9.0999999999999998E-2"/>
    <n v="0.41499999999999998"/>
    <n v="-10.769"/>
    <n v="208907"/>
    <n v="2020"/>
    <x v="1"/>
  </r>
  <r>
    <n v="1308"/>
    <n v="60"/>
    <n v="3"/>
    <d v="2020-02-28T00:00:00"/>
    <x v="3"/>
    <s v="La Zona"/>
    <n v="5440382"/>
    <s v="Bad Bunny"/>
    <n v="36177712"/>
    <s v="latin"/>
    <d v="2020-02-29T00:00:00"/>
    <n v="69"/>
    <x v="0"/>
    <n v="0.76200000000000001"/>
    <n v="0.80100000000000005"/>
    <n v="4.0899999999999999E-2"/>
    <n v="0.2"/>
    <n v="0.254"/>
    <n v="0.81"/>
    <n v="-3.661"/>
    <n v="136893"/>
    <n v="2020"/>
    <x v="1"/>
  </r>
  <r>
    <n v="471"/>
    <n v="61"/>
    <n v="2"/>
    <d v="2021-03-19T00:00:00"/>
    <x v="2"/>
    <s v="Loved By You (feat. Burna Boy)"/>
    <n v="5419040"/>
    <s v="Justin Bieber"/>
    <n v="48544923"/>
    <s v="canadian pop"/>
    <d v="2021-03-19T00:00:00"/>
    <n v="69"/>
    <x v="0"/>
    <n v="0.79"/>
    <n v="0.72399999999999998"/>
    <n v="8.5199999999999998E-2"/>
    <n v="6.9599999999999995E-2"/>
    <n v="0.113"/>
    <n v="0.64200000000000002"/>
    <n v="-6.9720000000000004"/>
    <n v="159250"/>
    <n v="2021"/>
    <x v="1"/>
  </r>
  <r>
    <n v="1011"/>
    <n v="44"/>
    <n v="2"/>
    <d v="2020-07-10T00:00:00"/>
    <x v="4"/>
    <s v="Screw Juice"/>
    <n v="5394197"/>
    <s v="Juice WRLD"/>
    <n v="19102888"/>
    <s v="chicago rap"/>
    <d v="2020-07-10T00:00:00"/>
    <n v="69"/>
    <x v="1"/>
    <n v="0.59499999999999997"/>
    <n v="0.52800000000000002"/>
    <n v="9.35E-2"/>
    <n v="8.2000000000000003E-2"/>
    <n v="0.14199999999999999"/>
    <n v="0.51500000000000001"/>
    <n v="-7.3710000000000004"/>
    <n v="179464"/>
    <n v="2020"/>
    <x v="1"/>
  </r>
  <r>
    <n v="792"/>
    <n v="42"/>
    <n v="2"/>
    <d v="2020-10-30T00:00:00"/>
    <x v="2"/>
    <s v="nasty"/>
    <n v="5249342"/>
    <s v="Ariana Grande"/>
    <n v="67208170"/>
    <s v="dance pop"/>
    <d v="2020-10-30T00:00:00"/>
    <n v="69"/>
    <x v="1"/>
    <n v="0.77200000000000002"/>
    <n v="0.50600000000000001"/>
    <n v="0.13900000000000001"/>
    <n v="8.14E-2"/>
    <n v="0.182"/>
    <n v="0.45600000000000002"/>
    <n v="-6.5579999999999998"/>
    <n v="200733"/>
    <n v="2020"/>
    <x v="1"/>
  </r>
  <r>
    <n v="1209"/>
    <n v="29"/>
    <n v="15"/>
    <d v="2020-01-24T00:00:00"/>
    <x v="1"/>
    <s v="What If I Told You That I Love You"/>
    <n v="5234645"/>
    <s v="Ali Gatie"/>
    <n v="1758300"/>
    <s v="canadian hip hop"/>
    <d v="2021-03-26T00:00:00"/>
    <n v="69"/>
    <x v="1"/>
    <n v="0.59599999999999997"/>
    <n v="0.36599999999999999"/>
    <n v="0.115"/>
    <n v="0.63"/>
    <n v="5.5399999999999998E-2"/>
    <n v="0.22900000000000001"/>
    <n v="-11.144"/>
    <n v="193668"/>
    <n v="2021"/>
    <x v="1"/>
  </r>
  <r>
    <n v="354"/>
    <n v="195"/>
    <n v="1"/>
    <d v="2021-05-21T00:00:00"/>
    <x v="3"/>
    <s v="Tout l'univers"/>
    <n v="5174437"/>
    <s v="Gjon's Tears"/>
    <n v="32257"/>
    <m/>
    <d v="2021-03-10T00:00:00"/>
    <n v="69"/>
    <x v="1"/>
    <n v="0.53400000000000003"/>
    <n v="0.36499999999999999"/>
    <n v="3.3000000000000002E-2"/>
    <n v="0.81"/>
    <n v="0.158"/>
    <n v="0.23699999999999999"/>
    <n v="-9.1869999999999994"/>
    <n v="183707"/>
    <n v="2021"/>
    <x v="1"/>
  </r>
  <r>
    <n v="1013"/>
    <n v="45"/>
    <n v="2"/>
    <d v="2020-07-10T00:00:00"/>
    <x v="4"/>
    <s v="I Want It"/>
    <n v="5137482"/>
    <s v="Juice WRLD"/>
    <n v="19102888"/>
    <s v="chicago rap"/>
    <d v="2020-07-10T00:00:00"/>
    <n v="69"/>
    <x v="0"/>
    <n v="0.28799999999999998"/>
    <n v="0.63800000000000001"/>
    <n v="7.7899999999999997E-2"/>
    <n v="0.13300000000000001"/>
    <n v="0.14000000000000001"/>
    <n v="0.14699999999999999"/>
    <n v="-6.9349999999999996"/>
    <n v="173114"/>
    <n v="2020"/>
    <x v="1"/>
  </r>
  <r>
    <n v="831"/>
    <n v="35"/>
    <n v="3"/>
    <d v="2020-10-02T00:00:00"/>
    <x v="2"/>
    <s v="Love To Hate Me"/>
    <n v="5125708"/>
    <s v="BLACKPINK"/>
    <n v="23848461"/>
    <s v="k-pop"/>
    <d v="2020-10-02T00:00:00"/>
    <n v="69"/>
    <x v="0"/>
    <n v="0.68600000000000005"/>
    <n v="0.64"/>
    <n v="0.159"/>
    <n v="3.3399999999999999E-2"/>
    <n v="8.0100000000000005E-2"/>
    <n v="0.59699999999999998"/>
    <n v="-5.4909999999999997"/>
    <n v="171798"/>
    <n v="2020"/>
    <x v="1"/>
  </r>
  <r>
    <n v="1427"/>
    <n v="187"/>
    <n v="1"/>
    <d v="2020-02-14T00:00:00"/>
    <x v="3"/>
    <s v="Lost In Yesterday"/>
    <n v="5096624"/>
    <s v="Tame Impala"/>
    <n v="5064200"/>
    <s v="australian psych"/>
    <d v="2020-02-14T00:00:00"/>
    <n v="69"/>
    <x v="0"/>
    <n v="0.56899999999999995"/>
    <n v="0.84"/>
    <n v="0.11799999999999999"/>
    <n v="2.9499999999999998E-2"/>
    <n v="9.9500000000000005E-2"/>
    <n v="0.749"/>
    <n v="-4.1230000000000002"/>
    <n v="249587"/>
    <n v="2020"/>
    <x v="1"/>
  </r>
  <r>
    <n v="970"/>
    <n v="157"/>
    <n v="1"/>
    <d v="2020-08-07T00:00:00"/>
    <x v="1"/>
    <s v="BLIND (feat. Young Thug)"/>
    <n v="5074613"/>
    <s v="DaBaby"/>
    <n v="7601122"/>
    <s v="north carolina hip hop"/>
    <d v="2020-08-04T00:00:00"/>
    <n v="69"/>
    <x v="0"/>
    <n v="0.70899999999999996"/>
    <n v="0.67900000000000005"/>
    <n v="0.34599999999999997"/>
    <n v="1.15E-2"/>
    <n v="9.7100000000000006E-2"/>
    <n v="0.754"/>
    <n v="-6.5030000000000001"/>
    <n v="153467"/>
    <n v="2020"/>
    <x v="1"/>
  </r>
  <r>
    <n v="573"/>
    <n v="55"/>
    <n v="4"/>
    <d v="2021-01-15T00:00:00"/>
    <x v="2"/>
    <s v="Vibez"/>
    <n v="5071718"/>
    <s v="ZAYN"/>
    <n v="16655692"/>
    <s v="dance pop"/>
    <d v="2021-01-08T00:00:00"/>
    <n v="69"/>
    <x v="0"/>
    <n v="0.63500000000000001"/>
    <n v="0.65900000000000003"/>
    <n v="0.11600000000000001"/>
    <n v="0.24199999999999999"/>
    <n v="0.105"/>
    <n v="0.34"/>
    <n v="-7.4989999999999997"/>
    <n v="163127"/>
    <n v="2021"/>
    <x v="1"/>
  </r>
  <r>
    <n v="779"/>
    <n v="25"/>
    <n v="3"/>
    <d v="2020-10-30T00:00:00"/>
    <x v="2"/>
    <s v="just like magic"/>
    <n v="4980571"/>
    <s v="Ariana Grande"/>
    <n v="67208170"/>
    <s v="dance pop"/>
    <d v="2020-10-30T00:00:00"/>
    <n v="69"/>
    <x v="1"/>
    <n v="0.71899999999999997"/>
    <n v="0.60699999999999998"/>
    <n v="0.16500000000000001"/>
    <n v="0.08"/>
    <n v="0.125"/>
    <n v="0.46400000000000002"/>
    <n v="-5.1559999999999997"/>
    <n v="149900"/>
    <n v="2020"/>
    <x v="1"/>
  </r>
  <r>
    <n v="1186"/>
    <n v="71"/>
    <n v="2"/>
    <d v="2020-05-01T00:00:00"/>
    <x v="3"/>
    <s v="Qué Maldición"/>
    <n v="4971559"/>
    <s v="Banda MS de Sergio Lizárraga, Snoop Dogg"/>
    <n v="12140496"/>
    <s v="banda"/>
    <d v="2020-05-01T00:00:00"/>
    <n v="69"/>
    <x v="1"/>
    <n v="0.755"/>
    <n v="0.53100000000000003"/>
    <n v="0.19600000000000001"/>
    <n v="0.21299999999999999"/>
    <n v="0.13"/>
    <n v="0.68300000000000005"/>
    <n v="-8.0510000000000002"/>
    <n v="203360"/>
    <n v="2020"/>
    <x v="1"/>
  </r>
  <r>
    <n v="846"/>
    <n v="53"/>
    <n v="2"/>
    <d v="2020-10-02T00:00:00"/>
    <x v="1"/>
    <s v="Glock In My Lap"/>
    <n v="4947593"/>
    <s v="21 Savage, Metro Boomin"/>
    <n v="9949044"/>
    <s v="atl hip hop"/>
    <d v="2020-10-02T00:00:00"/>
    <n v="69"/>
    <x v="0"/>
    <n v="0.84699999999999998"/>
    <n v="0.73299999999999998"/>
    <n v="0.16"/>
    <n v="5.7400000000000003E-3"/>
    <n v="0.151"/>
    <n v="0.20200000000000001"/>
    <n v="-6.4390000000000001"/>
    <n v="193591"/>
    <n v="2020"/>
    <x v="1"/>
  </r>
  <r>
    <n v="551"/>
    <n v="167"/>
    <n v="2"/>
    <d v="2021-02-05T00:00:00"/>
    <x v="3"/>
    <s v="Earned It (Fifty Shades Of Grey)"/>
    <n v="4929647"/>
    <s v="The Weeknd"/>
    <n v="35340069"/>
    <s v="canadian contemporary r&amp;b"/>
    <d v="2015-08-28T00:00:00"/>
    <n v="69"/>
    <x v="1"/>
    <n v="0.65900000000000003"/>
    <n v="0.29099999999999998"/>
    <n v="3.4799999999999998E-2"/>
    <n v="0.40500000000000003"/>
    <n v="7.7100000000000002E-2"/>
    <n v="0.40600000000000003"/>
    <n v="-8.2750000000000004"/>
    <n v="277680"/>
    <n v="2015"/>
    <x v="1"/>
  </r>
  <r>
    <n v="1465"/>
    <n v="106"/>
    <n v="6"/>
    <d v="2020-01-03T00:00:00"/>
    <x v="2"/>
    <s v="Liar"/>
    <n v="4896939"/>
    <s v="Camila Cabello"/>
    <n v="22698747"/>
    <s v="dance pop"/>
    <d v="2019-09-04T00:00:00"/>
    <n v="69"/>
    <x v="1"/>
    <n v="0.74"/>
    <n v="0.498"/>
    <n v="4.5600000000000002E-2"/>
    <n v="1.6899999999999998E-2"/>
    <n v="0.31900000000000001"/>
    <n v="0.65200000000000002"/>
    <n v="-6.6840000000000002"/>
    <n v="207039"/>
    <n v="2019"/>
    <x v="1"/>
  </r>
  <r>
    <n v="939"/>
    <n v="106"/>
    <n v="4"/>
    <d v="2020-07-31T00:00:00"/>
    <x v="2"/>
    <s v="My Oasis (feat. Burna Boy)"/>
    <n v="4887204"/>
    <s v="Sam Smith"/>
    <n v="17097317"/>
    <s v="dance pop"/>
    <d v="2020-07-30T00:00:00"/>
    <n v="69"/>
    <x v="1"/>
    <n v="0.69099999999999995"/>
    <n v="0.47399999999999998"/>
    <n v="5.8299999999999998E-2"/>
    <n v="0.56899999999999995"/>
    <n v="9.9000000000000005E-2"/>
    <n v="0.38100000000000001"/>
    <n v="-8.7420000000000009"/>
    <n v="179917"/>
    <n v="2020"/>
    <x v="1"/>
  </r>
  <r>
    <n v="835"/>
    <n v="109"/>
    <n v="2"/>
    <d v="2020-10-09T00:00:00"/>
    <x v="2"/>
    <s v="Baby, I'm Jealous (feat. Doja Cat)"/>
    <n v="4870203"/>
    <s v="Bebe Rexha"/>
    <n v="6569150"/>
    <s v="dance pop"/>
    <d v="2020-10-09T00:00:00"/>
    <n v="69"/>
    <x v="0"/>
    <n v="0.73699999999999999"/>
    <n v="0.86699999999999999"/>
    <n v="4.58E-2"/>
    <n v="3.9800000000000002E-2"/>
    <n v="0.32"/>
    <n v="0.50600000000000001"/>
    <n v="-2.2589999999999999"/>
    <n v="175873"/>
    <n v="2020"/>
    <x v="1"/>
  </r>
  <r>
    <n v="604"/>
    <n v="117"/>
    <n v="10"/>
    <d v="2020-12-25T00:00:00"/>
    <x v="3"/>
    <s v="Recairei - Ao Vivo"/>
    <n v="4815342"/>
    <s v="Os Barões Da Pisadinha"/>
    <n v="4281787"/>
    <s v="forro"/>
    <d v="2020-04-17T00:00:00"/>
    <n v="69"/>
    <x v="0"/>
    <n v="0.58199999999999996"/>
    <n v="0.93700000000000006"/>
    <n v="8.5800000000000001E-2"/>
    <n v="0.44900000000000001"/>
    <n v="0.68400000000000005"/>
    <n v="0.93899999999999995"/>
    <n v="-2.1179999999999999"/>
    <n v="166838"/>
    <n v="2020"/>
    <x v="1"/>
  </r>
  <r>
    <n v="1326"/>
    <n v="66"/>
    <n v="3"/>
    <d v="2020-02-28T00:00:00"/>
    <x v="3"/>
    <s v="&lt;3"/>
    <n v="4755477"/>
    <s v="Bad Bunny"/>
    <n v="36177712"/>
    <s v="latin"/>
    <d v="2020-02-29T00:00:00"/>
    <n v="69"/>
    <x v="0"/>
    <n v="0.63100000000000001"/>
    <n v="0.66500000000000004"/>
    <n v="0.22900000000000001"/>
    <n v="0.60199999999999998"/>
    <n v="0.152"/>
    <n v="0.63400000000000001"/>
    <n v="-7.5890000000000004"/>
    <n v="157967"/>
    <n v="2020"/>
    <x v="1"/>
  </r>
  <r>
    <n v="787"/>
    <n v="92"/>
    <n v="10"/>
    <d v="2020-09-18T00:00:00"/>
    <x v="3"/>
    <s v="Don Don"/>
    <n v="4731423"/>
    <s v="Daddy Yankee, Anuel AA, Kendo Kaponi"/>
    <n v="23936368"/>
    <s v="latin"/>
    <d v="2020-09-11T00:00:00"/>
    <n v="69"/>
    <x v="0"/>
    <n v="0.83799999999999997"/>
    <n v="0.81899999999999995"/>
    <n v="0.21099999999999999"/>
    <n v="0.28499999999999998"/>
    <n v="0.224"/>
    <n v="0.65600000000000003"/>
    <n v="-4.681"/>
    <n v="275893"/>
    <n v="2020"/>
    <x v="1"/>
  </r>
  <r>
    <n v="1177"/>
    <n v="179"/>
    <n v="1"/>
    <d v="2020-05-15T00:00:00"/>
    <x v="4"/>
    <s v="Be Something (feat. Lil Baby)"/>
    <n v="4687909"/>
    <s v="Polo G"/>
    <n v="4849204"/>
    <s v="chicago rap"/>
    <d v="2020-05-15T00:00:00"/>
    <n v="69"/>
    <x v="1"/>
    <n v="0.82899999999999996"/>
    <n v="0.52"/>
    <n v="0.29399999999999998"/>
    <n v="2.3199999999999998E-2"/>
    <n v="0.13400000000000001"/>
    <n v="0.248"/>
    <n v="-10.34"/>
    <n v="194118"/>
    <n v="2020"/>
    <x v="1"/>
  </r>
  <r>
    <n v="988"/>
    <n v="179"/>
    <n v="3"/>
    <d v="2020-07-17T00:00:00"/>
    <x v="3"/>
    <s v="Singapur"/>
    <n v="4661170"/>
    <s v="El Alfa, Chael Produciendo"/>
    <n v="1779640"/>
    <s v="dembow"/>
    <d v="2020-05-15T00:00:00"/>
    <n v="69"/>
    <x v="0"/>
    <n v="0.85299999999999998"/>
    <n v="0.90900000000000003"/>
    <n v="0.22900000000000001"/>
    <n v="5.2200000000000003E-2"/>
    <n v="0.129"/>
    <n v="0.80300000000000005"/>
    <n v="-2.4729999999999999"/>
    <n v="178407"/>
    <n v="2020"/>
    <x v="1"/>
  </r>
  <r>
    <n v="1236"/>
    <n v="63"/>
    <n v="6"/>
    <d v="2020-03-13T00:00:00"/>
    <x v="1"/>
    <s v="Oprah’s Bank Account (Lil Yachty &amp; DaBaby feat. Drake)"/>
    <n v="4618744"/>
    <s v="Lil Yachty"/>
    <n v="7358720"/>
    <s v="atl hip hop"/>
    <d v="2020-03-09T00:00:00"/>
    <n v="69"/>
    <x v="1"/>
    <n v="0.83599999999999997"/>
    <n v="0.61699999999999999"/>
    <n v="5.3400000000000003E-2"/>
    <n v="0.17"/>
    <n v="0.31900000000000001"/>
    <n v="0.86599999999999999"/>
    <n v="-4.3630000000000004"/>
    <n v="206702"/>
    <n v="2020"/>
    <x v="1"/>
  </r>
  <r>
    <n v="910"/>
    <n v="142"/>
    <n v="4"/>
    <d v="2020-08-21T00:00:00"/>
    <x v="1"/>
    <s v="Ain't It Different (feat. AJ Tracey &amp; Stormzy)"/>
    <n v="4602336"/>
    <s v="Headie One"/>
    <n v="328877"/>
    <s v="uk hip hop"/>
    <d v="2020-08-20T00:00:00"/>
    <n v="69"/>
    <x v="1"/>
    <n v="0.76700000000000002"/>
    <n v="0.56899999999999995"/>
    <n v="0.216"/>
    <n v="9.8799999999999999E-3"/>
    <n v="0.109"/>
    <n v="0.52400000000000002"/>
    <n v="-6.8049999999999997"/>
    <n v="196363"/>
    <n v="2020"/>
    <x v="1"/>
  </r>
  <r>
    <n v="1145"/>
    <n v="190"/>
    <n v="1"/>
    <d v="2020-05-29T00:00:00"/>
    <x v="1"/>
    <s v="Oprah's Bank Account (Lil Yachty &amp; DaBaby feat. Drake)"/>
    <n v="4598294"/>
    <s v="Lil Yachty"/>
    <n v="7358720"/>
    <s v="atl hip hop"/>
    <d v="2020-03-09T00:00:00"/>
    <n v="69"/>
    <x v="1"/>
    <n v="0.83599999999999997"/>
    <n v="0.61699999999999999"/>
    <n v="5.3400000000000003E-2"/>
    <n v="0.17"/>
    <n v="0.31900000000000001"/>
    <n v="0.86599999999999999"/>
    <n v="-4.3630000000000004"/>
    <n v="206702"/>
    <n v="2020"/>
    <x v="1"/>
  </r>
  <r>
    <n v="931"/>
    <n v="111"/>
    <n v="11"/>
    <d v="2020-07-03T00:00:00"/>
    <x v="3"/>
    <s v="Reggaetonera"/>
    <n v="4564331"/>
    <s v="Anuel AA"/>
    <n v="18306226"/>
    <s v="latin"/>
    <d v="2020-05-29T00:00:00"/>
    <n v="69"/>
    <x v="0"/>
    <n v="0.69399999999999995"/>
    <n v="0.79600000000000004"/>
    <n v="5.6500000000000002E-2"/>
    <n v="0.48"/>
    <n v="0.108"/>
    <n v="0.51500000000000001"/>
    <n v="-4.1639999999999997"/>
    <n v="212312"/>
    <n v="2020"/>
    <x v="1"/>
  </r>
  <r>
    <n v="958"/>
    <n v="176"/>
    <n v="3"/>
    <d v="2020-08-07T00:00:00"/>
    <x v="2"/>
    <s v="Coño"/>
    <n v="4462411"/>
    <s v="Jason Derulo, Puri, Jhorrmountain"/>
    <n v="9778632"/>
    <s v="dance pop"/>
    <d v="2020-07-03T00:00:00"/>
    <n v="69"/>
    <x v="1"/>
    <n v="0.89900000000000002"/>
    <n v="0.52800000000000002"/>
    <n v="0.18099999999999999"/>
    <n v="5.5400000000000002E-4"/>
    <n v="0.105"/>
    <n v="0.45600000000000002"/>
    <n v="-5.4420000000000002"/>
    <n v="111852"/>
    <n v="2020"/>
    <x v="1"/>
  </r>
  <r>
    <n v="959"/>
    <n v="126"/>
    <n v="5"/>
    <d v="2020-07-17T00:00:00"/>
    <x v="3"/>
    <s v="Jolie nana"/>
    <n v="4449437"/>
    <s v="Aya Nakamura"/>
    <n v="2953525"/>
    <s v="basshall"/>
    <d v="2020-11-13T00:00:00"/>
    <n v="69"/>
    <x v="0"/>
    <n v="0.81299999999999994"/>
    <n v="0.64"/>
    <n v="0.27200000000000002"/>
    <n v="0.26900000000000002"/>
    <n v="0.13100000000000001"/>
    <n v="0.48799999999999999"/>
    <n v="-5.9080000000000004"/>
    <n v="147076"/>
    <n v="2020"/>
    <x v="1"/>
  </r>
  <r>
    <n v="1167"/>
    <n v="120"/>
    <n v="7"/>
    <d v="2020-04-17T00:00:00"/>
    <x v="3"/>
    <s v="Sigues Con El - Remix"/>
    <n v="4440738"/>
    <s v="Arcangel, Sech, Romeo Santos"/>
    <n v="6671084"/>
    <s v="latin"/>
    <d v="2020-04-10T00:00:00"/>
    <n v="69"/>
    <x v="0"/>
    <n v="0.747"/>
    <n v="0.69299999999999995"/>
    <n v="0.29799999999999999"/>
    <n v="0.10199999999999999"/>
    <n v="8.72E-2"/>
    <n v="0.73599999999999999"/>
    <n v="-2.97"/>
    <n v="189567"/>
    <n v="2020"/>
    <x v="1"/>
  </r>
  <r>
    <n v="1297"/>
    <n v="55"/>
    <n v="4"/>
    <d v="2020-02-28T00:00:00"/>
    <x v="3"/>
    <s v="Está Cabrón Ser Yo"/>
    <n v="4438261"/>
    <s v="Bad Bunny, Anuel AA"/>
    <n v="36177712"/>
    <s v="latin"/>
    <d v="2020-02-29T00:00:00"/>
    <n v="69"/>
    <x v="0"/>
    <n v="0.81"/>
    <n v="0.85399999999999998"/>
    <n v="0.254"/>
    <n v="7.3200000000000001E-2"/>
    <n v="0.123"/>
    <n v="0.879"/>
    <n v="-3.9990000000000001"/>
    <n v="227939"/>
    <n v="2020"/>
    <x v="1"/>
  </r>
  <r>
    <n v="1258"/>
    <n v="77"/>
    <n v="14"/>
    <d v="2020-02-28T00:00:00"/>
    <x v="1"/>
    <s v="Woah"/>
    <n v="4425610"/>
    <s v="Lil Baby"/>
    <n v="7816213"/>
    <s v="atl hip hop"/>
    <d v="2019-11-08T00:00:00"/>
    <n v="69"/>
    <x v="1"/>
    <n v="0.88200000000000001"/>
    <n v="0.60199999999999998"/>
    <n v="0.245"/>
    <n v="1.77E-2"/>
    <n v="0.17799999999999999"/>
    <n v="0.43"/>
    <n v="-5.5540000000000003"/>
    <n v="183011"/>
    <n v="2019"/>
    <x v="1"/>
  </r>
  <r>
    <n v="1180"/>
    <n v="196"/>
    <n v="1"/>
    <d v="2020-05-15T00:00:00"/>
    <x v="4"/>
    <s v="Excitement"/>
    <n v="4416484"/>
    <s v="Trippie Redd, PARTYNEXTDOOR"/>
    <n v="6434201"/>
    <s v="melodic rap"/>
    <d v="2020-10-30T00:00:00"/>
    <n v="69"/>
    <x v="1"/>
    <n v="0.443"/>
    <n v="0.53600000000000003"/>
    <n v="3.78E-2"/>
    <n v="1.9400000000000001E-2"/>
    <n v="0.1"/>
    <n v="3.9100000000000003E-2"/>
    <n v="-8.1869999999999994"/>
    <n v="283285"/>
    <n v="2020"/>
    <x v="1"/>
  </r>
  <r>
    <n v="1075"/>
    <n v="25"/>
    <n v="9"/>
    <d v="2020-05-15T00:00:00"/>
    <x v="2"/>
    <s v="Say So (feat. Nicki Minaj)"/>
    <n v="4385148"/>
    <s v="Doja Cat"/>
    <n v="8671649"/>
    <s v="dance pop"/>
    <d v="2020-05-01T00:00:00"/>
    <n v="69"/>
    <x v="0"/>
    <n v="0.85599999999999998"/>
    <n v="0.64100000000000001"/>
    <n v="0.20399999999999999"/>
    <n v="0.11899999999999999"/>
    <n v="0.42699999999999999"/>
    <n v="0.745"/>
    <n v="-4.6399999999999997"/>
    <n v="206221"/>
    <n v="2020"/>
    <x v="1"/>
  </r>
  <r>
    <n v="1248"/>
    <n v="194"/>
    <n v="2"/>
    <d v="2020-04-03T00:00:00"/>
    <x v="3"/>
    <s v="La Cama - Remix"/>
    <n v="4261965"/>
    <s v="Lunay, Myke Towers, Ozuna, Chencho Corleone, Rauw Alejandro"/>
    <n v="4963516"/>
    <s v="latin"/>
    <d v="2020-03-27T00:00:00"/>
    <n v="69"/>
    <x v="0"/>
    <n v="0.73699999999999999"/>
    <n v="0.83199999999999996"/>
    <n v="7.9799999999999996E-2"/>
    <n v="0.12"/>
    <n v="0.255"/>
    <n v="0.86499999999999999"/>
    <n v="-2.6219999999999999"/>
    <n v="330240"/>
    <n v="2020"/>
    <x v="1"/>
  </r>
  <r>
    <n v="716"/>
    <n v="104"/>
    <n v="1"/>
    <d v="2020-12-04T00:00:00"/>
    <x v="2"/>
    <s v="Teach Me How To Love"/>
    <n v="7932101"/>
    <s v="Shawn Mendes"/>
    <n v="33893352"/>
    <s v="canadian pop"/>
    <d v="2020-12-04T00:00:00"/>
    <n v="68"/>
    <x v="0"/>
    <n v="0.59199999999999997"/>
    <n v="0.88500000000000001"/>
    <n v="8.0699999999999994E-2"/>
    <n v="5.0500000000000003E-2"/>
    <n v="8.43E-2"/>
    <n v="0.73099999999999998"/>
    <n v="-4.944"/>
    <n v="202357"/>
    <n v="2020"/>
    <x v="1"/>
  </r>
  <r>
    <n v="855"/>
    <n v="84"/>
    <n v="1"/>
    <d v="2020-10-02T00:00:00"/>
    <x v="1"/>
    <s v="Outta Time (feat. Drake)"/>
    <n v="7762934"/>
    <s v="Bryson Tiller"/>
    <n v="5019909"/>
    <s v="kentucky hip hop"/>
    <d v="2020-10-02T00:00:00"/>
    <n v="68"/>
    <x v="1"/>
    <n v="0.71399999999999997"/>
    <n v="0.58199999999999996"/>
    <n v="8.0799999999999997E-2"/>
    <n v="1.29E-2"/>
    <n v="7.7399999999999997E-2"/>
    <n v="0.33800000000000002"/>
    <n v="-7.2720000000000002"/>
    <n v="198822"/>
    <n v="2020"/>
    <x v="1"/>
  </r>
  <r>
    <n v="1389"/>
    <n v="109"/>
    <n v="1"/>
    <d v="2020-02-21T00:00:00"/>
    <x v="2"/>
    <s v="Interlude : Shadow"/>
    <n v="6655856"/>
    <s v="BTS"/>
    <n v="37151476"/>
    <s v="k-pop"/>
    <d v="2020-02-21T00:00:00"/>
    <n v="68"/>
    <x v="0"/>
    <n v="0.38500000000000001"/>
    <n v="0.79800000000000004"/>
    <n v="0.48299999999999998"/>
    <n v="0.115"/>
    <n v="0.18099999999999999"/>
    <n v="0.14099999999999999"/>
    <n v="-6.4390000000000001"/>
    <n v="259821"/>
    <n v="2020"/>
    <x v="1"/>
  </r>
  <r>
    <n v="1252"/>
    <n v="15"/>
    <n v="8"/>
    <d v="2020-02-14T00:00:00"/>
    <x v="2"/>
    <s v="Forever (feat. Post Malone &amp; Clever)"/>
    <n v="6517807"/>
    <s v="Justin Bieber"/>
    <n v="48544923"/>
    <s v="canadian pop"/>
    <d v="2020-02-14T00:00:00"/>
    <n v="68"/>
    <x v="1"/>
    <n v="0.82499999999999996"/>
    <n v="0.48299999999999998"/>
    <n v="0.08"/>
    <n v="0.53800000000000003"/>
    <n v="0.20399999999999999"/>
    <n v="0.89200000000000002"/>
    <n v="-5.7460000000000004"/>
    <n v="219933"/>
    <n v="2020"/>
    <x v="1"/>
  </r>
  <r>
    <n v="1435"/>
    <n v="16"/>
    <n v="7"/>
    <d v="2019-12-27T00:00:00"/>
    <x v="4"/>
    <s v="HIGHEST IN THE ROOM (feat. ROSALÍA &amp; Lil Baby) - REMIX"/>
    <n v="6107499"/>
    <s v="Travis Scott"/>
    <n v="437907"/>
    <s v="rap"/>
    <d v="2019-12-27T00:00:00"/>
    <n v="68"/>
    <x v="1"/>
    <n v="0.55900000000000005"/>
    <n v="0.49099999999999999"/>
    <n v="3.4599999999999999E-2"/>
    <n v="5.67E-2"/>
    <n v="9.9199999999999997E-2"/>
    <n v="0.114"/>
    <n v="-6.4059999999999997"/>
    <n v="244874"/>
    <n v="2019"/>
    <x v="1"/>
  </r>
  <r>
    <n v="1341"/>
    <n v="108"/>
    <n v="3"/>
    <d v="2020-02-21T00:00:00"/>
    <x v="2"/>
    <s v="Modern Loneliness"/>
    <n v="6020508"/>
    <s v="Lauv"/>
    <n v="4442273"/>
    <s v="dance pop"/>
    <d v="2020-03-06T00:00:00"/>
    <n v="68"/>
    <x v="1"/>
    <n v="0.70199999999999996"/>
    <n v="0.50800000000000001"/>
    <n v="3.5000000000000003E-2"/>
    <n v="0.14399999999999999"/>
    <n v="0.108"/>
    <n v="0.14299999999999999"/>
    <n v="-7.1050000000000004"/>
    <n v="252337"/>
    <n v="2020"/>
    <x v="1"/>
  </r>
  <r>
    <n v="556"/>
    <n v="19"/>
    <n v="3"/>
    <d v="2021-01-22T00:00:00"/>
    <x v="2"/>
    <s v="Lo Vas A Olvidar (with ROSALÍA)"/>
    <n v="5963380"/>
    <s v="Billie Eilish"/>
    <n v="47061119"/>
    <s v="electropop"/>
    <d v="2021-01-21T00:00:00"/>
    <n v="68"/>
    <x v="1"/>
    <n v="0.34300000000000003"/>
    <n v="0.24299999999999999"/>
    <n v="7.7700000000000005E-2"/>
    <n v="0.72099999999999997"/>
    <n v="6.6799999999999998E-2"/>
    <n v="3.2000000000000001E-2"/>
    <n v="-14.66"/>
    <n v="203464"/>
    <n v="2021"/>
    <x v="1"/>
  </r>
  <r>
    <n v="532"/>
    <n v="140"/>
    <n v="1"/>
    <d v="2021-02-19T00:00:00"/>
    <x v="1"/>
    <s v="Madonna"/>
    <n v="5936752"/>
    <s v="Bausa, Apache 207"/>
    <n v="961181"/>
    <s v="german hip hop"/>
    <d v="2021-02-26T00:00:00"/>
    <n v="68"/>
    <x v="1"/>
    <n v="0.80600000000000005"/>
    <n v="0.56499999999999995"/>
    <n v="0.113"/>
    <n v="0.47"/>
    <n v="8.2400000000000001E-2"/>
    <n v="0.311"/>
    <n v="-8.9600000000000009"/>
    <n v="195734"/>
    <n v="2021"/>
    <x v="1"/>
  </r>
  <r>
    <n v="720"/>
    <n v="167"/>
    <n v="1"/>
    <d v="2020-12-04T00:00:00"/>
    <x v="1"/>
    <s v="Errbody"/>
    <n v="5929516"/>
    <s v="Lil Baby"/>
    <n v="7816213"/>
    <s v="atl hip hop"/>
    <d v="2020-12-03T00:00:00"/>
    <n v="68"/>
    <x v="1"/>
    <n v="0.88700000000000001"/>
    <n v="0.60599999999999998"/>
    <n v="0.32400000000000001"/>
    <n v="4.0700000000000003E-4"/>
    <n v="0.151"/>
    <n v="0.27200000000000002"/>
    <n v="-6.5720000000000001"/>
    <n v="210699"/>
    <n v="2020"/>
    <x v="1"/>
  </r>
  <r>
    <n v="1517"/>
    <n v="111"/>
    <n v="3"/>
    <d v="2020-01-03T00:00:00"/>
    <x v="2"/>
    <s v="Nice To Meet Ya"/>
    <n v="5730427"/>
    <s v="Niall Horan"/>
    <n v="7564659"/>
    <s v="dance pop"/>
    <d v="2019-10-04T00:00:00"/>
    <n v="68"/>
    <x v="0"/>
    <n v="0.59099999999999997"/>
    <n v="0.84099999999999997"/>
    <n v="3.04E-2"/>
    <n v="1.1900000000000001E-2"/>
    <n v="0.39500000000000002"/>
    <n v="0.39200000000000002"/>
    <n v="-4.351"/>
    <n v="158805"/>
    <n v="2019"/>
    <x v="1"/>
  </r>
  <r>
    <n v="808"/>
    <n v="146"/>
    <n v="1"/>
    <d v="2020-10-30T00:00:00"/>
    <x v="2"/>
    <s v="Thriller"/>
    <n v="5605234"/>
    <s v="Michael Jackson"/>
    <n v="19345579"/>
    <s v="pop"/>
    <d v="2017-09-27T00:00:00"/>
    <n v="68"/>
    <x v="0"/>
    <n v="0.76400000000000001"/>
    <n v="0.88700000000000001"/>
    <n v="7.4399999999999994E-2"/>
    <n v="8.1600000000000006E-2"/>
    <n v="0.84699999999999998"/>
    <n v="0.72"/>
    <n v="-3.726"/>
    <n v="358053"/>
    <n v="2017"/>
    <x v="1"/>
  </r>
  <r>
    <n v="1346"/>
    <n v="53"/>
    <n v="4"/>
    <d v="2020-02-14T00:00:00"/>
    <x v="4"/>
    <s v="Numbers (feat. Roddy Ricch, Gunna and London On Da Track)"/>
    <n v="5487069"/>
    <s v="A Boogie Wit da Hoodie"/>
    <n v="5865895"/>
    <s v="melodic rap"/>
    <d v="2020-02-14T00:00:00"/>
    <n v="68"/>
    <x v="0"/>
    <n v="0.81899999999999995"/>
    <n v="0.65400000000000003"/>
    <n v="0.13600000000000001"/>
    <n v="0.51700000000000002"/>
    <n v="9.9599999999999994E-2"/>
    <n v="0.45500000000000002"/>
    <n v="-6.665"/>
    <n v="188563"/>
    <n v="2020"/>
    <x v="1"/>
  </r>
  <r>
    <n v="860"/>
    <n v="77"/>
    <n v="2"/>
    <d v="2020-09-25T00:00:00"/>
    <x v="3"/>
    <s v="Your Man"/>
    <n v="5233336"/>
    <s v="Joji"/>
    <n v="4759367"/>
    <s v="alternative r&amp;b"/>
    <d v="2020-09-24T00:00:00"/>
    <n v="68"/>
    <x v="0"/>
    <n v="0.78500000000000003"/>
    <n v="0.81799999999999995"/>
    <n v="9.9000000000000005E-2"/>
    <n v="0.624"/>
    <n v="0.14899999999999999"/>
    <n v="5.0299999999999997E-2"/>
    <n v="-8.7110000000000003"/>
    <n v="163759"/>
    <n v="2020"/>
    <x v="1"/>
  </r>
  <r>
    <n v="1353"/>
    <n v="78"/>
    <n v="11"/>
    <d v="2019-12-27T00:00:00"/>
    <x v="3"/>
    <s v="Aventura"/>
    <n v="5206102"/>
    <s v="Lunay, Ozuna, Anuel AA"/>
    <n v="4963516"/>
    <s v="latin"/>
    <d v="2019-10-25T00:00:00"/>
    <n v="68"/>
    <x v="0"/>
    <n v="0.72899999999999998"/>
    <n v="0.72599999999999998"/>
    <n v="4.2200000000000001E-2"/>
    <n v="0.223"/>
    <n v="0.10100000000000001"/>
    <n v="0.876"/>
    <n v="-3.2080000000000002"/>
    <n v="217130"/>
    <n v="2019"/>
    <x v="1"/>
  </r>
  <r>
    <n v="1354"/>
    <n v="12"/>
    <n v="9"/>
    <d v="2020-01-10T00:00:00"/>
    <x v="2"/>
    <s v="Rare"/>
    <n v="5195842"/>
    <s v="Selena Gomez"/>
    <n v="28931149"/>
    <s v="dance pop"/>
    <d v="2020-01-10T00:00:00"/>
    <n v="68"/>
    <x v="1"/>
    <n v="0.83799999999999997"/>
    <n v="0.54500000000000004"/>
    <n v="7.0599999999999996E-2"/>
    <n v="0.20799999999999999"/>
    <n v="0.10299999999999999"/>
    <n v="0.63100000000000001"/>
    <n v="-6.7130000000000001"/>
    <n v="220590"/>
    <n v="2020"/>
    <x v="1"/>
  </r>
  <r>
    <n v="1313"/>
    <n v="81"/>
    <n v="3"/>
    <d v="2020-02-28T00:00:00"/>
    <x v="2"/>
    <s v="The Other Side (from Trolls World Tour)"/>
    <n v="5193927"/>
    <s v="SZA, Justin Timberlake"/>
    <n v="5888533"/>
    <s v="pop"/>
    <d v="2020-02-26T00:00:00"/>
    <n v="68"/>
    <x v="1"/>
    <n v="0.76"/>
    <n v="0.60699999999999998"/>
    <n v="9.64E-2"/>
    <n v="2.7699999999999999E-3"/>
    <n v="0.13200000000000001"/>
    <n v="0.70899999999999996"/>
    <n v="-6.274"/>
    <n v="188187"/>
    <n v="2020"/>
    <x v="1"/>
  </r>
  <r>
    <n v="830"/>
    <n v="68"/>
    <n v="18"/>
    <d v="2020-07-17T00:00:00"/>
    <x v="3"/>
    <s v="Stunnin' (feat. Harm Franklin)"/>
    <n v="5183246"/>
    <s v="Curtis Waters"/>
    <n v="68875"/>
    <m/>
    <d v="2020-10-09T00:00:00"/>
    <n v="68"/>
    <x v="0"/>
    <n v="0.88500000000000001"/>
    <n v="0.68500000000000005"/>
    <n v="6.2700000000000006E-2"/>
    <n v="0.33"/>
    <n v="0.14799999999999999"/>
    <n v="0.93700000000000006"/>
    <n v="-6.4290000000000003"/>
    <n v="144000"/>
    <n v="2020"/>
    <x v="1"/>
  </r>
  <r>
    <n v="832"/>
    <n v="165"/>
    <n v="1"/>
    <d v="2020-10-16T00:00:00"/>
    <x v="1"/>
    <s v="Hate The Way (feat. blackbear)"/>
    <n v="5116071"/>
    <s v="G-Eazy"/>
    <n v="4894656"/>
    <s v="hip hop"/>
    <d v="2020-10-16T00:00:00"/>
    <n v="68"/>
    <x v="0"/>
    <n v="0.56899999999999995"/>
    <n v="0.86499999999999999"/>
    <n v="0.26600000000000001"/>
    <n v="6.7299999999999999E-2"/>
    <n v="0.312"/>
    <n v="0.36099999999999999"/>
    <n v="-3.8439999999999999"/>
    <n v="214363"/>
    <n v="2020"/>
    <x v="1"/>
  </r>
  <r>
    <n v="1524"/>
    <n v="182"/>
    <n v="2"/>
    <d v="2020-01-10T00:00:00"/>
    <x v="4"/>
    <s v="Start Wit Me (feat. Gunna)"/>
    <n v="5085706"/>
    <s v="Roddy Ricch"/>
    <n v="6608815"/>
    <s v="melodic rap"/>
    <d v="2019-12-06T00:00:00"/>
    <n v="68"/>
    <x v="1"/>
    <n v="0.88600000000000001"/>
    <n v="0.47899999999999998"/>
    <n v="0.33400000000000002"/>
    <n v="7.6999999999999999E-2"/>
    <n v="0.13500000000000001"/>
    <n v="0.40799999999999997"/>
    <n v="-8.0540000000000003"/>
    <n v="158692"/>
    <n v="2019"/>
    <x v="1"/>
  </r>
  <r>
    <n v="834"/>
    <n v="32"/>
    <n v="3"/>
    <d v="2020-10-02T00:00:00"/>
    <x v="2"/>
    <s v="Crazy Over You"/>
    <n v="5056387"/>
    <s v="BLACKPINK"/>
    <n v="23848461"/>
    <s v="k-pop"/>
    <d v="2020-10-02T00:00:00"/>
    <n v="68"/>
    <x v="1"/>
    <n v="0.80400000000000005"/>
    <n v="0.63300000000000001"/>
    <n v="6.1199999999999997E-2"/>
    <n v="3.7100000000000001E-2"/>
    <n v="0.10199999999999999"/>
    <n v="0.67"/>
    <n v="-6.1859999999999999"/>
    <n v="163946"/>
    <n v="2020"/>
    <x v="1"/>
  </r>
  <r>
    <n v="609"/>
    <n v="15"/>
    <n v="4"/>
    <d v="2020-12-11T00:00:00"/>
    <x v="2"/>
    <s v="no body, no crime (feat. HAIM)"/>
    <n v="4986214"/>
    <s v="Taylor Swift"/>
    <n v="42227614"/>
    <s v="pop"/>
    <d v="2020-12-11T00:00:00"/>
    <n v="68"/>
    <x v="1"/>
    <n v="0.54600000000000004"/>
    <n v="0.61299999999999999"/>
    <n v="2.64E-2"/>
    <n v="0.41799999999999998"/>
    <n v="0.10299999999999999"/>
    <n v="0.53500000000000003"/>
    <n v="-7.5890000000000004"/>
    <n v="215627"/>
    <n v="2020"/>
    <x v="1"/>
  </r>
  <r>
    <n v="1448"/>
    <n v="51"/>
    <n v="5"/>
    <d v="2020-01-10T00:00:00"/>
    <x v="2"/>
    <s v="Eleven"/>
    <n v="4947780"/>
    <s v="Khalid"/>
    <n v="14190858"/>
    <s v="pop"/>
    <d v="2020-05-01T00:00:00"/>
    <n v="68"/>
    <x v="1"/>
    <n v="0.67900000000000005"/>
    <n v="0.40799999999999997"/>
    <n v="8.8200000000000001E-2"/>
    <n v="0.13300000000000001"/>
    <n v="0.23"/>
    <n v="0.151"/>
    <n v="-9.7539999999999996"/>
    <n v="206080"/>
    <n v="2020"/>
    <x v="1"/>
  </r>
  <r>
    <n v="847"/>
    <n v="49"/>
    <n v="4"/>
    <d v="2020-09-25T00:00:00"/>
    <x v="2"/>
    <s v="Better"/>
    <n v="4933462"/>
    <s v="ZAYN"/>
    <n v="16655692"/>
    <s v="dance pop"/>
    <d v="2020-09-25T00:00:00"/>
    <n v="68"/>
    <x v="1"/>
    <n v="0.63700000000000001"/>
    <n v="0.41799999999999998"/>
    <n v="0.30099999999999999"/>
    <n v="0.35299999999999998"/>
    <n v="0.13100000000000001"/>
    <n v="8.0699999999999994E-2"/>
    <n v="-7.1369999999999996"/>
    <n v="174517"/>
    <n v="2020"/>
    <x v="1"/>
  </r>
  <r>
    <n v="1450"/>
    <n v="117"/>
    <n v="7"/>
    <d v="2020-01-03T00:00:00"/>
    <x v="1"/>
    <s v="Hot (Remix) [feat. Gunna and Travis Scott]"/>
    <n v="4905155"/>
    <s v="Travis Scott, Young Thug"/>
    <n v="3337982"/>
    <s v="atl hip hop"/>
    <d v="2019-11-01T00:00:00"/>
    <n v="68"/>
    <x v="1"/>
    <n v="0.84499999999999997"/>
    <n v="0.63100000000000001"/>
    <n v="0.216"/>
    <n v="0.188"/>
    <n v="8.0600000000000005E-2"/>
    <n v="0.54500000000000004"/>
    <n v="-8.2059999999999995"/>
    <n v="279907"/>
    <n v="2019"/>
    <x v="1"/>
  </r>
  <r>
    <n v="603"/>
    <n v="190"/>
    <n v="1"/>
    <d v="2021-01-08T00:00:00"/>
    <x v="5"/>
    <s v="Warning"/>
    <n v="4860714"/>
    <s v="Morgan Wallen"/>
    <n v="2147875"/>
    <s v="contemporary country"/>
    <d v="2021-01-08T00:00:00"/>
    <n v="68"/>
    <x v="0"/>
    <n v="0.63300000000000001"/>
    <n v="0.66400000000000003"/>
    <n v="2.9399999999999999E-2"/>
    <n v="0.46"/>
    <n v="0.108"/>
    <n v="0.26800000000000002"/>
    <n v="-5.0369999999999999"/>
    <n v="156747"/>
    <n v="2021"/>
    <x v="1"/>
  </r>
  <r>
    <n v="1065"/>
    <n v="52"/>
    <n v="7"/>
    <d v="2020-05-15T00:00:00"/>
    <x v="2"/>
    <s v="Daisies"/>
    <n v="4838067"/>
    <s v="Katy Perry"/>
    <n v="18936929"/>
    <s v="dance pop"/>
    <d v="2020-05-15T00:00:00"/>
    <n v="68"/>
    <x v="1"/>
    <n v="0.63900000000000001"/>
    <n v="0.54600000000000004"/>
    <n v="4.07E-2"/>
    <n v="8.3699999999999997E-2"/>
    <n v="0.122"/>
    <n v="0.14899999999999999"/>
    <n v="-5.3819999999999997"/>
    <n v="173124"/>
    <n v="2020"/>
    <x v="1"/>
  </r>
  <r>
    <n v="1471"/>
    <n v="123"/>
    <n v="6"/>
    <d v="2019-12-27T00:00:00"/>
    <x v="4"/>
    <s v="223's (feat. 9lokknine)"/>
    <n v="4781697"/>
    <s v="YNW Melly"/>
    <n v="6332535"/>
    <s v="melodic rap"/>
    <d v="2019-08-09T00:00:00"/>
    <n v="68"/>
    <x v="1"/>
    <n v="0.93200000000000005"/>
    <n v="0.54700000000000004"/>
    <n v="0.33300000000000002"/>
    <n v="3.8800000000000001E-2"/>
    <n v="9.2399999999999996E-2"/>
    <n v="0.69499999999999995"/>
    <n v="-7.7869999999999999"/>
    <n v="176640"/>
    <n v="2019"/>
    <x v="1"/>
  </r>
  <r>
    <n v="1117"/>
    <n v="27"/>
    <n v="8"/>
    <d v="2020-04-17T00:00:00"/>
    <x v="2"/>
    <s v="I’m Ready (with Demi Lovato)"/>
    <n v="4764355"/>
    <s v="Sam Smith"/>
    <n v="17097317"/>
    <s v="dance pop"/>
    <d v="2020-04-16T00:00:00"/>
    <n v="68"/>
    <x v="0"/>
    <n v="0.501"/>
    <n v="0.67400000000000004"/>
    <n v="4.0800000000000003E-2"/>
    <n v="3.46E-3"/>
    <n v="0.28199999999999997"/>
    <n v="0.152"/>
    <n v="-6.3630000000000004"/>
    <n v="200838"/>
    <n v="2020"/>
    <x v="1"/>
  </r>
  <r>
    <n v="1038"/>
    <n v="174"/>
    <n v="2"/>
    <d v="2020-07-03T00:00:00"/>
    <x v="3"/>
    <s v="Narcos"/>
    <n v="4633313"/>
    <s v="Anuel AA"/>
    <n v="18306226"/>
    <s v="latin"/>
    <d v="2020-05-29T00:00:00"/>
    <n v="68"/>
    <x v="0"/>
    <n v="0.61399999999999999"/>
    <n v="0.746"/>
    <n v="0.19600000000000001"/>
    <n v="0.34699999999999998"/>
    <n v="8.7400000000000005E-2"/>
    <n v="0.60099999999999998"/>
    <n v="-3.5270000000000001"/>
    <n v="259250"/>
    <n v="2020"/>
    <x v="1"/>
  </r>
  <r>
    <n v="920"/>
    <n v="112"/>
    <n v="10"/>
    <d v="2020-07-03T00:00:00"/>
    <x v="3"/>
    <s v="Desce Pro Play (PA PA PA)"/>
    <n v="4615520"/>
    <s v="Mc Zaac, Anitta, Tyga"/>
    <n v="1555628"/>
    <s v="funk carioca"/>
    <d v="2020-06-26T00:00:00"/>
    <n v="68"/>
    <x v="0"/>
    <n v="0.93500000000000005"/>
    <n v="0.71"/>
    <n v="0.158"/>
    <n v="7.6899999999999996E-2"/>
    <n v="0.17299999999999999"/>
    <n v="0.63500000000000001"/>
    <n v="-5.085"/>
    <n v="168507"/>
    <n v="2020"/>
    <x v="1"/>
  </r>
  <r>
    <n v="1191"/>
    <n v="177"/>
    <n v="1"/>
    <d v="2020-05-08T00:00:00"/>
    <x v="2"/>
    <s v="Can I"/>
    <n v="4603243"/>
    <s v="Kehlani"/>
    <n v="4894562"/>
    <s v="dance pop"/>
    <d v="2020-05-08T00:00:00"/>
    <n v="68"/>
    <x v="0"/>
    <n v="0.57399999999999995"/>
    <n v="0.79100000000000004"/>
    <n v="0.11"/>
    <n v="0.41899999999999998"/>
    <n v="9.8199999999999996E-2"/>
    <n v="0.61199999999999999"/>
    <n v="-3.7519999999999998"/>
    <n v="167810"/>
    <n v="2020"/>
    <x v="1"/>
  </r>
  <r>
    <n v="615"/>
    <n v="183"/>
    <n v="2"/>
    <d v="2020-12-25T00:00:00"/>
    <x v="3"/>
    <s v="Basta Você Me Ligar - Ao Vivo"/>
    <n v="4580123"/>
    <s v="Os Barões Da Pisadinha, Xand Avião"/>
    <n v="4281787"/>
    <s v="forro"/>
    <d v="2020-05-29T00:00:00"/>
    <n v="68"/>
    <x v="0"/>
    <n v="0.59899999999999998"/>
    <n v="0.91400000000000003"/>
    <n v="6.2899999999999998E-2"/>
    <n v="0.5"/>
    <n v="0.69399999999999995"/>
    <n v="0.83099999999999996"/>
    <n v="-2.415"/>
    <n v="182977"/>
    <n v="2020"/>
    <x v="1"/>
  </r>
  <r>
    <n v="924"/>
    <n v="134"/>
    <n v="6"/>
    <d v="2020-07-24T00:00:00"/>
    <x v="1"/>
    <s v="Unterwegs"/>
    <n v="4572706"/>
    <s v="KitschKrieg, Jamule, SFR"/>
    <n v="166517"/>
    <s v="german hip hop"/>
    <d v="2020-08-07T00:00:00"/>
    <n v="68"/>
    <x v="1"/>
    <n v="0.88"/>
    <n v="0.60699999999999998"/>
    <n v="7.7700000000000005E-2"/>
    <n v="0.19500000000000001"/>
    <n v="0.15"/>
    <n v="0.82299999999999995"/>
    <n v="-7.0670000000000002"/>
    <n v="233905"/>
    <n v="2020"/>
    <x v="1"/>
  </r>
  <r>
    <n v="1055"/>
    <n v="177"/>
    <n v="2"/>
    <d v="2020-06-26T00:00:00"/>
    <x v="4"/>
    <s v="Prospect (ft. Lil Baby)"/>
    <n v="4571916"/>
    <s v="iann dior"/>
    <n v="1276292"/>
    <s v="melodic rap"/>
    <d v="2020-06-12T00:00:00"/>
    <n v="68"/>
    <x v="1"/>
    <n v="0.81599999999999995"/>
    <n v="0.57899999999999996"/>
    <n v="8.6699999999999999E-2"/>
    <n v="0.20300000000000001"/>
    <n v="0.127"/>
    <n v="0.43"/>
    <n v="-6.0970000000000004"/>
    <n v="226314"/>
    <n v="2020"/>
    <x v="1"/>
  </r>
  <r>
    <n v="955"/>
    <n v="74"/>
    <n v="5"/>
    <d v="2020-07-24T00:00:00"/>
    <x v="1"/>
    <s v="Only You Freestyle"/>
    <n v="4480780"/>
    <s v="Headie One, Drake"/>
    <n v="328877"/>
    <s v="uk hip hop"/>
    <d v="2020-07-20T00:00:00"/>
    <n v="68"/>
    <x v="0"/>
    <n v="0.68"/>
    <n v="0.82599999999999996"/>
    <n v="0.27"/>
    <n v="0.56200000000000006"/>
    <n v="0.254"/>
    <n v="0.80400000000000005"/>
    <n v="-2.5609999999999999"/>
    <n v="248937"/>
    <n v="2020"/>
    <x v="1"/>
  </r>
  <r>
    <n v="1110"/>
    <n v="43"/>
    <n v="12"/>
    <d v="2020-03-27T00:00:00"/>
    <x v="3"/>
    <s v="Like It Is"/>
    <n v="4463865"/>
    <s v="Kygo, Zara Larsson, Tyga"/>
    <n v="7593792"/>
    <s v="edm"/>
    <d v="2020-03-27T00:00:00"/>
    <n v="68"/>
    <x v="0"/>
    <n v="0.79400000000000004"/>
    <n v="0.72799999999999998"/>
    <n v="0.114"/>
    <n v="0.121"/>
    <n v="0.22700000000000001"/>
    <n v="0.36"/>
    <n v="-6.7590000000000003"/>
    <n v="183067"/>
    <n v="2020"/>
    <x v="1"/>
  </r>
  <r>
    <n v="730"/>
    <n v="44"/>
    <n v="1"/>
    <d v="2020-11-27T00:00:00"/>
    <x v="3"/>
    <s v="MALDITA POBREZA"/>
    <n v="12660806"/>
    <s v="Bad Bunny"/>
    <n v="36177712"/>
    <s v="latin"/>
    <d v="2020-11-27T00:00:00"/>
    <n v="67"/>
    <x v="0"/>
    <n v="0.76200000000000001"/>
    <n v="0.86099999999999999"/>
    <n v="6.5199999999999994E-2"/>
    <n v="0.13900000000000001"/>
    <n v="9.5600000000000004E-2"/>
    <n v="0.58799999999999997"/>
    <n v="-4.0750000000000002"/>
    <n v="213609"/>
    <n v="2020"/>
    <x v="1"/>
  </r>
  <r>
    <n v="731"/>
    <n v="48"/>
    <n v="1"/>
    <d v="2020-11-27T00:00:00"/>
    <x v="3"/>
    <s v="EL MUNDO ES MÍO"/>
    <n v="12507010"/>
    <s v="Bad Bunny"/>
    <n v="36177712"/>
    <s v="latin"/>
    <d v="2020-11-27T00:00:00"/>
    <n v="67"/>
    <x v="1"/>
    <n v="0.71599999999999997"/>
    <n v="0.52200000000000002"/>
    <n v="5.8200000000000002E-2"/>
    <n v="0.16600000000000001"/>
    <n v="0.113"/>
    <n v="0.224"/>
    <n v="-6.8339999999999996"/>
    <n v="165199"/>
    <n v="2020"/>
    <x v="1"/>
  </r>
  <r>
    <n v="1357"/>
    <n v="49"/>
    <n v="1"/>
    <d v="2020-02-28T00:00:00"/>
    <x v="4"/>
    <s v="That Way"/>
    <n v="12059592"/>
    <s v="Lil Uzi Vert"/>
    <n v="11821805"/>
    <s v="melodic rap"/>
    <d v="2020-03-01T00:00:00"/>
    <n v="67"/>
    <x v="1"/>
    <n v="0.71899999999999997"/>
    <n v="0.61099999999999999"/>
    <n v="4.0300000000000002E-2"/>
    <n v="5.8200000000000002E-2"/>
    <n v="0.155"/>
    <n v="0.48899999999999999"/>
    <n v="-5.01"/>
    <n v="212354"/>
    <n v="2020"/>
    <x v="1"/>
  </r>
  <r>
    <n v="1298"/>
    <n v="61"/>
    <n v="1"/>
    <d v="2020-03-13T00:00:00"/>
    <x v="4"/>
    <s v="Bean (Kobe) [feat. Chief Keef]"/>
    <n v="9039518"/>
    <s v="Lil Uzi Vert"/>
    <n v="11821805"/>
    <s v="melodic rap"/>
    <d v="2020-03-13T00:00:00"/>
    <n v="67"/>
    <x v="1"/>
    <n v="0.73299999999999998"/>
    <n v="0.56699999999999995"/>
    <n v="0.31900000000000001"/>
    <n v="1.29E-2"/>
    <n v="0.38200000000000001"/>
    <n v="0.31900000000000001"/>
    <n v="-6.718"/>
    <n v="238816"/>
    <n v="2020"/>
    <x v="1"/>
  </r>
  <r>
    <n v="1043"/>
    <n v="58"/>
    <n v="1"/>
    <d v="2020-07-03T00:00:00"/>
    <x v="3"/>
    <s v="Aim For The Moon (feat. Quavo)"/>
    <n v="9011502"/>
    <s v="Pop Smoke"/>
    <n v="6852509"/>
    <s v="brooklyn drill"/>
    <d v="2020-07-03T00:00:00"/>
    <n v="67"/>
    <x v="1"/>
    <n v="0.71299999999999997"/>
    <n v="0.60499999999999998"/>
    <n v="0.107"/>
    <n v="0.497"/>
    <n v="0.115"/>
    <n v="0.432"/>
    <n v="-7.4870000000000001"/>
    <n v="175756"/>
    <n v="2020"/>
    <x v="1"/>
  </r>
  <r>
    <n v="481"/>
    <n v="74"/>
    <n v="1"/>
    <d v="2021-03-19T00:00:00"/>
    <x v="2"/>
    <s v="Somebody"/>
    <n v="8912458"/>
    <s v="Justin Bieber"/>
    <n v="48544923"/>
    <s v="canadian pop"/>
    <d v="2010-01-01T00:00:00"/>
    <n v="67"/>
    <x v="0"/>
    <n v="0.71399999999999997"/>
    <n v="0.83299999999999996"/>
    <n v="2.5899999999999999E-2"/>
    <n v="2.49E-3"/>
    <n v="0.29799999999999999"/>
    <n v="0.66300000000000003"/>
    <n v="-5.2389999999999999"/>
    <n v="220920"/>
    <n v="2010"/>
    <x v="1"/>
  </r>
  <r>
    <n v="1504"/>
    <n v="118"/>
    <n v="1"/>
    <d v="2020-01-17T00:00:00"/>
    <x v="1"/>
    <s v="Surf"/>
    <n v="6960699"/>
    <s v="Mac Miller"/>
    <n v="6189454"/>
    <s v="hip hop"/>
    <d v="2020-01-17T00:00:00"/>
    <n v="67"/>
    <x v="1"/>
    <n v="0.82799999999999996"/>
    <n v="0.182"/>
    <n v="0.16600000000000001"/>
    <n v="0.754"/>
    <n v="0.15"/>
    <n v="0.23100000000000001"/>
    <n v="-13.066000000000001"/>
    <n v="330507"/>
    <n v="2020"/>
    <x v="1"/>
  </r>
  <r>
    <n v="866"/>
    <n v="97"/>
    <n v="1"/>
    <d v="2020-09-25T00:00:00"/>
    <x v="3"/>
    <s v="Ew"/>
    <n v="6936305"/>
    <s v="Joji"/>
    <n v="4759367"/>
    <s v="alternative r&amp;b"/>
    <d v="2020-09-25T00:00:00"/>
    <n v="67"/>
    <x v="1"/>
    <n v="0.48"/>
    <n v="0.373"/>
    <n v="2.7799999999999998E-2"/>
    <n v="0.80400000000000005"/>
    <n v="0.12"/>
    <n v="3.7600000000000001E-2"/>
    <n v="-9.2970000000000006"/>
    <n v="207710"/>
    <n v="2020"/>
    <x v="1"/>
  </r>
  <r>
    <n v="817"/>
    <n v="11"/>
    <n v="4"/>
    <d v="2020-10-02T00:00:00"/>
    <x v="2"/>
    <s v="Bet You Wanna (feat. Cardi B)"/>
    <n v="6846771"/>
    <s v="BLACKPINK"/>
    <n v="23848461"/>
    <s v="k-pop"/>
    <d v="2020-10-02T00:00:00"/>
    <n v="67"/>
    <x v="0"/>
    <n v="0.65300000000000002"/>
    <n v="0.66200000000000003"/>
    <n v="0.16200000000000001"/>
    <n v="4.6499999999999996E-3"/>
    <n v="6.2600000000000003E-2"/>
    <n v="0.67400000000000004"/>
    <n v="-6.1680000000000001"/>
    <n v="161168"/>
    <n v="2020"/>
    <x v="1"/>
  </r>
  <r>
    <n v="977"/>
    <n v="29"/>
    <n v="2"/>
    <d v="2020-07-24T00:00:00"/>
    <x v="2"/>
    <s v="mad woman"/>
    <n v="6796343"/>
    <s v="Taylor Swift"/>
    <n v="42227614"/>
    <s v="pop"/>
    <d v="2020-07-24T00:00:00"/>
    <n v="67"/>
    <x v="0"/>
    <n v="0.59199999999999997"/>
    <n v="0.69899999999999995"/>
    <n v="4.7100000000000003E-2"/>
    <n v="0.65500000000000003"/>
    <n v="0.114"/>
    <n v="0.50600000000000001"/>
    <n v="-8.9949999999999992"/>
    <n v="237258"/>
    <n v="2020"/>
    <x v="1"/>
  </r>
  <r>
    <n v="1283"/>
    <n v="103"/>
    <n v="1"/>
    <d v="2020-03-20T00:00:00"/>
    <x v="3"/>
    <s v="Negro"/>
    <n v="6651425"/>
    <s v="J Balvin"/>
    <n v="29067437"/>
    <s v="latin"/>
    <d v="2020-03-19T00:00:00"/>
    <n v="67"/>
    <x v="0"/>
    <n v="0.79500000000000004"/>
    <n v="0.91100000000000003"/>
    <n v="8.7499999999999994E-2"/>
    <n v="1.5699999999999999E-2"/>
    <n v="0.13100000000000001"/>
    <n v="0.8"/>
    <n v="-2.2280000000000002"/>
    <n v="182093"/>
    <n v="2020"/>
    <x v="1"/>
  </r>
  <r>
    <n v="1150"/>
    <n v="83"/>
    <n v="1"/>
    <d v="2020-05-22T00:00:00"/>
    <x v="1"/>
    <s v="COOLER THAN A BITCH (feat. Roddy Ricch)"/>
    <n v="6642144"/>
    <s v="Gunna"/>
    <n v="3337982"/>
    <s v="atl hip hop"/>
    <d v="2020-05-22T00:00:00"/>
    <n v="67"/>
    <x v="1"/>
    <n v="0.83699999999999997"/>
    <n v="0.58599999999999997"/>
    <n v="8.0699999999999994E-2"/>
    <n v="0.28100000000000003"/>
    <n v="0.13400000000000001"/>
    <n v="0.61799999999999999"/>
    <n v="-8.5210000000000008"/>
    <n v="197000"/>
    <n v="2020"/>
    <x v="1"/>
  </r>
  <r>
    <n v="692"/>
    <n v="24"/>
    <n v="2"/>
    <d v="2020-12-11T00:00:00"/>
    <x v="2"/>
    <s v="tolerate it"/>
    <n v="6635109"/>
    <s v="Taylor Swift"/>
    <n v="42227614"/>
    <s v="pop"/>
    <d v="2020-12-11T00:00:00"/>
    <n v="67"/>
    <x v="1"/>
    <n v="0.316"/>
    <n v="0.36099999999999999"/>
    <n v="4.8800000000000003E-2"/>
    <n v="0.878"/>
    <n v="7.9699999999999993E-2"/>
    <n v="0.221"/>
    <n v="-10.381"/>
    <n v="245440"/>
    <n v="2020"/>
    <x v="1"/>
  </r>
  <r>
    <n v="1359"/>
    <n v="123"/>
    <n v="1"/>
    <d v="2020-02-28T00:00:00"/>
    <x v="1"/>
    <s v="Commercial (feat. Lil Uzi Vert)"/>
    <n v="6540577"/>
    <s v="Lil Baby"/>
    <n v="7816213"/>
    <s v="atl hip hop"/>
    <d v="2020-02-28T00:00:00"/>
    <n v="67"/>
    <x v="1"/>
    <n v="0.89200000000000002"/>
    <n v="0.48599999999999999"/>
    <n v="0.38400000000000001"/>
    <n v="4.8000000000000001E-2"/>
    <n v="0.14599999999999999"/>
    <n v="0.53500000000000003"/>
    <n v="-8.6370000000000005"/>
    <n v="214215"/>
    <n v="2020"/>
    <x v="1"/>
  </r>
  <r>
    <n v="1151"/>
    <n v="90"/>
    <n v="1"/>
    <d v="2020-05-22T00:00:00"/>
    <x v="3"/>
    <s v="In Your Eyes (with Doja Cat) - Remix"/>
    <n v="6511008"/>
    <s v="The Weeknd"/>
    <n v="35340069"/>
    <s v="canadian contemporary r&amp;b"/>
    <d v="2020-05-21T00:00:00"/>
    <n v="67"/>
    <x v="0"/>
    <n v="0.67900000000000005"/>
    <n v="0.73099999999999998"/>
    <n v="3.1899999999999998E-2"/>
    <n v="5.1799999999999997E-3"/>
    <n v="6.1400000000000003E-2"/>
    <n v="0.72699999999999998"/>
    <n v="-5.5220000000000002"/>
    <n v="237912"/>
    <n v="2020"/>
    <x v="1"/>
  </r>
  <r>
    <n v="1390"/>
    <n v="120"/>
    <n v="1"/>
    <d v="2020-02-21T00:00:00"/>
    <x v="2"/>
    <s v="Respect"/>
    <n v="6373954"/>
    <s v="BTS"/>
    <n v="37151476"/>
    <s v="k-pop"/>
    <d v="2020-02-21T00:00:00"/>
    <n v="67"/>
    <x v="0"/>
    <n v="0.66100000000000003"/>
    <n v="0.84"/>
    <n v="0.11600000000000001"/>
    <n v="4.8500000000000001E-3"/>
    <n v="0.28699999999999998"/>
    <n v="0.52400000000000002"/>
    <n v="-4.8049999999999997"/>
    <n v="237540"/>
    <n v="2020"/>
    <x v="1"/>
  </r>
  <r>
    <n v="1533"/>
    <n v="107"/>
    <n v="2"/>
    <d v="2020-01-03T00:00:00"/>
    <x v="2"/>
    <s v="Family"/>
    <n v="6145132"/>
    <s v="The Chainsmokers, Kygo"/>
    <n v="18195884"/>
    <s v="dance pop"/>
    <d v="2019-12-06T00:00:00"/>
    <n v="67"/>
    <x v="1"/>
    <n v="0.58399999999999996"/>
    <n v="0.60699999999999998"/>
    <n v="3.56E-2"/>
    <n v="0.42599999999999999"/>
    <n v="0.10100000000000001"/>
    <n v="0.374"/>
    <n v="-6.6050000000000004"/>
    <n v="194827"/>
    <n v="2019"/>
    <x v="1"/>
  </r>
  <r>
    <n v="1172"/>
    <n v="12"/>
    <n v="3"/>
    <d v="2020-05-01T00:00:00"/>
    <x v="1"/>
    <s v="Pain 1993 (with Playboi Carti)"/>
    <n v="6085143"/>
    <s v="Drake"/>
    <n v="56327031"/>
    <s v="canadian hip hop"/>
    <d v="2020-05-01T00:00:00"/>
    <n v="67"/>
    <x v="1"/>
    <n v="0.82499999999999996"/>
    <n v="0.373"/>
    <n v="0.108"/>
    <n v="0.16300000000000001"/>
    <n v="0.36799999999999999"/>
    <n v="0.12"/>
    <n v="-5.532"/>
    <n v="149078"/>
    <n v="2020"/>
    <x v="1"/>
  </r>
  <r>
    <n v="979"/>
    <n v="41"/>
    <n v="2"/>
    <d v="2020-07-24T00:00:00"/>
    <x v="2"/>
    <s v="peace"/>
    <n v="5943851"/>
    <s v="Taylor Swift"/>
    <n v="42227614"/>
    <s v="pop"/>
    <d v="2020-07-24T00:00:00"/>
    <n v="67"/>
    <x v="1"/>
    <n v="0.64700000000000002"/>
    <n v="0.27200000000000002"/>
    <n v="9.1600000000000001E-2"/>
    <n v="0.91800000000000004"/>
    <n v="9.1800000000000007E-2"/>
    <n v="0.33900000000000002"/>
    <n v="-12.906000000000001"/>
    <n v="234000"/>
    <n v="2020"/>
    <x v="1"/>
  </r>
  <r>
    <n v="134"/>
    <n v="76"/>
    <n v="16"/>
    <d v="2021-04-23T00:00:00"/>
    <x v="2"/>
    <s v="Another Love"/>
    <n v="5914661"/>
    <s v="Tom Odell"/>
    <n v="1838616"/>
    <s v="pop"/>
    <d v="2013-09-17T00:00:00"/>
    <n v="67"/>
    <x v="1"/>
    <n v="0.44500000000000001"/>
    <n v="0.53700000000000003"/>
    <n v="0.04"/>
    <n v="0.69499999999999995"/>
    <n v="9.4100000000000003E-2"/>
    <n v="0.13100000000000001"/>
    <n v="-8.532"/>
    <n v="244360"/>
    <n v="2013"/>
    <x v="1"/>
  </r>
  <r>
    <n v="440"/>
    <n v="146"/>
    <n v="1"/>
    <d v="2021-04-09T00:00:00"/>
    <x v="2"/>
    <s v="That’s When (feat. Keith Urban) (Taylor’s Version) (From The Vault)"/>
    <n v="5889939"/>
    <s v="Taylor Swift"/>
    <n v="42227614"/>
    <s v="pop"/>
    <d v="2021-04-09T00:00:00"/>
    <n v="67"/>
    <x v="1"/>
    <n v="0.58799999999999997"/>
    <n v="0.60799999999999998"/>
    <n v="3.6499999999999998E-2"/>
    <n v="0.22500000000000001"/>
    <n v="9.1999999999999998E-2"/>
    <n v="0.50800000000000001"/>
    <n v="-7.0620000000000003"/>
    <n v="189496"/>
    <n v="2021"/>
    <x v="1"/>
  </r>
  <r>
    <n v="1269"/>
    <n v="28"/>
    <n v="2"/>
    <d v="2020-03-20T00:00:00"/>
    <x v="3"/>
    <s v="Too Late"/>
    <n v="5867746"/>
    <s v="The Weeknd"/>
    <n v="35340069"/>
    <s v="canadian contemporary r&amp;b"/>
    <d v="2020-03-20T00:00:00"/>
    <n v="67"/>
    <x v="0"/>
    <n v="0.63800000000000001"/>
    <n v="0.86299999999999999"/>
    <n v="0.13200000000000001"/>
    <n v="5.1999999999999998E-2"/>
    <n v="0.68500000000000005"/>
    <n v="0.22600000000000001"/>
    <n v="-5.2210000000000001"/>
    <n v="239973"/>
    <n v="2020"/>
    <x v="1"/>
  </r>
  <r>
    <n v="1271"/>
    <n v="36"/>
    <n v="2"/>
    <d v="2020-03-20T00:00:00"/>
    <x v="3"/>
    <s v="Faith"/>
    <n v="5730081"/>
    <s v="The Weeknd"/>
    <n v="35340069"/>
    <s v="canadian contemporary r&amp;b"/>
    <d v="2020-03-20T00:00:00"/>
    <n v="67"/>
    <x v="1"/>
    <n v="0.375"/>
    <n v="0.60499999999999998"/>
    <n v="7.2900000000000006E-2"/>
    <n v="0.61199999999999999"/>
    <n v="0.14699999999999999"/>
    <n v="0.128"/>
    <n v="-7.2679999999999998"/>
    <n v="283227"/>
    <n v="2020"/>
    <x v="1"/>
  </r>
  <r>
    <n v="1363"/>
    <n v="91"/>
    <n v="10"/>
    <d v="2020-01-31T00:00:00"/>
    <x v="3"/>
    <s v="Bellaquita - Remix"/>
    <n v="5676621"/>
    <s v="Dalex, Lenny Tavárez, Anitta, Natti Natasha, Farruko, Justin Quiles"/>
    <n v="3600989"/>
    <s v="latin"/>
    <d v="2019-11-22T00:00:00"/>
    <n v="67"/>
    <x v="0"/>
    <n v="0.79500000000000004"/>
    <n v="0.71499999999999997"/>
    <n v="8.3799999999999999E-2"/>
    <n v="0.14099999999999999"/>
    <n v="0.17899999999999999"/>
    <n v="0.75800000000000001"/>
    <n v="-3.5819999999999999"/>
    <n v="304733"/>
    <n v="2019"/>
    <x v="1"/>
  </r>
  <r>
    <n v="1253"/>
    <n v="46"/>
    <n v="5"/>
    <d v="2020-03-06T00:00:00"/>
    <x v="2"/>
    <s v="I Love Me"/>
    <n v="5449099"/>
    <s v="Demi Lovato"/>
    <n v="20338833"/>
    <s v="dance pop"/>
    <d v="2020-03-06T00:00:00"/>
    <n v="67"/>
    <x v="1"/>
    <n v="0.66400000000000003"/>
    <n v="0.56100000000000005"/>
    <n v="4.9500000000000002E-2"/>
    <n v="2.6099999999999999E-3"/>
    <n v="7.6399999999999996E-2"/>
    <n v="0.71299999999999997"/>
    <n v="-7.0309999999999997"/>
    <n v="203672"/>
    <n v="2020"/>
    <x v="1"/>
  </r>
  <r>
    <n v="1366"/>
    <n v="32"/>
    <n v="10"/>
    <d v="2020-01-03T00:00:00"/>
    <x v="4"/>
    <s v="Futsal Shuffle 2020"/>
    <n v="5386512"/>
    <s v="Lil Uzi Vert"/>
    <n v="11821805"/>
    <s v="melodic rap"/>
    <d v="2019-12-12T00:00:00"/>
    <n v="67"/>
    <x v="1"/>
    <n v="0.88100000000000001"/>
    <n v="0.45700000000000002"/>
    <n v="0.156"/>
    <n v="3.27E-2"/>
    <n v="0.23100000000000001"/>
    <n v="0.29599999999999999"/>
    <n v="-8.1910000000000007"/>
    <n v="198913"/>
    <n v="2019"/>
    <x v="1"/>
  </r>
  <r>
    <n v="476"/>
    <n v="57"/>
    <n v="2"/>
    <d v="2021-03-19T00:00:00"/>
    <x v="2"/>
    <s v="Die For You (feat. Dominic Fike)"/>
    <n v="5323412"/>
    <s v="Justin Bieber"/>
    <n v="48544923"/>
    <s v="canadian pop"/>
    <d v="2021-03-19T00:00:00"/>
    <n v="67"/>
    <x v="1"/>
    <n v="0.72799999999999998"/>
    <n v="0.629"/>
    <n v="3.1800000000000002E-2"/>
    <n v="1.9599999999999999E-3"/>
    <n v="8.4699999999999998E-2"/>
    <n v="0.71"/>
    <n v="-6.6289999999999996"/>
    <n v="198426"/>
    <n v="2021"/>
    <x v="1"/>
  </r>
  <r>
    <n v="509"/>
    <n v="170"/>
    <n v="1"/>
    <d v="2021-03-05T00:00:00"/>
    <x v="2"/>
    <s v="CHIAMAMI PER NOME"/>
    <n v="5321946"/>
    <s v="Francesca Michielin, Fedez"/>
    <n v="568711"/>
    <s v="italian adult pop"/>
    <d v="2021-03-03T00:00:00"/>
    <n v="67"/>
    <x v="0"/>
    <n v="0.64100000000000001"/>
    <n v="0.63600000000000001"/>
    <n v="4.1399999999999999E-2"/>
    <n v="0.28899999999999998"/>
    <n v="0.125"/>
    <n v="0.28499999999999998"/>
    <n v="-4.3179999999999996"/>
    <n v="222667"/>
    <n v="2021"/>
    <x v="1"/>
  </r>
  <r>
    <n v="608"/>
    <n v="141"/>
    <n v="2"/>
    <d v="2020-03-06T00:00:00"/>
    <x v="1"/>
    <s v="Angst"/>
    <n v="5317174"/>
    <s v="Apache 207"/>
    <n v="1674348"/>
    <s v="german hip hop"/>
    <d v="2021-01-01T00:00:00"/>
    <n v="67"/>
    <x v="0"/>
    <n v="0.59899999999999998"/>
    <n v="0.79"/>
    <n v="0.38600000000000001"/>
    <n v="2.1299999999999999E-2"/>
    <n v="7.7799999999999994E-2"/>
    <n v="0.52800000000000002"/>
    <n v="-4.3520000000000003"/>
    <n v="201501"/>
    <n v="2021"/>
    <x v="1"/>
  </r>
  <r>
    <n v="772"/>
    <n v="20"/>
    <n v="3"/>
    <d v="2020-10-30T00:00:00"/>
    <x v="2"/>
    <s v="off the table (with The Weeknd)"/>
    <n v="5308945"/>
    <s v="Ariana Grande"/>
    <n v="67208170"/>
    <s v="dance pop"/>
    <d v="2020-10-30T00:00:00"/>
    <n v="67"/>
    <x v="1"/>
    <n v="0.41099999999999998"/>
    <n v="0.52200000000000002"/>
    <n v="9.8100000000000007E-2"/>
    <n v="0.51900000000000002"/>
    <n v="0.39800000000000002"/>
    <n v="0.38200000000000001"/>
    <n v="-7.2949999999999999"/>
    <n v="239949"/>
    <n v="2020"/>
    <x v="1"/>
  </r>
  <r>
    <n v="1273"/>
    <n v="37"/>
    <n v="2"/>
    <d v="2020-03-20T00:00:00"/>
    <x v="3"/>
    <s v="Escape From LA"/>
    <n v="5307288"/>
    <s v="The Weeknd"/>
    <n v="35340069"/>
    <s v="canadian contemporary r&amp;b"/>
    <d v="2020-03-20T00:00:00"/>
    <n v="67"/>
    <x v="1"/>
    <n v="0.40400000000000003"/>
    <n v="0.52400000000000002"/>
    <n v="5.9299999999999999E-2"/>
    <n v="4.5600000000000002E-2"/>
    <n v="0.19900000000000001"/>
    <n v="0.16800000000000001"/>
    <n v="-8.9960000000000004"/>
    <n v="355960"/>
    <n v="2020"/>
    <x v="1"/>
  </r>
  <r>
    <n v="926"/>
    <n v="148"/>
    <n v="1"/>
    <d v="2020-08-28T00:00:00"/>
    <x v="2"/>
    <s v="Cry About It Later"/>
    <n v="5306994"/>
    <s v="Katy Perry"/>
    <n v="18936929"/>
    <s v="dance pop"/>
    <d v="2021-04-23T00:00:00"/>
    <n v="67"/>
    <x v="0"/>
    <n v="0.67600000000000005"/>
    <n v="0.79400000000000004"/>
    <n v="3.6600000000000001E-2"/>
    <n v="5.1299999999999998E-2"/>
    <n v="7.2300000000000003E-2"/>
    <n v="0.161"/>
    <n v="-4.78"/>
    <n v="159286"/>
    <n v="2021"/>
    <x v="1"/>
  </r>
  <r>
    <n v="1286"/>
    <n v="31"/>
    <n v="3"/>
    <d v="2020-03-06T00:00:00"/>
    <x v="4"/>
    <s v="Lo Mein"/>
    <n v="5231134"/>
    <s v="Lil Uzi Vert"/>
    <n v="11821805"/>
    <s v="melodic rap"/>
    <d v="2020-03-06T00:00:00"/>
    <n v="67"/>
    <x v="0"/>
    <n v="0.85499999999999998"/>
    <n v="0.67600000000000005"/>
    <n v="0.32500000000000001"/>
    <n v="8.8800000000000004E-2"/>
    <n v="0.14399999999999999"/>
    <n v="0.50900000000000001"/>
    <n v="-5.7359999999999998"/>
    <n v="195299"/>
    <n v="2020"/>
    <x v="1"/>
  </r>
  <r>
    <n v="384"/>
    <n v="184"/>
    <n v="1"/>
    <d v="2021-05-07T00:00:00"/>
    <x v="1"/>
    <s v="Extasy"/>
    <n v="5203700"/>
    <s v="187 Strassenbande, Bonez MC, Frauenarzt"/>
    <n v="1223734"/>
    <s v="german hip hop"/>
    <d v="2021-05-13T00:00:00"/>
    <n v="67"/>
    <x v="0"/>
    <n v="0.86299999999999999"/>
    <n v="0.73899999999999999"/>
    <n v="0.153"/>
    <n v="2.8899999999999999E-2"/>
    <n v="9.3100000000000002E-2"/>
    <n v="0.54700000000000004"/>
    <n v="-5.8789999999999996"/>
    <n v="174021"/>
    <n v="2021"/>
    <x v="1"/>
  </r>
  <r>
    <n v="1088"/>
    <n v="101"/>
    <n v="4"/>
    <d v="2020-05-29T00:00:00"/>
    <x v="3"/>
    <s v="Fútbol &amp; Rumba (feat. Enrique Iglesias)"/>
    <n v="5124116"/>
    <s v="Anuel AA"/>
    <n v="18306226"/>
    <s v="latin"/>
    <d v="2020-05-29T00:00:00"/>
    <n v="67"/>
    <x v="0"/>
    <n v="0.73499999999999999"/>
    <n v="0.91600000000000004"/>
    <n v="0.11700000000000001"/>
    <n v="0.39700000000000002"/>
    <n v="9.1800000000000007E-2"/>
    <n v="0.69099999999999995"/>
    <n v="-2.0819999999999999"/>
    <n v="221429"/>
    <n v="2020"/>
    <x v="1"/>
  </r>
  <r>
    <n v="547"/>
    <n v="151"/>
    <n v="7"/>
    <d v="2021-01-01T00:00:00"/>
    <x v="3"/>
    <s v="Meia Noite (Você tem meu Whatsapp)"/>
    <n v="5044252"/>
    <s v="Tarcísio do Acordeon"/>
    <n v="1200248"/>
    <m/>
    <d v="2020-12-17T00:00:00"/>
    <n v="67"/>
    <x v="0"/>
    <n v="0.70899999999999996"/>
    <n v="0.81599999999999995"/>
    <n v="3.4599999999999999E-2"/>
    <n v="0.68500000000000005"/>
    <n v="0.14599999999999999"/>
    <n v="0.92100000000000004"/>
    <n v="-4.7869999999999999"/>
    <n v="237900"/>
    <n v="2020"/>
    <x v="1"/>
  </r>
  <r>
    <n v="1158"/>
    <n v="56"/>
    <n v="3"/>
    <d v="2020-05-08T00:00:00"/>
    <x v="3"/>
    <s v="MÁS DE UNA CITA"/>
    <n v="4987116"/>
    <s v="Bad Bunny, Zion &amp; Lennox"/>
    <n v="36177712"/>
    <s v="latin"/>
    <d v="2020-05-10T00:00:00"/>
    <n v="67"/>
    <x v="1"/>
    <n v="0.86499999999999999"/>
    <n v="0.5"/>
    <n v="8.6099999999999996E-2"/>
    <n v="1.2200000000000001E-2"/>
    <n v="9.8000000000000004E-2"/>
    <n v="0.317"/>
    <n v="-10.805"/>
    <n v="183520"/>
    <n v="2020"/>
    <x v="1"/>
  </r>
  <r>
    <n v="876"/>
    <n v="177"/>
    <n v="1"/>
    <d v="2020-09-25T00:00:00"/>
    <x v="3"/>
    <s v="Afterthought"/>
    <n v="4977405"/>
    <s v="Joji, BENEE"/>
    <n v="4759367"/>
    <s v="alternative r&amp;b"/>
    <d v="2020-09-25T00:00:00"/>
    <n v="67"/>
    <x v="1"/>
    <n v="0.66800000000000004"/>
    <n v="0.54700000000000004"/>
    <n v="3.5299999999999998E-2"/>
    <n v="0.39800000000000002"/>
    <n v="9.3100000000000002E-2"/>
    <n v="0.192"/>
    <n v="-8.0239999999999991"/>
    <n v="194871"/>
    <n v="2020"/>
    <x v="1"/>
  </r>
  <r>
    <n v="1397"/>
    <n v="104"/>
    <n v="9"/>
    <d v="2020-01-03T00:00:00"/>
    <x v="3"/>
    <s v="Si Te Vas"/>
    <n v="4954292"/>
    <s v="Sech, Ozuna"/>
    <n v="8766508"/>
    <s v="latin"/>
    <d v="2019-09-26T00:00:00"/>
    <n v="67"/>
    <x v="0"/>
    <n v="0.73"/>
    <n v="0.64400000000000002"/>
    <n v="0.13200000000000001"/>
    <n v="9.3299999999999994E-2"/>
    <n v="0.14299999999999999"/>
    <n v="0.55400000000000005"/>
    <n v="-4.1239999999999997"/>
    <n v="204907"/>
    <n v="2019"/>
    <x v="1"/>
  </r>
  <r>
    <n v="916"/>
    <n v="71"/>
    <n v="3"/>
    <d v="2020-08-21T00:00:00"/>
    <x v="4"/>
    <s v="The Plan - From the Motion Picture &quot;TENET&quot;"/>
    <n v="4876238"/>
    <s v="Travis Scott"/>
    <n v="17732077"/>
    <s v="rap"/>
    <d v="2020-08-22T00:00:00"/>
    <n v="67"/>
    <x v="1"/>
    <n v="0.433"/>
    <n v="0.443"/>
    <n v="3.61E-2"/>
    <n v="9.2200000000000004E-2"/>
    <n v="0.11700000000000001"/>
    <n v="3.6299999999999999E-2"/>
    <n v="-10.568"/>
    <n v="185851"/>
    <n v="2020"/>
    <x v="1"/>
  </r>
  <r>
    <n v="1233"/>
    <n v="16"/>
    <n v="7"/>
    <d v="2020-03-06T00:00:00"/>
    <x v="4"/>
    <s v="That Way - Bonus Track"/>
    <n v="4825741"/>
    <s v="Lil Uzi Vert"/>
    <n v="11821805"/>
    <s v="melodic rap"/>
    <d v="2020-03-06T00:00:00"/>
    <n v="67"/>
    <x v="1"/>
    <n v="0.71199999999999997"/>
    <n v="0.59799999999999998"/>
    <n v="3.8800000000000001E-2"/>
    <n v="5.4600000000000003E-2"/>
    <n v="0.154"/>
    <n v="0.504"/>
    <n v="-5.3680000000000003"/>
    <n v="212354"/>
    <n v="2020"/>
    <x v="1"/>
  </r>
  <r>
    <n v="1254"/>
    <n v="103"/>
    <n v="4"/>
    <d v="2020-02-21T00:00:00"/>
    <x v="3"/>
    <s v="Old Me"/>
    <n v="4724056"/>
    <s v="5 Seconds of Summer"/>
    <n v="7744095"/>
    <s v="boy band"/>
    <d v="2020-03-27T00:00:00"/>
    <n v="67"/>
    <x v="1"/>
    <n v="0.72199999999999998"/>
    <n v="0.62"/>
    <n v="4.8300000000000003E-2"/>
    <n v="0.313"/>
    <n v="0.26"/>
    <n v="0.47399999999999998"/>
    <n v="-3.6389999999999998"/>
    <n v="186786"/>
    <n v="2020"/>
    <x v="1"/>
  </r>
  <r>
    <n v="1212"/>
    <n v="37"/>
    <n v="13"/>
    <d v="2020-02-07T00:00:00"/>
    <x v="3"/>
    <s v="Keii"/>
    <n v="4687605"/>
    <s v="Anuel AA"/>
    <n v="18306226"/>
    <s v="latin"/>
    <d v="2020-02-07T00:00:00"/>
    <n v="67"/>
    <x v="0"/>
    <n v="0.70799999999999996"/>
    <n v="0.79700000000000004"/>
    <n v="3.9100000000000003E-2"/>
    <n v="0.4"/>
    <n v="9.6000000000000002E-2"/>
    <n v="0.51"/>
    <n v="-3.0950000000000002"/>
    <n v="210000"/>
    <n v="2020"/>
    <x v="1"/>
  </r>
  <r>
    <n v="918"/>
    <n v="122"/>
    <n v="9"/>
    <d v="2020-08-07T00:00:00"/>
    <x v="2"/>
    <s v="Alane"/>
    <n v="4668193"/>
    <s v="Robin Schulz, Wes"/>
    <n v="2786366"/>
    <s v="dance pop"/>
    <d v="2020-06-19T00:00:00"/>
    <n v="67"/>
    <x v="0"/>
    <n v="0.58099999999999996"/>
    <n v="0.79900000000000004"/>
    <n v="0.16400000000000001"/>
    <n v="4.19E-2"/>
    <n v="0.11"/>
    <n v="0.66200000000000003"/>
    <n v="-6.66"/>
    <n v="175016"/>
    <n v="2020"/>
    <x v="1"/>
  </r>
  <r>
    <n v="839"/>
    <n v="192"/>
    <n v="1"/>
    <d v="2020-10-16T00:00:00"/>
    <x v="2"/>
    <s v="Let Me Love You Like A Woman"/>
    <n v="4665053"/>
    <s v="Lana Del Rey"/>
    <n v="13697048"/>
    <s v="art pop"/>
    <d v="2021-03-19T00:00:00"/>
    <n v="67"/>
    <x v="1"/>
    <n v="0.30299999999999999"/>
    <n v="0.249"/>
    <n v="0.111"/>
    <n v="0.97"/>
    <n v="0.11700000000000001"/>
    <n v="0.13100000000000001"/>
    <n v="-11.715"/>
    <n v="200661"/>
    <n v="2021"/>
    <x v="1"/>
  </r>
  <r>
    <n v="1178"/>
    <n v="82"/>
    <n v="2"/>
    <d v="2020-05-08T00:00:00"/>
    <x v="3"/>
    <s v="BENDICIONES"/>
    <n v="4639997"/>
    <s v="Bad Bunny"/>
    <n v="36177712"/>
    <s v="latin"/>
    <d v="2020-05-10T00:00:00"/>
    <n v="67"/>
    <x v="1"/>
    <n v="0.82799999999999996"/>
    <n v="0.58099999999999996"/>
    <n v="7.2499999999999995E-2"/>
    <n v="3.78E-2"/>
    <n v="0.10299999999999999"/>
    <n v="0.84299999999999997"/>
    <n v="-9.9090000000000007"/>
    <n v="155060"/>
    <n v="2020"/>
    <x v="1"/>
  </r>
  <r>
    <n v="1020"/>
    <n v="67"/>
    <n v="2"/>
    <d v="2020-07-10T00:00:00"/>
    <x v="1"/>
    <s v="The Adventures of Moon Man &amp; Slim Shady (with Eminem)"/>
    <n v="4639929"/>
    <s v="Kid Cudi"/>
    <n v="5002317"/>
    <s v="hip hop"/>
    <d v="2020-07-10T00:00:00"/>
    <n v="67"/>
    <x v="0"/>
    <n v="0.88"/>
    <n v="0.78700000000000003"/>
    <n v="0.11799999999999999"/>
    <n v="0.22600000000000001"/>
    <n v="0.12"/>
    <n v="0.58799999999999997"/>
    <n v="-5.1890000000000001"/>
    <n v="264834"/>
    <n v="2020"/>
    <x v="1"/>
  </r>
  <r>
    <n v="1107"/>
    <n v="86"/>
    <n v="6"/>
    <d v="2020-05-08T00:00:00"/>
    <x v="1"/>
    <s v="Turks (with Gunna &amp; ft. Travis Scott)"/>
    <n v="4623279"/>
    <s v="NAV"/>
    <n v="2613211"/>
    <s v="canadian hip hop"/>
    <d v="2020-05-08T00:00:00"/>
    <n v="67"/>
    <x v="1"/>
    <n v="0.89400000000000002"/>
    <n v="0.61799999999999999"/>
    <n v="0.129"/>
    <n v="8.0799999999999997E-2"/>
    <n v="0.55800000000000005"/>
    <n v="0.379"/>
    <n v="-4.3559999999999999"/>
    <n v="161320"/>
    <n v="2020"/>
    <x v="1"/>
  </r>
  <r>
    <n v="1256"/>
    <n v="24"/>
    <n v="3"/>
    <d v="2020-03-20T00:00:00"/>
    <x v="3"/>
    <s v="Hardest To Love"/>
    <n v="4553544"/>
    <s v="The Weeknd"/>
    <n v="35340069"/>
    <s v="canadian contemporary r&amp;b"/>
    <d v="2020-03-20T00:00:00"/>
    <n v="67"/>
    <x v="1"/>
    <n v="0.46700000000000003"/>
    <n v="0.60799999999999998"/>
    <n v="7.0699999999999999E-2"/>
    <n v="9.0899999999999995E-2"/>
    <n v="0.125"/>
    <n v="0.108"/>
    <n v="-7.8470000000000004"/>
    <n v="211400"/>
    <n v="2020"/>
    <x v="1"/>
  </r>
  <r>
    <n v="1070"/>
    <n v="169"/>
    <n v="1"/>
    <d v="2020-06-26T00:00:00"/>
    <x v="3"/>
    <s v="Parasite Eve"/>
    <n v="4545883"/>
    <s v="Bring Me The Horizon"/>
    <n v="3912138"/>
    <s v="melodic metalcore"/>
    <d v="2020-06-25T00:00:00"/>
    <n v="67"/>
    <x v="0"/>
    <n v="0.58899999999999997"/>
    <n v="0.79700000000000004"/>
    <n v="0.15"/>
    <n v="2.8899999999999999E-2"/>
    <n v="0.38300000000000001"/>
    <n v="0.23200000000000001"/>
    <n v="-5.4640000000000004"/>
    <n v="291813"/>
    <n v="2020"/>
    <x v="1"/>
  </r>
  <r>
    <n v="1057"/>
    <n v="189"/>
    <n v="1"/>
    <d v="2020-07-03T00:00:00"/>
    <x v="3"/>
    <s v="El Manual"/>
    <n v="4470597"/>
    <s v="Anuel AA"/>
    <n v="18306226"/>
    <s v="latin"/>
    <d v="2020-05-29T00:00:00"/>
    <n v="67"/>
    <x v="0"/>
    <n v="0.84299999999999997"/>
    <n v="0.84499999999999997"/>
    <n v="5.0299999999999997E-2"/>
    <n v="0.35"/>
    <n v="5.2699999999999997E-2"/>
    <n v="0.89800000000000002"/>
    <n v="-2.3439999999999999"/>
    <n v="210624"/>
    <n v="2020"/>
    <x v="1"/>
  </r>
  <r>
    <n v="963"/>
    <n v="185"/>
    <n v="7"/>
    <d v="2020-08-07T00:00:00"/>
    <x v="2"/>
    <s v="Como Llora"/>
    <n v="4380308"/>
    <s v="Juanfran"/>
    <n v="117894"/>
    <s v="dominican pop"/>
    <d v="2020-02-07T00:00:00"/>
    <n v="67"/>
    <x v="1"/>
    <n v="0.82699999999999996"/>
    <n v="0.629"/>
    <n v="0.185"/>
    <n v="0.183"/>
    <n v="8.4000000000000005E-2"/>
    <n v="0.48599999999999999"/>
    <n v="-3.9660000000000002"/>
    <n v="187500"/>
    <n v="2020"/>
    <x v="1"/>
  </r>
  <r>
    <n v="1124"/>
    <n v="51"/>
    <n v="4"/>
    <d v="2020-05-15T00:00:00"/>
    <x v="1"/>
    <s v="Solitaires (feat. Travis Scott)"/>
    <n v="4334669"/>
    <s v="Future"/>
    <n v="10491105"/>
    <s v="atl hip hop"/>
    <d v="2020-05-15T00:00:00"/>
    <n v="67"/>
    <x v="1"/>
    <n v="0.69099999999999995"/>
    <n v="0.63200000000000001"/>
    <n v="5.1299999999999998E-2"/>
    <n v="0.122"/>
    <n v="6.4600000000000005E-2"/>
    <n v="0.48799999999999999"/>
    <n v="-7.5979999999999999"/>
    <n v="205666"/>
    <n v="2020"/>
    <x v="1"/>
  </r>
  <r>
    <n v="1259"/>
    <n v="69"/>
    <n v="2"/>
    <d v="2020-03-27T00:00:00"/>
    <x v="2"/>
    <s v="Pretty Please"/>
    <n v="4305034"/>
    <s v="Dua Lipa"/>
    <n v="27167675"/>
    <s v="dance pop"/>
    <d v="2020-03-27T00:00:00"/>
    <n v="67"/>
    <x v="1"/>
    <n v="0.90600000000000003"/>
    <n v="0.47399999999999998"/>
    <n v="0.19400000000000001"/>
    <n v="3.1099999999999999E-2"/>
    <n v="0.28599999999999998"/>
    <n v="0.65600000000000003"/>
    <n v="-6.1239999999999997"/>
    <n v="194607"/>
    <n v="2020"/>
    <x v="1"/>
  </r>
  <r>
    <n v="696"/>
    <n v="34"/>
    <n v="1"/>
    <d v="2020-12-11T00:00:00"/>
    <x v="2"/>
    <s v="ivy"/>
    <n v="14519547"/>
    <s v="Taylor Swift"/>
    <n v="42227614"/>
    <s v="pop"/>
    <d v="2020-12-11T00:00:00"/>
    <n v="66"/>
    <x v="1"/>
    <n v="0.51500000000000001"/>
    <n v="0.54500000000000004"/>
    <n v="3.5299999999999998E-2"/>
    <n v="0.85499999999999998"/>
    <n v="9.2100000000000001E-2"/>
    <n v="0.53500000000000003"/>
    <n v="-9.2769999999999992"/>
    <n v="260440"/>
    <n v="2020"/>
    <x v="1"/>
  </r>
  <r>
    <n v="699"/>
    <n v="43"/>
    <n v="1"/>
    <d v="2020-12-11T00:00:00"/>
    <x v="2"/>
    <s v="evermore (feat. Bon Iver)"/>
    <n v="13810722"/>
    <s v="Taylor Swift"/>
    <n v="42227614"/>
    <s v="pop"/>
    <d v="2020-12-11T00:00:00"/>
    <n v="66"/>
    <x v="1"/>
    <n v="0.39"/>
    <n v="0.27"/>
    <n v="3.0800000000000001E-2"/>
    <n v="0.93700000000000006"/>
    <n v="0.111"/>
    <n v="0.32"/>
    <n v="-10.673"/>
    <n v="304107"/>
    <n v="2020"/>
    <x v="1"/>
  </r>
  <r>
    <n v="700"/>
    <n v="45"/>
    <n v="1"/>
    <d v="2020-12-11T00:00:00"/>
    <x v="2"/>
    <s v="long story short"/>
    <n v="13583538"/>
    <s v="Taylor Swift"/>
    <n v="42227614"/>
    <s v="pop"/>
    <d v="2020-12-11T00:00:00"/>
    <n v="66"/>
    <x v="0"/>
    <n v="0.54600000000000004"/>
    <n v="0.73"/>
    <n v="4.1700000000000001E-2"/>
    <n v="0.66"/>
    <n v="9.7199999999999995E-2"/>
    <n v="0.57299999999999995"/>
    <n v="-7.7039999999999997"/>
    <n v="215920"/>
    <n v="2020"/>
    <x v="1"/>
  </r>
  <r>
    <n v="735"/>
    <n v="66"/>
    <n v="1"/>
    <d v="2020-11-27T00:00:00"/>
    <x v="3"/>
    <s v="TRELLAS"/>
    <n v="10733416"/>
    <s v="Bad Bunny"/>
    <n v="36177712"/>
    <s v="latin"/>
    <d v="2020-11-27T00:00:00"/>
    <n v="66"/>
    <x v="1"/>
    <n v="0.43"/>
    <n v="0.41199999999999998"/>
    <n v="2.81E-2"/>
    <n v="0.2"/>
    <n v="0.32400000000000001"/>
    <n v="5.0799999999999998E-2"/>
    <n v="-5.3719999999999999"/>
    <n v="157673"/>
    <n v="2020"/>
    <x v="1"/>
  </r>
  <r>
    <n v="480"/>
    <n v="60"/>
    <n v="1"/>
    <d v="2021-03-19T00:00:00"/>
    <x v="2"/>
    <s v="Love You Different (feat. BEAM)"/>
    <n v="10024729"/>
    <s v="Justin Bieber"/>
    <n v="48544923"/>
    <s v="canadian pop"/>
    <d v="2021-03-19T00:00:00"/>
    <n v="66"/>
    <x v="1"/>
    <n v="0.75900000000000001"/>
    <n v="0.58399999999999996"/>
    <n v="0.06"/>
    <n v="6.5199999999999994E-2"/>
    <n v="0.16"/>
    <n v="0.374"/>
    <n v="-6.6550000000000002"/>
    <n v="186696"/>
    <n v="2021"/>
    <x v="1"/>
  </r>
  <r>
    <n v="1404"/>
    <n v="61"/>
    <n v="1"/>
    <d v="2020-02-14T00:00:00"/>
    <x v="2"/>
    <s v="Come Around Me"/>
    <n v="9533583"/>
    <s v="Justin Bieber"/>
    <n v="48544923"/>
    <s v="canadian pop"/>
    <d v="2020-02-14T00:00:00"/>
    <n v="66"/>
    <x v="0"/>
    <n v="0.64800000000000002"/>
    <n v="0.68100000000000005"/>
    <n v="3.78E-2"/>
    <n v="0.26300000000000001"/>
    <n v="9.7100000000000006E-2"/>
    <n v="0.76700000000000002"/>
    <n v="-8.3889999999999993"/>
    <n v="200773"/>
    <n v="2020"/>
    <x v="1"/>
  </r>
  <r>
    <n v="1044"/>
    <n v="63"/>
    <n v="1"/>
    <d v="2020-07-03T00:00:00"/>
    <x v="3"/>
    <s v="44 BullDog"/>
    <n v="8443771"/>
    <s v="Pop Smoke"/>
    <n v="6852509"/>
    <s v="brooklyn drill"/>
    <d v="2020-07-03T00:00:00"/>
    <n v="66"/>
    <x v="1"/>
    <n v="0.8"/>
    <n v="0.56399999999999995"/>
    <n v="0.4"/>
    <n v="2.87E-2"/>
    <n v="0.112"/>
    <n v="0.318"/>
    <n v="-5.8170000000000002"/>
    <n v="150857"/>
    <n v="2020"/>
    <x v="1"/>
  </r>
  <r>
    <n v="668"/>
    <n v="22"/>
    <n v="2"/>
    <d v="2020-12-11T00:00:00"/>
    <x v="2"/>
    <s v="‘tis the damn season"/>
    <n v="8115520"/>
    <s v="Taylor Swift"/>
    <n v="42227614"/>
    <s v="pop"/>
    <d v="2020-12-11T00:00:00"/>
    <n v="66"/>
    <x v="1"/>
    <n v="0.57499999999999996"/>
    <n v="0.434"/>
    <n v="3.1199999999999999E-2"/>
    <n v="0.73499999999999999"/>
    <n v="0.105"/>
    <n v="0.34799999999999998"/>
    <n v="-8.1929999999999996"/>
    <n v="229840"/>
    <n v="2020"/>
    <x v="1"/>
  </r>
  <r>
    <n v="432"/>
    <n v="80"/>
    <n v="1"/>
    <d v="2021-04-09T00:00:00"/>
    <x v="2"/>
    <s v="Fifteen (Taylor’s Version)"/>
    <n v="7852063"/>
    <s v="Taylor Swift"/>
    <n v="42227614"/>
    <s v="pop"/>
    <d v="2021-04-09T00:00:00"/>
    <n v="66"/>
    <x v="0"/>
    <n v="0.55900000000000005"/>
    <n v="0.64600000000000002"/>
    <n v="2.7199999999999998E-2"/>
    <n v="0.11600000000000001"/>
    <n v="0.32"/>
    <n v="0.28899999999999998"/>
    <n v="-4.6100000000000003"/>
    <n v="294419"/>
    <n v="2021"/>
    <x v="1"/>
  </r>
  <r>
    <n v="435"/>
    <n v="93"/>
    <n v="1"/>
    <d v="2021-04-09T00:00:00"/>
    <x v="2"/>
    <s v="Hey Stephen (Taylor’s Version)"/>
    <n v="7385864"/>
    <s v="Taylor Swift"/>
    <n v="42227614"/>
    <s v="pop"/>
    <d v="2021-04-09T00:00:00"/>
    <n v="66"/>
    <x v="1"/>
    <n v="0.78800000000000003"/>
    <n v="0.57099999999999995"/>
    <n v="2.9600000000000001E-2"/>
    <n v="0.106"/>
    <n v="9.3399999999999997E-2"/>
    <n v="0.79700000000000004"/>
    <n v="-6.1349999999999998"/>
    <n v="254255"/>
    <n v="2021"/>
    <x v="1"/>
  </r>
  <r>
    <n v="1045"/>
    <n v="88"/>
    <n v="1"/>
    <d v="2020-07-03T00:00:00"/>
    <x v="3"/>
    <s v="Creature (feat. Swae Lee)"/>
    <n v="7308690"/>
    <s v="Pop Smoke"/>
    <n v="6852509"/>
    <s v="brooklyn drill"/>
    <d v="2020-07-03T00:00:00"/>
    <n v="66"/>
    <x v="0"/>
    <n v="0.79400000000000004"/>
    <n v="0.71699999999999997"/>
    <n v="0.251"/>
    <n v="5.11E-2"/>
    <n v="0.19500000000000001"/>
    <n v="0.372"/>
    <n v="-5.73"/>
    <n v="202816"/>
    <n v="2020"/>
    <x v="1"/>
  </r>
  <r>
    <n v="1473"/>
    <n v="30"/>
    <n v="2"/>
    <d v="2020-01-17T00:00:00"/>
    <x v="1"/>
    <s v="You Gon’ Learn (feat. Royce Da 5'9&quot; &amp; White Gold)"/>
    <n v="7157402"/>
    <s v="Eminem"/>
    <n v="46814751"/>
    <s v="detroit hip hop"/>
    <d v="2020-01-17T00:00:00"/>
    <n v="66"/>
    <x v="0"/>
    <n v="0.68"/>
    <n v="0.82"/>
    <n v="0.151"/>
    <n v="6.1400000000000003E-2"/>
    <n v="0.59699999999999998"/>
    <n v="0.24299999999999999"/>
    <n v="-4.1970000000000001"/>
    <n v="234653"/>
    <n v="2020"/>
    <x v="1"/>
  </r>
  <r>
    <n v="1411"/>
    <n v="96"/>
    <n v="1"/>
    <d v="2020-02-14T00:00:00"/>
    <x v="3"/>
    <s v="Breathe Deeper"/>
    <n v="7142364"/>
    <s v="Tame Impala"/>
    <n v="5064200"/>
    <s v="australian psych"/>
    <d v="2020-02-14T00:00:00"/>
    <n v="66"/>
    <x v="0"/>
    <n v="0.66400000000000003"/>
    <n v="0.84799999999999998"/>
    <n v="3.2199999999999999E-2"/>
    <n v="2.4500000000000001E-2"/>
    <n v="0.17199999999999999"/>
    <n v="0.502"/>
    <n v="-4.51"/>
    <n v="372867"/>
    <n v="2020"/>
    <x v="1"/>
  </r>
  <r>
    <n v="1264"/>
    <n v="27"/>
    <n v="2"/>
    <d v="2020-03-20T00:00:00"/>
    <x v="3"/>
    <s v="Scared To Live"/>
    <n v="6566099"/>
    <s v="The Weeknd"/>
    <n v="35340069"/>
    <s v="canadian contemporary r&amp;b"/>
    <d v="2020-03-20T00:00:00"/>
    <n v="66"/>
    <x v="1"/>
    <n v="0.504"/>
    <n v="0.498"/>
    <n v="4.99E-2"/>
    <n v="0.13100000000000001"/>
    <n v="9.2899999999999996E-2"/>
    <n v="0.19600000000000001"/>
    <n v="-8.24"/>
    <n v="191307"/>
    <n v="2020"/>
    <x v="1"/>
  </r>
  <r>
    <n v="437"/>
    <n v="114"/>
    <n v="1"/>
    <d v="2021-04-09T00:00:00"/>
    <x v="2"/>
    <s v="Forever &amp; Always (Taylor’s Version)"/>
    <n v="6566059"/>
    <s v="Taylor Swift"/>
    <n v="42227614"/>
    <s v="pop"/>
    <d v="2021-04-09T00:00:00"/>
    <n v="66"/>
    <x v="0"/>
    <n v="0.59799999999999998"/>
    <n v="0.82099999999999995"/>
    <n v="4.4699999999999997E-2"/>
    <n v="2.3099999999999999E-2"/>
    <n v="0.14299999999999999"/>
    <n v="0.67300000000000004"/>
    <n v="-4.4329999999999998"/>
    <n v="225328"/>
    <n v="2021"/>
    <x v="1"/>
  </r>
  <r>
    <n v="1475"/>
    <n v="99"/>
    <n v="5"/>
    <d v="2019-12-27T00:00:00"/>
    <x v="2"/>
    <s v="Liberdade Provisória"/>
    <n v="6442626"/>
    <s v="Henrique &amp; Juliano"/>
    <n v="13312073"/>
    <s v="sertanejo pop"/>
    <d v="2019-12-06T00:00:00"/>
    <n v="66"/>
    <x v="0"/>
    <n v="0.66800000000000004"/>
    <n v="0.68400000000000005"/>
    <n v="5.2699999999999997E-2"/>
    <n v="0.627"/>
    <n v="0.92300000000000004"/>
    <n v="0.7"/>
    <n v="-5.9370000000000003"/>
    <n v="187986"/>
    <n v="2019"/>
    <x v="1"/>
  </r>
  <r>
    <n v="978"/>
    <n v="33"/>
    <n v="2"/>
    <d v="2020-07-24T00:00:00"/>
    <x v="2"/>
    <s v="epiphany"/>
    <n v="6085522"/>
    <s v="Taylor Swift"/>
    <n v="42227614"/>
    <s v="pop"/>
    <d v="2020-07-24T00:00:00"/>
    <n v="66"/>
    <x v="1"/>
    <n v="0.35399999999999998"/>
    <n v="0.26700000000000002"/>
    <n v="2.81E-2"/>
    <n v="0.73099999999999998"/>
    <n v="8.5800000000000001E-2"/>
    <n v="0.113"/>
    <n v="-13.69"/>
    <n v="289749"/>
    <n v="2020"/>
    <x v="1"/>
  </r>
  <r>
    <n v="1265"/>
    <n v="21"/>
    <n v="2"/>
    <d v="2020-03-20T00:00:00"/>
    <x v="3"/>
    <s v="Alone Again"/>
    <n v="6055294"/>
    <s v="The Weeknd"/>
    <n v="35340069"/>
    <s v="canadian contemporary r&amp;b"/>
    <d v="2020-03-20T00:00:00"/>
    <n v="66"/>
    <x v="0"/>
    <n v="0.218"/>
    <n v="0.65200000000000002"/>
    <n v="6.4100000000000004E-2"/>
    <n v="3.3000000000000002E-2"/>
    <n v="0.17199999999999999"/>
    <n v="5.9900000000000002E-2"/>
    <n v="-7.9530000000000003"/>
    <n v="250053"/>
    <n v="2020"/>
    <x v="1"/>
  </r>
  <r>
    <n v="1340"/>
    <n v="99"/>
    <n v="2"/>
    <d v="2020-02-28T00:00:00"/>
    <x v="3"/>
    <s v="P FKN R"/>
    <n v="6041127"/>
    <s v="Bad Bunny, Kendo Kaponi, Arcangel"/>
    <n v="36177712"/>
    <s v="latin"/>
    <d v="2020-02-29T00:00:00"/>
    <n v="66"/>
    <x v="0"/>
    <n v="0.82"/>
    <n v="0.63500000000000001"/>
    <n v="7.7200000000000005E-2"/>
    <n v="0.40899999999999997"/>
    <n v="0.24399999999999999"/>
    <n v="0.52800000000000002"/>
    <n v="-5.7489999999999997"/>
    <n v="258280"/>
    <n v="2020"/>
    <x v="1"/>
  </r>
  <r>
    <n v="870"/>
    <n v="126"/>
    <n v="1"/>
    <d v="2020-09-25T00:00:00"/>
    <x v="3"/>
    <s v="MODUS"/>
    <n v="6013371"/>
    <s v="Joji"/>
    <n v="4759367"/>
    <s v="alternative r&amp;b"/>
    <d v="2020-09-25T00:00:00"/>
    <n v="66"/>
    <x v="1"/>
    <n v="0.73799999999999999"/>
    <n v="0.53300000000000003"/>
    <n v="4.9200000000000001E-2"/>
    <n v="0.183"/>
    <n v="0.115"/>
    <n v="0.26200000000000001"/>
    <n v="-7.617"/>
    <n v="207265"/>
    <n v="2020"/>
    <x v="1"/>
  </r>
  <r>
    <n v="1342"/>
    <n v="65"/>
    <n v="2"/>
    <d v="2020-02-28T00:00:00"/>
    <x v="1"/>
    <s v="Heatin Up (feat. Gunna)"/>
    <n v="6004839"/>
    <s v="Lil Baby"/>
    <n v="7816213"/>
    <s v="atl hip hop"/>
    <d v="2020-02-28T00:00:00"/>
    <n v="66"/>
    <x v="1"/>
    <n v="0.78800000000000003"/>
    <n v="0.436"/>
    <n v="0.36399999999999999"/>
    <n v="6.1100000000000002E-2"/>
    <n v="9.7900000000000001E-2"/>
    <n v="0.34100000000000003"/>
    <n v="-9.4350000000000005"/>
    <n v="177314"/>
    <n v="2020"/>
    <x v="1"/>
  </r>
  <r>
    <n v="1241"/>
    <n v="101"/>
    <n v="1"/>
    <d v="2020-04-10T00:00:00"/>
    <x v="1"/>
    <s v="Stupid Again"/>
    <n v="5938996"/>
    <s v="Tory Lanez"/>
    <n v="3828418"/>
    <s v="canadian hip hop"/>
    <d v="2020-04-10T00:00:00"/>
    <n v="66"/>
    <x v="0"/>
    <n v="0.77500000000000002"/>
    <n v="0.82299999999999995"/>
    <n v="6.3500000000000001E-2"/>
    <n v="8.8099999999999998E-2"/>
    <n v="0.309"/>
    <n v="0.65"/>
    <n v="-4.9409999999999998"/>
    <n v="174848"/>
    <n v="2020"/>
    <x v="1"/>
  </r>
  <r>
    <n v="1140"/>
    <n v="114"/>
    <n v="1"/>
    <d v="2020-05-29T00:00:00"/>
    <x v="3"/>
    <s v="Broken Glass"/>
    <n v="5867930"/>
    <s v="Kygo, Kim Petras"/>
    <n v="7593792"/>
    <s v="edm"/>
    <d v="2020-05-29T00:00:00"/>
    <n v="66"/>
    <x v="1"/>
    <n v="0.52600000000000002"/>
    <n v="0.63300000000000001"/>
    <n v="0.13400000000000001"/>
    <n v="0.372"/>
    <n v="0.129"/>
    <n v="0.27200000000000002"/>
    <n v="-7.0019999999999998"/>
    <n v="203947"/>
    <n v="2020"/>
    <x v="1"/>
  </r>
  <r>
    <n v="448"/>
    <n v="132"/>
    <n v="1"/>
    <d v="2021-04-02T00:00:00"/>
    <x v="2"/>
    <s v="Dancing With The Devil"/>
    <n v="5836326"/>
    <s v="Demi Lovato"/>
    <n v="20338833"/>
    <s v="dance pop"/>
    <d v="2021-03-26T00:00:00"/>
    <n v="66"/>
    <x v="0"/>
    <n v="0.41299999999999998"/>
    <n v="0.64"/>
    <n v="4.2700000000000002E-2"/>
    <n v="0.27300000000000002"/>
    <n v="0.11"/>
    <n v="0.14899999999999999"/>
    <n v="-5.8109999999999999"/>
    <n v="243992"/>
    <n v="2021"/>
    <x v="1"/>
  </r>
  <r>
    <n v="1457"/>
    <n v="22"/>
    <n v="3"/>
    <d v="2020-01-17T00:00:00"/>
    <x v="1"/>
    <s v="Those Kinda Nights (feat. Ed Sheeran)"/>
    <n v="5823422"/>
    <s v="Eminem"/>
    <n v="46814751"/>
    <s v="detroit hip hop"/>
    <d v="2020-01-17T00:00:00"/>
    <n v="66"/>
    <x v="0"/>
    <n v="0.79400000000000004"/>
    <n v="0.63700000000000001"/>
    <n v="0.33900000000000002"/>
    <n v="2.8000000000000001E-2"/>
    <n v="9.1899999999999996E-2"/>
    <n v="0.39300000000000002"/>
    <n v="-6.29"/>
    <n v="177693"/>
    <n v="2020"/>
    <x v="1"/>
  </r>
  <r>
    <n v="1535"/>
    <n v="39"/>
    <n v="2"/>
    <d v="2019-12-27T00:00:00"/>
    <x v="4"/>
    <s v="Had Enough (feat. Quavo &amp; Offset)"/>
    <n v="5748010"/>
    <s v="Don Toliver"/>
    <n v="437907"/>
    <s v="rap"/>
    <d v="2019-12-27T00:00:00"/>
    <n v="66"/>
    <x v="0"/>
    <n v="0.75"/>
    <n v="0.78900000000000003"/>
    <n v="0.108"/>
    <n v="0.253"/>
    <n v="0.129"/>
    <n v="0.67300000000000004"/>
    <n v="-4.5780000000000003"/>
    <n v="157133"/>
    <n v="2019"/>
    <x v="1"/>
  </r>
  <r>
    <n v="1272"/>
    <n v="35"/>
    <n v="2"/>
    <d v="2020-03-20T00:00:00"/>
    <x v="3"/>
    <s v="Snowchild"/>
    <n v="5423997"/>
    <s v="The Weeknd"/>
    <n v="35340069"/>
    <s v="canadian contemporary r&amp;b"/>
    <d v="2020-03-20T00:00:00"/>
    <n v="66"/>
    <x v="1"/>
    <n v="0.55000000000000004"/>
    <n v="0.61099999999999999"/>
    <n v="0.13700000000000001"/>
    <n v="0.16200000000000001"/>
    <n v="0.121"/>
    <n v="0.24299999999999999"/>
    <n v="-7.4749999999999996"/>
    <n v="247187"/>
    <n v="2020"/>
    <x v="1"/>
  </r>
  <r>
    <n v="984"/>
    <n v="47"/>
    <n v="2"/>
    <d v="2020-07-24T00:00:00"/>
    <x v="2"/>
    <s v="hoax"/>
    <n v="5375944"/>
    <s v="Taylor Swift"/>
    <n v="42227614"/>
    <s v="pop"/>
    <d v="2020-07-24T00:00:00"/>
    <n v="66"/>
    <x v="1"/>
    <n v="0.66200000000000003"/>
    <n v="0.18099999999999999"/>
    <n v="4.1500000000000002E-2"/>
    <n v="0.96599999999999997"/>
    <n v="0.13300000000000001"/>
    <n v="0.42899999999999999"/>
    <n v="-15.065"/>
    <n v="220043"/>
    <n v="2020"/>
    <x v="1"/>
  </r>
  <r>
    <n v="1349"/>
    <n v="114"/>
    <n v="5"/>
    <d v="2020-02-14T00:00:00"/>
    <x v="3"/>
    <s v="Definitivamente"/>
    <n v="5325447"/>
    <s v="Daddy Yankee, Sech"/>
    <n v="23936368"/>
    <s v="latin"/>
    <d v="2020-01-31T00:00:00"/>
    <n v="66"/>
    <x v="0"/>
    <n v="0.81299999999999994"/>
    <n v="0.76400000000000001"/>
    <n v="0.105"/>
    <n v="0.58599999999999997"/>
    <n v="0.253"/>
    <n v="0.42899999999999999"/>
    <n v="-3.39"/>
    <n v="217773"/>
    <n v="2020"/>
    <x v="1"/>
  </r>
  <r>
    <n v="1102"/>
    <n v="139"/>
    <n v="1"/>
    <d v="2020-06-12T00:00:00"/>
    <x v="1"/>
    <s v="M' Manc (con Geolier &amp; Sfera Ebbasta)"/>
    <n v="5171235"/>
    <s v="Shablo"/>
    <n v="40045"/>
    <s v="italian hip hop"/>
    <d v="2020-06-11T00:00:00"/>
    <n v="66"/>
    <x v="0"/>
    <n v="0.70299999999999996"/>
    <n v="0.70399999999999996"/>
    <n v="6.4100000000000004E-2"/>
    <n v="4.8000000000000001E-2"/>
    <n v="0.41"/>
    <n v="0.72499999999999998"/>
    <n v="-6.117"/>
    <n v="180000"/>
    <n v="2020"/>
    <x v="1"/>
  </r>
  <r>
    <n v="875"/>
    <n v="171"/>
    <n v="1"/>
    <d v="2020-09-25T00:00:00"/>
    <x v="3"/>
    <s v="Pretty Boy (feat. Lil Yachty)"/>
    <n v="5141212"/>
    <s v="Joji"/>
    <n v="4759367"/>
    <s v="alternative r&amp;b"/>
    <d v="2020-09-25T00:00:00"/>
    <n v="66"/>
    <x v="0"/>
    <n v="0.65600000000000003"/>
    <n v="0.77600000000000002"/>
    <n v="6.7199999999999996E-2"/>
    <n v="0.16"/>
    <n v="0.372"/>
    <n v="0.63800000000000001"/>
    <n v="-6.1840000000000002"/>
    <n v="156759"/>
    <n v="2020"/>
    <x v="1"/>
  </r>
  <r>
    <n v="1392"/>
    <n v="128"/>
    <n v="9"/>
    <d v="2020-01-10T00:00:00"/>
    <x v="3"/>
    <s v="Perreo en La Luna"/>
    <n v="5135469"/>
    <s v="Rich Music LTD, Sech, Dalex, Justin Quiles, Lenny Tavárez, Feid"/>
    <n v="206225"/>
    <s v="latin"/>
    <d v="2019-10-11T00:00:00"/>
    <n v="66"/>
    <x v="0"/>
    <n v="0.71099999999999997"/>
    <n v="0.75700000000000001"/>
    <n v="0.28999999999999998"/>
    <n v="0.26800000000000002"/>
    <n v="0.36699999999999999"/>
    <n v="0.72399999999999998"/>
    <n v="-4.1879999999999997"/>
    <n v="218587"/>
    <n v="2019"/>
    <x v="1"/>
  </r>
  <r>
    <n v="1090"/>
    <n v="134"/>
    <n v="1"/>
    <d v="2020-06-19T00:00:00"/>
    <x v="1"/>
    <s v="Snow On Tha Bluff"/>
    <n v="5060764"/>
    <s v="J. Cole"/>
    <n v="14103694"/>
    <s v="conscious hip hop"/>
    <d v="2020-06-16T00:00:00"/>
    <n v="66"/>
    <x v="1"/>
    <n v="0.58599999999999997"/>
    <n v="0.51200000000000001"/>
    <n v="6.6799999999999998E-2"/>
    <n v="0.72299999999999998"/>
    <n v="0.11899999999999999"/>
    <n v="0.23499999999999999"/>
    <n v="-8.8190000000000008"/>
    <n v="235480"/>
    <n v="2020"/>
    <x v="1"/>
  </r>
  <r>
    <n v="505"/>
    <n v="200"/>
    <n v="1"/>
    <d v="2021-03-12T00:00:00"/>
    <x v="1"/>
    <s v="LOST"/>
    <n v="5013851"/>
    <s v="NF, Hopsin"/>
    <n v="5831194"/>
    <s v="hip hop"/>
    <d v="2021-03-11T00:00:00"/>
    <n v="66"/>
    <x v="0"/>
    <n v="0.63700000000000001"/>
    <n v="0.91200000000000003"/>
    <n v="0.308"/>
    <n v="0.35199999999999998"/>
    <n v="6.5699999999999995E-2"/>
    <n v="0.45100000000000001"/>
    <n v="-3.1230000000000002"/>
    <n v="234852"/>
    <n v="2021"/>
    <x v="1"/>
  </r>
  <r>
    <n v="1175"/>
    <n v="149"/>
    <n v="10"/>
    <d v="2020-05-15T00:00:00"/>
    <x v="3"/>
    <s v="A Gente Fez Amor - Ao Vivo"/>
    <n v="5006457"/>
    <s v="Gusttavo Lima"/>
    <n v="12981319"/>
    <s v="sertanejo"/>
    <d v="2019-12-05T00:00:00"/>
    <n v="66"/>
    <x v="0"/>
    <n v="0.79400000000000004"/>
    <n v="0.93700000000000006"/>
    <n v="3.3599999999999998E-2"/>
    <n v="0.36599999999999999"/>
    <n v="0.96199999999999997"/>
    <n v="0.82599999999999996"/>
    <n v="-2.44"/>
    <n v="237517"/>
    <n v="2019"/>
    <x v="1"/>
  </r>
  <r>
    <n v="799"/>
    <n v="49"/>
    <n v="2"/>
    <d v="2020-10-30T00:00:00"/>
    <x v="2"/>
    <s v="my hair"/>
    <n v="4896521"/>
    <s v="Ariana Grande"/>
    <n v="67208170"/>
    <s v="dance pop"/>
    <d v="2020-10-30T00:00:00"/>
    <n v="66"/>
    <x v="1"/>
    <n v="0.68600000000000005"/>
    <n v="0.52600000000000002"/>
    <n v="3.7400000000000003E-2"/>
    <n v="8.1500000000000003E-2"/>
    <n v="0.14399999999999999"/>
    <n v="0.372"/>
    <n v="-6.8419999999999996"/>
    <n v="158436"/>
    <n v="2020"/>
    <x v="1"/>
  </r>
  <r>
    <n v="611"/>
    <n v="171"/>
    <n v="2"/>
    <d v="2021-01-01T00:00:00"/>
    <x v="3"/>
    <s v="Amor ou o Litrão"/>
    <n v="4848222"/>
    <s v="Petter Ferraz, Menor Nico"/>
    <n v="14122"/>
    <m/>
    <d v="2020-10-16T00:00:00"/>
    <n v="66"/>
    <x v="0"/>
    <n v="0.93400000000000005"/>
    <n v="0.70699999999999996"/>
    <n v="6.4600000000000005E-2"/>
    <n v="0.437"/>
    <n v="6.2799999999999995E-2"/>
    <n v="0.96099999999999997"/>
    <n v="-4.2140000000000004"/>
    <n v="173913"/>
    <n v="2020"/>
    <x v="1"/>
  </r>
  <r>
    <n v="1211"/>
    <n v="32"/>
    <n v="5"/>
    <d v="2020-04-03T00:00:00"/>
    <x v="1"/>
    <s v="FIND MY WAY"/>
    <n v="4753495"/>
    <s v="DaBaby"/>
    <n v="7601122"/>
    <s v="north carolina hip hop"/>
    <d v="2020-04-17T00:00:00"/>
    <n v="66"/>
    <x v="1"/>
    <n v="0.83599999999999997"/>
    <n v="0.624"/>
    <n v="0.184"/>
    <n v="0.187"/>
    <n v="0.13800000000000001"/>
    <n v="0.7"/>
    <n v="-6.75"/>
    <n v="139890"/>
    <n v="2020"/>
    <x v="1"/>
  </r>
  <r>
    <n v="849"/>
    <n v="110"/>
    <n v="12"/>
    <d v="2020-09-04T00:00:00"/>
    <x v="3"/>
    <s v="Oh Juliana"/>
    <n v="4751064"/>
    <s v="Niack"/>
    <n v="352402"/>
    <s v="funk carioca"/>
    <d v="2020-06-30T00:00:00"/>
    <n v="66"/>
    <x v="1"/>
    <n v="0.79900000000000004"/>
    <n v="0.56799999999999995"/>
    <n v="0.25"/>
    <n v="0.38700000000000001"/>
    <n v="8.9200000000000002E-2"/>
    <n v="0.96299999999999997"/>
    <n v="-3.089"/>
    <n v="153078"/>
    <n v="2020"/>
    <x v="1"/>
  </r>
  <r>
    <n v="1553"/>
    <n v="196"/>
    <n v="1"/>
    <d v="2019-12-27T00:00:00"/>
    <x v="3"/>
    <s v="Cheirosa - Ao Vivo"/>
    <n v="4623030"/>
    <s v="Jorge &amp; Mateus"/>
    <n v="15019109"/>
    <s v="sertanejo"/>
    <d v="2019-10-11T00:00:00"/>
    <n v="66"/>
    <x v="0"/>
    <n v="0.52800000000000002"/>
    <n v="0.87"/>
    <n v="8.5099999999999995E-2"/>
    <n v="0.24"/>
    <n v="0.33300000000000002"/>
    <n v="0.71399999999999997"/>
    <n v="-3.1230000000000002"/>
    <n v="181930"/>
    <n v="2019"/>
    <x v="1"/>
  </r>
  <r>
    <n v="1144"/>
    <n v="188"/>
    <n v="1"/>
    <d v="2020-05-29T00:00:00"/>
    <x v="1"/>
    <s v="T.D (Lil Yachty &amp; Tierra Whack feat. A$AP Rocky &amp; Tyler, The Creator)"/>
    <n v="4601709"/>
    <s v="Lil Yachty"/>
    <n v="7358720"/>
    <s v="atl hip hop"/>
    <d v="2020-05-29T00:00:00"/>
    <n v="66"/>
    <x v="1"/>
    <n v="0.78400000000000003"/>
    <n v="0.63200000000000001"/>
    <n v="0.34699999999999998"/>
    <n v="0.156"/>
    <n v="0.60499999999999998"/>
    <n v="0.746"/>
    <n v="-6.0830000000000002"/>
    <n v="232839"/>
    <n v="2020"/>
    <x v="1"/>
  </r>
  <r>
    <n v="930"/>
    <n v="174"/>
    <n v="4"/>
    <d v="2020-08-14T00:00:00"/>
    <x v="3"/>
    <s v="Anaranjado"/>
    <n v="4575403"/>
    <s v="Jowell &amp; Randy, J Balvin"/>
    <n v="2919696"/>
    <s v="latin"/>
    <d v="2020-07-16T00:00:00"/>
    <n v="66"/>
    <x v="1"/>
    <n v="0.76300000000000001"/>
    <n v="0.57999999999999996"/>
    <n v="0.14399999999999999"/>
    <n v="4.6600000000000003E-2"/>
    <n v="0.154"/>
    <n v="0.60799999999999998"/>
    <n v="-6.1959999999999997"/>
    <n v="212011"/>
    <n v="2020"/>
    <x v="1"/>
  </r>
  <r>
    <n v="1083"/>
    <n v="94"/>
    <n v="18"/>
    <d v="2019-12-27T00:00:00"/>
    <x v="2"/>
    <s v="Girls Like You (feat. Cardi B)"/>
    <n v="4318772"/>
    <s v="Maroon 5"/>
    <n v="32279979"/>
    <s v="pop"/>
    <d v="2018-06-15T00:00:00"/>
    <n v="66"/>
    <x v="1"/>
    <n v="0.85099999999999998"/>
    <n v="0.54100000000000004"/>
    <n v="5.0500000000000003E-2"/>
    <n v="0.56799999999999995"/>
    <n v="0.13"/>
    <n v="0.44800000000000001"/>
    <n v="-6.8250000000000002"/>
    <n v="235545"/>
    <n v="2018"/>
    <x v="1"/>
  </r>
  <r>
    <n v="1229"/>
    <n v="74"/>
    <n v="18"/>
    <d v="2020-03-20T00:00:00"/>
    <x v="3"/>
    <s v="Blanco"/>
    <n v="4214147"/>
    <s v="J Balvin"/>
    <n v="29067437"/>
    <s v="latin"/>
    <d v="2019-11-15T00:00:00"/>
    <n v="66"/>
    <x v="0"/>
    <n v="0.87"/>
    <n v="0.70599999999999996"/>
    <n v="0.126"/>
    <n v="2.53E-2"/>
    <n v="8.72E-2"/>
    <n v="0.59299999999999997"/>
    <n v="-5.3949999999999996"/>
    <n v="145800"/>
    <n v="2019"/>
    <x v="1"/>
  </r>
  <r>
    <n v="620"/>
    <n v="1"/>
    <n v="10"/>
    <d v="2020-12-18T00:00:00"/>
    <x v="2"/>
    <s v="All I Want for Christmas Is You"/>
    <n v="23235257"/>
    <s v="Mariah Carey"/>
    <n v="6931357"/>
    <s v="dance pop"/>
    <d v="1994-11-01T00:00:00"/>
    <n v="65"/>
    <x v="1"/>
    <n v="0.33600000000000002"/>
    <n v="0.627"/>
    <n v="3.8399999999999997E-2"/>
    <n v="0.16400000000000001"/>
    <n v="7.0800000000000002E-2"/>
    <n v="0.35"/>
    <n v="-7.4630000000000001"/>
    <n v="241107"/>
    <n v="1994"/>
    <x v="1"/>
  </r>
  <r>
    <n v="695"/>
    <n v="28"/>
    <n v="1"/>
    <d v="2020-12-11T00:00:00"/>
    <x v="2"/>
    <s v="happiness"/>
    <n v="16213589"/>
    <s v="Taylor Swift"/>
    <n v="42227614"/>
    <s v="pop"/>
    <d v="2020-12-11T00:00:00"/>
    <n v="65"/>
    <x v="1"/>
    <n v="0.55900000000000005"/>
    <n v="0.33400000000000002"/>
    <n v="3.7600000000000001E-2"/>
    <n v="0.87"/>
    <n v="0.114"/>
    <n v="0.21099999999999999"/>
    <n v="-10.733000000000001"/>
    <n v="315147"/>
    <n v="2020"/>
    <x v="1"/>
  </r>
  <r>
    <n v="853"/>
    <n v="68"/>
    <n v="1"/>
    <d v="2020-10-02T00:00:00"/>
    <x v="1"/>
    <s v="Many Men"/>
    <n v="8675173"/>
    <s v="21 Savage, Metro Boomin"/>
    <n v="9949044"/>
    <s v="atl hip hop"/>
    <d v="2020-10-02T00:00:00"/>
    <n v="65"/>
    <x v="0"/>
    <n v="0.63500000000000001"/>
    <n v="0.79300000000000004"/>
    <n v="3.2199999999999999E-2"/>
    <n v="6.4700000000000001E-4"/>
    <n v="0.113"/>
    <n v="0.28100000000000003"/>
    <n v="-4.3330000000000002"/>
    <n v="201856"/>
    <n v="2020"/>
    <x v="1"/>
  </r>
  <r>
    <n v="1261"/>
    <n v="70"/>
    <n v="1"/>
    <d v="2020-03-27T00:00:00"/>
    <x v="2"/>
    <s v="Cool"/>
    <n v="8136247"/>
    <s v="Dua Lipa"/>
    <n v="27167675"/>
    <s v="dance pop"/>
    <d v="2021-02-11T00:00:00"/>
    <n v="65"/>
    <x v="0"/>
    <n v="0.46899999999999997"/>
    <n v="0.78500000000000003"/>
    <n v="6.6400000000000001E-2"/>
    <n v="0.13300000000000001"/>
    <n v="9.3100000000000002E-2"/>
    <n v="0.79"/>
    <n v="-4.0149999999999997"/>
    <n v="209583"/>
    <n v="2021"/>
    <x v="1"/>
  </r>
  <r>
    <n v="1262"/>
    <n v="71"/>
    <n v="1"/>
    <d v="2020-03-27T00:00:00"/>
    <x v="2"/>
    <s v="Future Nostalgia"/>
    <n v="8091754"/>
    <s v="Dua Lipa"/>
    <n v="27167675"/>
    <s v="dance pop"/>
    <d v="2021-02-11T00:00:00"/>
    <n v="65"/>
    <x v="0"/>
    <n v="0.875"/>
    <n v="0.81299999999999994"/>
    <n v="5.79E-2"/>
    <n v="6.1799999999999997E-3"/>
    <n v="0.32100000000000001"/>
    <n v="0.85899999999999999"/>
    <n v="-4.5019999999999998"/>
    <n v="184882"/>
    <n v="2021"/>
    <x v="1"/>
  </r>
  <r>
    <n v="434"/>
    <n v="51"/>
    <n v="3"/>
    <d v="2021-03-26T00:00:00"/>
    <x v="2"/>
    <s v="You All Over Me (feat. Maren Morris) (Taylor’s Version) (From The Vault)"/>
    <n v="7712896"/>
    <s v="Taylor Swift"/>
    <n v="42227614"/>
    <s v="pop"/>
    <d v="2021-03-26T00:00:00"/>
    <n v="65"/>
    <x v="1"/>
    <n v="0.58899999999999997"/>
    <n v="0.496"/>
    <n v="3.7699999999999997E-2"/>
    <n v="0.81799999999999995"/>
    <n v="0.10100000000000001"/>
    <n v="0.44"/>
    <n v="-7.6059999999999999"/>
    <n v="220839"/>
    <n v="2021"/>
    <x v="1"/>
  </r>
  <r>
    <n v="1472"/>
    <n v="26"/>
    <n v="2"/>
    <d v="2020-01-17T00:00:00"/>
    <x v="1"/>
    <s v="Darkness"/>
    <n v="7618955"/>
    <s v="Eminem"/>
    <n v="46814751"/>
    <s v="detroit hip hop"/>
    <d v="2020-01-17T00:00:00"/>
    <n v="65"/>
    <x v="1"/>
    <n v="0.67100000000000004"/>
    <n v="0.623"/>
    <n v="0.308"/>
    <n v="9.9799999999999993E-3"/>
    <n v="0.64300000000000002"/>
    <n v="0.19500000000000001"/>
    <n v="-7.1609999999999996"/>
    <n v="337147"/>
    <n v="2020"/>
    <x v="1"/>
  </r>
  <r>
    <n v="1282"/>
    <n v="88"/>
    <n v="1"/>
    <d v="2020-03-20T00:00:00"/>
    <x v="3"/>
    <s v="Gris"/>
    <n v="7514854"/>
    <s v="J Balvin"/>
    <n v="29067437"/>
    <s v="latin"/>
    <d v="2020-03-19T00:00:00"/>
    <n v="65"/>
    <x v="0"/>
    <n v="0.84899999999999998"/>
    <n v="0.70899999999999996"/>
    <n v="7.9399999999999998E-2"/>
    <n v="0.22900000000000001"/>
    <n v="0.32900000000000001"/>
    <n v="0.91600000000000004"/>
    <n v="-4.7169999999999996"/>
    <n v="176627"/>
    <n v="2020"/>
    <x v="1"/>
  </r>
  <r>
    <n v="1336"/>
    <n v="46"/>
    <n v="2"/>
    <d v="2020-02-28T00:00:00"/>
    <x v="1"/>
    <s v="René"/>
    <n v="7240117"/>
    <s v="Residente"/>
    <n v="878491"/>
    <s v="venezuelan hip hop"/>
    <d v="2020-02-27T00:00:00"/>
    <n v="65"/>
    <x v="1"/>
    <n v="0.48599999999999999"/>
    <n v="0.38800000000000001"/>
    <n v="0.126"/>
    <n v="0.435"/>
    <n v="0.19600000000000001"/>
    <n v="0.46700000000000003"/>
    <n v="-9.3260000000000005"/>
    <n v="457592"/>
    <n v="2020"/>
    <x v="1"/>
  </r>
  <r>
    <n v="1230"/>
    <n v="78"/>
    <n v="1"/>
    <d v="2020-04-17T00:00:00"/>
    <x v="1"/>
    <s v="PICK UP (feat. Quavo)"/>
    <n v="7065060"/>
    <s v="DaBaby"/>
    <n v="7601122"/>
    <s v="north carolina hip hop"/>
    <d v="2020-04-17T00:00:00"/>
    <n v="65"/>
    <x v="1"/>
    <n v="0.91500000000000004"/>
    <n v="0.61199999999999999"/>
    <n v="0.40699999999999997"/>
    <n v="9.4399999999999998E-2"/>
    <n v="0.115"/>
    <n v="0.75800000000000001"/>
    <n v="-4.5350000000000001"/>
    <n v="118547"/>
    <n v="2020"/>
    <x v="1"/>
  </r>
  <r>
    <n v="436"/>
    <n v="102"/>
    <n v="1"/>
    <d v="2021-04-09T00:00:00"/>
    <x v="2"/>
    <s v="White Horse (Taylor’s Version)"/>
    <n v="7039222"/>
    <s v="Taylor Swift"/>
    <n v="42227614"/>
    <s v="pop"/>
    <d v="2021-04-09T00:00:00"/>
    <n v="65"/>
    <x v="1"/>
    <n v="0.42299999999999999"/>
    <n v="0.51700000000000002"/>
    <n v="4.8599999999999997E-2"/>
    <n v="0.36899999999999999"/>
    <n v="0.17699999999999999"/>
    <n v="0.36599999999999999"/>
    <n v="-7.3769999999999998"/>
    <n v="234516"/>
    <n v="2021"/>
    <x v="1"/>
  </r>
  <r>
    <n v="1301"/>
    <n v="36"/>
    <n v="2"/>
    <d v="2020-03-06T00:00:00"/>
    <x v="4"/>
    <s v="Silly Watch"/>
    <n v="6442451"/>
    <s v="Lil Uzi Vert"/>
    <n v="11821805"/>
    <s v="melodic rap"/>
    <d v="2020-03-06T00:00:00"/>
    <n v="65"/>
    <x v="1"/>
    <n v="0.90300000000000002"/>
    <n v="0.53500000000000003"/>
    <n v="0.28599999999999998"/>
    <n v="2.98E-2"/>
    <n v="8.5099999999999995E-2"/>
    <n v="0.157"/>
    <n v="-6.2380000000000004"/>
    <n v="195692"/>
    <n v="2020"/>
    <x v="1"/>
  </r>
  <r>
    <n v="1476"/>
    <n v="32"/>
    <n v="2"/>
    <d v="2020-01-17T00:00:00"/>
    <x v="1"/>
    <s v="Unaccommodating (feat. Young M.A)"/>
    <n v="6374807"/>
    <s v="Eminem"/>
    <n v="46814751"/>
    <s v="detroit hip hop"/>
    <d v="2020-01-17T00:00:00"/>
    <n v="65"/>
    <x v="0"/>
    <n v="0.85199999999999998"/>
    <n v="0.752"/>
    <n v="5.9700000000000003E-2"/>
    <n v="1.6899999999999998E-2"/>
    <n v="0.39400000000000002"/>
    <n v="0.38900000000000001"/>
    <n v="-5.7930000000000001"/>
    <n v="216600"/>
    <n v="2020"/>
    <x v="1"/>
  </r>
  <r>
    <n v="1434"/>
    <n v="120"/>
    <n v="1"/>
    <d v="2020-02-07T00:00:00"/>
    <x v="2"/>
    <s v="Birthday"/>
    <n v="6207326"/>
    <s v="Anne-Marie"/>
    <n v="8153871"/>
    <s v="dance pop"/>
    <d v="2020-02-07T00:00:00"/>
    <n v="65"/>
    <x v="0"/>
    <n v="0.60899999999999999"/>
    <n v="0.78500000000000003"/>
    <n v="8.9099999999999999E-2"/>
    <n v="5.0200000000000002E-2"/>
    <n v="0.17100000000000001"/>
    <n v="0.75600000000000001"/>
    <n v="-3.32"/>
    <n v="181467"/>
    <n v="2020"/>
    <x v="1"/>
  </r>
  <r>
    <n v="482"/>
    <n v="152"/>
    <n v="1"/>
    <d v="2021-03-19T00:00:00"/>
    <x v="2"/>
    <s v="White Dress"/>
    <n v="5796978"/>
    <s v="Lana Del Rey"/>
    <n v="13697048"/>
    <s v="art pop"/>
    <d v="2021-03-19T00:00:00"/>
    <n v="65"/>
    <x v="1"/>
    <n v="0.49299999999999999"/>
    <n v="0.26300000000000001"/>
    <n v="3.5099999999999999E-2"/>
    <n v="0.92600000000000005"/>
    <n v="8.7900000000000006E-2"/>
    <n v="0.158"/>
    <n v="-12.805"/>
    <n v="333710"/>
    <n v="2021"/>
    <x v="1"/>
  </r>
  <r>
    <n v="1270"/>
    <n v="136"/>
    <n v="1"/>
    <d v="2020-03-27T00:00:00"/>
    <x v="3"/>
    <s v="Wildflower"/>
    <n v="5791343"/>
    <s v="5 Seconds of Summer"/>
    <n v="7744095"/>
    <s v="boy band"/>
    <d v="2020-03-27T00:00:00"/>
    <n v="65"/>
    <x v="0"/>
    <n v="0.64400000000000002"/>
    <n v="0.76800000000000002"/>
    <n v="4.5499999999999999E-2"/>
    <n v="0.17399999999999999"/>
    <n v="0.46899999999999997"/>
    <n v="0.59799999999999998"/>
    <n v="-4.3159999999999998"/>
    <n v="220536"/>
    <n v="2020"/>
    <x v="1"/>
  </r>
  <r>
    <n v="1510"/>
    <n v="168"/>
    <n v="1"/>
    <d v="2020-01-17T00:00:00"/>
    <x v="3"/>
    <s v="Blanche"/>
    <n v="5656775"/>
    <s v="Maes, Booba"/>
    <n v="1603670"/>
    <s v="francoton"/>
    <d v="2020-01-16T00:00:00"/>
    <n v="65"/>
    <x v="0"/>
    <n v="0.77600000000000002"/>
    <n v="0.71299999999999997"/>
    <n v="0.14299999999999999"/>
    <n v="0.52500000000000002"/>
    <n v="0.30599999999999999"/>
    <n v="0.55100000000000005"/>
    <n v="-6.1210000000000004"/>
    <n v="193453"/>
    <n v="2020"/>
    <x v="1"/>
  </r>
  <r>
    <n v="871"/>
    <n v="145"/>
    <n v="1"/>
    <d v="2020-09-25T00:00:00"/>
    <x v="3"/>
    <s v="Tick Tock"/>
    <n v="5547939"/>
    <s v="Joji"/>
    <n v="4759367"/>
    <s v="alternative r&amp;b"/>
    <d v="2020-09-25T00:00:00"/>
    <n v="65"/>
    <x v="1"/>
    <n v="0.78100000000000003"/>
    <n v="0.61299999999999999"/>
    <n v="5.2400000000000002E-2"/>
    <n v="3.9899999999999998E-2"/>
    <n v="9.7600000000000006E-2"/>
    <n v="0.61299999999999999"/>
    <n v="-5.5819999999999999"/>
    <n v="132215"/>
    <n v="2020"/>
    <x v="1"/>
  </r>
  <r>
    <n v="445"/>
    <n v="192"/>
    <n v="1"/>
    <d v="2021-04-09T00:00:00"/>
    <x v="2"/>
    <s v="Don’t You (Taylor’s Version) (From The Vault)"/>
    <n v="5197564"/>
    <s v="Taylor Swift"/>
    <n v="42227614"/>
    <s v="pop"/>
    <d v="2021-04-09T00:00:00"/>
    <n v="65"/>
    <x v="1"/>
    <n v="0.56299999999999994"/>
    <n v="0.47299999999999998"/>
    <n v="5.0299999999999997E-2"/>
    <n v="0.51400000000000001"/>
    <n v="0.109"/>
    <n v="0.40500000000000003"/>
    <n v="-11.548"/>
    <n v="208609"/>
    <n v="2021"/>
    <x v="1"/>
  </r>
  <r>
    <n v="1103"/>
    <n v="143"/>
    <n v="1"/>
    <d v="2020-06-12T00:00:00"/>
    <x v="4"/>
    <s v="Emotions 2.0"/>
    <n v="5113459"/>
    <s v="Ufo361, CÉLINE"/>
    <n v="1700759"/>
    <s v="german cloud rap"/>
    <d v="2020-06-12T00:00:00"/>
    <n v="65"/>
    <x v="1"/>
    <n v="0.78800000000000003"/>
    <n v="0.49099999999999999"/>
    <n v="0.109"/>
    <n v="0.38600000000000001"/>
    <n v="0.107"/>
    <n v="0.27100000000000002"/>
    <n v="-9.8840000000000003"/>
    <n v="146028"/>
    <n v="2020"/>
    <x v="1"/>
  </r>
  <r>
    <n v="1287"/>
    <n v="113"/>
    <n v="7"/>
    <d v="2020-03-13T00:00:00"/>
    <x v="2"/>
    <s v="No Judgement"/>
    <n v="5082563"/>
    <s v="Niall Horan"/>
    <n v="7564659"/>
    <s v="dance pop"/>
    <d v="2020-02-07T00:00:00"/>
    <n v="65"/>
    <x v="0"/>
    <n v="0.72299999999999998"/>
    <n v="0.72599999999999998"/>
    <n v="4.7199999999999999E-2"/>
    <n v="5.6399999999999999E-2"/>
    <n v="5.7000000000000002E-2"/>
    <n v="0.96199999999999997"/>
    <n v="-3.835"/>
    <n v="176283"/>
    <n v="2020"/>
    <x v="1"/>
  </r>
  <r>
    <n v="1527"/>
    <n v="177"/>
    <n v="3"/>
    <d v="2020-01-03T00:00:00"/>
    <x v="4"/>
    <s v="Death"/>
    <n v="4929396"/>
    <s v="Trippie Redd, DaBaby"/>
    <n v="6434201"/>
    <s v="melodic rap"/>
    <d v="2019-11-22T00:00:00"/>
    <n v="65"/>
    <x v="0"/>
    <n v="0.80200000000000005"/>
    <n v="0.82"/>
    <n v="0.14599999999999999"/>
    <n v="5.79E-2"/>
    <n v="0.14899999999999999"/>
    <n v="0.61299999999999999"/>
    <n v="-5.9690000000000003"/>
    <n v="172196"/>
    <n v="2019"/>
    <x v="1"/>
  </r>
  <r>
    <n v="1210"/>
    <n v="85"/>
    <n v="2"/>
    <d v="2020-04-24T00:00:00"/>
    <x v="4"/>
    <s v="Emotions"/>
    <n v="4901960"/>
    <s v="Ufo361"/>
    <n v="1700759"/>
    <s v="german cloud rap"/>
    <d v="2020-06-12T00:00:00"/>
    <n v="65"/>
    <x v="1"/>
    <n v="0.78800000000000003"/>
    <n v="0.49099999999999999"/>
    <n v="0.109"/>
    <n v="0.38600000000000001"/>
    <n v="0.107"/>
    <n v="0.27100000000000002"/>
    <n v="-9.8840000000000003"/>
    <n v="146028"/>
    <n v="2020"/>
    <x v="1"/>
  </r>
  <r>
    <n v="1320"/>
    <n v="53"/>
    <n v="2"/>
    <d v="2020-03-06T00:00:00"/>
    <x v="4"/>
    <s v="Prices"/>
    <n v="4898167"/>
    <s v="Lil Uzi Vert"/>
    <n v="11821805"/>
    <s v="melodic rap"/>
    <d v="2020-03-06T00:00:00"/>
    <n v="65"/>
    <x v="0"/>
    <n v="0.78600000000000003"/>
    <n v="0.68300000000000005"/>
    <n v="0.20499999999999999"/>
    <n v="0.17299999999999999"/>
    <n v="0.70599999999999996"/>
    <n v="0.56999999999999995"/>
    <n v="-5.3970000000000002"/>
    <n v="233333"/>
    <n v="2020"/>
    <x v="1"/>
  </r>
  <r>
    <n v="800"/>
    <n v="59"/>
    <n v="2"/>
    <d v="2020-10-30T00:00:00"/>
    <x v="2"/>
    <s v="obvious"/>
    <n v="4865084"/>
    <s v="Ariana Grande"/>
    <n v="67208170"/>
    <s v="dance pop"/>
    <d v="2020-10-30T00:00:00"/>
    <n v="65"/>
    <x v="0"/>
    <n v="0.624"/>
    <n v="0.67200000000000004"/>
    <n v="0.106"/>
    <n v="9.6699999999999994E-2"/>
    <n v="0.155"/>
    <n v="0.26"/>
    <n v="-5.3339999999999996"/>
    <n v="146959"/>
    <n v="2020"/>
    <x v="1"/>
  </r>
  <r>
    <n v="1018"/>
    <n v="20"/>
    <n v="6"/>
    <d v="2020-06-12T00:00:00"/>
    <x v="4"/>
    <s v="TROLLZ (with Nicki Minaj)"/>
    <n v="4700152"/>
    <s v="6ix9ine"/>
    <n v="6514102"/>
    <s v="emo rap"/>
    <d v="2020-06-12T00:00:00"/>
    <n v="65"/>
    <x v="1"/>
    <n v="0.74399999999999999"/>
    <n v="0.42199999999999999"/>
    <n v="0.29399999999999998"/>
    <n v="3.1899999999999998E-2"/>
    <n v="0.11"/>
    <n v="0.49299999999999999"/>
    <n v="-8.9459999999999997"/>
    <n v="202667"/>
    <n v="2020"/>
    <x v="1"/>
  </r>
  <r>
    <n v="928"/>
    <n v="185"/>
    <n v="1"/>
    <d v="2020-08-28T00:00:00"/>
    <x v="4"/>
    <s v="Gifted (feat. Roddy Ricch)"/>
    <n v="4609169"/>
    <s v="Cordae"/>
    <n v="1492551"/>
    <s v="dmv rap"/>
    <d v="2020-08-27T00:00:00"/>
    <n v="65"/>
    <x v="1"/>
    <n v="0.65300000000000002"/>
    <n v="0.60299999999999998"/>
    <n v="0.17100000000000001"/>
    <n v="0.17499999999999999"/>
    <n v="0.18"/>
    <n v="0.55100000000000005"/>
    <n v="-5.6970000000000001"/>
    <n v="168477"/>
    <n v="2020"/>
    <x v="1"/>
  </r>
  <r>
    <n v="1277"/>
    <n v="187"/>
    <n v="1"/>
    <d v="2020-03-27T00:00:00"/>
    <x v="2"/>
    <s v="Break Up Song"/>
    <n v="4593343"/>
    <s v="Little Mix"/>
    <n v="9398941"/>
    <s v="dance pop"/>
    <d v="2020-11-06T00:00:00"/>
    <n v="65"/>
    <x v="0"/>
    <n v="0.63100000000000001"/>
    <n v="0.75"/>
    <n v="3.9399999999999998E-2"/>
    <n v="3.8800000000000002E-3"/>
    <n v="0.28599999999999998"/>
    <n v="0.59299999999999997"/>
    <n v="-5.4160000000000004"/>
    <n v="200293"/>
    <n v="2020"/>
    <x v="1"/>
  </r>
  <r>
    <n v="697"/>
    <n v="38"/>
    <n v="1"/>
    <d v="2020-12-11T00:00:00"/>
    <x v="2"/>
    <s v="dorothea"/>
    <n v="14392788"/>
    <s v="Taylor Swift"/>
    <n v="42227614"/>
    <s v="pop"/>
    <d v="2020-12-11T00:00:00"/>
    <n v="64"/>
    <x v="1"/>
    <n v="0.60499999999999998"/>
    <n v="0.48799999999999999"/>
    <n v="2.64E-2"/>
    <n v="0.69599999999999995"/>
    <n v="0.129"/>
    <n v="0.35399999999999998"/>
    <n v="-8.3219999999999992"/>
    <n v="225880"/>
    <n v="2020"/>
    <x v="1"/>
  </r>
  <r>
    <n v="698"/>
    <n v="39"/>
    <n v="1"/>
    <d v="2020-12-11T00:00:00"/>
    <x v="2"/>
    <s v="coney island (feat. The National)"/>
    <n v="14385703"/>
    <s v="Taylor Swift"/>
    <n v="42227614"/>
    <s v="pop"/>
    <d v="2020-12-11T00:00:00"/>
    <n v="64"/>
    <x v="1"/>
    <n v="0.53700000000000003"/>
    <n v="0.53700000000000003"/>
    <n v="6.1699999999999998E-2"/>
    <n v="0.81899999999999995"/>
    <n v="0.14199999999999999"/>
    <n v="0.29199999999999998"/>
    <n v="-11.266"/>
    <n v="275320"/>
    <n v="2020"/>
    <x v="1"/>
  </r>
  <r>
    <n v="701"/>
    <n v="53"/>
    <n v="1"/>
    <d v="2020-12-11T00:00:00"/>
    <x v="2"/>
    <s v="cowboy like me"/>
    <n v="12782098"/>
    <s v="Taylor Swift"/>
    <n v="42227614"/>
    <s v="pop"/>
    <d v="2020-12-11T00:00:00"/>
    <n v="64"/>
    <x v="1"/>
    <n v="0.60399999999999998"/>
    <n v="0.51700000000000002"/>
    <n v="3.4700000000000002E-2"/>
    <n v="0.76800000000000002"/>
    <n v="0.123"/>
    <n v="0.51100000000000001"/>
    <n v="-9.0139999999999993"/>
    <n v="275040"/>
    <n v="2020"/>
    <x v="1"/>
  </r>
  <r>
    <n v="702"/>
    <n v="57"/>
    <n v="1"/>
    <d v="2020-12-11T00:00:00"/>
    <x v="2"/>
    <s v="marjorie"/>
    <n v="12234761"/>
    <s v="Taylor Swift"/>
    <n v="42227614"/>
    <s v="pop"/>
    <d v="2020-12-11T00:00:00"/>
    <n v="64"/>
    <x v="1"/>
    <n v="0.53500000000000003"/>
    <n v="0.56100000000000005"/>
    <n v="4.8399999999999999E-2"/>
    <n v="0.876"/>
    <n v="0.115"/>
    <n v="0.28699999999999998"/>
    <n v="-11.609"/>
    <n v="257773"/>
    <n v="2020"/>
    <x v="1"/>
  </r>
  <r>
    <n v="704"/>
    <n v="74"/>
    <n v="1"/>
    <d v="2020-12-11T00:00:00"/>
    <x v="1"/>
    <s v="She Knows This"/>
    <n v="10561183"/>
    <s v="Kid Cudi"/>
    <n v="5002317"/>
    <s v="hip hop"/>
    <d v="2020-12-11T00:00:00"/>
    <n v="64"/>
    <x v="0"/>
    <n v="0.39"/>
    <n v="0.72399999999999998"/>
    <n v="8.8900000000000007E-2"/>
    <n v="0.16200000000000001"/>
    <n v="0.39300000000000002"/>
    <n v="0.312"/>
    <n v="-7.6070000000000002"/>
    <n v="216560"/>
    <n v="2020"/>
    <x v="1"/>
  </r>
  <r>
    <n v="1129"/>
    <n v="53"/>
    <n v="1"/>
    <d v="2020-05-29T00:00:00"/>
    <x v="2"/>
    <s v="Alice"/>
    <n v="10342277"/>
    <s v="Lady Gaga"/>
    <n v="18585963"/>
    <s v="dance pop"/>
    <d v="2020-05-29T00:00:00"/>
    <n v="64"/>
    <x v="0"/>
    <n v="0.72299999999999998"/>
    <n v="0.88"/>
    <n v="3.7999999999999999E-2"/>
    <n v="3.3400000000000001E-3"/>
    <n v="6.3200000000000006E-2"/>
    <n v="0.32300000000000001"/>
    <n v="-4.2869999999999999"/>
    <n v="177600"/>
    <n v="2020"/>
    <x v="1"/>
  </r>
  <r>
    <n v="1199"/>
    <n v="53"/>
    <n v="1"/>
    <d v="2020-05-01T00:00:00"/>
    <x v="1"/>
    <s v="Desires (with Future)"/>
    <n v="9628215"/>
    <s v="Drake"/>
    <n v="56327031"/>
    <s v="canadian hip hop"/>
    <d v="2020-05-01T00:00:00"/>
    <n v="64"/>
    <x v="1"/>
    <n v="0.81200000000000006"/>
    <n v="0.50600000000000001"/>
    <n v="0.11600000000000001"/>
    <n v="0.28100000000000003"/>
    <n v="0.32500000000000001"/>
    <n v="0.55400000000000005"/>
    <n v="-7.7060000000000004"/>
    <n v="237946"/>
    <n v="2020"/>
    <x v="1"/>
  </r>
  <r>
    <n v="1489"/>
    <n v="69"/>
    <n v="1"/>
    <d v="2020-01-17T00:00:00"/>
    <x v="1"/>
    <s v="Hand Me Downs"/>
    <n v="9521654"/>
    <s v="Mac Miller"/>
    <n v="6189454"/>
    <s v="hip hop"/>
    <d v="2020-01-17T00:00:00"/>
    <n v="64"/>
    <x v="1"/>
    <n v="0.67700000000000005"/>
    <n v="0.33"/>
    <n v="0.14899999999999999"/>
    <n v="0.47399999999999998"/>
    <n v="6.4000000000000001E-2"/>
    <n v="0.33600000000000002"/>
    <n v="-11.198"/>
    <n v="298440"/>
    <n v="2020"/>
    <x v="1"/>
  </r>
  <r>
    <n v="1492"/>
    <n v="72"/>
    <n v="1"/>
    <d v="2020-01-17T00:00:00"/>
    <x v="1"/>
    <s v="Lock It Up (feat. Anderson .Paak)"/>
    <n v="9328951"/>
    <s v="Eminem"/>
    <n v="46814751"/>
    <s v="detroit hip hop"/>
    <d v="2020-01-17T00:00:00"/>
    <n v="64"/>
    <x v="0"/>
    <n v="0.84799999999999998"/>
    <n v="0.745"/>
    <n v="0.221"/>
    <n v="9.4899999999999998E-2"/>
    <n v="7.9600000000000004E-2"/>
    <n v="0.51600000000000001"/>
    <n v="-3.052"/>
    <n v="170227"/>
    <n v="2020"/>
    <x v="1"/>
  </r>
  <r>
    <n v="1200"/>
    <n v="55"/>
    <n v="1"/>
    <d v="2020-05-01T00:00:00"/>
    <x v="1"/>
    <s v="Not You Too (feat. Chris Brown)"/>
    <n v="9284383"/>
    <s v="Drake"/>
    <n v="56327031"/>
    <s v="canadian hip hop"/>
    <d v="2020-05-01T00:00:00"/>
    <n v="64"/>
    <x v="1"/>
    <n v="0.45800000000000002"/>
    <n v="0.45200000000000001"/>
    <n v="4.7E-2"/>
    <n v="0.34200000000000003"/>
    <n v="7.0300000000000001E-2"/>
    <n v="0.316"/>
    <n v="-9.2989999999999995"/>
    <n v="269680"/>
    <n v="2020"/>
    <x v="1"/>
  </r>
  <r>
    <n v="1497"/>
    <n v="91"/>
    <n v="1"/>
    <d v="2020-01-17T00:00:00"/>
    <x v="1"/>
    <s v="Woods"/>
    <n v="8329349"/>
    <s v="Mac Miller"/>
    <n v="6189454"/>
    <s v="hip hop"/>
    <d v="2020-01-17T00:00:00"/>
    <n v="64"/>
    <x v="1"/>
    <n v="0.77900000000000003"/>
    <n v="0.36199999999999999"/>
    <n v="4.7399999999999998E-2"/>
    <n v="0.13500000000000001"/>
    <n v="0.111"/>
    <n v="0.46"/>
    <n v="-10.847"/>
    <n v="286387"/>
    <n v="2020"/>
    <x v="1"/>
  </r>
  <r>
    <n v="993"/>
    <n v="82"/>
    <n v="1"/>
    <d v="2020-07-24T00:00:00"/>
    <x v="1"/>
    <s v="Lion King On Ice"/>
    <n v="8293983"/>
    <s v="J. Cole"/>
    <n v="14103694"/>
    <s v="conscious hip hop"/>
    <d v="2020-07-22T00:00:00"/>
    <n v="64"/>
    <x v="0"/>
    <n v="0.73199999999999998"/>
    <n v="0.66300000000000003"/>
    <n v="0.192"/>
    <n v="8.1900000000000001E-2"/>
    <n v="0.115"/>
    <n v="0.22700000000000001"/>
    <n v="-7.6159999999999997"/>
    <n v="210587"/>
    <n v="2020"/>
    <x v="1"/>
  </r>
  <r>
    <n v="854"/>
    <n v="77"/>
    <n v="1"/>
    <d v="2020-10-02T00:00:00"/>
    <x v="1"/>
    <s v="Slidin"/>
    <n v="8243488"/>
    <s v="21 Savage, Metro Boomin"/>
    <n v="9949044"/>
    <s v="atl hip hop"/>
    <d v="2020-10-02T00:00:00"/>
    <n v="64"/>
    <x v="0"/>
    <n v="0.77400000000000002"/>
    <n v="0.70599999999999996"/>
    <n v="0.35499999999999998"/>
    <n v="1.6299999999999999E-3"/>
    <n v="0.104"/>
    <n v="0.38200000000000001"/>
    <n v="-6.4939999999999998"/>
    <n v="185037"/>
    <n v="2020"/>
    <x v="1"/>
  </r>
  <r>
    <n v="1204"/>
    <n v="73"/>
    <n v="1"/>
    <d v="2020-05-01T00:00:00"/>
    <x v="1"/>
    <s v="War"/>
    <n v="7821869"/>
    <s v="Drake"/>
    <n v="56327031"/>
    <s v="canadian hip hop"/>
    <d v="2020-05-01T00:00:00"/>
    <n v="64"/>
    <x v="0"/>
    <n v="0.749"/>
    <n v="0.79200000000000004"/>
    <n v="8.2600000000000007E-2"/>
    <n v="0.29199999999999998"/>
    <n v="0.109"/>
    <n v="0.23899999999999999"/>
    <n v="-4.1509999999999998"/>
    <n v="180000"/>
    <n v="2020"/>
    <x v="1"/>
  </r>
  <r>
    <n v="1281"/>
    <n v="87"/>
    <n v="1"/>
    <d v="2020-03-20T00:00:00"/>
    <x v="3"/>
    <s v="Rosa"/>
    <n v="7564893"/>
    <s v="J Balvin"/>
    <n v="29067437"/>
    <s v="latin"/>
    <d v="2020-03-19T00:00:00"/>
    <n v="64"/>
    <x v="1"/>
    <n v="0.65100000000000002"/>
    <n v="0.56100000000000005"/>
    <n v="0.25"/>
    <n v="0.25"/>
    <n v="0.435"/>
    <n v="0.36899999999999999"/>
    <n v="-5.7149999999999999"/>
    <n v="189827"/>
    <n v="2020"/>
    <x v="1"/>
  </r>
  <r>
    <n v="1205"/>
    <n v="84"/>
    <n v="1"/>
    <d v="2020-05-01T00:00:00"/>
    <x v="1"/>
    <s v="From Florida With Love"/>
    <n v="7216610"/>
    <s v="Drake"/>
    <n v="56327031"/>
    <s v="canadian hip hop"/>
    <d v="2020-05-01T00:00:00"/>
    <n v="64"/>
    <x v="1"/>
    <n v="0.78700000000000003"/>
    <n v="0.47699999999999998"/>
    <n v="0.19900000000000001"/>
    <n v="0.76800000000000002"/>
    <n v="0.104"/>
    <n v="0.47599999999999998"/>
    <n v="-7.8369999999999997"/>
    <n v="234783"/>
    <n v="2020"/>
    <x v="1"/>
  </r>
  <r>
    <n v="1263"/>
    <n v="92"/>
    <n v="1"/>
    <d v="2020-03-27T00:00:00"/>
    <x v="2"/>
    <s v="Good In Bed"/>
    <n v="6802068"/>
    <s v="Dua Lipa"/>
    <n v="27167675"/>
    <s v="dance pop"/>
    <d v="2021-02-11T00:00:00"/>
    <n v="64"/>
    <x v="0"/>
    <n v="0.68"/>
    <n v="0.70099999999999996"/>
    <n v="9.1700000000000004E-2"/>
    <n v="0.13800000000000001"/>
    <n v="0.16800000000000001"/>
    <n v="0.64900000000000002"/>
    <n v="-5.0010000000000003"/>
    <n v="218754"/>
    <n v="2021"/>
    <x v="1"/>
  </r>
  <r>
    <n v="717"/>
    <n v="138"/>
    <n v="1"/>
    <d v="2020-12-04T00:00:00"/>
    <x v="3"/>
    <s v="Blinding Lights (with ROSALÍA) - Remix"/>
    <n v="6653913"/>
    <s v="The Weeknd"/>
    <n v="35340069"/>
    <s v="canadian contemporary r&amp;b"/>
    <d v="2020-12-04T00:00:00"/>
    <n v="64"/>
    <x v="0"/>
    <n v="0.49"/>
    <n v="0.69399999999999995"/>
    <n v="6.1800000000000001E-2"/>
    <n v="1.3299999999999999E-2"/>
    <n v="9.4600000000000004E-2"/>
    <n v="0.249"/>
    <n v="-5.7930000000000001"/>
    <n v="216123"/>
    <n v="2020"/>
    <x v="1"/>
  </r>
  <r>
    <n v="438"/>
    <n v="119"/>
    <n v="1"/>
    <d v="2021-04-09T00:00:00"/>
    <x v="2"/>
    <s v="Breathe (feat. Colbie Caillat) (Taylor’s Version)"/>
    <n v="6508683"/>
    <s v="Taylor Swift"/>
    <n v="42227614"/>
    <s v="pop"/>
    <d v="2021-04-09T00:00:00"/>
    <n v="64"/>
    <x v="1"/>
    <n v="0.50600000000000001"/>
    <n v="0.626"/>
    <n v="2.87E-2"/>
    <n v="0.156"/>
    <n v="0.22800000000000001"/>
    <n v="0.32100000000000001"/>
    <n v="-6.0659999999999998"/>
    <n v="263377"/>
    <n v="2021"/>
    <x v="1"/>
  </r>
  <r>
    <n v="490"/>
    <n v="109"/>
    <n v="1"/>
    <d v="2021-03-12T00:00:00"/>
    <x v="2"/>
    <s v="Dámelo To’ (feat. Myke Towers)"/>
    <n v="6426522"/>
    <s v="Selena Gomez"/>
    <n v="28931149"/>
    <s v="dance pop"/>
    <d v="2021-03-12T00:00:00"/>
    <n v="64"/>
    <x v="0"/>
    <n v="0.78700000000000003"/>
    <n v="0.64100000000000001"/>
    <n v="0.315"/>
    <n v="0.10100000000000001"/>
    <n v="7.0000000000000007E-2"/>
    <n v="0.437"/>
    <n v="-7.3760000000000003"/>
    <n v="184134"/>
    <n v="2021"/>
    <x v="1"/>
  </r>
  <r>
    <n v="1339"/>
    <n v="34"/>
    <n v="3"/>
    <d v="2020-02-21T00:00:00"/>
    <x v="2"/>
    <s v="ON (Feat. Sia)"/>
    <n v="6219276"/>
    <s v="BTS"/>
    <n v="37151476"/>
    <s v="k-pop"/>
    <d v="2020-02-21T00:00:00"/>
    <n v="64"/>
    <x v="0"/>
    <n v="0.59099999999999997"/>
    <n v="0.84799999999999998"/>
    <n v="8.2799999999999999E-2"/>
    <n v="0.13700000000000001"/>
    <n v="0.372"/>
    <n v="0.38600000000000001"/>
    <n v="-4.3970000000000002"/>
    <n v="246816"/>
    <n v="2020"/>
    <x v="1"/>
  </r>
  <r>
    <n v="1101"/>
    <n v="97"/>
    <n v="1"/>
    <d v="2020-06-12T00:00:00"/>
    <x v="3"/>
    <s v="Make It Rain"/>
    <n v="6042929"/>
    <s v="Pop Smoke, Rowdy Rebel"/>
    <n v="6852509"/>
    <s v="brooklyn drill"/>
    <d v="2020-06-12T00:00:00"/>
    <n v="64"/>
    <x v="0"/>
    <n v="0.54"/>
    <n v="0.77"/>
    <n v="0.38900000000000001"/>
    <n v="0.19400000000000001"/>
    <n v="0.372"/>
    <n v="0.56499999999999995"/>
    <n v="-3.9809999999999999"/>
    <n v="204000"/>
    <n v="2020"/>
    <x v="1"/>
  </r>
  <r>
    <n v="442"/>
    <n v="148"/>
    <n v="1"/>
    <d v="2021-04-09T00:00:00"/>
    <x v="2"/>
    <s v="You’re Not Sorry (Taylor’s Version)"/>
    <n v="5860405"/>
    <s v="Taylor Swift"/>
    <n v="42227614"/>
    <s v="pop"/>
    <d v="2021-04-09T00:00:00"/>
    <n v="64"/>
    <x v="1"/>
    <n v="0.50600000000000001"/>
    <n v="0.44400000000000001"/>
    <n v="2.8500000000000001E-2"/>
    <n v="5.3800000000000001E-2"/>
    <n v="0.123"/>
    <n v="0.24099999999999999"/>
    <n v="-4.99"/>
    <n v="261843"/>
    <n v="2021"/>
    <x v="1"/>
  </r>
  <r>
    <n v="1183"/>
    <n v="116"/>
    <n v="1"/>
    <d v="2020-05-08T00:00:00"/>
    <x v="3"/>
    <s v="RONCA FREESTYLE"/>
    <n v="5784075"/>
    <s v="Bad Bunny"/>
    <n v="36177712"/>
    <s v="latin"/>
    <d v="2020-05-10T00:00:00"/>
    <n v="64"/>
    <x v="0"/>
    <n v="0.85599999999999998"/>
    <n v="0.65600000000000003"/>
    <n v="0.13100000000000001"/>
    <n v="0.16500000000000001"/>
    <n v="9.98E-2"/>
    <n v="0.58599999999999997"/>
    <n v="-6.4829999999999997"/>
    <n v="150060"/>
    <n v="2020"/>
    <x v="1"/>
  </r>
  <r>
    <n v="1219"/>
    <n v="112"/>
    <n v="1"/>
    <d v="2020-04-24T00:00:00"/>
    <x v="4"/>
    <s v="90-60-111"/>
    <n v="5750861"/>
    <s v="Shirin David"/>
    <n v="559215"/>
    <s v="frauenrap"/>
    <d v="2020-04-23T00:00:00"/>
    <n v="64"/>
    <x v="1"/>
    <n v="0.8"/>
    <n v="0.628"/>
    <n v="0.28499999999999998"/>
    <n v="0.10299999999999999"/>
    <n v="0.39100000000000001"/>
    <n v="0.745"/>
    <n v="-6.6150000000000002"/>
    <n v="141387"/>
    <n v="2020"/>
    <x v="1"/>
  </r>
  <r>
    <n v="1034"/>
    <n v="57"/>
    <n v="3"/>
    <d v="2020-07-03T00:00:00"/>
    <x v="4"/>
    <s v="Wash Us In The Blood"/>
    <n v="5586085"/>
    <s v="Kanye West, Travis Scott"/>
    <n v="14624703"/>
    <s v="chicago rap"/>
    <d v="2020-06-30T00:00:00"/>
    <n v="64"/>
    <x v="0"/>
    <n v="0.67"/>
    <n v="0.84699999999999998"/>
    <n v="0.40899999999999997"/>
    <n v="0.184"/>
    <n v="0.30399999999999999"/>
    <n v="0.38100000000000001"/>
    <n v="-4.8499999999999996"/>
    <n v="189827"/>
    <n v="2020"/>
    <x v="1"/>
  </r>
  <r>
    <n v="1478"/>
    <n v="44"/>
    <n v="2"/>
    <d v="2020-01-17T00:00:00"/>
    <x v="1"/>
    <s v="Leaving Heaven (feat. Skylar Grey)"/>
    <n v="5466161"/>
    <s v="Eminem"/>
    <n v="46814751"/>
    <s v="detroit hip hop"/>
    <d v="2020-01-17T00:00:00"/>
    <n v="64"/>
    <x v="0"/>
    <n v="0.66100000000000003"/>
    <n v="0.748"/>
    <n v="0.20599999999999999"/>
    <n v="0.17499999999999999"/>
    <n v="0.254"/>
    <n v="0.50900000000000001"/>
    <n v="-4.8090000000000002"/>
    <n v="265947"/>
    <n v="2020"/>
    <x v="1"/>
  </r>
  <r>
    <n v="1063"/>
    <n v="123"/>
    <n v="1"/>
    <d v="2020-06-26T00:00:00"/>
    <x v="1"/>
    <s v="XXL"/>
    <n v="5415994"/>
    <s v="Miksu / Macloud, Summer Cem, Luciano, Jamule"/>
    <n v="30683"/>
    <s v="german hip hop"/>
    <d v="2020-06-26T00:00:00"/>
    <n v="64"/>
    <x v="1"/>
    <n v="0.79800000000000004"/>
    <n v="0.52700000000000002"/>
    <n v="4.4699999999999997E-2"/>
    <n v="0.22700000000000001"/>
    <n v="0.108"/>
    <n v="0.54800000000000004"/>
    <n v="-7.6710000000000003"/>
    <n v="166173"/>
    <n v="2020"/>
    <x v="1"/>
  </r>
  <r>
    <n v="1348"/>
    <n v="104"/>
    <n v="2"/>
    <d v="2020-02-28T00:00:00"/>
    <x v="3"/>
    <s v="Puesto Pa' Guerrial"/>
    <n v="5359969"/>
    <s v="Bad Bunny, Myke Towers"/>
    <n v="36177712"/>
    <s v="latin"/>
    <d v="2020-02-29T00:00:00"/>
    <n v="64"/>
    <x v="0"/>
    <n v="0.86699999999999999"/>
    <n v="0.68600000000000005"/>
    <n v="0.221"/>
    <n v="0.311"/>
    <n v="0.1"/>
    <n v="0.65800000000000003"/>
    <n v="-5.3419999999999996"/>
    <n v="190207"/>
    <n v="2020"/>
    <x v="1"/>
  </r>
  <r>
    <n v="446"/>
    <n v="195"/>
    <n v="1"/>
    <d v="2021-04-09T00:00:00"/>
    <x v="2"/>
    <s v="We Were Happy (Taylor’s Version) (From The Vault)"/>
    <n v="5189423"/>
    <s v="Taylor Swift"/>
    <n v="42227614"/>
    <s v="pop"/>
    <d v="2021-04-09T00:00:00"/>
    <n v="64"/>
    <x v="1"/>
    <n v="0.60899999999999999"/>
    <n v="0.373"/>
    <n v="2.63E-2"/>
    <n v="0.84899999999999998"/>
    <n v="7.7899999999999997E-2"/>
    <n v="0.13"/>
    <n v="-8.8190000000000008"/>
    <n v="244237"/>
    <n v="2021"/>
    <x v="1"/>
  </r>
  <r>
    <n v="776"/>
    <n v="168"/>
    <n v="1"/>
    <d v="2020-11-13T00:00:00"/>
    <x v="1"/>
    <s v="That’s It"/>
    <n v="5151014"/>
    <s v="Future, Lil Uzi Vert"/>
    <n v="10491105"/>
    <s v="atl hip hop"/>
    <d v="2020-11-13T00:00:00"/>
    <n v="64"/>
    <x v="1"/>
    <n v="0.94"/>
    <n v="0.53200000000000003"/>
    <n v="0.35799999999999998"/>
    <n v="0.12"/>
    <n v="9.2499999999999999E-2"/>
    <n v="0.59899999999999998"/>
    <n v="-5.9980000000000002"/>
    <n v="228796"/>
    <n v="2020"/>
    <x v="1"/>
  </r>
  <r>
    <n v="1548"/>
    <n v="156"/>
    <n v="1"/>
    <d v="2019-12-27T00:00:00"/>
    <x v="3"/>
    <s v="Combatchy (feat. MC Rebecca)"/>
    <n v="5149797"/>
    <s v="Anitta, Lexa, Luísa Sonza"/>
    <n v="10741972"/>
    <s v="funk carioca"/>
    <d v="2019-11-20T00:00:00"/>
    <n v="64"/>
    <x v="0"/>
    <n v="0.82599999999999996"/>
    <n v="0.73"/>
    <n v="8.09E-2"/>
    <n v="0.38300000000000001"/>
    <n v="1.9699999999999999E-2"/>
    <n v="0.60499999999999998"/>
    <n v="-3.032"/>
    <n v="157600"/>
    <n v="2019"/>
    <x v="1"/>
  </r>
  <r>
    <n v="914"/>
    <n v="157"/>
    <n v="1"/>
    <d v="2020-09-04T00:00:00"/>
    <x v="4"/>
    <s v="Tap In (feat. Post Malone, DaBaby &amp; Jack Harlow)"/>
    <n v="5117128"/>
    <s v="Saweetie"/>
    <n v="1255573"/>
    <s v="cali rap"/>
    <d v="2020-08-28T00:00:00"/>
    <n v="64"/>
    <x v="1"/>
    <n v="0.94799999999999995"/>
    <n v="0.63"/>
    <n v="0.219"/>
    <n v="6.4700000000000001E-3"/>
    <n v="7.3700000000000002E-2"/>
    <n v="0.42499999999999999"/>
    <n v="-7.0110000000000001"/>
    <n v="253569"/>
    <n v="2020"/>
    <x v="1"/>
  </r>
  <r>
    <n v="1395"/>
    <n v="155"/>
    <n v="4"/>
    <d v="2019-12-27T00:00:00"/>
    <x v="3"/>
    <s v="SENTADÃO"/>
    <n v="5013019"/>
    <s v="PEDRO SAMPAIO, Felipe Original, JS o Mão de Ouro"/>
    <n v="1050520"/>
    <s v="funk carioca"/>
    <d v="2019-11-22T00:00:00"/>
    <n v="64"/>
    <x v="0"/>
    <n v="0.68"/>
    <n v="0.86899999999999999"/>
    <n v="5.8900000000000001E-2"/>
    <n v="0.17799999999999999"/>
    <n v="0.223"/>
    <n v="0.92400000000000004"/>
    <n v="-1.94"/>
    <n v="143448"/>
    <n v="2019"/>
    <x v="1"/>
  </r>
  <r>
    <n v="1091"/>
    <n v="113"/>
    <n v="2"/>
    <d v="2020-06-12T00:00:00"/>
    <x v="3"/>
    <s v="Djomb - Bien ou quoi"/>
    <n v="4924714"/>
    <s v="Bosh"/>
    <n v="300500"/>
    <s v="francoton"/>
    <d v="2020-05-29T00:00:00"/>
    <n v="64"/>
    <x v="0"/>
    <n v="0.94499999999999995"/>
    <n v="0.67600000000000005"/>
    <n v="0.20699999999999999"/>
    <n v="0.17199999999999999"/>
    <n v="0.32200000000000001"/>
    <n v="0.63100000000000001"/>
    <n v="-6.6"/>
    <n v="141893"/>
    <n v="2020"/>
    <x v="1"/>
  </r>
  <r>
    <n v="986"/>
    <n v="171"/>
    <n v="1"/>
    <d v="2020-07-31T00:00:00"/>
    <x v="1"/>
    <s v="Narrow Road (feat. Lil Baby)"/>
    <n v="4828004"/>
    <s v="NLE Choppa"/>
    <n v="3372385"/>
    <s v="memphis hip hop"/>
    <d v="2020-07-30T00:00:00"/>
    <n v="64"/>
    <x v="1"/>
    <n v="0.61399999999999999"/>
    <n v="0.55300000000000005"/>
    <n v="0.16900000000000001"/>
    <n v="3.0599999999999999E-2"/>
    <n v="0.20300000000000001"/>
    <n v="0.161"/>
    <n v="-8.2249999999999996"/>
    <n v="240297"/>
    <n v="2020"/>
    <x v="1"/>
  </r>
  <r>
    <n v="1234"/>
    <n v="162"/>
    <n v="1"/>
    <d v="2020-04-17T00:00:00"/>
    <x v="3"/>
    <s v="No Me Ame"/>
    <n v="4822090"/>
    <s v="Rvssian, Anuel AA, Juice WRLD"/>
    <n v="1397067"/>
    <s v="latin"/>
    <d v="2020-04-17T00:00:00"/>
    <n v="64"/>
    <x v="0"/>
    <n v="0.68"/>
    <n v="0.76600000000000001"/>
    <n v="9.2299999999999993E-2"/>
    <n v="4.1099999999999998E-2"/>
    <n v="0.11600000000000001"/>
    <n v="0.28000000000000003"/>
    <n v="-4.7990000000000004"/>
    <n v="180000"/>
    <n v="2020"/>
    <x v="1"/>
  </r>
  <r>
    <n v="1146"/>
    <n v="78"/>
    <n v="2"/>
    <d v="2020-05-22T00:00:00"/>
    <x v="1"/>
    <s v="Roadrunner"/>
    <n v="4596162"/>
    <s v="Bonez MC"/>
    <n v="1683006"/>
    <s v="german hip hop"/>
    <d v="2020-09-10T00:00:00"/>
    <n v="64"/>
    <x v="1"/>
    <n v="0.80400000000000005"/>
    <n v="0.60599999999999998"/>
    <n v="0.24199999999999999"/>
    <n v="0.13700000000000001"/>
    <n v="0.111"/>
    <n v="0.247"/>
    <n v="-9.0449999999999999"/>
    <n v="149028"/>
    <n v="2020"/>
    <x v="1"/>
  </r>
  <r>
    <n v="944"/>
    <n v="188"/>
    <n v="1"/>
    <d v="2020-08-21T00:00:00"/>
    <x v="2"/>
    <s v="if i were u (with Lauv)"/>
    <n v="4561189"/>
    <s v="blackbear"/>
    <n v="4272745"/>
    <s v="electropop"/>
    <d v="2020-08-19T00:00:00"/>
    <n v="64"/>
    <x v="1"/>
    <n v="0.66600000000000004"/>
    <n v="0.628"/>
    <n v="6.2300000000000001E-2"/>
    <n v="0.14399999999999999"/>
    <n v="0.189"/>
    <n v="0.76700000000000002"/>
    <n v="-5.6130000000000004"/>
    <n v="186468"/>
    <n v="2020"/>
    <x v="1"/>
  </r>
  <r>
    <n v="621"/>
    <n v="2"/>
    <n v="8"/>
    <d v="2020-12-18T00:00:00"/>
    <x v="3"/>
    <s v="Last Christmas"/>
    <n v="20709328"/>
    <s v="Wham!"/>
    <n v="1631876"/>
    <s v="disco"/>
    <d v="1984-11-29T00:00:00"/>
    <n v="63"/>
    <x v="1"/>
    <n v="0.73499999999999999"/>
    <n v="0.47799999999999998"/>
    <n v="2.93E-2"/>
    <n v="0.189"/>
    <n v="0.35499999999999998"/>
    <n v="0.94699999999999995"/>
    <n v="-12.472"/>
    <n v="262960"/>
    <n v="1984"/>
    <x v="1"/>
  </r>
  <r>
    <n v="805"/>
    <n v="51"/>
    <n v="1"/>
    <d v="2020-10-30T00:00:00"/>
    <x v="2"/>
    <s v="six thirty"/>
    <n v="10941573"/>
    <s v="Ariana Grande"/>
    <n v="67208170"/>
    <s v="dance pop"/>
    <d v="2020-10-30T00:00:00"/>
    <n v="63"/>
    <x v="1"/>
    <n v="0.73899999999999999"/>
    <n v="0.51600000000000001"/>
    <n v="5.3900000000000003E-2"/>
    <n v="0.67"/>
    <n v="0.151"/>
    <n v="0.434"/>
    <n v="-7.1539999999999999"/>
    <n v="183874"/>
    <n v="2020"/>
    <x v="1"/>
  </r>
  <r>
    <n v="1197"/>
    <n v="46"/>
    <n v="1"/>
    <d v="2020-05-01T00:00:00"/>
    <x v="1"/>
    <s v="D4L"/>
    <n v="10537097"/>
    <s v="Future, Drake, Young Thug"/>
    <n v="56327031"/>
    <s v="canadian hip hop"/>
    <d v="2020-05-01T00:00:00"/>
    <n v="63"/>
    <x v="0"/>
    <n v="0.71799999999999997"/>
    <n v="0.70599999999999996"/>
    <n v="0.06"/>
    <n v="1.2800000000000001E-2"/>
    <n v="0.35199999999999998"/>
    <n v="0.81499999999999995"/>
    <n v="-5.7089999999999996"/>
    <n v="189176"/>
    <n v="2020"/>
    <x v="1"/>
  </r>
  <r>
    <n v="1279"/>
    <n v="51"/>
    <n v="1"/>
    <d v="2020-03-20T00:00:00"/>
    <x v="3"/>
    <s v="Repeat After Me (Interlude)"/>
    <n v="10058303"/>
    <s v="The Weeknd"/>
    <n v="35340069"/>
    <s v="canadian contemporary r&amp;b"/>
    <d v="2020-03-20T00:00:00"/>
    <n v="63"/>
    <x v="1"/>
    <n v="0.55500000000000005"/>
    <n v="0.61899999999999999"/>
    <n v="3.1399999999999997E-2"/>
    <n v="3.2300000000000002E-2"/>
    <n v="9.1700000000000004E-2"/>
    <n v="0.14099999999999999"/>
    <n v="-7.9180000000000001"/>
    <n v="195813"/>
    <n v="2020"/>
    <x v="1"/>
  </r>
  <r>
    <n v="1332"/>
    <n v="68"/>
    <n v="1"/>
    <d v="2020-03-06T00:00:00"/>
    <x v="4"/>
    <s v="Venetia"/>
    <n v="9824605"/>
    <s v="Lil Uzi Vert"/>
    <n v="11821805"/>
    <s v="melodic rap"/>
    <d v="2020-03-06T00:00:00"/>
    <n v="63"/>
    <x v="0"/>
    <n v="0.77500000000000002"/>
    <n v="0.75700000000000001"/>
    <n v="0.17499999999999999"/>
    <n v="0.16200000000000001"/>
    <n v="0.14799999999999999"/>
    <n v="0.56200000000000006"/>
    <n v="-4.1390000000000002"/>
    <n v="188800"/>
    <n v="2020"/>
    <x v="1"/>
  </r>
  <r>
    <n v="1490"/>
    <n v="70"/>
    <n v="1"/>
    <d v="2020-01-17T00:00:00"/>
    <x v="1"/>
    <s v="No Regrets (feat. Don Toliver)"/>
    <n v="9493884"/>
    <s v="Eminem"/>
    <n v="46814751"/>
    <s v="detroit hip hop"/>
    <d v="2020-01-17T00:00:00"/>
    <n v="63"/>
    <x v="0"/>
    <n v="0.75600000000000001"/>
    <n v="0.747"/>
    <n v="4.5999999999999999E-2"/>
    <n v="4.7999999999999996E-3"/>
    <n v="0.58799999999999997"/>
    <n v="6.8699999999999997E-2"/>
    <n v="-5.407"/>
    <n v="200947"/>
    <n v="2020"/>
    <x v="1"/>
  </r>
  <r>
    <n v="1130"/>
    <n v="58"/>
    <n v="1"/>
    <d v="2020-05-29T00:00:00"/>
    <x v="2"/>
    <s v="Free Woman"/>
    <n v="9266945"/>
    <s v="Lady Gaga"/>
    <n v="18585963"/>
    <s v="dance pop"/>
    <d v="2020-05-29T00:00:00"/>
    <n v="63"/>
    <x v="0"/>
    <n v="0.73099999999999998"/>
    <n v="0.92700000000000005"/>
    <n v="7.8100000000000003E-2"/>
    <n v="2.2800000000000001E-2"/>
    <n v="0.187"/>
    <n v="0.47799999999999998"/>
    <n v="-3.6339999999999999"/>
    <n v="191467"/>
    <n v="2020"/>
    <x v="1"/>
  </r>
  <r>
    <n v="1280"/>
    <n v="68"/>
    <n v="1"/>
    <d v="2020-03-20T00:00:00"/>
    <x v="3"/>
    <s v="Until I Bleed Out"/>
    <n v="9132077"/>
    <s v="The Weeknd"/>
    <n v="35340069"/>
    <s v="canadian contemporary r&amp;b"/>
    <d v="2020-03-20T00:00:00"/>
    <n v="63"/>
    <x v="1"/>
    <n v="0.245"/>
    <n v="0.39400000000000002"/>
    <n v="3.7400000000000003E-2"/>
    <n v="0.42299999999999999"/>
    <n v="9.2999999999999999E-2"/>
    <n v="0.14799999999999999"/>
    <n v="-9.8870000000000005"/>
    <n v="190173"/>
    <n v="2020"/>
    <x v="1"/>
  </r>
  <r>
    <n v="1406"/>
    <n v="65"/>
    <n v="1"/>
    <d v="2020-02-14T00:00:00"/>
    <x v="2"/>
    <s v="All Around Me"/>
    <n v="9010535"/>
    <s v="Justin Bieber"/>
    <n v="48544923"/>
    <s v="canadian pop"/>
    <d v="2020-02-14T00:00:00"/>
    <n v="63"/>
    <x v="1"/>
    <n v="0.56599999999999995"/>
    <n v="0.438"/>
    <n v="3.6700000000000003E-2"/>
    <n v="0.80900000000000005"/>
    <n v="0.21199999999999999"/>
    <n v="0.69199999999999995"/>
    <n v="-7.5640000000000001"/>
    <n v="136907"/>
    <n v="2020"/>
    <x v="1"/>
  </r>
  <r>
    <n v="705"/>
    <n v="97"/>
    <n v="1"/>
    <d v="2020-12-11T00:00:00"/>
    <x v="1"/>
    <s v="Another Day"/>
    <n v="8901697"/>
    <s v="Kid Cudi"/>
    <n v="5002317"/>
    <s v="hip hop"/>
    <d v="2020-12-11T00:00:00"/>
    <n v="63"/>
    <x v="0"/>
    <n v="0.64600000000000002"/>
    <n v="0.75800000000000001"/>
    <n v="7.0800000000000002E-2"/>
    <n v="0.55600000000000005"/>
    <n v="0.33500000000000002"/>
    <n v="6.4199999999999993E-2"/>
    <n v="-7.75"/>
    <n v="199787"/>
    <n v="2020"/>
    <x v="1"/>
  </r>
  <r>
    <n v="1134"/>
    <n v="79"/>
    <n v="1"/>
    <d v="2020-05-29T00:00:00"/>
    <x v="2"/>
    <s v="Replay"/>
    <n v="7479618"/>
    <s v="Lady Gaga"/>
    <n v="18585963"/>
    <s v="dance pop"/>
    <d v="2020-05-29T00:00:00"/>
    <n v="63"/>
    <x v="0"/>
    <n v="0.65800000000000003"/>
    <n v="0.878"/>
    <n v="0.123"/>
    <n v="7.92E-3"/>
    <n v="0.94399999999999995"/>
    <n v="0.68300000000000005"/>
    <n v="-3.875"/>
    <n v="186653"/>
    <n v="2020"/>
    <x v="1"/>
  </r>
  <r>
    <n v="1046"/>
    <n v="95"/>
    <n v="1"/>
    <d v="2020-07-03T00:00:00"/>
    <x v="3"/>
    <s v="Yea Yea"/>
    <n v="7112419"/>
    <s v="Pop Smoke"/>
    <n v="6852509"/>
    <s v="brooklyn drill"/>
    <d v="2020-07-03T00:00:00"/>
    <n v="63"/>
    <x v="1"/>
    <n v="0.71699999999999997"/>
    <n v="0.47399999999999998"/>
    <n v="0.40300000000000002"/>
    <n v="5.0900000000000001E-2"/>
    <n v="0.13900000000000001"/>
    <n v="0.44800000000000001"/>
    <n v="-8.3829999999999991"/>
    <n v="185804"/>
    <n v="2020"/>
    <x v="1"/>
  </r>
  <r>
    <n v="1182"/>
    <n v="83"/>
    <n v="1"/>
    <d v="2020-05-08T00:00:00"/>
    <x v="3"/>
    <s v="SI ELLA SALE"/>
    <n v="7055918"/>
    <s v="Bad Bunny"/>
    <n v="36177712"/>
    <s v="latin"/>
    <d v="2020-05-10T00:00:00"/>
    <n v="63"/>
    <x v="0"/>
    <n v="0.86899999999999999"/>
    <n v="0.72699999999999998"/>
    <n v="0.123"/>
    <n v="5.8900000000000001E-2"/>
    <n v="0.107"/>
    <n v="0.92"/>
    <n v="-7.3970000000000002"/>
    <n v="143240"/>
    <n v="2020"/>
    <x v="1"/>
  </r>
  <r>
    <n v="640"/>
    <n v="114"/>
    <n v="1"/>
    <d v="2020-12-25T00:00:00"/>
    <x v="1"/>
    <s v="Slay3r"/>
    <n v="6912271"/>
    <s v="Playboi Carti"/>
    <n v="4958353"/>
    <s v="atl hip hop"/>
    <d v="2020-12-25T00:00:00"/>
    <n v="63"/>
    <x v="0"/>
    <n v="0.88500000000000001"/>
    <n v="0.66100000000000003"/>
    <n v="0.14099999999999999"/>
    <n v="0.16500000000000001"/>
    <n v="0.33400000000000002"/>
    <n v="0.436"/>
    <n v="-5.0620000000000003"/>
    <n v="164591"/>
    <n v="2020"/>
    <x v="1"/>
  </r>
  <r>
    <n v="1266"/>
    <n v="118"/>
    <n v="1"/>
    <d v="2020-03-27T00:00:00"/>
    <x v="2"/>
    <s v="Boys Will Be Boys"/>
    <n v="6015914"/>
    <s v="Dua Lipa"/>
    <n v="27167675"/>
    <s v="dance pop"/>
    <d v="2021-02-11T00:00:00"/>
    <n v="63"/>
    <x v="1"/>
    <n v="0.76800000000000002"/>
    <n v="0.48599999999999999"/>
    <n v="3.5299999999999998E-2"/>
    <n v="0.40799999999999997"/>
    <n v="9.8000000000000004E-2"/>
    <n v="0.51900000000000002"/>
    <n v="-5.9539999999999997"/>
    <n v="166266"/>
    <n v="2021"/>
    <x v="1"/>
  </r>
  <r>
    <n v="441"/>
    <n v="147"/>
    <n v="1"/>
    <d v="2021-04-09T00:00:00"/>
    <x v="2"/>
    <s v="Tell Me Why (Taylor’s Version)"/>
    <n v="5885151"/>
    <s v="Taylor Swift"/>
    <n v="42227614"/>
    <s v="pop"/>
    <d v="2021-04-09T00:00:00"/>
    <n v="63"/>
    <x v="0"/>
    <n v="0.57799999999999996"/>
    <n v="0.90900000000000003"/>
    <n v="6.2799999999999995E-2"/>
    <n v="2.2200000000000001E-2"/>
    <n v="0.33300000000000002"/>
    <n v="0.54100000000000004"/>
    <n v="-3.669"/>
    <n v="200576"/>
    <n v="2021"/>
    <x v="1"/>
  </r>
  <r>
    <n v="858"/>
    <n v="139"/>
    <n v="1"/>
    <d v="2020-10-02T00:00:00"/>
    <x v="1"/>
    <s v="Brand New Draco"/>
    <n v="5841110"/>
    <s v="21 Savage, Metro Boomin"/>
    <n v="9949044"/>
    <s v="atl hip hop"/>
    <d v="2020-10-02T00:00:00"/>
    <n v="63"/>
    <x v="0"/>
    <n v="0.69699999999999995"/>
    <n v="0.70899999999999996"/>
    <n v="0.29799999999999999"/>
    <n v="4.1000000000000002E-2"/>
    <n v="8.8599999999999998E-2"/>
    <n v="0.439"/>
    <n v="-6.6420000000000003"/>
    <n v="202420"/>
    <n v="2020"/>
    <x v="1"/>
  </r>
  <r>
    <n v="1284"/>
    <n v="134"/>
    <n v="1"/>
    <d v="2020-03-20T00:00:00"/>
    <x v="3"/>
    <s v="Verde"/>
    <n v="5745393"/>
    <s v="J Balvin, Sky Rompiendo"/>
    <n v="29067437"/>
    <s v="latin"/>
    <d v="2020-03-19T00:00:00"/>
    <n v="63"/>
    <x v="0"/>
    <n v="0.82799999999999996"/>
    <n v="0.73799999999999999"/>
    <n v="5.16E-2"/>
    <n v="3.8100000000000002E-2"/>
    <n v="9.1700000000000004E-2"/>
    <n v="0.81799999999999995"/>
    <n v="-4.2949999999999999"/>
    <n v="142547"/>
    <n v="2020"/>
    <x v="1"/>
  </r>
  <r>
    <n v="1422"/>
    <n v="68"/>
    <n v="3"/>
    <d v="2020-01-31T00:00:00"/>
    <x v="1"/>
    <s v="Baby"/>
    <n v="5376451"/>
    <s v="Joker Bra, VIZE"/>
    <n v="191521"/>
    <s v="german hip hop"/>
    <d v="2020-01-30T00:00:00"/>
    <n v="63"/>
    <x v="0"/>
    <n v="0.77100000000000002"/>
    <n v="0.92100000000000004"/>
    <n v="0.109"/>
    <n v="0.16600000000000001"/>
    <n v="0.11899999999999999"/>
    <n v="0.56000000000000005"/>
    <n v="-4.2279999999999998"/>
    <n v="148125"/>
    <n v="2020"/>
    <x v="1"/>
  </r>
  <r>
    <n v="791"/>
    <n v="31"/>
    <n v="2"/>
    <d v="2020-10-30T00:00:00"/>
    <x v="2"/>
    <s v="shut up"/>
    <n v="5282490"/>
    <s v="Ariana Grande"/>
    <n v="67208170"/>
    <s v="dance pop"/>
    <d v="2020-10-30T00:00:00"/>
    <n v="63"/>
    <x v="1"/>
    <n v="0.499"/>
    <n v="0.46200000000000002"/>
    <n v="3.1199999999999999E-2"/>
    <n v="0.80100000000000005"/>
    <n v="9.4600000000000004E-2"/>
    <n v="0.59899999999999998"/>
    <n v="-5.3079999999999998"/>
    <n v="157710"/>
    <n v="2020"/>
    <x v="1"/>
  </r>
  <r>
    <n v="1154"/>
    <n v="139"/>
    <n v="1"/>
    <d v="2020-05-22T00:00:00"/>
    <x v="1"/>
    <s v="TOP FLOOR (feat. Travis Scott)"/>
    <n v="5193309"/>
    <s v="Gunna"/>
    <n v="3337982"/>
    <s v="atl hip hop"/>
    <d v="2020-05-22T00:00:00"/>
    <n v="63"/>
    <x v="1"/>
    <n v="0.82299999999999995"/>
    <n v="0.504"/>
    <n v="0.16"/>
    <n v="0.20599999999999999"/>
    <n v="0.41699999999999998"/>
    <n v="0.48099999999999998"/>
    <n v="-8.65"/>
    <n v="169907"/>
    <n v="2020"/>
    <x v="1"/>
  </r>
  <r>
    <n v="1523"/>
    <n v="176"/>
    <n v="1"/>
    <d v="2020-01-10T00:00:00"/>
    <x v="4"/>
    <s v="Tip Toe (feat. A Boogie Wit da Hoodie)"/>
    <n v="5150724"/>
    <s v="Roddy Ricch"/>
    <n v="6608815"/>
    <s v="melodic rap"/>
    <d v="2019-12-06T00:00:00"/>
    <n v="63"/>
    <x v="0"/>
    <n v="0.75700000000000001"/>
    <n v="0.67300000000000004"/>
    <n v="0.14099999999999999"/>
    <n v="9.5000000000000001E-2"/>
    <n v="0.33800000000000002"/>
    <n v="0.57399999999999995"/>
    <n v="-8.5129999999999999"/>
    <n v="185806"/>
    <n v="2019"/>
    <x v="1"/>
  </r>
  <r>
    <n v="1426"/>
    <n v="61"/>
    <n v="3"/>
    <d v="2020-01-31T00:00:00"/>
    <x v="2"/>
    <s v="Only The Young - Featured in Miss Americana"/>
    <n v="5111068"/>
    <s v="Taylor Swift"/>
    <n v="42227614"/>
    <s v="pop"/>
    <d v="2020-01-31T00:00:00"/>
    <n v="63"/>
    <x v="0"/>
    <n v="0.56000000000000005"/>
    <n v="0.78"/>
    <n v="5.1700000000000003E-2"/>
    <n v="2.4399999999999999E-3"/>
    <n v="7.1400000000000005E-2"/>
    <n v="0.60199999999999998"/>
    <n v="-4.8949999999999996"/>
    <n v="157507"/>
    <n v="2020"/>
    <x v="1"/>
  </r>
  <r>
    <n v="1288"/>
    <n v="57"/>
    <n v="3"/>
    <d v="2020-03-06T00:00:00"/>
    <x v="4"/>
    <s v="Futsal Shuffle 2020 - Bonus Track"/>
    <n v="5068849"/>
    <s v="Lil Uzi Vert"/>
    <n v="11821805"/>
    <s v="melodic rap"/>
    <d v="2020-03-06T00:00:00"/>
    <n v="63"/>
    <x v="1"/>
    <n v="0.879"/>
    <n v="0.44800000000000001"/>
    <n v="0.222"/>
    <n v="3.4599999999999999E-2"/>
    <n v="0.224"/>
    <n v="0.27800000000000002"/>
    <n v="-8.57"/>
    <n v="198913"/>
    <n v="2020"/>
    <x v="1"/>
  </r>
  <r>
    <n v="1318"/>
    <n v="51"/>
    <n v="2"/>
    <d v="2020-03-06T00:00:00"/>
    <x v="4"/>
    <s v="Homecoming"/>
    <n v="4988839"/>
    <s v="Lil Uzi Vert"/>
    <n v="11821805"/>
    <s v="melodic rap"/>
    <d v="2020-03-06T00:00:00"/>
    <n v="63"/>
    <x v="1"/>
    <n v="0.92900000000000005"/>
    <n v="0.56299999999999994"/>
    <n v="0.49"/>
    <n v="5.9199999999999997E-4"/>
    <n v="0.24399999999999999"/>
    <n v="0.35299999999999998"/>
    <n v="-7.4279999999999999"/>
    <n v="213885"/>
    <n v="2020"/>
    <x v="1"/>
  </r>
  <r>
    <n v="759"/>
    <n v="192"/>
    <n v="1"/>
    <d v="2020-11-20T00:00:00"/>
    <x v="1"/>
    <s v="Hollywood (feat. Diplo)"/>
    <n v="4920218"/>
    <s v="Sfera Ebbasta"/>
    <n v="4430628"/>
    <s v="italian hip hop"/>
    <d v="2020-12-18T00:00:00"/>
    <n v="63"/>
    <x v="0"/>
    <n v="0.84799999999999998"/>
    <n v="0.70799999999999996"/>
    <n v="3.6600000000000001E-2"/>
    <n v="0.153"/>
    <n v="9.4799999999999995E-2"/>
    <n v="0.92600000000000005"/>
    <n v="-6.3360000000000003"/>
    <n v="191869"/>
    <n v="2020"/>
    <x v="1"/>
  </r>
  <r>
    <n v="904"/>
    <n v="112"/>
    <n v="2"/>
    <d v="2020-09-04T00:00:00"/>
    <x v="1"/>
    <s v="Fuckst mich nur ab"/>
    <n v="4898520"/>
    <s v="Bonez MC"/>
    <n v="1683006"/>
    <s v="german hip hop"/>
    <d v="2020-09-10T00:00:00"/>
    <n v="63"/>
    <x v="1"/>
    <n v="0.81699999999999995"/>
    <n v="0.46800000000000003"/>
    <n v="0.28699999999999998"/>
    <n v="0.23300000000000001"/>
    <n v="9.0499999999999997E-2"/>
    <n v="0.23699999999999999"/>
    <n v="-10.945"/>
    <n v="182931"/>
    <n v="2020"/>
    <x v="1"/>
  </r>
  <r>
    <n v="1402"/>
    <n v="196"/>
    <n v="1"/>
    <d v="2020-02-21T00:00:00"/>
    <x v="3"/>
    <s v="Mejor"/>
    <n v="4851895"/>
    <s v="Dalex, Sech"/>
    <n v="3600989"/>
    <s v="latin"/>
    <d v="2020-03-19T00:00:00"/>
    <n v="63"/>
    <x v="1"/>
    <n v="0.52400000000000002"/>
    <n v="0.57699999999999996"/>
    <n v="0.18"/>
    <n v="0.185"/>
    <n v="0.10299999999999999"/>
    <n v="0.19"/>
    <n v="-4.5010000000000003"/>
    <n v="201361"/>
    <n v="2020"/>
    <x v="1"/>
  </r>
  <r>
    <n v="893"/>
    <n v="181"/>
    <n v="1"/>
    <d v="2020-09-18T00:00:00"/>
    <x v="4"/>
    <s v="Dolly (with Lil Uzi Vert)"/>
    <n v="4800543"/>
    <s v="Lil Tecca"/>
    <n v="4022792"/>
    <s v="melodic rap"/>
    <d v="2020-09-18T00:00:00"/>
    <n v="63"/>
    <x v="1"/>
    <n v="0.66400000000000003"/>
    <n v="0.58599999999999997"/>
    <n v="0.23799999999999999"/>
    <n v="0.21199999999999999"/>
    <n v="0.216"/>
    <n v="0.58899999999999997"/>
    <n v="-7.8129999999999997"/>
    <n v="179813"/>
    <n v="2020"/>
    <x v="1"/>
  </r>
  <r>
    <n v="1189"/>
    <n v="49"/>
    <n v="2"/>
    <d v="2020-05-01T00:00:00"/>
    <x v="1"/>
    <s v="Demons (feat. Fivio Foreign &amp; Sosa Geek)"/>
    <n v="4766829"/>
    <s v="Drake"/>
    <n v="56327031"/>
    <s v="canadian hip hop"/>
    <d v="2020-05-01T00:00:00"/>
    <n v="63"/>
    <x v="0"/>
    <n v="0.54300000000000004"/>
    <n v="0.76600000000000001"/>
    <n v="0.34300000000000003"/>
    <n v="0.42299999999999999"/>
    <n v="0.155"/>
    <n v="0.72899999999999998"/>
    <n v="-3.387"/>
    <n v="204805"/>
    <n v="2020"/>
    <x v="1"/>
  </r>
  <r>
    <n v="1291"/>
    <n v="42"/>
    <n v="5"/>
    <d v="2020-02-21T00:00:00"/>
    <x v="2"/>
    <s v="Feel Me"/>
    <n v="4765672"/>
    <s v="Selena Gomez"/>
    <n v="28931149"/>
    <s v="dance pop"/>
    <d v="2020-02-21T00:00:00"/>
    <n v="63"/>
    <x v="0"/>
    <n v="0.71"/>
    <n v="0.80800000000000005"/>
    <n v="4.3299999999999998E-2"/>
    <n v="0.44"/>
    <n v="7.3400000000000007E-2"/>
    <n v="0.39200000000000002"/>
    <n v="-6.7030000000000003"/>
    <n v="226003"/>
    <n v="2020"/>
    <x v="1"/>
  </r>
  <r>
    <n v="908"/>
    <n v="150"/>
    <n v="5"/>
    <d v="2020-08-28T00:00:00"/>
    <x v="2"/>
    <s v="When I Look At You"/>
    <n v="4652583"/>
    <s v="Miley Cyrus"/>
    <n v="15778531"/>
    <s v="dance pop"/>
    <d v="2009-01-01T00:00:00"/>
    <n v="63"/>
    <x v="1"/>
    <n v="0.45900000000000002"/>
    <n v="0.54500000000000004"/>
    <n v="2.8199999999999999E-2"/>
    <n v="0.14199999999999999"/>
    <n v="0.105"/>
    <n v="0.19400000000000001"/>
    <n v="-4.8739999999999997"/>
    <n v="248587"/>
    <n v="2009"/>
    <x v="1"/>
  </r>
  <r>
    <n v="1238"/>
    <n v="128"/>
    <n v="3"/>
    <d v="2020-04-03T00:00:00"/>
    <x v="3"/>
    <s v="Follow"/>
    <n v="4593449"/>
    <s v="KAROL G, Anuel AA"/>
    <n v="17792779"/>
    <s v="latin"/>
    <d v="2020-04-01T00:00:00"/>
    <n v="63"/>
    <x v="0"/>
    <n v="0.73499999999999999"/>
    <n v="0.78700000000000003"/>
    <n v="0.16"/>
    <n v="0.66700000000000004"/>
    <n v="7.2099999999999997E-2"/>
    <n v="0.45500000000000002"/>
    <n v="-4.375"/>
    <n v="203093"/>
    <n v="2020"/>
    <x v="1"/>
  </r>
  <r>
    <n v="1006"/>
    <n v="10"/>
    <n v="2"/>
    <d v="2020-07-10T00:00:00"/>
    <x v="4"/>
    <s v="Party Girl (Remix)"/>
    <n v="15129295"/>
    <s v="StaySolidRocky, Lil Uzi Vert"/>
    <n v="150587"/>
    <s v="melodic rap"/>
    <d v="2020-07-10T00:00:00"/>
    <n v="62"/>
    <x v="1"/>
    <n v="0.752"/>
    <n v="0.375"/>
    <n v="0.20399999999999999"/>
    <n v="0.53300000000000003"/>
    <n v="0.17499999999999999"/>
    <n v="0.59099999999999997"/>
    <n v="-10.157"/>
    <n v="147673"/>
    <n v="2020"/>
    <x v="1"/>
  </r>
  <r>
    <n v="703"/>
    <n v="70"/>
    <n v="1"/>
    <d v="2020-12-11T00:00:00"/>
    <x v="2"/>
    <s v="closure"/>
    <n v="11245393"/>
    <s v="Taylor Swift"/>
    <n v="42227614"/>
    <s v="pop"/>
    <d v="2020-12-11T00:00:00"/>
    <n v="62"/>
    <x v="0"/>
    <n v="0.68899999999999995"/>
    <n v="0.70399999999999996"/>
    <n v="0.245"/>
    <n v="0.83499999999999996"/>
    <n v="0.13400000000000001"/>
    <n v="0.92"/>
    <n v="-10.813000000000001"/>
    <n v="180653"/>
    <n v="2020"/>
    <x v="1"/>
  </r>
  <r>
    <n v="1487"/>
    <n v="57"/>
    <n v="1"/>
    <d v="2020-01-17T00:00:00"/>
    <x v="1"/>
    <s v="Premonition - Intro"/>
    <n v="10830400"/>
    <s v="Eminem"/>
    <n v="46814751"/>
    <s v="detroit hip hop"/>
    <d v="2020-01-17T00:00:00"/>
    <n v="62"/>
    <x v="0"/>
    <n v="0.84699999999999998"/>
    <n v="0.63700000000000001"/>
    <n v="0.36699999999999999"/>
    <n v="2.58E-2"/>
    <n v="0.38200000000000001"/>
    <n v="0.51100000000000001"/>
    <n v="-5.1929999999999996"/>
    <n v="173893"/>
    <n v="2020"/>
    <x v="1"/>
  </r>
  <r>
    <n v="1331"/>
    <n v="64"/>
    <n v="1"/>
    <d v="2020-03-06T00:00:00"/>
    <x v="4"/>
    <s v="Bigger Than Life"/>
    <n v="9974143"/>
    <s v="Lil Uzi Vert"/>
    <n v="11821805"/>
    <s v="melodic rap"/>
    <d v="2020-03-06T00:00:00"/>
    <n v="62"/>
    <x v="0"/>
    <n v="0.77600000000000002"/>
    <n v="0.752"/>
    <n v="0.193"/>
    <n v="0.32500000000000001"/>
    <n v="0.33"/>
    <n v="0.71599999999999997"/>
    <n v="-4.7110000000000003"/>
    <n v="192705"/>
    <n v="2020"/>
    <x v="1"/>
  </r>
  <r>
    <n v="1491"/>
    <n v="71"/>
    <n v="1"/>
    <d v="2020-01-17T00:00:00"/>
    <x v="1"/>
    <s v="Complicated"/>
    <n v="9443725"/>
    <s v="Mac Miller"/>
    <n v="6189454"/>
    <s v="hip hop"/>
    <d v="2020-01-17T00:00:00"/>
    <n v="62"/>
    <x v="1"/>
    <n v="0.83099999999999996"/>
    <n v="0.36"/>
    <n v="5.1999999999999998E-2"/>
    <n v="0.13600000000000001"/>
    <n v="7.0300000000000001E-2"/>
    <n v="0.60099999999999998"/>
    <n v="-8.0730000000000004"/>
    <n v="232212"/>
    <n v="2020"/>
    <x v="1"/>
  </r>
  <r>
    <n v="806"/>
    <n v="65"/>
    <n v="1"/>
    <d v="2020-10-30T00:00:00"/>
    <x v="2"/>
    <s v="love language"/>
    <n v="9399230"/>
    <s v="Ariana Grande"/>
    <n v="67208170"/>
    <s v="dance pop"/>
    <d v="2020-10-30T00:00:00"/>
    <n v="62"/>
    <x v="1"/>
    <n v="0.68799999999999994"/>
    <n v="0.57299999999999995"/>
    <n v="0.20799999999999999"/>
    <n v="6.8599999999999994E-2"/>
    <n v="7.4899999999999994E-2"/>
    <n v="0.55300000000000005"/>
    <n v="-5.03"/>
    <n v="179861"/>
    <n v="2020"/>
    <x v="1"/>
  </r>
  <r>
    <n v="807"/>
    <n v="66"/>
    <n v="1"/>
    <d v="2020-10-30T00:00:00"/>
    <x v="2"/>
    <s v="west side"/>
    <n v="9397167"/>
    <s v="Ariana Grande"/>
    <n v="67208170"/>
    <s v="dance pop"/>
    <d v="2020-10-30T00:00:00"/>
    <n v="62"/>
    <x v="1"/>
    <n v="0.68799999999999994"/>
    <n v="0.45500000000000002"/>
    <n v="0.19900000000000001"/>
    <n v="0.186"/>
    <n v="7.9399999999999998E-2"/>
    <n v="0.55700000000000005"/>
    <n v="-8.6319999999999997"/>
    <n v="132279"/>
    <n v="2020"/>
    <x v="1"/>
  </r>
  <r>
    <n v="1493"/>
    <n v="73"/>
    <n v="1"/>
    <d v="2020-01-17T00:00:00"/>
    <x v="1"/>
    <s v="Marsh"/>
    <n v="9260007"/>
    <s v="Eminem"/>
    <n v="46814751"/>
    <s v="detroit hip hop"/>
    <d v="2020-01-17T00:00:00"/>
    <n v="62"/>
    <x v="1"/>
    <n v="0.871"/>
    <n v="0.49299999999999999"/>
    <n v="0.20499999999999999"/>
    <n v="1.34E-2"/>
    <n v="0.38500000000000001"/>
    <n v="4.9500000000000002E-2"/>
    <n v="-6.3559999999999999"/>
    <n v="200573"/>
    <n v="2020"/>
    <x v="1"/>
  </r>
  <r>
    <n v="1405"/>
    <n v="64"/>
    <n v="1"/>
    <d v="2020-02-14T00:00:00"/>
    <x v="2"/>
    <s v="Habitual"/>
    <n v="9120086"/>
    <s v="Justin Bieber"/>
    <n v="48544923"/>
    <s v="canadian pop"/>
    <d v="2020-02-14T00:00:00"/>
    <n v="62"/>
    <x v="1"/>
    <n v="0.76400000000000001"/>
    <n v="0.443"/>
    <n v="4.3900000000000002E-2"/>
    <n v="0.52"/>
    <n v="7.4899999999999994E-2"/>
    <n v="0.63"/>
    <n v="-6.625"/>
    <n v="168200"/>
    <n v="2020"/>
    <x v="1"/>
  </r>
  <r>
    <n v="1496"/>
    <n v="90"/>
    <n v="1"/>
    <d v="2020-01-17T00:00:00"/>
    <x v="1"/>
    <s v="Never Love Again"/>
    <n v="8335790"/>
    <s v="Eminem"/>
    <n v="46814751"/>
    <s v="detroit hip hop"/>
    <d v="2020-01-17T00:00:00"/>
    <n v="62"/>
    <x v="0"/>
    <n v="0.747"/>
    <n v="0.89900000000000002"/>
    <n v="0.246"/>
    <n v="0.1"/>
    <n v="0.48599999999999999"/>
    <n v="0.58099999999999996"/>
    <n v="-5.125"/>
    <n v="177547"/>
    <n v="2020"/>
    <x v="1"/>
  </r>
  <r>
    <n v="1499"/>
    <n v="98"/>
    <n v="1"/>
    <d v="2020-01-17T00:00:00"/>
    <x v="1"/>
    <s v="Everybody"/>
    <n v="8172098"/>
    <s v="Mac Miller"/>
    <n v="6189454"/>
    <s v="hip hop"/>
    <d v="2020-01-17T00:00:00"/>
    <n v="62"/>
    <x v="1"/>
    <n v="0.875"/>
    <n v="0.59899999999999998"/>
    <n v="0.13800000000000001"/>
    <n v="3.3300000000000003E-2"/>
    <n v="0.113"/>
    <n v="0.112"/>
    <n v="-9.077"/>
    <n v="256507"/>
    <n v="2020"/>
    <x v="1"/>
  </r>
  <r>
    <n v="1100"/>
    <n v="76"/>
    <n v="1"/>
    <d v="2020-06-12T00:00:00"/>
    <x v="1"/>
    <s v="ROCKSTAR (feat. Roddy Ricch) - BLM REMIX"/>
    <n v="7353153"/>
    <s v="DaBaby"/>
    <n v="7601122"/>
    <s v="north carolina hip hop"/>
    <d v="2020-06-12T00:00:00"/>
    <n v="62"/>
    <x v="0"/>
    <n v="0.747"/>
    <n v="0.68899999999999995"/>
    <n v="0.24199999999999999"/>
    <n v="0.19700000000000001"/>
    <n v="8.8400000000000006E-2"/>
    <n v="0.75"/>
    <n v="-7.2460000000000004"/>
    <n v="204547"/>
    <n v="2020"/>
    <x v="1"/>
  </r>
  <r>
    <n v="709"/>
    <n v="147"/>
    <n v="1"/>
    <d v="2020-12-11T00:00:00"/>
    <x v="1"/>
    <s v="Sad People"/>
    <n v="6865689"/>
    <s v="Kid Cudi"/>
    <n v="5002317"/>
    <s v="hip hop"/>
    <d v="2020-12-11T00:00:00"/>
    <n v="62"/>
    <x v="0"/>
    <n v="0.63600000000000001"/>
    <n v="0.64700000000000002"/>
    <n v="3.8100000000000002E-2"/>
    <n v="0.247"/>
    <n v="0.113"/>
    <n v="0.41599999999999998"/>
    <n v="-6.9710000000000001"/>
    <n v="176027"/>
    <n v="2020"/>
    <x v="1"/>
  </r>
  <r>
    <n v="1412"/>
    <n v="103"/>
    <n v="1"/>
    <d v="2020-02-14T00:00:00"/>
    <x v="2"/>
    <s v="Changes"/>
    <n v="6865229"/>
    <s v="Justin Bieber"/>
    <n v="48544923"/>
    <s v="canadian pop"/>
    <d v="2020-02-14T00:00:00"/>
    <n v="62"/>
    <x v="1"/>
    <n v="0.48499999999999999"/>
    <n v="0.41199999999999998"/>
    <n v="4.2000000000000003E-2"/>
    <n v="0.73799999999999999"/>
    <n v="0.12"/>
    <n v="0.61199999999999999"/>
    <n v="-7.766"/>
    <n v="135493"/>
    <n v="2020"/>
    <x v="1"/>
  </r>
  <r>
    <n v="1477"/>
    <n v="129"/>
    <n v="1"/>
    <d v="2020-01-24T00:00:00"/>
    <x v="1"/>
    <s v="Donuts"/>
    <n v="6113037"/>
    <s v="Gzuz"/>
    <n v="1140383"/>
    <s v="deep german hip hop"/>
    <d v="2020-02-13T00:00:00"/>
    <n v="62"/>
    <x v="0"/>
    <n v="0.78400000000000003"/>
    <n v="0.70299999999999996"/>
    <n v="0.23599999999999999"/>
    <n v="9.7299999999999998E-2"/>
    <n v="7.5399999999999995E-2"/>
    <n v="0.55600000000000005"/>
    <n v="-7.4909999999999997"/>
    <n v="162938"/>
    <n v="2020"/>
    <x v="1"/>
  </r>
  <r>
    <n v="1231"/>
    <n v="102"/>
    <n v="1"/>
    <d v="2020-04-17T00:00:00"/>
    <x v="1"/>
    <s v="JUMP (feat. YoungBoy Never Broke Again)"/>
    <n v="6033348"/>
    <s v="DaBaby"/>
    <n v="7601122"/>
    <s v="north carolina hip hop"/>
    <d v="2020-04-17T00:00:00"/>
    <n v="62"/>
    <x v="0"/>
    <n v="0.89600000000000002"/>
    <n v="0.72"/>
    <n v="0.35499999999999998"/>
    <n v="0.16900000000000001"/>
    <n v="0.252"/>
    <n v="0.96599999999999997"/>
    <n v="-6.2619999999999996"/>
    <n v="212093"/>
    <n v="2020"/>
    <x v="1"/>
  </r>
  <r>
    <n v="913"/>
    <n v="115"/>
    <n v="1"/>
    <d v="2020-09-04T00:00:00"/>
    <x v="1"/>
    <s v="Lithuania (feat. Travis Scott)"/>
    <n v="5949270"/>
    <s v="Big Sean"/>
    <n v="8673345"/>
    <s v="detroit hip hop"/>
    <d v="2020-09-04T00:00:00"/>
    <n v="62"/>
    <x v="0"/>
    <n v="0.67600000000000005"/>
    <n v="0.82"/>
    <n v="5.5399999999999998E-2"/>
    <n v="4.9299999999999997E-2"/>
    <n v="0.61499999999999999"/>
    <n v="0.61799999999999999"/>
    <n v="-5.2169999999999996"/>
    <n v="199250"/>
    <n v="2020"/>
    <x v="1"/>
  </r>
  <r>
    <n v="1033"/>
    <n v="129"/>
    <n v="1"/>
    <d v="2020-07-10T00:00:00"/>
    <x v="4"/>
    <s v="Tiefschwarz (feat. Samra)"/>
    <n v="5867111"/>
    <s v="Kontra K"/>
    <n v="1818624"/>
    <s v="christlicher rap"/>
    <d v="2020-09-25T00:00:00"/>
    <n v="62"/>
    <x v="0"/>
    <n v="0.751"/>
    <n v="0.78300000000000003"/>
    <n v="0.22"/>
    <n v="7.1499999999999994E-2"/>
    <n v="0.114"/>
    <n v="0.379"/>
    <n v="-5.9260000000000002"/>
    <n v="189739"/>
    <n v="2020"/>
    <x v="1"/>
  </r>
  <r>
    <n v="1418"/>
    <n v="67"/>
    <n v="2"/>
    <d v="2020-02-07T00:00:00"/>
    <x v="3"/>
    <s v="No Shame"/>
    <n v="5835260"/>
    <s v="5 Seconds of Summer"/>
    <n v="7744095"/>
    <s v="boy band"/>
    <d v="2020-03-27T00:00:00"/>
    <n v="62"/>
    <x v="0"/>
    <n v="0.57599999999999996"/>
    <n v="0.80700000000000005"/>
    <n v="3.7400000000000003E-2"/>
    <n v="1.8499999999999999E-2"/>
    <n v="9.6299999999999997E-2"/>
    <n v="0.47899999999999998"/>
    <n v="-3.0190000000000001"/>
    <n v="192737"/>
    <n v="2020"/>
    <x v="1"/>
  </r>
  <r>
    <n v="1185"/>
    <n v="131"/>
    <n v="1"/>
    <d v="2020-05-08T00:00:00"/>
    <x v="3"/>
    <s v="EN CASITA"/>
    <n v="5364262"/>
    <s v="Bad Bunny, Gabriela"/>
    <n v="36177712"/>
    <s v="latin"/>
    <d v="2020-05-10T00:00:00"/>
    <n v="62"/>
    <x v="0"/>
    <n v="0.77900000000000003"/>
    <n v="0.76400000000000001"/>
    <n v="9.3799999999999994E-2"/>
    <n v="0.221"/>
    <n v="9.0899999999999995E-2"/>
    <n v="0.67500000000000004"/>
    <n v="-8.2170000000000005"/>
    <n v="176440"/>
    <n v="2020"/>
    <x v="1"/>
  </r>
  <r>
    <n v="950"/>
    <n v="151"/>
    <n v="1"/>
    <d v="2020-08-14T00:00:00"/>
    <x v="2"/>
    <s v="Levitating (feat. Madonna and Missy Elliott) [The Blessed Madonna Remix]"/>
    <n v="5254969"/>
    <s v="Dua Lipa"/>
    <n v="27167675"/>
    <s v="dance pop"/>
    <d v="2020-08-13T00:00:00"/>
    <n v="62"/>
    <x v="0"/>
    <n v="0.80800000000000005"/>
    <n v="0.65500000000000003"/>
    <n v="0.13900000000000001"/>
    <n v="3.73E-2"/>
    <n v="0.20799999999999999"/>
    <n v="0.56000000000000005"/>
    <n v="-7.34"/>
    <n v="250280"/>
    <n v="2020"/>
    <x v="1"/>
  </r>
  <r>
    <n v="1208"/>
    <n v="40"/>
    <n v="4"/>
    <d v="2020-04-10T00:00:00"/>
    <x v="2"/>
    <s v="Boyfriend"/>
    <n v="5236730"/>
    <s v="Selena Gomez"/>
    <n v="28931149"/>
    <s v="dance pop"/>
    <d v="2020-04-09T00:00:00"/>
    <n v="62"/>
    <x v="1"/>
    <n v="0.81100000000000005"/>
    <n v="0.51200000000000001"/>
    <n v="0.17"/>
    <n v="0.218"/>
    <n v="7.6799999999999993E-2"/>
    <n v="0.34599999999999997"/>
    <n v="-6.3810000000000002"/>
    <n v="161188"/>
    <n v="2020"/>
    <x v="1"/>
  </r>
  <r>
    <n v="1460"/>
    <n v="76"/>
    <n v="3"/>
    <d v="2020-01-17T00:00:00"/>
    <x v="4"/>
    <s v="Kein Wort"/>
    <n v="5208651"/>
    <s v="Juju, Loredana, Miksu / Macloud"/>
    <n v="486474"/>
    <s v="frauenrap"/>
    <d v="2020-01-16T00:00:00"/>
    <n v="62"/>
    <x v="1"/>
    <n v="0.746"/>
    <n v="0.59199999999999997"/>
    <n v="9.1399999999999995E-2"/>
    <n v="0.46200000000000002"/>
    <n v="0.187"/>
    <n v="0.629"/>
    <n v="-6.8609999999999998"/>
    <n v="162094"/>
    <n v="2020"/>
    <x v="1"/>
  </r>
  <r>
    <n v="811"/>
    <n v="176"/>
    <n v="1"/>
    <d v="2020-10-30T00:00:00"/>
    <x v="2"/>
    <s v="Kids Again"/>
    <n v="5103194"/>
    <s v="Sam Smith"/>
    <n v="17097317"/>
    <s v="dance pop"/>
    <d v="2020-10-30T00:00:00"/>
    <n v="62"/>
    <x v="0"/>
    <n v="0.66600000000000004"/>
    <n v="0.72599999999999998"/>
    <n v="2.6200000000000001E-2"/>
    <n v="0.48599999999999999"/>
    <n v="8.9200000000000002E-2"/>
    <n v="0.46800000000000003"/>
    <n v="-2.9980000000000002"/>
    <n v="207528"/>
    <n v="2020"/>
    <x v="1"/>
  </r>
  <r>
    <n v="888"/>
    <n v="158"/>
    <n v="1"/>
    <d v="2020-09-18T00:00:00"/>
    <x v="1"/>
    <s v="BXL ZOO"/>
    <n v="5101640"/>
    <s v="Damso, Hamza"/>
    <n v="3071170"/>
    <s v="belgian hip hop"/>
    <d v="2021-04-28T00:00:00"/>
    <n v="62"/>
    <x v="0"/>
    <n v="0.745"/>
    <n v="0.65600000000000003"/>
    <n v="0.20300000000000001"/>
    <n v="6.0400000000000002E-2"/>
    <n v="0.11"/>
    <n v="0.40500000000000003"/>
    <n v="-6.8289999999999997"/>
    <n v="201333"/>
    <n v="2021"/>
    <x v="1"/>
  </r>
  <r>
    <n v="889"/>
    <n v="159"/>
    <n v="1"/>
    <d v="2020-09-18T00:00:00"/>
    <x v="1"/>
    <s v="DEUX TOILES DE MER"/>
    <n v="5094137"/>
    <s v="Damso"/>
    <n v="3071170"/>
    <s v="belgian hip hop"/>
    <d v="2021-04-28T00:00:00"/>
    <n v="62"/>
    <x v="1"/>
    <n v="0.52100000000000002"/>
    <n v="0.39"/>
    <n v="0.128"/>
    <n v="0.58199999999999996"/>
    <n v="0.112"/>
    <n v="0.157"/>
    <n v="-9.7260000000000009"/>
    <n v="315640"/>
    <n v="2021"/>
    <x v="1"/>
  </r>
  <r>
    <n v="1289"/>
    <n v="163"/>
    <n v="1"/>
    <d v="2020-03-20T00:00:00"/>
    <x v="3"/>
    <s v="Arcoíris"/>
    <n v="5044774"/>
    <s v="J Balvin, Mr Eazi"/>
    <n v="29067437"/>
    <s v="latin"/>
    <d v="2020-03-19T00:00:00"/>
    <n v="62"/>
    <x v="0"/>
    <n v="0.73099999999999998"/>
    <n v="0.78700000000000003"/>
    <n v="7.2099999999999997E-2"/>
    <n v="8.5300000000000001E-2"/>
    <n v="0.316"/>
    <n v="0.39300000000000002"/>
    <n v="-5.26"/>
    <n v="186693"/>
    <n v="2020"/>
    <x v="1"/>
  </r>
  <r>
    <n v="863"/>
    <n v="190"/>
    <n v="1"/>
    <d v="2020-10-02T00:00:00"/>
    <x v="1"/>
    <s v="RIP Luv"/>
    <n v="4915080"/>
    <s v="21 Savage, Metro Boomin"/>
    <n v="9949044"/>
    <s v="atl hip hop"/>
    <d v="2020-10-02T00:00:00"/>
    <n v="62"/>
    <x v="1"/>
    <n v="0.63"/>
    <n v="0.39900000000000002"/>
    <n v="0.17799999999999999"/>
    <n v="0.105"/>
    <n v="0.23400000000000001"/>
    <n v="6.5699999999999995E-2"/>
    <n v="-9.8689999999999998"/>
    <n v="214192"/>
    <n v="2020"/>
    <x v="1"/>
  </r>
  <r>
    <n v="1486"/>
    <n v="52"/>
    <n v="2"/>
    <d v="2020-01-17T00:00:00"/>
    <x v="1"/>
    <s v="In Too Deep"/>
    <n v="4824037"/>
    <s v="Eminem"/>
    <n v="46814751"/>
    <s v="detroit hip hop"/>
    <d v="2020-01-17T00:00:00"/>
    <n v="62"/>
    <x v="0"/>
    <n v="0.72"/>
    <n v="0.76700000000000002"/>
    <n v="0.214"/>
    <n v="3.8699999999999998E-2"/>
    <n v="0.20200000000000001"/>
    <n v="0.59499999999999997"/>
    <n v="-5.8390000000000004"/>
    <n v="194707"/>
    <n v="2020"/>
    <x v="1"/>
  </r>
  <r>
    <n v="942"/>
    <n v="177"/>
    <n v="1"/>
    <d v="2020-08-21T00:00:00"/>
    <x v="1"/>
    <s v="2012"/>
    <n v="4685894"/>
    <s v="Bausa, Juju"/>
    <n v="961181"/>
    <s v="german hip hop"/>
    <d v="2020-08-21T00:00:00"/>
    <n v="62"/>
    <x v="1"/>
    <n v="0.80500000000000005"/>
    <n v="0.61899999999999999"/>
    <n v="7.7100000000000002E-2"/>
    <n v="0.218"/>
    <n v="0.114"/>
    <n v="0.47599999999999998"/>
    <n v="-7.907"/>
    <n v="170200"/>
    <n v="2020"/>
    <x v="1"/>
  </r>
  <r>
    <n v="1551"/>
    <n v="190"/>
    <n v="1"/>
    <d v="2019-12-27T00:00:00"/>
    <x v="3"/>
    <s v="Ne reviens pas"/>
    <n v="4676857"/>
    <s v="Gradur, Heuss L'enfoiré"/>
    <n v="1390813"/>
    <s v="francoton"/>
    <d v="2019-11-29T00:00:00"/>
    <n v="62"/>
    <x v="0"/>
    <n v="0.93200000000000005"/>
    <n v="0.77800000000000002"/>
    <n v="6.3799999999999996E-2"/>
    <n v="0.21199999999999999"/>
    <n v="0.16800000000000001"/>
    <n v="0.93300000000000005"/>
    <n v="-3.3839999999999999"/>
    <n v="188613"/>
    <n v="2019"/>
    <x v="1"/>
  </r>
  <r>
    <n v="1040"/>
    <n v="64"/>
    <n v="2"/>
    <d v="2020-07-03T00:00:00"/>
    <x v="3"/>
    <s v="Make It Rain (feat. Rowdy Rebel)"/>
    <n v="4594248"/>
    <s v="Pop Smoke"/>
    <n v="6852509"/>
    <s v="brooklyn drill"/>
    <d v="2020-07-03T00:00:00"/>
    <n v="62"/>
    <x v="0"/>
    <n v="0.5"/>
    <n v="0.76700000000000002"/>
    <n v="0.40300000000000002"/>
    <n v="0.16200000000000001"/>
    <n v="0.38500000000000001"/>
    <n v="0.57999999999999996"/>
    <n v="-4.1050000000000004"/>
    <n v="202443"/>
    <n v="2020"/>
    <x v="1"/>
  </r>
  <r>
    <n v="1148"/>
    <n v="45"/>
    <n v="4"/>
    <d v="2020-05-08T00:00:00"/>
    <x v="1"/>
    <s v="Fame"/>
    <n v="4556947"/>
    <s v="Apache 207"/>
    <n v="1674348"/>
    <s v="german hip hop"/>
    <d v="2020-05-08T00:00:00"/>
    <n v="62"/>
    <x v="0"/>
    <n v="0.81100000000000005"/>
    <n v="0.64500000000000002"/>
    <n v="0.104"/>
    <n v="0.184"/>
    <n v="0.10299999999999999"/>
    <n v="0.47399999999999998"/>
    <n v="-8.0079999999999991"/>
    <n v="173761"/>
    <n v="2020"/>
    <x v="1"/>
  </r>
  <r>
    <n v="1094"/>
    <n v="93"/>
    <n v="2"/>
    <d v="2020-06-12T00:00:00"/>
    <x v="1"/>
    <s v="Shotta Flow 5"/>
    <n v="4513982"/>
    <s v="NLE Choppa"/>
    <n v="3372385"/>
    <s v="memphis hip hop"/>
    <d v="2020-06-12T00:00:00"/>
    <n v="62"/>
    <x v="0"/>
    <n v="0.80600000000000005"/>
    <n v="0.749"/>
    <n v="0.32800000000000001"/>
    <n v="8.3799999999999999E-2"/>
    <n v="6.2100000000000002E-2"/>
    <n v="0.77"/>
    <n v="-5.2679999999999998"/>
    <n v="145167"/>
    <n v="2020"/>
    <x v="1"/>
  </r>
  <r>
    <n v="1169"/>
    <n v="199"/>
    <n v="1"/>
    <d v="2020-05-22T00:00:00"/>
    <x v="3"/>
    <s v="Confía"/>
    <n v="4419295"/>
    <s v="Sech, Daddy Yankee"/>
    <n v="8766508"/>
    <s v="latin"/>
    <d v="2020-05-21T00:00:00"/>
    <n v="62"/>
    <x v="0"/>
    <n v="0.72199999999999998"/>
    <n v="0.75700000000000001"/>
    <n v="7.8200000000000006E-2"/>
    <n v="0.17"/>
    <n v="6.5699999999999995E-2"/>
    <n v="0.76300000000000001"/>
    <n v="-3.5920000000000001"/>
    <n v="202308"/>
    <n v="2020"/>
    <x v="1"/>
  </r>
  <r>
    <n v="622"/>
    <n v="3"/>
    <n v="7"/>
    <d v="2020-12-18T00:00:00"/>
    <x v="2"/>
    <s v="Santa Tell Me"/>
    <n v="16657592"/>
    <s v="Ariana Grande"/>
    <n v="67208170"/>
    <s v="dance pop"/>
    <d v="2014-11-24T00:00:00"/>
    <n v="61"/>
    <x v="1"/>
    <n v="0.52500000000000002"/>
    <n v="0.621"/>
    <n v="0.11600000000000001"/>
    <n v="4.8899999999999999E-2"/>
    <n v="0.29399999999999998"/>
    <n v="0.59099999999999997"/>
    <n v="-7.3639999999999999"/>
    <n v="204093"/>
    <n v="2014"/>
    <x v="1"/>
  </r>
  <r>
    <n v="1330"/>
    <n v="61"/>
    <n v="1"/>
    <d v="2020-03-06T00:00:00"/>
    <x v="4"/>
    <s v="Celebration Station"/>
    <n v="10396969"/>
    <s v="Lil Uzi Vert"/>
    <n v="11821805"/>
    <s v="melodic rap"/>
    <d v="2020-03-06T00:00:00"/>
    <n v="61"/>
    <x v="0"/>
    <n v="0.748"/>
    <n v="0.77100000000000002"/>
    <n v="0.15"/>
    <n v="0.10100000000000001"/>
    <n v="0.13500000000000001"/>
    <n v="0.79200000000000004"/>
    <n v="-4.1559999999999997"/>
    <n v="195058"/>
    <n v="2020"/>
    <x v="1"/>
  </r>
  <r>
    <n v="1494"/>
    <n v="74"/>
    <n v="1"/>
    <d v="2020-01-17T00:00:00"/>
    <x v="1"/>
    <s v="Stepdad"/>
    <n v="9159901"/>
    <s v="Eminem"/>
    <n v="46814751"/>
    <s v="detroit hip hop"/>
    <d v="2020-01-17T00:00:00"/>
    <n v="61"/>
    <x v="0"/>
    <n v="0.77900000000000003"/>
    <n v="0.80500000000000005"/>
    <n v="0.17799999999999999"/>
    <n v="1.7999999999999999E-2"/>
    <n v="0.32100000000000001"/>
    <n v="0.55700000000000005"/>
    <n v="-3.121"/>
    <n v="213413"/>
    <n v="2020"/>
    <x v="1"/>
  </r>
  <r>
    <n v="1407"/>
    <n v="72"/>
    <n v="1"/>
    <d v="2020-02-14T00:00:00"/>
    <x v="2"/>
    <s v="Get Me (feat. Kehlani)"/>
    <n v="8362828"/>
    <s v="Justin Bieber"/>
    <n v="48544923"/>
    <s v="canadian pop"/>
    <d v="2020-02-14T00:00:00"/>
    <n v="61"/>
    <x v="1"/>
    <n v="0.83199999999999996"/>
    <n v="0.50800000000000001"/>
    <n v="0.14899999999999999"/>
    <n v="4.9200000000000001E-2"/>
    <n v="0.107"/>
    <n v="0.75"/>
    <n v="-6.9130000000000003"/>
    <n v="185427"/>
    <n v="2020"/>
    <x v="1"/>
  </r>
  <r>
    <n v="1498"/>
    <n v="94"/>
    <n v="1"/>
    <d v="2020-01-17T00:00:00"/>
    <x v="1"/>
    <s v="Farewell"/>
    <n v="8277608"/>
    <s v="Eminem"/>
    <n v="46814751"/>
    <s v="detroit hip hop"/>
    <d v="2020-01-17T00:00:00"/>
    <n v="61"/>
    <x v="0"/>
    <n v="0.89"/>
    <n v="0.66400000000000003"/>
    <n v="0.106"/>
    <n v="4.8700000000000002E-3"/>
    <n v="0.25700000000000001"/>
    <n v="0.46700000000000003"/>
    <n v="-6.625"/>
    <n v="247733"/>
    <n v="2020"/>
    <x v="1"/>
  </r>
  <r>
    <n v="1408"/>
    <n v="79"/>
    <n v="1"/>
    <d v="2020-02-14T00:00:00"/>
    <x v="2"/>
    <s v="Second Emotion (feat. Travis Scott)"/>
    <n v="8109572"/>
    <s v="Justin Bieber"/>
    <n v="48544923"/>
    <s v="canadian pop"/>
    <d v="2020-02-14T00:00:00"/>
    <n v="61"/>
    <x v="0"/>
    <n v="0.79600000000000004"/>
    <n v="0.77700000000000002"/>
    <n v="5.67E-2"/>
    <n v="2.76E-2"/>
    <n v="9.5000000000000001E-2"/>
    <n v="0.96"/>
    <n v="-6.1120000000000001"/>
    <n v="202720"/>
    <n v="2020"/>
    <x v="1"/>
  </r>
  <r>
    <n v="706"/>
    <n v="126"/>
    <n v="1"/>
    <d v="2020-12-11T00:00:00"/>
    <x v="1"/>
    <s v="Solo Dolo, Pt. III"/>
    <n v="7655623"/>
    <s v="Kid Cudi"/>
    <n v="5002317"/>
    <s v="hip hop"/>
    <d v="2020-12-11T00:00:00"/>
    <n v="61"/>
    <x v="0"/>
    <n v="0.58899999999999997"/>
    <n v="0.72699999999999998"/>
    <n v="8.6599999999999996E-2"/>
    <n v="0.23899999999999999"/>
    <n v="0.16400000000000001"/>
    <n v="0.52"/>
    <n v="-6.907"/>
    <n v="242267"/>
    <n v="2020"/>
    <x v="1"/>
  </r>
  <r>
    <n v="1137"/>
    <n v="91"/>
    <n v="1"/>
    <d v="2020-05-29T00:00:00"/>
    <x v="2"/>
    <s v="Babylon"/>
    <n v="6996402"/>
    <s v="Lady Gaga"/>
    <n v="18585963"/>
    <s v="dance pop"/>
    <d v="2020-05-29T00:00:00"/>
    <n v="61"/>
    <x v="0"/>
    <n v="0.69799999999999995"/>
    <n v="0.79900000000000004"/>
    <n v="3.4200000000000001E-2"/>
    <n v="1.29E-2"/>
    <n v="0.215"/>
    <n v="0.35099999999999998"/>
    <n v="-4.3719999999999999"/>
    <n v="161733"/>
    <n v="2020"/>
    <x v="1"/>
  </r>
  <r>
    <n v="1086"/>
    <n v="86"/>
    <n v="1"/>
    <d v="2020-06-19T00:00:00"/>
    <x v="1"/>
    <s v="Big Body Benz"/>
    <n v="6707101"/>
    <s v="Bonez MC"/>
    <n v="1683006"/>
    <s v="german hip hop"/>
    <d v="2020-06-18T00:00:00"/>
    <n v="61"/>
    <x v="1"/>
    <n v="0.88400000000000001"/>
    <n v="0.45100000000000001"/>
    <n v="0.39300000000000002"/>
    <n v="7.3099999999999998E-2"/>
    <n v="0.26800000000000002"/>
    <n v="0.311"/>
    <n v="-8.9689999999999994"/>
    <n v="148284"/>
    <n v="2020"/>
    <x v="1"/>
  </r>
  <r>
    <n v="1506"/>
    <n v="148"/>
    <n v="1"/>
    <d v="2020-01-17T00:00:00"/>
    <x v="1"/>
    <s v="Once A Day"/>
    <n v="6159873"/>
    <s v="Mac Miller"/>
    <n v="6189454"/>
    <s v="hip hop"/>
    <d v="2020-01-17T00:00:00"/>
    <n v="61"/>
    <x v="1"/>
    <n v="0.76200000000000001"/>
    <n v="5.3999999999999999E-2"/>
    <n v="5.0299999999999997E-2"/>
    <n v="0.94699999999999995"/>
    <n v="0.124"/>
    <n v="0.33900000000000002"/>
    <n v="-16.734999999999999"/>
    <n v="160267"/>
    <n v="2020"/>
    <x v="1"/>
  </r>
  <r>
    <n v="713"/>
    <n v="185"/>
    <n v="1"/>
    <d v="2020-12-11T00:00:00"/>
    <x v="1"/>
    <s v="The Void"/>
    <n v="6068816"/>
    <s v="Kid Cudi"/>
    <n v="5002317"/>
    <s v="hip hop"/>
    <d v="2020-12-11T00:00:00"/>
    <n v="61"/>
    <x v="1"/>
    <n v="0.46400000000000002"/>
    <n v="0.45900000000000002"/>
    <n v="3.1399999999999997E-2"/>
    <n v="0.36499999999999999"/>
    <n v="0.11700000000000001"/>
    <n v="7.8600000000000003E-2"/>
    <n v="-8.7360000000000007"/>
    <n v="325413"/>
    <n v="2020"/>
    <x v="1"/>
  </r>
  <r>
    <n v="1173"/>
    <n v="110"/>
    <n v="1"/>
    <d v="2020-05-15T00:00:00"/>
    <x v="1"/>
    <s v="Trillionaire (feat. Youngboy Never Broke Again)"/>
    <n v="6057848"/>
    <s v="Future"/>
    <n v="10491105"/>
    <s v="atl hip hop"/>
    <d v="2020-05-15T00:00:00"/>
    <n v="61"/>
    <x v="1"/>
    <n v="0.76800000000000002"/>
    <n v="0.52600000000000002"/>
    <n v="0.20899999999999999"/>
    <n v="0.23699999999999999"/>
    <n v="0.13900000000000001"/>
    <n v="0.47299999999999998"/>
    <n v="-7.1820000000000004"/>
    <n v="167552"/>
    <n v="2020"/>
    <x v="1"/>
  </r>
  <r>
    <n v="1050"/>
    <n v="121"/>
    <n v="1"/>
    <d v="2020-07-03T00:00:00"/>
    <x v="3"/>
    <s v="West Coast Shit (feat. Tyga &amp; Quavo)"/>
    <n v="5931242"/>
    <s v="Pop Smoke"/>
    <n v="6852509"/>
    <s v="brooklyn drill"/>
    <d v="2020-07-03T00:00:00"/>
    <n v="61"/>
    <x v="0"/>
    <n v="0.83099999999999996"/>
    <n v="0.76200000000000001"/>
    <n v="0.20699999999999999"/>
    <n v="8.8499999999999995E-2"/>
    <n v="0.107"/>
    <n v="0.495"/>
    <n v="-5.6559999999999997"/>
    <n v="192000"/>
    <n v="2020"/>
    <x v="1"/>
  </r>
  <r>
    <n v="980"/>
    <n v="140"/>
    <n v="1"/>
    <d v="2020-07-31T00:00:00"/>
    <x v="1"/>
    <s v="Move Ya Hips (feat. Nicki Minaj &amp; MadeinTYO)"/>
    <n v="5768616"/>
    <s v="A$AP Ferg"/>
    <n v="3037935"/>
    <s v="hip hop"/>
    <d v="2020-09-25T00:00:00"/>
    <n v="61"/>
    <x v="0"/>
    <n v="0.80800000000000005"/>
    <n v="0.67600000000000005"/>
    <n v="0.223"/>
    <n v="6.1800000000000001E-2"/>
    <n v="0.11"/>
    <n v="7.6300000000000007E-2"/>
    <n v="-4.9020000000000001"/>
    <n v="144973"/>
    <n v="2020"/>
    <x v="1"/>
  </r>
  <r>
    <n v="1062"/>
    <n v="90"/>
    <n v="2"/>
    <d v="2020-06-19T00:00:00"/>
    <x v="2"/>
    <s v="BLACK PARADE"/>
    <n v="5474807"/>
    <s v="Beyoncé"/>
    <n v="28335112"/>
    <s v="dance pop"/>
    <d v="2020-06-19T00:00:00"/>
    <n v="61"/>
    <x v="1"/>
    <n v="0.82399999999999995"/>
    <n v="0.55500000000000005"/>
    <n v="0.05"/>
    <n v="3.3700000000000002E-3"/>
    <n v="0.217"/>
    <n v="6.1100000000000002E-2"/>
    <n v="-5.8170000000000002"/>
    <n v="281273"/>
    <n v="2020"/>
    <x v="1"/>
  </r>
  <r>
    <n v="1369"/>
    <n v="128"/>
    <n v="2"/>
    <d v="2020-02-21T00:00:00"/>
    <x v="1"/>
    <s v="Life Is Good (feat. Drake, DaBaby &amp; Lil Baby) - Remix"/>
    <n v="5260351"/>
    <s v="Future"/>
    <n v="10491105"/>
    <s v="atl hip hop"/>
    <d v="2020-02-15T00:00:00"/>
    <n v="61"/>
    <x v="1"/>
    <n v="0.81"/>
    <n v="0.56599999999999995"/>
    <n v="0.433"/>
    <n v="0.107"/>
    <n v="0.122"/>
    <n v="0.58199999999999996"/>
    <n v="-8.33"/>
    <n v="315346"/>
    <n v="2020"/>
    <x v="1"/>
  </r>
  <r>
    <n v="1438"/>
    <n v="45"/>
    <n v="2"/>
    <d v="2020-01-31T00:00:00"/>
    <x v="2"/>
    <s v="Get Me"/>
    <n v="5236560"/>
    <s v="Justin Bieber, Kehlani"/>
    <n v="48544923"/>
    <s v="canadian pop"/>
    <d v="2020-02-14T00:00:00"/>
    <n v="61"/>
    <x v="1"/>
    <n v="0.83199999999999996"/>
    <n v="0.50800000000000001"/>
    <n v="0.14899999999999999"/>
    <n v="4.9200000000000001E-2"/>
    <n v="0.107"/>
    <n v="0.75"/>
    <n v="-6.9130000000000003"/>
    <n v="185427"/>
    <n v="2020"/>
    <x v="1"/>
  </r>
  <r>
    <n v="861"/>
    <n v="179"/>
    <n v="1"/>
    <d v="2020-10-02T00:00:00"/>
    <x v="1"/>
    <s v="No Opp Left Behind"/>
    <n v="5154955"/>
    <s v="21 Savage, Metro Boomin"/>
    <n v="9949044"/>
    <s v="atl hip hop"/>
    <d v="2020-10-02T00:00:00"/>
    <n v="61"/>
    <x v="0"/>
    <n v="0.82299999999999995"/>
    <n v="0.70299999999999996"/>
    <n v="0.29799999999999999"/>
    <n v="1.61E-2"/>
    <n v="0.29399999999999998"/>
    <n v="0.26"/>
    <n v="-2.6909999999999998"/>
    <n v="194214"/>
    <n v="2020"/>
    <x v="1"/>
  </r>
  <r>
    <n v="862"/>
    <n v="106"/>
    <n v="5"/>
    <d v="2020-09-04T00:00:00"/>
    <x v="4"/>
    <s v="Lets Link"/>
    <n v="5109038"/>
    <s v="WhoHeem"/>
    <n v="25417"/>
    <s v="viral rap"/>
    <d v="2020-08-20T00:00:00"/>
    <n v="61"/>
    <x v="0"/>
    <n v="0.83899999999999997"/>
    <n v="0.68300000000000005"/>
    <n v="0.16500000000000001"/>
    <n v="6.6699999999999997E-3"/>
    <n v="0.24099999999999999"/>
    <n v="0.52200000000000002"/>
    <n v="-9.2319999999999993"/>
    <n v="159955"/>
    <n v="2020"/>
    <x v="1"/>
  </r>
  <r>
    <n v="1089"/>
    <n v="131"/>
    <n v="1"/>
    <d v="2020-06-19T00:00:00"/>
    <x v="4"/>
    <s v="Bleed"/>
    <n v="5095478"/>
    <s v="A Boogie Wit da Hoodie"/>
    <n v="5865895"/>
    <s v="melodic rap"/>
    <d v="2020-06-19T00:00:00"/>
    <n v="61"/>
    <x v="1"/>
    <n v="0.69799999999999995"/>
    <n v="0.57199999999999995"/>
    <n v="0.19800000000000001"/>
    <n v="0.13500000000000001"/>
    <n v="0.154"/>
    <n v="0.39100000000000001"/>
    <n v="-7.7350000000000003"/>
    <n v="176959"/>
    <n v="2020"/>
    <x v="1"/>
  </r>
  <r>
    <n v="1396"/>
    <n v="182"/>
    <n v="1"/>
    <d v="2020-02-21T00:00:00"/>
    <x v="1"/>
    <s v="Lottery (Renegade)"/>
    <n v="4994448"/>
    <s v="K CAMP"/>
    <n v="1347589"/>
    <s v="atl hip hop"/>
    <d v="2019-06-21T00:00:00"/>
    <n v="61"/>
    <x v="1"/>
    <n v="0.91500000000000004"/>
    <n v="0.55600000000000005"/>
    <n v="0.216"/>
    <n v="1.4500000000000001E-2"/>
    <n v="7.3300000000000004E-2"/>
    <n v="0.67"/>
    <n v="-8.6010000000000009"/>
    <n v="170947"/>
    <n v="2019"/>
    <x v="1"/>
  </r>
  <r>
    <n v="1176"/>
    <n v="173"/>
    <n v="1"/>
    <d v="2020-05-15T00:00:00"/>
    <x v="1"/>
    <s v="Racks 2 Skinny"/>
    <n v="4729629"/>
    <s v="Migos"/>
    <n v="11692972"/>
    <s v="atl hip hop"/>
    <d v="2020-05-11T00:00:00"/>
    <n v="61"/>
    <x v="1"/>
    <n v="0.81399999999999995"/>
    <n v="0.58399999999999996"/>
    <n v="8.1900000000000001E-2"/>
    <n v="8.3899999999999999E-3"/>
    <n v="6.4600000000000005E-2"/>
    <n v="0.40500000000000003"/>
    <n v="-5.4249999999999998"/>
    <n v="178025"/>
    <n v="2020"/>
    <x v="1"/>
  </r>
  <r>
    <n v="975"/>
    <n v="170"/>
    <n v="5"/>
    <d v="2020-07-17T00:00:00"/>
    <x v="2"/>
    <s v="Never Let Me Down"/>
    <n v="4522005"/>
    <s v="VIZE, Tom Gregory"/>
    <n v="141016"/>
    <s v="dance pop"/>
    <d v="2020-04-24T00:00:00"/>
    <n v="61"/>
    <x v="0"/>
    <n v="0.75800000000000001"/>
    <n v="0.84799999999999998"/>
    <n v="4.5699999999999998E-2"/>
    <n v="0.21"/>
    <n v="0.114"/>
    <n v="0.70599999999999996"/>
    <n v="-3.84"/>
    <n v="153149"/>
    <n v="2020"/>
    <x v="1"/>
  </r>
  <r>
    <n v="1097"/>
    <n v="129"/>
    <n v="4"/>
    <d v="2020-06-05T00:00:00"/>
    <x v="3"/>
    <s v="Na Raba Toma Tapão"/>
    <n v="4396629"/>
    <s v="Niack"/>
    <n v="352402"/>
    <s v="funk carioca"/>
    <d v="2020-06-06T00:00:00"/>
    <n v="61"/>
    <x v="0"/>
    <n v="0.96199999999999997"/>
    <n v="0.78700000000000003"/>
    <n v="5.5399999999999998E-2"/>
    <n v="0.66600000000000004"/>
    <n v="0.17599999999999999"/>
    <n v="0.96799999999999997"/>
    <n v="1.5089999999999999"/>
    <n v="165231"/>
    <n v="2020"/>
    <x v="1"/>
  </r>
  <r>
    <n v="1488"/>
    <n v="62"/>
    <n v="1"/>
    <d v="2020-01-17T00:00:00"/>
    <x v="1"/>
    <s v="I Can See"/>
    <n v="10086930"/>
    <s v="Mac Miller"/>
    <n v="6189454"/>
    <s v="hip hop"/>
    <d v="2020-01-17T00:00:00"/>
    <n v="60"/>
    <x v="1"/>
    <n v="0.69899999999999995"/>
    <n v="0.503"/>
    <n v="8.8200000000000001E-2"/>
    <n v="0.39100000000000001"/>
    <n v="9.9599999999999994E-2"/>
    <n v="5.4600000000000003E-2"/>
    <n v="-9.9220000000000006"/>
    <n v="220853"/>
    <n v="2020"/>
    <x v="1"/>
  </r>
  <r>
    <n v="1333"/>
    <n v="73"/>
    <n v="1"/>
    <d v="2020-03-06T00:00:00"/>
    <x v="4"/>
    <s v="You Better Move"/>
    <n v="9533898"/>
    <s v="Lil Uzi Vert"/>
    <n v="11821805"/>
    <s v="melodic rap"/>
    <d v="2020-03-06T00:00:00"/>
    <n v="60"/>
    <x v="1"/>
    <n v="0.84199999999999997"/>
    <n v="0.55600000000000005"/>
    <n v="0.442"/>
    <n v="0.159"/>
    <n v="0.20399999999999999"/>
    <n v="0.30599999999999999"/>
    <n v="-6.7930000000000001"/>
    <n v="196639"/>
    <n v="2020"/>
    <x v="1"/>
  </r>
  <r>
    <n v="1495"/>
    <n v="83"/>
    <n v="1"/>
    <d v="2020-01-17T00:00:00"/>
    <x v="1"/>
    <s v="Yah Yah (feat. Royce Da 5'9&quot;, Black Thought, Q-Tip &amp; Denaun)"/>
    <n v="8695060"/>
    <s v="Eminem"/>
    <n v="46814751"/>
    <s v="detroit hip hop"/>
    <d v="2020-01-17T00:00:00"/>
    <n v="60"/>
    <x v="0"/>
    <n v="0.45800000000000002"/>
    <n v="0.96599999999999997"/>
    <n v="0.38400000000000001"/>
    <n v="0.14000000000000001"/>
    <n v="0.11"/>
    <n v="0.35599999999999998"/>
    <n v="-2.1070000000000002"/>
    <n v="286960"/>
    <n v="2020"/>
    <x v="1"/>
  </r>
  <r>
    <n v="1030"/>
    <n v="78"/>
    <n v="1"/>
    <d v="2020-07-10T00:00:00"/>
    <x v="4"/>
    <s v="Anxiety - Intro"/>
    <n v="8449557"/>
    <s v="Juice WRLD"/>
    <n v="19102888"/>
    <s v="chicago rap"/>
    <d v="2020-07-10T00:00:00"/>
    <n v="60"/>
    <x v="1"/>
    <n v="0.307"/>
    <n v="0.52800000000000002"/>
    <n v="0.108"/>
    <n v="0.97199999999999998"/>
    <n v="0.222"/>
    <n v="0.57999999999999996"/>
    <n v="-11.337"/>
    <n v="70395"/>
    <n v="2020"/>
    <x v="1"/>
  </r>
  <r>
    <n v="745"/>
    <n v="78"/>
    <n v="1"/>
    <d v="2020-11-20T00:00:00"/>
    <x v="2"/>
    <s v="Skit"/>
    <n v="8392247"/>
    <s v="BTS"/>
    <n v="37151476"/>
    <s v="k-pop"/>
    <d v="2020-11-20T00:00:00"/>
    <n v="60"/>
    <x v="1"/>
    <n v="0.70299999999999996"/>
    <n v="0.32100000000000001"/>
    <n v="0.88400000000000001"/>
    <n v="0.86399999999999999"/>
    <n v="0.90800000000000003"/>
    <n v="0.54400000000000004"/>
    <n v="-13.135"/>
    <n v="179548"/>
    <n v="2020"/>
    <x v="1"/>
  </r>
  <r>
    <n v="1201"/>
    <n v="67"/>
    <n v="1"/>
    <d v="2020-05-01T00:00:00"/>
    <x v="1"/>
    <s v="Landed"/>
    <n v="8355036"/>
    <s v="Drake"/>
    <n v="56327031"/>
    <s v="canadian hip hop"/>
    <d v="2020-05-01T00:00:00"/>
    <n v="60"/>
    <x v="0"/>
    <n v="0.88100000000000001"/>
    <n v="0.63600000000000001"/>
    <n v="0.28699999999999998"/>
    <n v="6.0600000000000003E-3"/>
    <n v="0.111"/>
    <n v="0.71499999999999997"/>
    <n v="-4.6289999999999996"/>
    <n v="152195"/>
    <n v="2020"/>
    <x v="1"/>
  </r>
  <r>
    <n v="1202"/>
    <n v="68"/>
    <n v="1"/>
    <d v="2020-05-01T00:00:00"/>
    <x v="1"/>
    <s v="When To Say When"/>
    <n v="8304928"/>
    <s v="Drake"/>
    <n v="56327031"/>
    <s v="canadian hip hop"/>
    <d v="2020-05-01T00:00:00"/>
    <n v="60"/>
    <x v="0"/>
    <n v="0.41"/>
    <n v="0.82"/>
    <n v="0.53300000000000003"/>
    <n v="0.252"/>
    <n v="0.53800000000000003"/>
    <n v="0.52600000000000002"/>
    <n v="-6.8079999999999998"/>
    <n v="223124"/>
    <n v="2020"/>
    <x v="1"/>
  </r>
  <r>
    <n v="1501"/>
    <n v="102"/>
    <n v="1"/>
    <d v="2020-01-17T00:00:00"/>
    <x v="1"/>
    <s v="Little Engine"/>
    <n v="7913461"/>
    <s v="Eminem"/>
    <n v="46814751"/>
    <s v="detroit hip hop"/>
    <d v="2020-01-17T00:00:00"/>
    <n v="60"/>
    <x v="0"/>
    <n v="0.76900000000000002"/>
    <n v="0.81100000000000005"/>
    <n v="0.22800000000000001"/>
    <n v="2.3400000000000001E-2"/>
    <n v="4.5100000000000001E-2"/>
    <n v="0.76"/>
    <n v="-4.1619999999999999"/>
    <n v="177293"/>
    <n v="2020"/>
    <x v="1"/>
  </r>
  <r>
    <n v="1132"/>
    <n v="75"/>
    <n v="1"/>
    <d v="2020-05-29T00:00:00"/>
    <x v="2"/>
    <s v="Sine From Above (with Elton John)"/>
    <n v="7734309"/>
    <s v="Lady Gaga"/>
    <n v="18585963"/>
    <s v="dance pop"/>
    <d v="2020-05-29T00:00:00"/>
    <n v="60"/>
    <x v="0"/>
    <n v="0.64200000000000002"/>
    <n v="0.79200000000000004"/>
    <n v="4.8800000000000003E-2"/>
    <n v="0.158"/>
    <n v="0.68"/>
    <n v="9.0300000000000005E-2"/>
    <n v="-5.7460000000000004"/>
    <n v="244880"/>
    <n v="2020"/>
    <x v="1"/>
  </r>
  <r>
    <n v="707"/>
    <n v="129"/>
    <n v="1"/>
    <d v="2020-12-11T00:00:00"/>
    <x v="1"/>
    <s v="Dive"/>
    <n v="7524738"/>
    <s v="Kid Cudi"/>
    <n v="5002317"/>
    <s v="hip hop"/>
    <d v="2020-12-11T00:00:00"/>
    <n v="60"/>
    <x v="1"/>
    <n v="0.64"/>
    <n v="0.621"/>
    <n v="6.7900000000000002E-2"/>
    <n v="0.67"/>
    <n v="0.36"/>
    <n v="0.33200000000000002"/>
    <n v="-8.2690000000000001"/>
    <n v="148707"/>
    <n v="2020"/>
    <x v="1"/>
  </r>
  <r>
    <n v="1502"/>
    <n v="113"/>
    <n v="1"/>
    <d v="2020-01-17T00:00:00"/>
    <x v="1"/>
    <s v="I Will (feat. KXNG Crooked, Royce Da 5'9&quot; &amp; Joell Ortiz)"/>
    <n v="7115414"/>
    <s v="Eminem"/>
    <n v="46814751"/>
    <s v="detroit hip hop"/>
    <d v="2020-01-17T00:00:00"/>
    <n v="60"/>
    <x v="1"/>
    <n v="0.63500000000000001"/>
    <n v="0.54300000000000004"/>
    <n v="6.7000000000000004E-2"/>
    <n v="4.5400000000000003E-2"/>
    <n v="0.27200000000000002"/>
    <n v="3.5999999999999997E-2"/>
    <n v="-5.9409999999999998"/>
    <n v="303000"/>
    <n v="2020"/>
    <x v="1"/>
  </r>
  <r>
    <n v="686"/>
    <n v="167"/>
    <n v="1"/>
    <d v="2020-12-18T00:00:00"/>
    <x v="3"/>
    <s v="Hallelujah"/>
    <n v="6985392"/>
    <s v="Pentatonix"/>
    <n v="3083825"/>
    <s v="a cappella"/>
    <d v="2017-12-06T00:00:00"/>
    <n v="60"/>
    <x v="1"/>
    <n v="0.36399999999999999"/>
    <n v="0.378"/>
    <n v="3.3099999999999997E-2"/>
    <n v="0.47"/>
    <n v="0.33900000000000002"/>
    <n v="0.36599999999999999"/>
    <n v="-7.3810000000000002"/>
    <n v="268960"/>
    <n v="2017"/>
    <x v="1"/>
  </r>
  <r>
    <n v="1505"/>
    <n v="139"/>
    <n v="1"/>
    <d v="2020-01-17T00:00:00"/>
    <x v="1"/>
    <s v="That's On Me"/>
    <n v="6462701"/>
    <s v="Mac Miller"/>
    <n v="6189454"/>
    <s v="hip hop"/>
    <d v="2020-01-17T00:00:00"/>
    <n v="60"/>
    <x v="1"/>
    <n v="0.58299999999999996"/>
    <n v="0.499"/>
    <n v="2.6100000000000002E-2"/>
    <n v="0.59099999999999997"/>
    <n v="0.33"/>
    <n v="0.34200000000000003"/>
    <n v="-10.086"/>
    <n v="217868"/>
    <n v="2020"/>
    <x v="1"/>
  </r>
  <r>
    <n v="1152"/>
    <n v="92"/>
    <n v="1"/>
    <d v="2020-05-22T00:00:00"/>
    <x v="1"/>
    <s v="WUNNA"/>
    <n v="6384306"/>
    <s v="Gunna"/>
    <n v="3337982"/>
    <s v="atl hip hop"/>
    <d v="2020-05-22T00:00:00"/>
    <n v="60"/>
    <x v="1"/>
    <n v="0.89"/>
    <n v="0.45500000000000002"/>
    <n v="0.255"/>
    <n v="2.1700000000000001E-2"/>
    <n v="0.11"/>
    <n v="0.313"/>
    <n v="-9"/>
    <n v="158240"/>
    <n v="2020"/>
    <x v="1"/>
  </r>
  <r>
    <n v="1171"/>
    <n v="105"/>
    <n v="1"/>
    <d v="2020-05-15T00:00:00"/>
    <x v="1"/>
    <s v="All Bad (feat. Lil Uzi Vert)"/>
    <n v="6194224"/>
    <s v="Future"/>
    <n v="10491105"/>
    <s v="atl hip hop"/>
    <d v="2020-05-15T00:00:00"/>
    <n v="60"/>
    <x v="0"/>
    <n v="0.93100000000000005"/>
    <n v="0.66700000000000004"/>
    <n v="0.318"/>
    <n v="1.44E-2"/>
    <n v="0.15"/>
    <n v="0.66700000000000004"/>
    <n v="-7.0430000000000001"/>
    <n v="207739"/>
    <n v="2020"/>
    <x v="1"/>
  </r>
  <r>
    <n v="856"/>
    <n v="131"/>
    <n v="1"/>
    <d v="2020-10-02T00:00:00"/>
    <x v="1"/>
    <s v="My Dawg"/>
    <n v="6029118"/>
    <s v="21 Savage, Metro Boomin"/>
    <n v="9949044"/>
    <s v="atl hip hop"/>
    <d v="2020-10-02T00:00:00"/>
    <n v="60"/>
    <x v="1"/>
    <n v="0.83099999999999996"/>
    <n v="0.53200000000000003"/>
    <n v="0.30099999999999999"/>
    <n v="6.5199999999999994E-2"/>
    <n v="0.46400000000000002"/>
    <n v="0.36399999999999999"/>
    <n v="-5.319"/>
    <n v="181716"/>
    <n v="2020"/>
    <x v="1"/>
  </r>
  <r>
    <n v="982"/>
    <n v="144"/>
    <n v="1"/>
    <d v="2020-07-31T00:00:00"/>
    <x v="1"/>
    <s v="Tilidin Weg"/>
    <n v="5674945"/>
    <s v="Bonez MC"/>
    <n v="1683006"/>
    <s v="german hip hop"/>
    <d v="2020-09-10T00:00:00"/>
    <n v="60"/>
    <x v="1"/>
    <n v="0.88200000000000001"/>
    <n v="0.52600000000000002"/>
    <n v="0.23699999999999999"/>
    <n v="0.11799999999999999"/>
    <n v="8.3500000000000005E-2"/>
    <n v="0.182"/>
    <n v="-8.5530000000000008"/>
    <n v="180950"/>
    <n v="2020"/>
    <x v="1"/>
  </r>
  <r>
    <n v="994"/>
    <n v="147"/>
    <n v="1"/>
    <d v="2020-07-24T00:00:00"/>
    <x v="1"/>
    <s v="Andere Welt"/>
    <n v="5600868"/>
    <s v="Capital Bra, Clueso, KC Rebell"/>
    <n v="4093115"/>
    <s v="german hip hop"/>
    <d v="2020-07-23T00:00:00"/>
    <n v="60"/>
    <x v="0"/>
    <n v="0.69199999999999995"/>
    <n v="0.76400000000000001"/>
    <n v="0.113"/>
    <n v="0.57399999999999995"/>
    <n v="0.106"/>
    <n v="0.56399999999999995"/>
    <n v="-5.2329999999999997"/>
    <n v="189686"/>
    <n v="2020"/>
    <x v="1"/>
  </r>
  <r>
    <n v="1437"/>
    <n v="70"/>
    <n v="2"/>
    <d v="2020-01-31T00:00:00"/>
    <x v="1"/>
    <s v="I Do It (ft. Big Sean, Lil Baby)"/>
    <n v="5561205"/>
    <s v="Lil Wayne"/>
    <n v="10710088"/>
    <s v="hip hop"/>
    <d v="2020-01-31T00:00:00"/>
    <n v="60"/>
    <x v="1"/>
    <n v="0.80400000000000005"/>
    <n v="0.52800000000000002"/>
    <n v="0.378"/>
    <n v="0.125"/>
    <n v="0.41"/>
    <n v="0.32100000000000001"/>
    <n v="-3.2309999999999999"/>
    <n v="184440"/>
    <n v="2020"/>
    <x v="1"/>
  </r>
  <r>
    <n v="1306"/>
    <n v="147"/>
    <n v="1"/>
    <d v="2020-03-13T00:00:00"/>
    <x v="4"/>
    <s v="Leaders (feat. NAV)"/>
    <n v="5496780"/>
    <s v="Lil Uzi Vert"/>
    <n v="11821805"/>
    <s v="melodic rap"/>
    <d v="2020-03-13T00:00:00"/>
    <n v="60"/>
    <x v="0"/>
    <n v="0.95"/>
    <n v="0.65400000000000003"/>
    <n v="0.307"/>
    <n v="7.4399999999999994E-2"/>
    <n v="0.13800000000000001"/>
    <n v="0.88600000000000001"/>
    <n v="-5.8949999999999996"/>
    <n v="194844"/>
    <n v="2020"/>
    <x v="1"/>
  </r>
  <r>
    <n v="810"/>
    <n v="91"/>
    <n v="2"/>
    <d v="2020-10-23T00:00:00"/>
    <x v="1"/>
    <s v="Angeklagt"/>
    <n v="5226264"/>
    <s v="Bonez MC"/>
    <n v="1683006"/>
    <s v="german hip hop"/>
    <d v="2020-10-29T00:00:00"/>
    <n v="60"/>
    <x v="1"/>
    <n v="0.65800000000000003"/>
    <n v="0.624"/>
    <n v="9.1499999999999998E-2"/>
    <n v="0.17100000000000001"/>
    <n v="0.11600000000000001"/>
    <n v="0.314"/>
    <n v="-9.1549999999999994"/>
    <n v="168991"/>
    <n v="2020"/>
    <x v="1"/>
  </r>
  <r>
    <n v="1053"/>
    <n v="158"/>
    <n v="1"/>
    <d v="2020-07-03T00:00:00"/>
    <x v="3"/>
    <s v="Tunnel Vision (Outro)"/>
    <n v="4907751"/>
    <s v="Pop Smoke"/>
    <n v="6852509"/>
    <s v="brooklyn drill"/>
    <d v="2020-07-03T00:00:00"/>
    <n v="60"/>
    <x v="0"/>
    <n v="0.71799999999999997"/>
    <n v="0.66"/>
    <n v="0.32500000000000001"/>
    <n v="0.36299999999999999"/>
    <n v="0.159"/>
    <n v="0.65900000000000003"/>
    <n v="-7.39"/>
    <n v="132587"/>
    <n v="2020"/>
    <x v="1"/>
  </r>
  <r>
    <n v="1322"/>
    <n v="52"/>
    <n v="2"/>
    <d v="2020-03-06T00:00:00"/>
    <x v="4"/>
    <s v="I'm Sorry"/>
    <n v="4818039"/>
    <s v="Lil Uzi Vert"/>
    <n v="11821805"/>
    <s v="melodic rap"/>
    <d v="2020-03-06T00:00:00"/>
    <n v="60"/>
    <x v="1"/>
    <n v="0.85799999999999998"/>
    <n v="0.54700000000000004"/>
    <n v="0.28999999999999998"/>
    <n v="0.21299999999999999"/>
    <n v="0.104"/>
    <n v="0.30299999999999999"/>
    <n v="-5.8220000000000001"/>
    <n v="211883"/>
    <n v="2020"/>
    <x v="1"/>
  </r>
  <r>
    <n v="1016"/>
    <n v="169"/>
    <n v="1"/>
    <d v="2020-07-17T00:00:00"/>
    <x v="3"/>
    <s v="Never Know (feat. SHIRIN DAVID)"/>
    <n v="4803071"/>
    <s v="Luciano"/>
    <n v="942380"/>
    <s v="german drill"/>
    <d v="2020-07-16T00:00:00"/>
    <n v="60"/>
    <x v="1"/>
    <n v="0.874"/>
    <n v="0.54200000000000004"/>
    <n v="0.34399999999999997"/>
    <n v="6.2100000000000002E-2"/>
    <n v="0.18099999999999999"/>
    <n v="0.48099999999999998"/>
    <n v="-7.0640000000000001"/>
    <n v="196933"/>
    <n v="2020"/>
    <x v="1"/>
  </r>
  <r>
    <n v="1037"/>
    <n v="139"/>
    <n v="2"/>
    <d v="2020-07-03T00:00:00"/>
    <x v="4"/>
    <s v="YAYA"/>
    <n v="4729070"/>
    <s v="6ix9ine"/>
    <n v="6514102"/>
    <s v="emo rap"/>
    <d v="2020-07-03T00:00:00"/>
    <n v="60"/>
    <x v="0"/>
    <n v="0.67200000000000004"/>
    <n v="0.73299999999999998"/>
    <n v="5.6599999999999998E-2"/>
    <n v="2.8900000000000002E-3"/>
    <n v="0.19900000000000001"/>
    <n v="0.35399999999999998"/>
    <n v="-5.3769999999999998"/>
    <n v="149857"/>
    <n v="2020"/>
    <x v="1"/>
  </r>
  <r>
    <n v="1143"/>
    <n v="183"/>
    <n v="1"/>
    <d v="2020-05-29T00:00:00"/>
    <x v="1"/>
    <s v="SKRR"/>
    <n v="4629320"/>
    <s v="KALIM, Ufo361"/>
    <n v="218931"/>
    <s v="german hip hop"/>
    <d v="2020-09-24T00:00:00"/>
    <n v="60"/>
    <x v="0"/>
    <n v="0.80300000000000005"/>
    <n v="0.64900000000000002"/>
    <n v="0.13200000000000001"/>
    <n v="0.16300000000000001"/>
    <n v="0.152"/>
    <n v="0.58399999999999996"/>
    <n v="-6.5990000000000002"/>
    <n v="119040"/>
    <n v="2020"/>
    <x v="1"/>
  </r>
  <r>
    <n v="1005"/>
    <n v="196"/>
    <n v="1"/>
    <d v="2020-07-24T00:00:00"/>
    <x v="1"/>
    <s v="Hit My Line"/>
    <n v="4621205"/>
    <s v="Logic"/>
    <n v="5449291"/>
    <s v="conscious hip hop"/>
    <d v="2020-07-24T00:00:00"/>
    <n v="60"/>
    <x v="0"/>
    <n v="0.62"/>
    <n v="0.78600000000000003"/>
    <n v="0.16700000000000001"/>
    <n v="0.14299999999999999"/>
    <n v="0.46"/>
    <n v="0.67900000000000005"/>
    <n v="-5.22"/>
    <n v="265191"/>
    <n v="2020"/>
    <x v="1"/>
  </r>
  <r>
    <n v="1555"/>
    <n v="198"/>
    <n v="1"/>
    <d v="2019-12-27T00:00:00"/>
    <x v="3"/>
    <s v="Surtada - Remix Brega Funk"/>
    <n v="4607385"/>
    <s v="Dadá Boladão, Tati Zaqui, OIK"/>
    <n v="208630"/>
    <s v="brega funk"/>
    <d v="2019-09-25T00:00:00"/>
    <n v="60"/>
    <x v="1"/>
    <n v="0.83199999999999996"/>
    <n v="0.55000000000000004"/>
    <n v="5.8700000000000002E-2"/>
    <n v="0.249"/>
    <n v="0.182"/>
    <n v="0.88100000000000001"/>
    <n v="-7.0259999999999998"/>
    <n v="152784"/>
    <n v="2019"/>
    <x v="1"/>
  </r>
  <r>
    <n v="974"/>
    <n v="50"/>
    <n v="6"/>
    <d v="2020-07-03T00:00:00"/>
    <x v="1"/>
    <s v="Bläulich"/>
    <n v="4599408"/>
    <s v="Apache 207"/>
    <n v="1674348"/>
    <s v="german hip hop"/>
    <d v="2020-07-31T00:00:00"/>
    <n v="60"/>
    <x v="0"/>
    <n v="0.79"/>
    <n v="0.70399999999999996"/>
    <n v="0.41699999999999998"/>
    <n v="6.9000000000000006E-2"/>
    <n v="0.113"/>
    <n v="0.21199999999999999"/>
    <n v="-7.9349999999999996"/>
    <n v="196213"/>
    <n v="2020"/>
    <x v="1"/>
  </r>
  <r>
    <n v="933"/>
    <n v="113"/>
    <n v="4"/>
    <d v="2020-08-14T00:00:00"/>
    <x v="4"/>
    <s v="Rags2Riches 2 (feat. Lil Baby)"/>
    <n v="4547965"/>
    <s v="Rod Wave"/>
    <n v="2203386"/>
    <s v="florida rap"/>
    <d v="2020-08-07T00:00:00"/>
    <n v="60"/>
    <x v="1"/>
    <n v="0.874"/>
    <n v="0.443"/>
    <n v="0.24099999999999999"/>
    <n v="0.14699999999999999"/>
    <n v="0.124"/>
    <n v="0.29799999999999999"/>
    <n v="-9.6280000000000001"/>
    <n v="235988"/>
    <n v="2020"/>
    <x v="1"/>
  </r>
  <r>
    <n v="631"/>
    <n v="15"/>
    <n v="6"/>
    <d v="2020-12-18T00:00:00"/>
    <x v="2"/>
    <s v="Mistletoe"/>
    <n v="10609206"/>
    <s v="Justin Bieber"/>
    <n v="48544923"/>
    <s v="canadian pop"/>
    <d v="2011-01-01T00:00:00"/>
    <n v="59"/>
    <x v="1"/>
    <n v="0.65700000000000003"/>
    <n v="0.56000000000000005"/>
    <n v="4.6699999999999998E-2"/>
    <n v="0.498"/>
    <n v="7.9399999999999998E-2"/>
    <n v="0.85399999999999998"/>
    <n v="-9.0489999999999995"/>
    <n v="182947"/>
    <n v="2011"/>
    <x v="1"/>
  </r>
  <r>
    <n v="1403"/>
    <n v="57"/>
    <n v="1"/>
    <d v="2020-02-14T00:00:00"/>
    <x v="1"/>
    <s v="Give No Fxk"/>
    <n v="9652399"/>
    <s v="Migos, Travis Scott, Young Thug"/>
    <n v="11692972"/>
    <s v="atl hip hop"/>
    <d v="2020-02-14T00:00:00"/>
    <n v="59"/>
    <x v="1"/>
    <n v="0.90400000000000003"/>
    <n v="0.627"/>
    <n v="0.222"/>
    <n v="3.0300000000000001E-2"/>
    <n v="9.2299999999999993E-2"/>
    <n v="0.23599999999999999"/>
    <n v="-5.6079999999999997"/>
    <n v="224243"/>
    <n v="2020"/>
    <x v="1"/>
  </r>
  <r>
    <n v="1133"/>
    <n v="77"/>
    <n v="1"/>
    <d v="2020-05-29T00:00:00"/>
    <x v="2"/>
    <s v="Enigma"/>
    <n v="7695566"/>
    <s v="Lady Gaga"/>
    <n v="18585963"/>
    <s v="dance pop"/>
    <d v="2020-05-29T00:00:00"/>
    <n v="59"/>
    <x v="0"/>
    <n v="0.66900000000000004"/>
    <n v="0.80400000000000005"/>
    <n v="3.5999999999999997E-2"/>
    <n v="3.0599999999999999E-2"/>
    <n v="0.69399999999999995"/>
    <n v="0.184"/>
    <n v="-4.0350000000000001"/>
    <n v="179760"/>
    <n v="2020"/>
    <x v="1"/>
  </r>
  <r>
    <n v="1358"/>
    <n v="106"/>
    <n v="1"/>
    <d v="2020-02-28T00:00:00"/>
    <x v="1"/>
    <s v="Live Off My Closet (feat. Future)"/>
    <n v="7410327"/>
    <s v="Lil Baby"/>
    <n v="7816213"/>
    <s v="atl hip hop"/>
    <d v="2020-02-28T00:00:00"/>
    <n v="59"/>
    <x v="0"/>
    <n v="0.80700000000000005"/>
    <n v="0.67800000000000005"/>
    <n v="0.17699999999999999"/>
    <n v="3.4500000000000003E-2"/>
    <n v="9.8599999999999993E-2"/>
    <n v="0.21"/>
    <n v="-3.2440000000000002"/>
    <n v="173061"/>
    <n v="2020"/>
    <x v="1"/>
  </r>
  <r>
    <n v="708"/>
    <n v="139"/>
    <n v="1"/>
    <d v="2020-12-11T00:00:00"/>
    <x v="1"/>
    <s v="Heaven On Earth"/>
    <n v="7117347"/>
    <s v="Kid Cudi"/>
    <n v="5002317"/>
    <s v="hip hop"/>
    <d v="2020-12-11T00:00:00"/>
    <n v="59"/>
    <x v="1"/>
    <n v="0.78600000000000003"/>
    <n v="0.61"/>
    <n v="5.5800000000000002E-2"/>
    <n v="0.379"/>
    <n v="7.6499999999999999E-2"/>
    <n v="0.22800000000000001"/>
    <n v="-6.7359999999999998"/>
    <n v="201093"/>
    <n v="2020"/>
    <x v="1"/>
  </r>
  <r>
    <n v="1503"/>
    <n v="115"/>
    <n v="1"/>
    <d v="2020-01-17T00:00:00"/>
    <x v="2"/>
    <s v="Still Learning"/>
    <n v="7050815"/>
    <s v="Halsey"/>
    <n v="15663384"/>
    <s v="dance pop"/>
    <d v="2020-01-17T00:00:00"/>
    <n v="59"/>
    <x v="0"/>
    <n v="0.70799999999999996"/>
    <n v="0.66100000000000003"/>
    <n v="5.4600000000000003E-2"/>
    <n v="3.9600000000000003E-2"/>
    <n v="0.113"/>
    <n v="0.317"/>
    <n v="-6.5430000000000001"/>
    <n v="211784"/>
    <n v="2020"/>
    <x v="1"/>
  </r>
  <r>
    <n v="1031"/>
    <n v="112"/>
    <n v="1"/>
    <d v="2020-07-10T00:00:00"/>
    <x v="4"/>
    <s v="Juice WRLD Speaks From Heaven - Outro"/>
    <n v="6682917"/>
    <s v="Juice WRLD"/>
    <n v="19102888"/>
    <s v="chicago rap"/>
    <d v="2020-07-10T00:00:00"/>
    <n v="59"/>
    <x v="1"/>
    <n v="0.39200000000000002"/>
    <n v="0.373"/>
    <n v="9.6799999999999997E-2"/>
    <n v="0.99099999999999999"/>
    <n v="0.54500000000000004"/>
    <n v="0.51900000000000002"/>
    <n v="-14.097"/>
    <n v="30583"/>
    <n v="2020"/>
    <x v="1"/>
  </r>
  <r>
    <n v="1048"/>
    <n v="114"/>
    <n v="1"/>
    <d v="2020-07-03T00:00:00"/>
    <x v="3"/>
    <s v="Bad Bitch From Tokyo (Intro)"/>
    <n v="6144736"/>
    <s v="Pop Smoke"/>
    <n v="6852509"/>
    <s v="brooklyn drill"/>
    <d v="2020-07-03T00:00:00"/>
    <n v="59"/>
    <x v="0"/>
    <n v="0.64500000000000002"/>
    <n v="0.64"/>
    <n v="0.17899999999999999"/>
    <n v="0.39500000000000002"/>
    <n v="0.28599999999999998"/>
    <n v="0.67400000000000004"/>
    <n v="-6.8710000000000004"/>
    <n v="48000"/>
    <n v="2020"/>
    <x v="1"/>
  </r>
  <r>
    <n v="1049"/>
    <n v="117"/>
    <n v="1"/>
    <d v="2020-07-03T00:00:00"/>
    <x v="3"/>
    <s v="Snitching (feat. Quavo &amp; Future)"/>
    <n v="6102253"/>
    <s v="Pop Smoke"/>
    <n v="6852509"/>
    <s v="brooklyn drill"/>
    <d v="2020-07-03T00:00:00"/>
    <n v="59"/>
    <x v="1"/>
    <n v="0.94399999999999995"/>
    <n v="0.57899999999999996"/>
    <n v="0.191"/>
    <n v="3.8100000000000002E-2"/>
    <n v="0.253"/>
    <n v="0.76900000000000002"/>
    <n v="-4.9610000000000003"/>
    <n v="259346"/>
    <n v="2020"/>
    <x v="1"/>
  </r>
  <r>
    <n v="1343"/>
    <n v="159"/>
    <n v="1"/>
    <d v="2020-03-06T00:00:00"/>
    <x v="1"/>
    <s v="SKYBOX"/>
    <n v="5846484"/>
    <s v="Gunna"/>
    <n v="3337982"/>
    <s v="atl hip hop"/>
    <d v="2020-03-06T00:00:00"/>
    <n v="59"/>
    <x v="0"/>
    <n v="0.77900000000000003"/>
    <n v="0.70699999999999996"/>
    <n v="0.16"/>
    <n v="9.9099999999999994E-2"/>
    <n v="9.3399999999999997E-2"/>
    <n v="0.34300000000000003"/>
    <n v="-6.5270000000000001"/>
    <n v="178097"/>
    <n v="2020"/>
    <x v="1"/>
  </r>
  <r>
    <n v="981"/>
    <n v="141"/>
    <n v="1"/>
    <d v="2020-07-31T00:00:00"/>
    <x v="1"/>
    <s v="Sie ruft"/>
    <n v="5752169"/>
    <s v="Apache 207"/>
    <n v="1674348"/>
    <s v="german hip hop"/>
    <d v="2020-07-31T00:00:00"/>
    <n v="59"/>
    <x v="1"/>
    <n v="0.81899999999999995"/>
    <n v="0.50700000000000001"/>
    <n v="8.8099999999999998E-2"/>
    <n v="0.48199999999999998"/>
    <n v="0.105"/>
    <n v="0.63400000000000001"/>
    <n v="-7.3360000000000003"/>
    <n v="152013"/>
    <n v="2020"/>
    <x v="1"/>
  </r>
  <r>
    <n v="1509"/>
    <n v="167"/>
    <n v="1"/>
    <d v="2020-01-17T00:00:00"/>
    <x v="3"/>
    <s v="Dans l'espace (feat. Heuss l'Enfoiré)"/>
    <n v="5678754"/>
    <s v="Gambi"/>
    <n v="951798"/>
    <s v="francoton"/>
    <d v="2020-01-17T00:00:00"/>
    <n v="59"/>
    <x v="1"/>
    <n v="0.91600000000000004"/>
    <n v="0.56999999999999995"/>
    <n v="0.18"/>
    <n v="2.86E-2"/>
    <n v="8.5099999999999995E-2"/>
    <n v="0.7"/>
    <n v="-6.2779999999999996"/>
    <n v="169702"/>
    <n v="2020"/>
    <x v="1"/>
  </r>
  <r>
    <n v="983"/>
    <n v="149"/>
    <n v="1"/>
    <d v="2020-07-31T00:00:00"/>
    <x v="1"/>
    <s v="Over Your Head"/>
    <n v="5534361"/>
    <s v="Future, Lil Uzi Vert"/>
    <n v="10491105"/>
    <s v="atl hip hop"/>
    <d v="2020-07-31T00:00:00"/>
    <n v="59"/>
    <x v="0"/>
    <n v="0.77300000000000002"/>
    <n v="0.74199999999999999"/>
    <n v="0.16200000000000001"/>
    <n v="1.98E-3"/>
    <n v="0.55800000000000005"/>
    <n v="0.35"/>
    <n v="-5.4530000000000003"/>
    <n v="186843"/>
    <n v="2020"/>
    <x v="1"/>
  </r>
  <r>
    <n v="749"/>
    <n v="162"/>
    <n v="1"/>
    <d v="2020-11-20T00:00:00"/>
    <x v="1"/>
    <s v="Tik Tok (feat. Marracash &amp; Guè Pequeno)"/>
    <n v="5504912"/>
    <s v="Sfera Ebbasta"/>
    <n v="4430628"/>
    <s v="italian hip hop"/>
    <d v="2020-12-18T00:00:00"/>
    <n v="59"/>
    <x v="0"/>
    <n v="0.72299999999999998"/>
    <n v="0.67300000000000004"/>
    <n v="0.13700000000000001"/>
    <n v="9.8500000000000004E-2"/>
    <n v="0.32300000000000001"/>
    <n v="0.30199999999999999"/>
    <n v="-7.6360000000000001"/>
    <n v="230389"/>
    <n v="2020"/>
    <x v="1"/>
  </r>
  <r>
    <n v="1307"/>
    <n v="149"/>
    <n v="1"/>
    <d v="2020-03-13T00:00:00"/>
    <x v="4"/>
    <s v="Strawberry Peels (feat. Young Thug &amp; Gunna)"/>
    <n v="5468083"/>
    <s v="Lil Uzi Vert"/>
    <n v="11821805"/>
    <s v="melodic rap"/>
    <d v="2020-03-13T00:00:00"/>
    <n v="59"/>
    <x v="0"/>
    <n v="0.86199999999999999"/>
    <n v="0.65"/>
    <n v="0.35499999999999998"/>
    <n v="2.07E-2"/>
    <n v="0.56799999999999995"/>
    <n v="0.65800000000000003"/>
    <n v="-6.9779999999999998"/>
    <n v="115350"/>
    <n v="2020"/>
    <x v="1"/>
  </r>
  <r>
    <n v="1420"/>
    <n v="164"/>
    <n v="1"/>
    <d v="2020-02-14T00:00:00"/>
    <x v="2"/>
    <s v="That's What Love Is"/>
    <n v="5440037"/>
    <s v="Justin Bieber"/>
    <n v="48544923"/>
    <s v="canadian pop"/>
    <d v="2020-02-14T00:00:00"/>
    <n v="59"/>
    <x v="1"/>
    <n v="0.63900000000000001"/>
    <n v="0.437"/>
    <n v="3.5499999999999997E-2"/>
    <n v="0.69199999999999995"/>
    <n v="0.12"/>
    <n v="0.751"/>
    <n v="-6.9589999999999996"/>
    <n v="165120"/>
    <n v="2020"/>
    <x v="1"/>
  </r>
  <r>
    <n v="1242"/>
    <n v="127"/>
    <n v="1"/>
    <d v="2020-04-10T00:00:00"/>
    <x v="1"/>
    <s v="Shotz Fired"/>
    <n v="5291167"/>
    <s v="Bonez MC"/>
    <n v="1683006"/>
    <s v="german hip hop"/>
    <d v="2020-04-09T00:00:00"/>
    <n v="59"/>
    <x v="1"/>
    <n v="0.83899999999999997"/>
    <n v="0.59399999999999997"/>
    <n v="0.13900000000000001"/>
    <n v="0.249"/>
    <n v="0.16500000000000001"/>
    <n v="0.57999999999999996"/>
    <n v="-9.0869999999999997"/>
    <n v="179844"/>
    <n v="2020"/>
    <x v="1"/>
  </r>
  <r>
    <n v="1537"/>
    <n v="125"/>
    <n v="2"/>
    <d v="2019-12-27T00:00:00"/>
    <x v="4"/>
    <s v="Writing on the Wall (feat. Post Malone, Cardi B &amp; Rvssian)"/>
    <n v="5229616"/>
    <s v="French Montana"/>
    <n v="4039037"/>
    <s v="gangster rap"/>
    <d v="2019-09-27T00:00:00"/>
    <n v="59"/>
    <x v="0"/>
    <n v="0.77300000000000002"/>
    <n v="0.83599999999999997"/>
    <n v="0.153"/>
    <n v="0.28299999999999997"/>
    <n v="8.2799999999999999E-2"/>
    <n v="0.497"/>
    <n v="-2.3260000000000001"/>
    <n v="201271"/>
    <n v="2019"/>
    <x v="1"/>
  </r>
  <r>
    <n v="1480"/>
    <n v="171"/>
    <n v="1"/>
    <d v="2020-01-24T00:00:00"/>
    <x v="4"/>
    <s v="B.I.T.C.H."/>
    <n v="5215211"/>
    <s v="Megan Thee Stallion"/>
    <n v="4794212"/>
    <s v="houston rap"/>
    <d v="2020-01-24T00:00:00"/>
    <n v="59"/>
    <x v="0"/>
    <n v="0.74199999999999999"/>
    <n v="0.73099999999999998"/>
    <n v="0.30599999999999999"/>
    <n v="8.5099999999999995E-2"/>
    <n v="0.13100000000000001"/>
    <n v="0.54700000000000004"/>
    <n v="-4.3620000000000001"/>
    <n v="183143"/>
    <n v="2020"/>
    <x v="1"/>
  </r>
  <r>
    <n v="1316"/>
    <n v="177"/>
    <n v="1"/>
    <d v="2020-03-13T00:00:00"/>
    <x v="4"/>
    <s v="Trap This Way (This Way)"/>
    <n v="5043990"/>
    <s v="Lil Uzi Vert"/>
    <n v="11821805"/>
    <s v="melodic rap"/>
    <d v="2020-03-13T00:00:00"/>
    <n v="59"/>
    <x v="1"/>
    <n v="0.71"/>
    <n v="0.58599999999999997"/>
    <n v="0.38100000000000001"/>
    <n v="0.248"/>
    <n v="0.193"/>
    <n v="0.20699999999999999"/>
    <n v="-5.3310000000000004"/>
    <n v="185439"/>
    <n v="2020"/>
    <x v="1"/>
  </r>
  <r>
    <n v="907"/>
    <n v="183"/>
    <n v="1"/>
    <d v="2020-09-11T00:00:00"/>
    <x v="1"/>
    <s v="Ihr Hobby"/>
    <n v="4723116"/>
    <s v="Bonez MC, Maxwell"/>
    <n v="1683006"/>
    <s v="german hip hop"/>
    <d v="2020-09-10T00:00:00"/>
    <n v="59"/>
    <x v="0"/>
    <n v="0.77400000000000002"/>
    <n v="0.81399999999999995"/>
    <n v="5.8400000000000001E-2"/>
    <n v="0.20399999999999999"/>
    <n v="0.11799999999999999"/>
    <n v="0.254"/>
    <n v="-6.1449999999999996"/>
    <n v="185330"/>
    <n v="2020"/>
    <x v="1"/>
  </r>
  <r>
    <n v="1142"/>
    <n v="180"/>
    <n v="1"/>
    <d v="2020-05-29T00:00:00"/>
    <x v="3"/>
    <s v="FLY"/>
    <n v="4681054"/>
    <s v="KC Rebell, Summer Cem"/>
    <n v="1101597"/>
    <s v="german drill"/>
    <d v="2020-05-29T00:00:00"/>
    <n v="59"/>
    <x v="1"/>
    <n v="0.83499999999999996"/>
    <n v="0.59599999999999997"/>
    <n v="0.29699999999999999"/>
    <n v="0.13700000000000001"/>
    <n v="0.16400000000000001"/>
    <n v="0.89700000000000002"/>
    <n v="-6.6369999999999996"/>
    <n v="174893"/>
    <n v="2020"/>
    <x v="1"/>
  </r>
  <r>
    <n v="1543"/>
    <n v="192"/>
    <n v="2"/>
    <d v="2019-12-27T00:00:00"/>
    <x v="3"/>
    <s v="Fantasía"/>
    <n v="4543012"/>
    <s v="Ozuna"/>
    <n v="29238936"/>
    <s v="latin"/>
    <d v="2019-11-29T00:00:00"/>
    <n v="59"/>
    <x v="0"/>
    <n v="0.69499999999999995"/>
    <n v="0.71899999999999997"/>
    <n v="9.0300000000000005E-2"/>
    <n v="0.22700000000000001"/>
    <n v="8.8400000000000006E-2"/>
    <n v="0.78100000000000003"/>
    <n v="-5.9379999999999997"/>
    <n v="175187"/>
    <n v="2019"/>
    <x v="1"/>
  </r>
  <r>
    <n v="1224"/>
    <n v="183"/>
    <n v="1"/>
    <d v="2020-04-24T00:00:00"/>
    <x v="0"/>
    <s v="If You’re Too Shy (Let Me Know) - Edit"/>
    <n v="4429092"/>
    <s v="The 1975"/>
    <n v="5044278"/>
    <s v="modern alternative rock"/>
    <d v="2020-04-23T00:00:00"/>
    <n v="59"/>
    <x v="0"/>
    <n v="0.65100000000000002"/>
    <n v="0.80600000000000005"/>
    <n v="3.1099999999999999E-2"/>
    <n v="3.9899999999999996E-3"/>
    <n v="9.2700000000000005E-2"/>
    <n v="0.38600000000000001"/>
    <n v="-4.8419999999999996"/>
    <n v="239877"/>
    <n v="2020"/>
    <x v="1"/>
  </r>
  <r>
    <n v="623"/>
    <n v="5"/>
    <n v="7"/>
    <d v="2020-12-18T00:00:00"/>
    <x v="3"/>
    <s v="Rockin' Around The Christmas Tree"/>
    <n v="16613649"/>
    <s v="Brenda Lee"/>
    <n v="222627"/>
    <s v="adult standards"/>
    <d v="1964-10-19T00:00:00"/>
    <n v="58"/>
    <x v="1"/>
    <n v="0.58899999999999997"/>
    <n v="0.47199999999999998"/>
    <n v="5.0200000000000002E-2"/>
    <n v="0.61399999999999999"/>
    <n v="0.505"/>
    <n v="0.89800000000000002"/>
    <n v="-8.7490000000000006"/>
    <n v="126267"/>
    <n v="1964"/>
    <x v="1"/>
  </r>
  <r>
    <n v="1329"/>
    <n v="60"/>
    <n v="1"/>
    <d v="2020-03-06T00:00:00"/>
    <x v="4"/>
    <s v="POP"/>
    <n v="10484727"/>
    <s v="Lil Uzi Vert"/>
    <n v="11821805"/>
    <s v="melodic rap"/>
    <d v="2020-03-06T00:00:00"/>
    <n v="58"/>
    <x v="1"/>
    <n v="0.74099999999999999"/>
    <n v="0.59899999999999998"/>
    <n v="0.41899999999999998"/>
    <n v="9.6100000000000005E-3"/>
    <n v="0.78500000000000003"/>
    <n v="0.27600000000000002"/>
    <n v="-6.6719999999999997"/>
    <n v="227474"/>
    <n v="2020"/>
    <x v="1"/>
  </r>
  <r>
    <n v="1203"/>
    <n v="70"/>
    <n v="1"/>
    <d v="2020-05-01T00:00:00"/>
    <x v="1"/>
    <s v="Deep Pockets"/>
    <n v="8285754"/>
    <s v="Drake"/>
    <n v="56327031"/>
    <s v="canadian hip hop"/>
    <d v="2020-05-01T00:00:00"/>
    <n v="58"/>
    <x v="0"/>
    <n v="0.47299999999999998"/>
    <n v="0.82399999999999995"/>
    <n v="0.16300000000000001"/>
    <n v="0.48199999999999998"/>
    <n v="0.60499999999999998"/>
    <n v="0.374"/>
    <n v="-3.68"/>
    <n v="222929"/>
    <n v="2020"/>
    <x v="1"/>
  </r>
  <r>
    <n v="1131"/>
    <n v="74"/>
    <n v="1"/>
    <d v="2020-05-29T00:00:00"/>
    <x v="2"/>
    <s v="Fun Tonight"/>
    <n v="7907329"/>
    <s v="Lady Gaga"/>
    <n v="18585963"/>
    <s v="dance pop"/>
    <d v="2020-05-29T00:00:00"/>
    <n v="58"/>
    <x v="0"/>
    <n v="0.64500000000000002"/>
    <n v="0.92300000000000004"/>
    <n v="7.2499999999999995E-2"/>
    <n v="0.36399999999999999"/>
    <n v="0.14000000000000001"/>
    <n v="0.32300000000000001"/>
    <n v="-4.2619999999999996"/>
    <n v="173427"/>
    <n v="2020"/>
    <x v="1"/>
  </r>
  <r>
    <n v="1409"/>
    <n v="85"/>
    <n v="1"/>
    <d v="2020-02-14T00:00:00"/>
    <x v="2"/>
    <s v="Running Over (feat. Lil Dicky)"/>
    <n v="7493188"/>
    <s v="Justin Bieber"/>
    <n v="48544923"/>
    <s v="canadian pop"/>
    <d v="2020-02-14T00:00:00"/>
    <n v="58"/>
    <x v="1"/>
    <n v="0.77400000000000002"/>
    <n v="0.60299999999999998"/>
    <n v="5.91E-2"/>
    <n v="0.438"/>
    <n v="8.6900000000000005E-2"/>
    <n v="0.97699999999999998"/>
    <n v="-7.319"/>
    <n v="179627"/>
    <n v="2020"/>
    <x v="1"/>
  </r>
  <r>
    <n v="1410"/>
    <n v="86"/>
    <n v="1"/>
    <d v="2020-02-14T00:00:00"/>
    <x v="2"/>
    <s v="Available"/>
    <n v="7473249"/>
    <s v="Justin Bieber"/>
    <n v="48544923"/>
    <s v="canadian pop"/>
    <d v="2020-02-14T00:00:00"/>
    <n v="58"/>
    <x v="1"/>
    <n v="0.70199999999999996"/>
    <n v="0.60799999999999998"/>
    <n v="3.5900000000000001E-2"/>
    <n v="7.3599999999999999E-2"/>
    <n v="0.129"/>
    <n v="0.59699999999999998"/>
    <n v="-6.843"/>
    <n v="195333"/>
    <n v="2020"/>
    <x v="1"/>
  </r>
  <r>
    <n v="1135"/>
    <n v="80"/>
    <n v="1"/>
    <d v="2020-05-29T00:00:00"/>
    <x v="2"/>
    <s v="Plastic Doll"/>
    <n v="7451452"/>
    <s v="Lady Gaga"/>
    <n v="18585963"/>
    <s v="dance pop"/>
    <d v="2020-05-29T00:00:00"/>
    <n v="58"/>
    <x v="0"/>
    <n v="0.74299999999999999"/>
    <n v="0.85299999999999998"/>
    <n v="0.04"/>
    <n v="1.9E-3"/>
    <n v="8.72E-2"/>
    <n v="0.42199999999999999"/>
    <n v="-4.8419999999999996"/>
    <n v="221667"/>
    <n v="2020"/>
    <x v="1"/>
  </r>
  <r>
    <n v="1136"/>
    <n v="87"/>
    <n v="1"/>
    <d v="2020-05-29T00:00:00"/>
    <x v="2"/>
    <s v="Chromatica II"/>
    <n v="7136521"/>
    <s v="Lady Gaga"/>
    <n v="18585963"/>
    <s v="dance pop"/>
    <d v="2020-05-29T00:00:00"/>
    <n v="58"/>
    <x v="1"/>
    <n v="0.184"/>
    <n v="0.29699999999999999"/>
    <n v="3.5900000000000001E-2"/>
    <n v="0.47299999999999998"/>
    <n v="0.52700000000000002"/>
    <n v="0.113"/>
    <n v="-14.534000000000001"/>
    <n v="41867"/>
    <n v="2020"/>
    <x v="1"/>
  </r>
  <r>
    <n v="1032"/>
    <n v="113"/>
    <n v="1"/>
    <d v="2020-07-10T00:00:00"/>
    <x v="4"/>
    <s v="The Man, The Myth, The Legend - Interlude"/>
    <n v="6640728"/>
    <s v="Juice WRLD"/>
    <n v="19102888"/>
    <s v="chicago rap"/>
    <d v="2020-07-10T00:00:00"/>
    <n v="58"/>
    <x v="1"/>
    <n v="0.66700000000000004"/>
    <n v="0.44700000000000001"/>
    <n v="0.76100000000000001"/>
    <n v="0.91600000000000004"/>
    <n v="0.61199999999999999"/>
    <n v="0.82899999999999996"/>
    <n v="-14.625"/>
    <n v="136545"/>
    <n v="2020"/>
    <x v="1"/>
  </r>
  <r>
    <n v="1138"/>
    <n v="93"/>
    <n v="1"/>
    <d v="2020-05-29T00:00:00"/>
    <x v="2"/>
    <s v="Chromatica I"/>
    <n v="6630385"/>
    <s v="Lady Gaga"/>
    <n v="18585963"/>
    <s v="dance pop"/>
    <d v="2020-05-29T00:00:00"/>
    <n v="58"/>
    <x v="1"/>
    <n v="0.184"/>
    <n v="0.29699999999999999"/>
    <n v="3.5900000000000001E-2"/>
    <n v="0.47299999999999998"/>
    <n v="0.52700000000000002"/>
    <n v="0.113"/>
    <n v="-14.534000000000001"/>
    <n v="41867"/>
    <n v="2020"/>
    <x v="1"/>
  </r>
  <r>
    <n v="1413"/>
    <n v="116"/>
    <n v="1"/>
    <d v="2020-02-14T00:00:00"/>
    <x v="2"/>
    <s v="Confirmation"/>
    <n v="6520106"/>
    <s v="Justin Bieber"/>
    <n v="48544923"/>
    <s v="canadian pop"/>
    <d v="2020-02-14T00:00:00"/>
    <n v="58"/>
    <x v="1"/>
    <n v="0.438"/>
    <n v="0.315"/>
    <n v="3.7499999999999999E-2"/>
    <n v="0.60799999999999998"/>
    <n v="0.151"/>
    <n v="0.44900000000000001"/>
    <n v="-8.1859999999999999"/>
    <n v="170587"/>
    <n v="2020"/>
    <x v="1"/>
  </r>
  <r>
    <n v="1139"/>
    <n v="106"/>
    <n v="1"/>
    <d v="2020-05-29T00:00:00"/>
    <x v="2"/>
    <s v="1000 Doves"/>
    <n v="6069544"/>
    <s v="Lady Gaga"/>
    <n v="18585963"/>
    <s v="dance pop"/>
    <d v="2020-05-29T00:00:00"/>
    <n v="58"/>
    <x v="0"/>
    <n v="0.66800000000000004"/>
    <n v="0.82599999999999996"/>
    <n v="3.8300000000000001E-2"/>
    <n v="2.3599999999999999E-2"/>
    <n v="0.47399999999999998"/>
    <n v="0.38800000000000001"/>
    <n v="-4.4660000000000002"/>
    <n v="215480"/>
    <n v="2020"/>
    <x v="1"/>
  </r>
  <r>
    <n v="1303"/>
    <n v="126"/>
    <n v="1"/>
    <d v="2020-03-13T00:00:00"/>
    <x v="4"/>
    <s v="Lotus"/>
    <n v="6017103"/>
    <s v="Lil Uzi Vert"/>
    <n v="11821805"/>
    <s v="melodic rap"/>
    <d v="2020-03-13T00:00:00"/>
    <n v="58"/>
    <x v="0"/>
    <n v="0.80200000000000005"/>
    <n v="0.748"/>
    <n v="0.20699999999999999"/>
    <n v="0.24"/>
    <n v="0.16500000000000001"/>
    <n v="0.51600000000000001"/>
    <n v="-5.7080000000000002"/>
    <n v="193861"/>
    <n v="2020"/>
    <x v="1"/>
  </r>
  <r>
    <n v="1415"/>
    <n v="135"/>
    <n v="1"/>
    <d v="2020-02-14T00:00:00"/>
    <x v="2"/>
    <s v="E.T.A."/>
    <n v="6008945"/>
    <s v="Justin Bieber"/>
    <n v="48544923"/>
    <s v="canadian pop"/>
    <d v="2020-02-14T00:00:00"/>
    <n v="58"/>
    <x v="1"/>
    <n v="0.46500000000000002"/>
    <n v="0.49399999999999999"/>
    <n v="6.6000000000000003E-2"/>
    <n v="0.49"/>
    <n v="0.127"/>
    <n v="0.45700000000000002"/>
    <n v="-7.5949999999999998"/>
    <n v="176733"/>
    <n v="2020"/>
    <x v="1"/>
  </r>
  <r>
    <n v="1508"/>
    <n v="157"/>
    <n v="1"/>
    <d v="2020-01-17T00:00:00"/>
    <x v="1"/>
    <s v="Hands"/>
    <n v="5934464"/>
    <s v="Mac Miller"/>
    <n v="6189454"/>
    <s v="hip hop"/>
    <d v="2020-01-17T00:00:00"/>
    <n v="58"/>
    <x v="1"/>
    <n v="0.73899999999999999"/>
    <n v="0.627"/>
    <n v="0.17100000000000001"/>
    <n v="4.5900000000000003E-2"/>
    <n v="0.159"/>
    <n v="0.54200000000000004"/>
    <n v="-8.6080000000000005"/>
    <n v="199981"/>
    <n v="2020"/>
    <x v="1"/>
  </r>
  <r>
    <n v="1311"/>
    <n v="158"/>
    <n v="1"/>
    <d v="2020-03-13T00:00:00"/>
    <x v="4"/>
    <s v="Moon Relate"/>
    <n v="5324545"/>
    <s v="Lil Uzi Vert"/>
    <n v="11821805"/>
    <s v="melodic rap"/>
    <d v="2020-03-13T00:00:00"/>
    <n v="58"/>
    <x v="0"/>
    <n v="0.86699999999999999"/>
    <n v="0.76800000000000002"/>
    <n v="7.9100000000000004E-2"/>
    <n v="0.18"/>
    <n v="0.254"/>
    <n v="0.34"/>
    <n v="-3.73"/>
    <n v="181826"/>
    <n v="2020"/>
    <x v="1"/>
  </r>
  <r>
    <n v="1525"/>
    <n v="187"/>
    <n v="1"/>
    <d v="2020-01-10T00:00:00"/>
    <x v="4"/>
    <s v="Diamonds (with Normani)"/>
    <n v="4981484"/>
    <s v="Megan Thee Stallion"/>
    <n v="4794212"/>
    <s v="houston rap"/>
    <d v="2020-01-10T00:00:00"/>
    <n v="58"/>
    <x v="0"/>
    <n v="0.78500000000000003"/>
    <n v="0.753"/>
    <n v="8.7300000000000003E-2"/>
    <n v="0.188"/>
    <n v="0.26500000000000001"/>
    <n v="0.48799999999999999"/>
    <n v="-3.8410000000000002"/>
    <n v="199301"/>
    <n v="2020"/>
    <x v="1"/>
  </r>
  <r>
    <n v="1319"/>
    <n v="184"/>
    <n v="1"/>
    <d v="2020-03-13T00:00:00"/>
    <x v="4"/>
    <s v="Got The Guap (feat. Young Thug)"/>
    <n v="4946997"/>
    <s v="Lil Uzi Vert"/>
    <n v="11821805"/>
    <s v="melodic rap"/>
    <d v="2020-03-13T00:00:00"/>
    <n v="58"/>
    <x v="1"/>
    <n v="0.83699999999999997"/>
    <n v="0.60099999999999998"/>
    <n v="0.19800000000000001"/>
    <n v="0.21"/>
    <n v="9.2799999999999994E-2"/>
    <n v="0.749"/>
    <n v="-5.6280000000000001"/>
    <n v="176756"/>
    <n v="2020"/>
    <x v="1"/>
  </r>
  <r>
    <n v="1221"/>
    <n v="151"/>
    <n v="1"/>
    <d v="2020-04-24T00:00:00"/>
    <x v="1"/>
    <s v="Houdini (feat. Swarmz &amp; Tion Wayne)"/>
    <n v="4914429"/>
    <s v="KSI"/>
    <n v="2010879"/>
    <s v="uk hip hop"/>
    <d v="2020-04-24T00:00:00"/>
    <n v="58"/>
    <x v="1"/>
    <n v="0.57199999999999995"/>
    <n v="0.51900000000000002"/>
    <n v="0.24299999999999999"/>
    <n v="4.15E-4"/>
    <n v="0.129"/>
    <n v="0.70399999999999996"/>
    <n v="-8.0540000000000003"/>
    <n v="169355"/>
    <n v="2020"/>
    <x v="1"/>
  </r>
  <r>
    <n v="1187"/>
    <n v="69"/>
    <n v="2"/>
    <d v="2020-05-01T00:00:00"/>
    <x v="1"/>
    <s v="Nicht verdient"/>
    <n v="4912914"/>
    <s v="Capital Bra, Loredana"/>
    <n v="4093115"/>
    <s v="german hip hop"/>
    <d v="2020-04-29T00:00:00"/>
    <n v="58"/>
    <x v="0"/>
    <n v="0.71899999999999997"/>
    <n v="0.65"/>
    <n v="0.23200000000000001"/>
    <n v="0.38100000000000001"/>
    <n v="0.16700000000000001"/>
    <n v="0.48799999999999999"/>
    <n v="-7.274"/>
    <n v="176953"/>
    <n v="2020"/>
    <x v="1"/>
  </r>
  <r>
    <n v="1328"/>
    <n v="120"/>
    <n v="5"/>
    <d v="2020-01-31T00:00:00"/>
    <x v="2"/>
    <s v="Liberdade Provisória - Ao Vivo"/>
    <n v="4730891"/>
    <s v="Henrique &amp; Juliano"/>
    <n v="13312073"/>
    <s v="sertanejo pop"/>
    <d v="2020-01-31T00:00:00"/>
    <n v="58"/>
    <x v="0"/>
    <n v="0.66800000000000004"/>
    <n v="0.68400000000000005"/>
    <n v="5.2699999999999997E-2"/>
    <n v="0.627"/>
    <n v="0.92300000000000004"/>
    <n v="0.7"/>
    <n v="-5.9370000000000003"/>
    <n v="187986"/>
    <n v="2020"/>
    <x v="1"/>
  </r>
  <r>
    <n v="973"/>
    <n v="180"/>
    <n v="1"/>
    <d v="2020-08-07T00:00:00"/>
    <x v="4"/>
    <s v="PUNANI"/>
    <n v="4625985"/>
    <s v="6ix9ine"/>
    <n v="6514102"/>
    <s v="emo rap"/>
    <d v="2020-08-02T00:00:00"/>
    <n v="58"/>
    <x v="1"/>
    <n v="0.84099999999999997"/>
    <n v="0.54100000000000004"/>
    <n v="0.22900000000000001"/>
    <n v="1.8599999999999998E-2"/>
    <n v="0.123"/>
    <n v="0.42"/>
    <n v="-7.1210000000000004"/>
    <n v="115255"/>
    <n v="2020"/>
    <x v="1"/>
  </r>
  <r>
    <n v="201"/>
    <n v="66"/>
    <n v="1"/>
    <d v="2021-07-16T00:00:00"/>
    <x v="3"/>
    <s v="Tell The Vision (feat. Kanye West &amp; Pusha T)"/>
    <n v="8859168"/>
    <s v="Pop Smoke"/>
    <n v="6837946"/>
    <s v="brooklyn drill"/>
    <d v="2021-07-31T00:00:00"/>
    <n v="57"/>
    <x v="0"/>
    <n v="0.66200000000000003"/>
    <n v="0.68600000000000005"/>
    <n v="0.33200000000000002"/>
    <n v="0.251"/>
    <n v="0.34899999999999998"/>
    <n v="0.67800000000000005"/>
    <n v="-8.3019999999999996"/>
    <n v="215000"/>
    <n v="2021"/>
    <x v="1"/>
  </r>
  <r>
    <n v="1334"/>
    <n v="93"/>
    <n v="1"/>
    <d v="2020-03-06T00:00:00"/>
    <x v="4"/>
    <s v="Chrome Heart Tags"/>
    <n v="8219307"/>
    <s v="Lil Uzi Vert"/>
    <n v="11821805"/>
    <s v="melodic rap"/>
    <d v="2020-03-06T00:00:00"/>
    <n v="57"/>
    <x v="0"/>
    <n v="0.70199999999999996"/>
    <n v="0.76800000000000002"/>
    <n v="6.6900000000000001E-2"/>
    <n v="0.54100000000000004"/>
    <n v="0.105"/>
    <n v="0.57399999999999995"/>
    <n v="-4.0549999999999997"/>
    <n v="212821"/>
    <n v="2020"/>
    <x v="1"/>
  </r>
  <r>
    <n v="1500"/>
    <n v="100"/>
    <n v="1"/>
    <d v="2020-01-17T00:00:00"/>
    <x v="1"/>
    <s v="Alfred - Interlude"/>
    <n v="8030151"/>
    <s v="Eminem"/>
    <n v="46814751"/>
    <s v="detroit hip hop"/>
    <d v="2020-01-17T00:00:00"/>
    <n v="57"/>
    <x v="1"/>
    <n v="0.42899999999999999"/>
    <n v="0.23100000000000001"/>
    <n v="0.40200000000000002"/>
    <n v="0.878"/>
    <n v="0.27900000000000003"/>
    <n v="0.91400000000000003"/>
    <n v="-20.43"/>
    <n v="30133"/>
    <n v="2020"/>
    <x v="1"/>
  </r>
  <r>
    <n v="1335"/>
    <n v="102"/>
    <n v="1"/>
    <d v="2020-03-06T00:00:00"/>
    <x v="4"/>
    <s v="Bust Me"/>
    <n v="7828045"/>
    <s v="Lil Uzi Vert"/>
    <n v="11821805"/>
    <s v="melodic rap"/>
    <d v="2020-03-06T00:00:00"/>
    <n v="57"/>
    <x v="0"/>
    <n v="0.73399999999999999"/>
    <n v="0.70299999999999996"/>
    <n v="0.35499999999999998"/>
    <n v="0.23699999999999999"/>
    <n v="0.41299999999999998"/>
    <n v="0.60799999999999998"/>
    <n v="-6.2560000000000002"/>
    <n v="194452"/>
    <n v="2020"/>
    <x v="1"/>
  </r>
  <r>
    <n v="1337"/>
    <n v="122"/>
    <n v="1"/>
    <d v="2020-03-06T00:00:00"/>
    <x v="4"/>
    <s v="Secure The Bag"/>
    <n v="7053947"/>
    <s v="Lil Uzi Vert"/>
    <n v="11821805"/>
    <s v="melodic rap"/>
    <d v="2020-03-06T00:00:00"/>
    <n v="57"/>
    <x v="0"/>
    <n v="0.80300000000000005"/>
    <n v="0.71899999999999997"/>
    <n v="0.39200000000000002"/>
    <n v="0.34399999999999997"/>
    <n v="0.42499999999999999"/>
    <n v="0.54900000000000004"/>
    <n v="-4.4850000000000003"/>
    <n v="238425"/>
    <n v="2020"/>
    <x v="1"/>
  </r>
  <r>
    <n v="1206"/>
    <n v="89"/>
    <n v="1"/>
    <d v="2020-05-01T00:00:00"/>
    <x v="1"/>
    <s v="Losses"/>
    <n v="6894756"/>
    <s v="Drake"/>
    <n v="56327031"/>
    <s v="canadian hip hop"/>
    <d v="2020-05-01T00:00:00"/>
    <n v="57"/>
    <x v="1"/>
    <n v="0.55100000000000005"/>
    <n v="0.56999999999999995"/>
    <n v="0.35099999999999998"/>
    <n v="0.28000000000000003"/>
    <n v="0.42399999999999999"/>
    <n v="0.505"/>
    <n v="-7.3849999999999998"/>
    <n v="271184"/>
    <n v="2020"/>
    <x v="1"/>
  </r>
  <r>
    <n v="710"/>
    <n v="152"/>
    <n v="1"/>
    <d v="2020-12-11T00:00:00"/>
    <x v="1"/>
    <s v="Damaged"/>
    <n v="6763705"/>
    <s v="Kid Cudi"/>
    <n v="5002317"/>
    <s v="hip hop"/>
    <d v="2020-12-11T00:00:00"/>
    <n v="57"/>
    <x v="1"/>
    <n v="0.625"/>
    <n v="0.58099999999999996"/>
    <n v="3.1600000000000003E-2"/>
    <n v="0.55300000000000005"/>
    <n v="0.254"/>
    <n v="0.26700000000000002"/>
    <n v="-7.1"/>
    <n v="150853"/>
    <n v="2020"/>
    <x v="1"/>
  </r>
  <r>
    <n v="1414"/>
    <n v="122"/>
    <n v="1"/>
    <d v="2020-02-14T00:00:00"/>
    <x v="3"/>
    <s v="Mios mit Bars"/>
    <n v="6341141"/>
    <s v="Luciano"/>
    <n v="942380"/>
    <s v="german drill"/>
    <d v="2020-02-13T00:00:00"/>
    <n v="57"/>
    <x v="1"/>
    <n v="0.67700000000000005"/>
    <n v="0.63300000000000001"/>
    <n v="4.6699999999999998E-2"/>
    <n v="0.111"/>
    <n v="0.217"/>
    <n v="0.40400000000000003"/>
    <n v="-7.3529999999999998"/>
    <n v="232147"/>
    <n v="2020"/>
    <x v="1"/>
  </r>
  <r>
    <n v="857"/>
    <n v="138"/>
    <n v="1"/>
    <d v="2020-10-02T00:00:00"/>
    <x v="1"/>
    <s v="Snitches &amp; Rats (feat. Young Nudy)"/>
    <n v="5846760"/>
    <s v="21 Savage, Metro Boomin"/>
    <n v="9949044"/>
    <s v="atl hip hop"/>
    <d v="2020-10-02T00:00:00"/>
    <n v="57"/>
    <x v="0"/>
    <n v="0.82099999999999995"/>
    <n v="0.67100000000000004"/>
    <n v="0.18"/>
    <n v="8.43E-3"/>
    <n v="9.7199999999999995E-2"/>
    <n v="0.49399999999999999"/>
    <n v="-5.8929999999999998"/>
    <n v="187773"/>
    <n v="2020"/>
    <x v="1"/>
  </r>
  <r>
    <n v="1087"/>
    <n v="104"/>
    <n v="1"/>
    <d v="2020-06-19T00:00:00"/>
    <x v="1"/>
    <s v="Ich weiß nicht mal wie sie heißt"/>
    <n v="5827600"/>
    <s v="Capital Bra, Bozza"/>
    <n v="4093115"/>
    <s v="german hip hop"/>
    <d v="2020-06-18T00:00:00"/>
    <n v="57"/>
    <x v="0"/>
    <n v="0.498"/>
    <n v="0.83599999999999997"/>
    <n v="0.184"/>
    <n v="0.52500000000000002"/>
    <n v="9.9400000000000002E-2"/>
    <n v="0.60899999999999999"/>
    <n v="-3.9049999999999998"/>
    <n v="168750"/>
    <n v="2020"/>
    <x v="1"/>
  </r>
  <r>
    <n v="1391"/>
    <n v="154"/>
    <n v="4"/>
    <d v="2020-02-21T00:00:00"/>
    <x v="3"/>
    <s v="Tudo Ok"/>
    <n v="5510844"/>
    <s v="Thiaguinho MT, Mila, JS o Mão de Ouro"/>
    <n v="28017"/>
    <s v="brega funk"/>
    <d v="2019-11-15T00:00:00"/>
    <n v="57"/>
    <x v="0"/>
    <n v="0.81399999999999995"/>
    <n v="0.755"/>
    <n v="9.4200000000000006E-2"/>
    <n v="0.23899999999999999"/>
    <n v="0.30599999999999999"/>
    <n v="0.96299999999999997"/>
    <n v="-6.1639999999999997"/>
    <n v="178500"/>
    <n v="2019"/>
    <x v="1"/>
  </r>
  <r>
    <n v="1419"/>
    <n v="160"/>
    <n v="1"/>
    <d v="2020-02-14T00:00:00"/>
    <x v="4"/>
    <s v="Might Not Give Up (feat. Young Thug)"/>
    <n v="5503902"/>
    <s v="A Boogie Wit da Hoodie"/>
    <n v="5865895"/>
    <s v="melodic rap"/>
    <d v="2020-02-14T00:00:00"/>
    <n v="57"/>
    <x v="1"/>
    <n v="0.68700000000000006"/>
    <n v="0.59199999999999997"/>
    <n v="0.224"/>
    <n v="0.20300000000000001"/>
    <n v="0.27900000000000003"/>
    <n v="0.246"/>
    <n v="-6.3780000000000001"/>
    <n v="225266"/>
    <n v="2020"/>
    <x v="1"/>
  </r>
  <r>
    <n v="1309"/>
    <n v="153"/>
    <n v="1"/>
    <d v="2020-03-13T00:00:00"/>
    <x v="4"/>
    <s v="Wassup (feat. Future)"/>
    <n v="5415044"/>
    <s v="Lil Uzi Vert"/>
    <n v="11821805"/>
    <s v="melodic rap"/>
    <d v="2020-03-13T00:00:00"/>
    <n v="57"/>
    <x v="1"/>
    <n v="0.76200000000000001"/>
    <n v="0.622"/>
    <n v="0.223"/>
    <n v="0.35199999999999998"/>
    <n v="0.14499999999999999"/>
    <n v="0.626"/>
    <n v="-6.2930000000000001"/>
    <n v="193314"/>
    <n v="2020"/>
    <x v="1"/>
  </r>
  <r>
    <n v="1479"/>
    <n v="164"/>
    <n v="1"/>
    <d v="2020-01-24T00:00:00"/>
    <x v="1"/>
    <s v="Zu Ende"/>
    <n v="5297101"/>
    <s v="Samra, ELIF"/>
    <n v="1045091"/>
    <s v="german hip hop"/>
    <d v="2020-01-23T00:00:00"/>
    <n v="57"/>
    <x v="0"/>
    <n v="0.70699999999999996"/>
    <n v="0.747"/>
    <n v="0.27900000000000003"/>
    <n v="0.307"/>
    <n v="0.183"/>
    <n v="0.49099999999999999"/>
    <n v="-5.2119999999999997"/>
    <n v="197861"/>
    <n v="2020"/>
    <x v="1"/>
  </r>
  <r>
    <n v="1243"/>
    <n v="128"/>
    <n v="1"/>
    <d v="2020-04-10T00:00:00"/>
    <x v="1"/>
    <s v="BaeBae"/>
    <n v="5290730"/>
    <s v="Samra"/>
    <n v="1045091"/>
    <s v="german hip hop"/>
    <d v="2020-04-09T00:00:00"/>
    <n v="57"/>
    <x v="0"/>
    <n v="0.628"/>
    <n v="0.71199999999999997"/>
    <n v="0.156"/>
    <n v="0.28199999999999997"/>
    <n v="0.156"/>
    <n v="0.45"/>
    <n v="-4.8639999999999999"/>
    <n v="167827"/>
    <n v="2020"/>
    <x v="1"/>
  </r>
  <r>
    <n v="1482"/>
    <n v="187"/>
    <n v="1"/>
    <d v="2020-01-24T00:00:00"/>
    <x v="3"/>
    <s v="Bi Sonraki Hayatımda Gel"/>
    <n v="5037967"/>
    <s v="Murda, Ezhel"/>
    <n v="862965"/>
    <s v="basshall"/>
    <d v="2020-08-28T00:00:00"/>
    <n v="57"/>
    <x v="1"/>
    <n v="0.93300000000000005"/>
    <n v="0.44800000000000001"/>
    <n v="0.13600000000000001"/>
    <n v="2.53E-2"/>
    <n v="0.104"/>
    <n v="0.73699999999999999"/>
    <n v="-4.4909999999999997"/>
    <n v="167350"/>
    <n v="2020"/>
    <x v="1"/>
  </r>
  <r>
    <n v="864"/>
    <n v="197"/>
    <n v="1"/>
    <d v="2020-10-02T00:00:00"/>
    <x v="1"/>
    <s v="Steppin On Niggas"/>
    <n v="4853661"/>
    <s v="21 Savage, Metro Boomin"/>
    <n v="9949044"/>
    <s v="atl hip hop"/>
    <d v="2020-10-02T00:00:00"/>
    <n v="57"/>
    <x v="0"/>
    <n v="0.84899999999999998"/>
    <n v="0.63500000000000001"/>
    <n v="0.254"/>
    <n v="6.0800000000000003E-4"/>
    <n v="6.2E-2"/>
    <n v="0.79800000000000004"/>
    <n v="-4.0679999999999996"/>
    <n v="140833"/>
    <n v="2020"/>
    <x v="1"/>
  </r>
  <r>
    <n v="1321"/>
    <n v="188"/>
    <n v="1"/>
    <d v="2020-03-13T00:00:00"/>
    <x v="4"/>
    <s v="I Can Show You"/>
    <n v="4831405"/>
    <s v="Lil Uzi Vert"/>
    <n v="11821805"/>
    <s v="melodic rap"/>
    <d v="2020-03-13T00:00:00"/>
    <n v="57"/>
    <x v="0"/>
    <n v="0.81699999999999995"/>
    <n v="0.65600000000000003"/>
    <n v="0.27700000000000002"/>
    <n v="5.0999999999999997E-2"/>
    <n v="0.115"/>
    <n v="0.314"/>
    <n v="-7.0860000000000003"/>
    <n v="120076"/>
    <n v="2020"/>
    <x v="1"/>
  </r>
  <r>
    <n v="1237"/>
    <n v="180"/>
    <n v="1"/>
    <d v="2020-04-17T00:00:00"/>
    <x v="1"/>
    <s v="BLAME IT ON BABY"/>
    <n v="4616034"/>
    <s v="DaBaby"/>
    <n v="7601122"/>
    <s v="north carolina hip hop"/>
    <d v="2020-04-17T00:00:00"/>
    <n v="57"/>
    <x v="0"/>
    <n v="0.875"/>
    <n v="0.68700000000000006"/>
    <n v="0.38700000000000001"/>
    <n v="0.23599999999999999"/>
    <n v="0.14099999999999999"/>
    <n v="0.86399999999999999"/>
    <n v="-5.734"/>
    <n v="125907"/>
    <n v="2020"/>
    <x v="1"/>
  </r>
  <r>
    <n v="624"/>
    <n v="7"/>
    <n v="7"/>
    <d v="2020-12-18T00:00:00"/>
    <x v="3"/>
    <s v="Jingle Bell Rock"/>
    <n v="16527404"/>
    <s v="Bobby Helms"/>
    <n v="20637"/>
    <m/>
    <d v="1957-12-02T00:00:00"/>
    <n v="56"/>
    <x v="1"/>
    <n v="0.754"/>
    <n v="0.42399999999999999"/>
    <n v="3.6299999999999999E-2"/>
    <n v="0.64300000000000002"/>
    <n v="6.5199999999999994E-2"/>
    <n v="0.80600000000000005"/>
    <n v="-8.4629999999999992"/>
    <n v="130973"/>
    <n v="1957"/>
    <x v="1"/>
  </r>
  <r>
    <n v="1512"/>
    <n v="90"/>
    <n v="1"/>
    <d v="2020-01-10T00:00:00"/>
    <x v="2"/>
    <s v="Dance Again"/>
    <n v="7394604"/>
    <s v="Selena Gomez"/>
    <n v="28931149"/>
    <s v="dance pop"/>
    <d v="2020-01-10T00:00:00"/>
    <n v="56"/>
    <x v="1"/>
    <n v="0.78400000000000003"/>
    <n v="0.55200000000000005"/>
    <n v="8.7099999999999997E-2"/>
    <n v="4.4699999999999997E-2"/>
    <n v="0.192"/>
    <n v="0.46500000000000002"/>
    <n v="-7.2610000000000001"/>
    <n v="170498"/>
    <n v="2020"/>
    <x v="1"/>
  </r>
  <r>
    <n v="202"/>
    <n v="87"/>
    <n v="1"/>
    <d v="2021-07-16T00:00:00"/>
    <x v="3"/>
    <s v="Woo Baby (feat. Chris Brown)"/>
    <n v="7371935"/>
    <s v="Pop Smoke"/>
    <n v="6837946"/>
    <s v="brooklyn drill"/>
    <d v="2021-07-31T00:00:00"/>
    <n v="56"/>
    <x v="0"/>
    <n v="0.56299999999999994"/>
    <n v="0.67200000000000004"/>
    <n v="7.6499999999999999E-2"/>
    <n v="0.35899999999999999"/>
    <n v="9.7199999999999995E-2"/>
    <n v="0.28399999999999997"/>
    <n v="-7.226"/>
    <n v="156000"/>
    <n v="2021"/>
    <x v="1"/>
  </r>
  <r>
    <n v="1267"/>
    <n v="122"/>
    <n v="1"/>
    <d v="2020-03-27T00:00:00"/>
    <x v="1"/>
    <s v="Auto Blu"/>
    <n v="5995116"/>
    <s v="Shiva, Eiffel 65"/>
    <n v="561372"/>
    <s v="italian hip hop"/>
    <d v="2020-03-26T00:00:00"/>
    <n v="56"/>
    <x v="0"/>
    <n v="0.82"/>
    <n v="0.78300000000000003"/>
    <n v="6.2100000000000002E-2"/>
    <n v="1.5800000000000002E-2"/>
    <n v="9.3799999999999994E-2"/>
    <n v="0.65300000000000002"/>
    <n v="-6.1459999999999999"/>
    <n v="166087"/>
    <n v="2020"/>
    <x v="1"/>
  </r>
  <r>
    <n v="742"/>
    <n v="171"/>
    <n v="1"/>
    <d v="2020-11-27T00:00:00"/>
    <x v="3"/>
    <s v="CANTARES DE NAVIDAD"/>
    <n v="5842320"/>
    <s v="Trio Vegabajeño"/>
    <n v="36177712"/>
    <s v="latin"/>
    <d v="2020-11-27T00:00:00"/>
    <n v="56"/>
    <x v="1"/>
    <n v="0.76400000000000001"/>
    <n v="0.52300000000000002"/>
    <n v="4.0599999999999997E-2"/>
    <n v="0.77700000000000002"/>
    <n v="0.35199999999999998"/>
    <n v="0.96199999999999997"/>
    <n v="-7.3710000000000004"/>
    <n v="199720"/>
    <n v="2020"/>
    <x v="1"/>
  </r>
  <r>
    <n v="770"/>
    <n v="153"/>
    <n v="1"/>
    <d v="2020-11-13T00:00:00"/>
    <x v="1"/>
    <s v="Stripes Like Burberry"/>
    <n v="5445204"/>
    <s v="Future, Lil Uzi Vert"/>
    <n v="10491105"/>
    <s v="atl hip hop"/>
    <d v="2020-11-13T00:00:00"/>
    <n v="56"/>
    <x v="1"/>
    <n v="0.75800000000000001"/>
    <n v="0.57399999999999995"/>
    <n v="0.217"/>
    <n v="0.216"/>
    <n v="0.14399999999999999"/>
    <n v="0.70599999999999996"/>
    <n v="-7.8330000000000002"/>
    <n v="274313"/>
    <n v="2020"/>
    <x v="1"/>
  </r>
  <r>
    <n v="937"/>
    <n v="145"/>
    <n v="1"/>
    <d v="2020-08-21T00:00:00"/>
    <x v="1"/>
    <s v="Frühstück in Paris"/>
    <n v="5440253"/>
    <s v="Capital Bra, Cro"/>
    <n v="4093115"/>
    <s v="german hip hop"/>
    <d v="2020-09-17T00:00:00"/>
    <n v="56"/>
    <x v="0"/>
    <n v="0.74399999999999999"/>
    <n v="0.64400000000000002"/>
    <n v="6.4100000000000004E-2"/>
    <n v="0.22900000000000001"/>
    <n v="0.20399999999999999"/>
    <n v="0.57699999999999996"/>
    <n v="-5.5620000000000003"/>
    <n v="151360"/>
    <n v="2020"/>
    <x v="1"/>
  </r>
  <r>
    <n v="1547"/>
    <n v="143"/>
    <n v="1"/>
    <d v="2019-12-27T00:00:00"/>
    <x v="4"/>
    <s v="JACKBOYS"/>
    <n v="5363493"/>
    <s v="JACKBOYS"/>
    <n v="437907"/>
    <s v="rap"/>
    <d v="2019-12-27T00:00:00"/>
    <n v="56"/>
    <x v="1"/>
    <n v="0.41299999999999998"/>
    <n v="0.13"/>
    <n v="3.3599999999999998E-2"/>
    <n v="0.9"/>
    <n v="0.111"/>
    <n v="6.7599999999999993E-2"/>
    <n v="-25.166"/>
    <n v="46837"/>
    <n v="2019"/>
    <x v="1"/>
  </r>
  <r>
    <n v="1423"/>
    <n v="175"/>
    <n v="1"/>
    <d v="2020-02-14T00:00:00"/>
    <x v="3"/>
    <s v="One More Year"/>
    <n v="5279739"/>
    <s v="Tame Impala"/>
    <n v="5064200"/>
    <s v="australian psych"/>
    <d v="2020-02-14T00:00:00"/>
    <n v="56"/>
    <x v="0"/>
    <n v="0.60199999999999998"/>
    <n v="0.88"/>
    <n v="3.5400000000000001E-2"/>
    <n v="5.7000000000000002E-2"/>
    <n v="0.28399999999999997"/>
    <n v="0.49299999999999999"/>
    <n v="-5.4139999999999997"/>
    <n v="324013"/>
    <n v="2020"/>
    <x v="1"/>
  </r>
  <r>
    <n v="1462"/>
    <n v="183"/>
    <n v="1"/>
    <d v="2020-01-31T00:00:00"/>
    <x v="1"/>
    <s v="Wake Up Call (feat. Trippie Redd)"/>
    <n v="5029979"/>
    <s v="KSI"/>
    <n v="2010879"/>
    <s v="uk hip hop"/>
    <d v="2020-01-27T00:00:00"/>
    <n v="56"/>
    <x v="0"/>
    <n v="0.64200000000000002"/>
    <n v="0.66900000000000004"/>
    <n v="4.8599999999999997E-2"/>
    <n v="0.318"/>
    <n v="0.11899999999999999"/>
    <n v="0.22700000000000001"/>
    <n v="-5.774"/>
    <n v="175067"/>
    <n v="2020"/>
    <x v="1"/>
  </r>
  <r>
    <n v="1451"/>
    <n v="192"/>
    <n v="1"/>
    <d v="2020-02-07T00:00:00"/>
    <x v="1"/>
    <s v="Weiss"/>
    <n v="4872077"/>
    <s v="Samra"/>
    <n v="1045091"/>
    <s v="german hip hop"/>
    <d v="2020-02-07T00:00:00"/>
    <n v="56"/>
    <x v="1"/>
    <n v="0.6"/>
    <n v="0.52500000000000002"/>
    <n v="0.42299999999999999"/>
    <n v="0.39300000000000002"/>
    <n v="0.111"/>
    <n v="0.436"/>
    <n v="-6.585"/>
    <n v="162702"/>
    <n v="2020"/>
    <x v="1"/>
  </r>
  <r>
    <n v="1232"/>
    <n v="156"/>
    <n v="1"/>
    <d v="2020-04-17T00:00:00"/>
    <x v="1"/>
    <s v="LIGHTSKIN SH*T (feat. Future &amp; jetsonmade)"/>
    <n v="4861875"/>
    <s v="DaBaby"/>
    <n v="7601122"/>
    <s v="north carolina hip hop"/>
    <d v="2020-04-17T00:00:00"/>
    <n v="56"/>
    <x v="1"/>
    <n v="0.93200000000000005"/>
    <n v="0.57799999999999996"/>
    <n v="0.36599999999999999"/>
    <n v="0.115"/>
    <n v="0.115"/>
    <n v="0.623"/>
    <n v="-4.4779999999999998"/>
    <n v="111173"/>
    <n v="2020"/>
    <x v="1"/>
  </r>
  <r>
    <n v="1222"/>
    <n v="166"/>
    <n v="1"/>
    <d v="2020-04-24T00:00:00"/>
    <x v="4"/>
    <s v="Sasuke"/>
    <n v="4701551"/>
    <s v="Lil Uzi Vert"/>
    <n v="11821805"/>
    <s v="melodic rap"/>
    <d v="2020-04-24T00:00:00"/>
    <n v="56"/>
    <x v="1"/>
    <n v="0.85899999999999999"/>
    <n v="0.47699999999999998"/>
    <n v="0.42799999999999999"/>
    <n v="4.1399999999999996E-3"/>
    <n v="8.1900000000000001E-2"/>
    <n v="0.153"/>
    <n v="-6.1159999999999997"/>
    <n v="251336"/>
    <n v="2020"/>
    <x v="1"/>
  </r>
  <r>
    <n v="625"/>
    <n v="6"/>
    <n v="7"/>
    <d v="2020-12-18T00:00:00"/>
    <x v="3"/>
    <s v="It's Beginning to Look a Lot like Christmas"/>
    <n v="15424001"/>
    <s v="Michael Bublé"/>
    <n v="4702232"/>
    <s v="adult standards"/>
    <d v="2012-11-09T00:00:00"/>
    <n v="55"/>
    <x v="1"/>
    <n v="0.33900000000000002"/>
    <n v="0.214"/>
    <n v="3.7499999999999999E-2"/>
    <n v="0.90800000000000003"/>
    <n v="0.34100000000000003"/>
    <n v="0.36299999999999999"/>
    <n v="-11.714"/>
    <n v="206640"/>
    <n v="2012"/>
    <x v="1"/>
  </r>
  <r>
    <n v="626"/>
    <n v="8"/>
    <n v="7"/>
    <d v="2020-12-18T00:00:00"/>
    <x v="3"/>
    <s v="It's the Most Wonderful Time of the Year"/>
    <n v="14582001"/>
    <s v="Andy Williams"/>
    <n v="369548"/>
    <s v="adult standards"/>
    <d v="1963-11-24T00:00:00"/>
    <n v="55"/>
    <x v="1"/>
    <n v="0.24"/>
    <n v="0.59799999999999998"/>
    <n v="3.6900000000000002E-2"/>
    <n v="0.76600000000000001"/>
    <n v="0.11700000000000001"/>
    <n v="0.77600000000000002"/>
    <n v="-8.4350000000000005"/>
    <n v="151933"/>
    <n v="1963"/>
    <x v="1"/>
  </r>
  <r>
    <n v="1511"/>
    <n v="87"/>
    <n v="1"/>
    <d v="2020-01-10T00:00:00"/>
    <x v="2"/>
    <s v="Vulnerable"/>
    <n v="7531094"/>
    <s v="Selena Gomez"/>
    <n v="28931149"/>
    <s v="dance pop"/>
    <d v="2020-01-10T00:00:00"/>
    <n v="55"/>
    <x v="1"/>
    <n v="0.69499999999999995"/>
    <n v="0.57299999999999995"/>
    <n v="0.16700000000000001"/>
    <n v="0.13200000000000001"/>
    <n v="0.156"/>
    <n v="0.38"/>
    <n v="-8.8819999999999997"/>
    <n v="192172"/>
    <n v="2020"/>
    <x v="1"/>
  </r>
  <r>
    <n v="1513"/>
    <n v="107"/>
    <n v="1"/>
    <d v="2020-01-10T00:00:00"/>
    <x v="2"/>
    <s v="Ring"/>
    <n v="6693229"/>
    <s v="Selena Gomez"/>
    <n v="28931149"/>
    <s v="dance pop"/>
    <d v="2020-01-10T00:00:00"/>
    <n v="55"/>
    <x v="1"/>
    <n v="0.873"/>
    <n v="0.51"/>
    <n v="6.6100000000000006E-2"/>
    <n v="0.56499999999999995"/>
    <n v="7.3800000000000004E-2"/>
    <n v="0.871"/>
    <n v="-5.35"/>
    <n v="148776"/>
    <n v="2020"/>
    <x v="1"/>
  </r>
  <r>
    <n v="1514"/>
    <n v="111"/>
    <n v="1"/>
    <d v="2020-01-10T00:00:00"/>
    <x v="2"/>
    <s v="Crowded Room (feat. 6LACK)"/>
    <n v="6483001"/>
    <s v="Selena Gomez"/>
    <n v="28931149"/>
    <s v="dance pop"/>
    <d v="2020-01-10T00:00:00"/>
    <n v="55"/>
    <x v="1"/>
    <n v="0.72399999999999998"/>
    <n v="0.41499999999999998"/>
    <n v="5.1799999999999999E-2"/>
    <n v="0.76400000000000001"/>
    <n v="0.10299999999999999"/>
    <n v="0.32800000000000001"/>
    <n v="-8.4079999999999995"/>
    <n v="186459"/>
    <n v="2020"/>
    <x v="1"/>
  </r>
  <r>
    <n v="642"/>
    <n v="47"/>
    <n v="5"/>
    <d v="2020-12-18T00:00:00"/>
    <x v="3"/>
    <s v="Fairytale of New York (feat. Kirsty MacColl)"/>
    <n v="6404964"/>
    <s v="The Pogues"/>
    <n v="382997"/>
    <s v="celtic"/>
    <d v="1988-09-05T00:00:00"/>
    <n v="55"/>
    <x v="1"/>
    <n v="0.27100000000000002"/>
    <n v="0.55100000000000005"/>
    <n v="4.5699999999999998E-2"/>
    <n v="0.58199999999999996"/>
    <n v="0.25600000000000001"/>
    <n v="0.42799999999999999"/>
    <n v="-7.48"/>
    <n v="272467"/>
    <n v="1988"/>
    <x v="1"/>
  </r>
  <r>
    <n v="204"/>
    <n v="127"/>
    <n v="1"/>
    <d v="2021-07-16T00:00:00"/>
    <x v="3"/>
    <s v="More Time"/>
    <n v="6238351"/>
    <s v="Pop Smoke"/>
    <n v="6837946"/>
    <s v="brooklyn drill"/>
    <d v="2021-07-31T00:00:00"/>
    <n v="55"/>
    <x v="1"/>
    <n v="0.628"/>
    <n v="0.58099999999999996"/>
    <n v="0.188"/>
    <n v="0.46"/>
    <n v="0.152"/>
    <n v="0.25900000000000001"/>
    <n v="-8.3770000000000007"/>
    <n v="120828"/>
    <n v="2021"/>
    <x v="1"/>
  </r>
  <r>
    <n v="207"/>
    <n v="150"/>
    <n v="1"/>
    <d v="2021-07-16T00:00:00"/>
    <x v="3"/>
    <s v="Manslaughter (feat. Rick Ross &amp; The-Dream)"/>
    <n v="5822266"/>
    <s v="Pop Smoke"/>
    <n v="6837946"/>
    <s v="brooklyn drill"/>
    <d v="2021-07-31T00:00:00"/>
    <n v="55"/>
    <x v="1"/>
    <n v="0.441"/>
    <n v="0.623"/>
    <n v="4.1399999999999999E-2"/>
    <n v="0.13500000000000001"/>
    <n v="0.14000000000000001"/>
    <n v="0.28499999999999998"/>
    <n v="-7.3310000000000004"/>
    <n v="249231"/>
    <n v="2021"/>
    <x v="1"/>
  </r>
  <r>
    <n v="1362"/>
    <n v="151"/>
    <n v="1"/>
    <d v="2020-02-28T00:00:00"/>
    <x v="1"/>
    <s v="Matrix"/>
    <n v="5724739"/>
    <s v="Apache 207"/>
    <n v="1674348"/>
    <s v="german hip hop"/>
    <d v="2020-02-24T00:00:00"/>
    <n v="55"/>
    <x v="1"/>
    <n v="0.78900000000000003"/>
    <n v="0.50900000000000001"/>
    <n v="0.29099999999999998"/>
    <n v="0.76800000000000002"/>
    <n v="0.27200000000000002"/>
    <n v="0.41799999999999998"/>
    <n v="-8.766"/>
    <n v="183793"/>
    <n v="2020"/>
    <x v="1"/>
  </r>
  <r>
    <n v="752"/>
    <n v="174"/>
    <n v="1"/>
    <d v="2020-11-20T00:00:00"/>
    <x v="1"/>
    <s v="Abracadabra (feat. Future)"/>
    <n v="5263469"/>
    <s v="Sfera Ebbasta"/>
    <n v="4430628"/>
    <s v="italian hip hop"/>
    <d v="2020-12-18T00:00:00"/>
    <n v="55"/>
    <x v="0"/>
    <n v="0.84599999999999997"/>
    <n v="0.68100000000000005"/>
    <n v="0.17399999999999999"/>
    <n v="4.6100000000000002E-2"/>
    <n v="0.112"/>
    <n v="0.80900000000000005"/>
    <n v="-7.0910000000000002"/>
    <n v="192965"/>
    <n v="2020"/>
    <x v="1"/>
  </r>
  <r>
    <n v="1116"/>
    <n v="139"/>
    <n v="1"/>
    <d v="2020-06-05T00:00:00"/>
    <x v="3"/>
    <s v="VALLA NEIN (feat. Luciano)"/>
    <n v="5029858"/>
    <s v="KC Rebell, Summer Cem"/>
    <n v="1101597"/>
    <s v="german drill"/>
    <d v="2020-06-05T00:00:00"/>
    <n v="55"/>
    <x v="0"/>
    <n v="0.76100000000000001"/>
    <n v="0.65700000000000003"/>
    <n v="0.13800000000000001"/>
    <n v="0.114"/>
    <n v="0.35599999999999998"/>
    <n v="0.58899999999999997"/>
    <n v="-7.2460000000000004"/>
    <n v="182040"/>
    <n v="2020"/>
    <x v="1"/>
  </r>
  <r>
    <n v="952"/>
    <n v="59"/>
    <n v="6"/>
    <d v="2020-07-17T00:00:00"/>
    <x v="4"/>
    <s v="Rags2Riches (feat. ATR Son Son)"/>
    <n v="4737306"/>
    <s v="Rod Wave"/>
    <n v="2203386"/>
    <s v="florida rap"/>
    <d v="2020-04-03T00:00:00"/>
    <n v="55"/>
    <x v="1"/>
    <n v="0.90400000000000003"/>
    <n v="0.26"/>
    <n v="0.10100000000000001"/>
    <n v="0.27700000000000002"/>
    <n v="0.121"/>
    <n v="0.23100000000000001"/>
    <n v="-17.57"/>
    <n v="167147"/>
    <n v="2020"/>
    <x v="1"/>
  </r>
  <r>
    <n v="629"/>
    <n v="11"/>
    <n v="6"/>
    <d v="2020-12-18T00:00:00"/>
    <x v="3"/>
    <s v="Let It Snow! Let It Snow! Let It Snow!"/>
    <n v="10884855"/>
    <s v="Dean Martin"/>
    <n v="1139096"/>
    <s v="adult standards"/>
    <d v="1959-01-01T00:00:00"/>
    <n v="54"/>
    <x v="1"/>
    <n v="0.45100000000000001"/>
    <n v="0.24"/>
    <n v="3.5099999999999999E-2"/>
    <n v="0.91200000000000003"/>
    <n v="0.17499999999999999"/>
    <n v="0.70099999999999996"/>
    <n v="-14.013999999999999"/>
    <n v="117147"/>
    <n v="1959"/>
    <x v="1"/>
  </r>
  <r>
    <n v="1114"/>
    <n v="86"/>
    <n v="1"/>
    <d v="2020-06-05T00:00:00"/>
    <x v="1"/>
    <s v="Boot"/>
    <n v="6375562"/>
    <s v="Apache 207"/>
    <n v="1674348"/>
    <s v="german hip hop"/>
    <d v="2020-07-31T00:00:00"/>
    <n v="54"/>
    <x v="1"/>
    <n v="0.53400000000000003"/>
    <n v="0.56499999999999995"/>
    <n v="0.307"/>
    <n v="6.2700000000000006E-2"/>
    <n v="0.112"/>
    <n v="0.52900000000000003"/>
    <n v="-7.5460000000000003"/>
    <n v="193360"/>
    <n v="2020"/>
    <x v="1"/>
  </r>
  <r>
    <n v="1515"/>
    <n v="119"/>
    <n v="1"/>
    <d v="2020-01-10T00:00:00"/>
    <x v="2"/>
    <s v="People You Know"/>
    <n v="6255954"/>
    <s v="Selena Gomez"/>
    <n v="28931149"/>
    <s v="dance pop"/>
    <d v="2020-01-10T00:00:00"/>
    <n v="54"/>
    <x v="1"/>
    <n v="0.69499999999999995"/>
    <n v="0.62"/>
    <n v="5.21E-2"/>
    <n v="8.8099999999999998E-2"/>
    <n v="0.111"/>
    <n v="0.62"/>
    <n v="-8.0820000000000007"/>
    <n v="194900"/>
    <n v="2020"/>
    <x v="1"/>
  </r>
  <r>
    <n v="205"/>
    <n v="129"/>
    <n v="1"/>
    <d v="2021-07-16T00:00:00"/>
    <x v="3"/>
    <s v="Coupe"/>
    <n v="6161664"/>
    <s v="Pop Smoke"/>
    <n v="6837946"/>
    <s v="brooklyn drill"/>
    <d v="2021-07-31T00:00:00"/>
    <n v="54"/>
    <x v="1"/>
    <n v="0.91200000000000003"/>
    <n v="0.58899999999999997"/>
    <n v="0.2"/>
    <n v="3.32E-2"/>
    <n v="7.9500000000000001E-2"/>
    <n v="0.48599999999999999"/>
    <n v="-7.476"/>
    <n v="123549"/>
    <n v="2021"/>
    <x v="1"/>
  </r>
  <r>
    <n v="712"/>
    <n v="183"/>
    <n v="1"/>
    <d v="2020-12-11T00:00:00"/>
    <x v="1"/>
    <s v="Beautiful Trip"/>
    <n v="6108393"/>
    <s v="Kid Cudi"/>
    <n v="5002317"/>
    <s v="hip hop"/>
    <d v="2020-12-11T00:00:00"/>
    <n v="54"/>
    <x v="1"/>
    <n v="0.33100000000000002"/>
    <n v="0.51300000000000001"/>
    <n v="0.63200000000000001"/>
    <n v="0.97199999999999998"/>
    <n v="0.88200000000000001"/>
    <n v="0.42"/>
    <n v="-15.391999999999999"/>
    <n v="37013"/>
    <n v="2020"/>
    <x v="1"/>
  </r>
  <r>
    <n v="1304"/>
    <n v="126"/>
    <n v="2"/>
    <d v="2020-03-06T00:00:00"/>
    <x v="1"/>
    <s v="Lettre à une femme"/>
    <n v="5895243"/>
    <s v="Ninho"/>
    <n v="4764552"/>
    <s v="french hip hop"/>
    <d v="2020-03-07T00:00:00"/>
    <n v="54"/>
    <x v="1"/>
    <n v="0.48699999999999999"/>
    <n v="0.39800000000000002"/>
    <n v="6.9699999999999998E-2"/>
    <n v="0.83499999999999996"/>
    <n v="0.12"/>
    <n v="0.90500000000000003"/>
    <n v="-9.9009999999999998"/>
    <n v="157766"/>
    <n v="2020"/>
    <x v="1"/>
  </r>
  <r>
    <n v="1268"/>
    <n v="132"/>
    <n v="1"/>
    <d v="2020-03-27T00:00:00"/>
    <x v="1"/>
    <s v="Du bist mein"/>
    <n v="5878493"/>
    <s v="Zuna, Loredana, SRNO"/>
    <n v="900975"/>
    <s v="albanian hip hop"/>
    <d v="2020-03-27T00:00:00"/>
    <n v="54"/>
    <x v="1"/>
    <n v="0.76100000000000001"/>
    <n v="0.55600000000000005"/>
    <n v="0.36399999999999999"/>
    <n v="0.13800000000000001"/>
    <n v="9.7600000000000006E-2"/>
    <n v="0.52100000000000002"/>
    <n v="-6.9429999999999996"/>
    <n v="160357"/>
    <n v="2020"/>
    <x v="1"/>
  </r>
  <r>
    <n v="1417"/>
    <n v="141"/>
    <n v="1"/>
    <d v="2020-02-14T00:00:00"/>
    <x v="2"/>
    <s v="Take It Out On Me"/>
    <n v="5858768"/>
    <s v="Justin Bieber"/>
    <n v="48544923"/>
    <s v="canadian pop"/>
    <d v="2020-02-14T00:00:00"/>
    <n v="54"/>
    <x v="1"/>
    <n v="0.77200000000000002"/>
    <n v="0.61599999999999999"/>
    <n v="0.10199999999999999"/>
    <n v="3.3700000000000002E-3"/>
    <n v="0.104"/>
    <n v="0.27900000000000003"/>
    <n v="-4.673"/>
    <n v="178013"/>
    <n v="2020"/>
    <x v="1"/>
  </r>
  <r>
    <n v="212"/>
    <n v="180"/>
    <n v="1"/>
    <d v="2021-07-16T00:00:00"/>
    <x v="3"/>
    <s v="Brush Em (feat. Rah Swish)"/>
    <n v="5335271"/>
    <s v="Pop Smoke"/>
    <n v="6837946"/>
    <s v="brooklyn drill"/>
    <d v="2021-07-31T00:00:00"/>
    <n v="54"/>
    <x v="0"/>
    <n v="0.65400000000000003"/>
    <n v="0.72399999999999998"/>
    <n v="0.35499999999999998"/>
    <n v="0.106"/>
    <n v="0.65500000000000003"/>
    <n v="0.71699999999999997"/>
    <n v="-6.59"/>
    <n v="150449"/>
    <n v="2021"/>
    <x v="1"/>
  </r>
  <r>
    <n v="844"/>
    <n v="46"/>
    <n v="2"/>
    <d v="2020-10-02T00:00:00"/>
    <x v="2"/>
    <s v="You Never Know"/>
    <n v="5304382"/>
    <s v="BLACKPINK"/>
    <n v="23848461"/>
    <s v="k-pop"/>
    <d v="2021-08-03T00:00:00"/>
    <n v="54"/>
    <x v="1"/>
    <n v="0.53500000000000003"/>
    <n v="0.434"/>
    <n v="5.0500000000000003E-2"/>
    <n v="0.40500000000000003"/>
    <n v="0.253"/>
    <n v="0.27100000000000002"/>
    <n v="-5.7679999999999998"/>
    <n v="229236"/>
    <n v="2021"/>
    <x v="1"/>
  </r>
  <r>
    <n v="1274"/>
    <n v="161"/>
    <n v="1"/>
    <d v="2020-03-27T00:00:00"/>
    <x v="4"/>
    <s v="Allein sein"/>
    <n v="5119993"/>
    <s v="Ufo361"/>
    <n v="1700759"/>
    <s v="german cloud rap"/>
    <d v="2020-03-27T00:00:00"/>
    <n v="54"/>
    <x v="1"/>
    <n v="0.77400000000000002"/>
    <n v="0.58799999999999997"/>
    <n v="0.22500000000000001"/>
    <n v="3.8600000000000002E-2"/>
    <n v="0.25800000000000001"/>
    <n v="0.39200000000000002"/>
    <n v="-8.5289999999999999"/>
    <n v="147353"/>
    <n v="2020"/>
    <x v="1"/>
  </r>
  <r>
    <n v="1428"/>
    <n v="193"/>
    <n v="1"/>
    <d v="2020-02-14T00:00:00"/>
    <x v="2"/>
    <s v="At Least For Now"/>
    <n v="5033764"/>
    <s v="Justin Bieber"/>
    <n v="48544923"/>
    <s v="canadian pop"/>
    <d v="2020-02-14T00:00:00"/>
    <n v="54"/>
    <x v="1"/>
    <n v="0.375"/>
    <n v="0.30399999999999999"/>
    <n v="3.2500000000000001E-2"/>
    <n v="0.68300000000000005"/>
    <n v="0.19600000000000001"/>
    <n v="0.29499999999999998"/>
    <n v="-9.8970000000000002"/>
    <n v="149653"/>
    <n v="2020"/>
    <x v="1"/>
  </r>
  <r>
    <n v="630"/>
    <n v="19"/>
    <n v="6"/>
    <d v="2020-12-18T00:00:00"/>
    <x v="3"/>
    <s v="Let It Snow! Let It Snow! Let It Snow! (with The B. Swanson Quartet)"/>
    <n v="10787165"/>
    <s v="Frank Sinatra"/>
    <n v="4953667"/>
    <s v="adult standards"/>
    <d v="1994-11-08T00:00:00"/>
    <n v="53"/>
    <x v="1"/>
    <n v="0.65200000000000002"/>
    <n v="0.25900000000000001"/>
    <n v="5.9499999999999997E-2"/>
    <n v="0.90300000000000002"/>
    <n v="0.36199999999999999"/>
    <n v="0.83599999999999997"/>
    <n v="-13.336"/>
    <n v="155453"/>
    <n v="1994"/>
    <x v="1"/>
  </r>
  <r>
    <n v="656"/>
    <n v="74"/>
    <n v="3"/>
    <d v="2020-12-18T00:00:00"/>
    <x v="3"/>
    <s v="Christmas Lights"/>
    <n v="10455065"/>
    <s v="Coldplay"/>
    <n v="31161671"/>
    <s v="permanent wave"/>
    <d v="2016-12-16T00:00:00"/>
    <n v="53"/>
    <x v="1"/>
    <n v="0.29499999999999998"/>
    <n v="0.496"/>
    <n v="3.27E-2"/>
    <n v="0.20699999999999999"/>
    <n v="0.85799999999999998"/>
    <n v="0.224"/>
    <n v="-9.4779999999999998"/>
    <n v="268521"/>
    <n v="2016"/>
    <x v="1"/>
  </r>
  <r>
    <n v="636"/>
    <n v="24"/>
    <n v="5"/>
    <d v="2020-12-18T00:00:00"/>
    <x v="0"/>
    <s v="Happy Xmas (War Is Over) - Remastered 2010"/>
    <n v="9509781"/>
    <s v="John Lennon, Yoko Ono"/>
    <n v="4313100"/>
    <s v="album rock"/>
    <d v="2010-10-05T00:00:00"/>
    <n v="53"/>
    <x v="0"/>
    <n v="0.32100000000000001"/>
    <n v="0.64"/>
    <n v="3.2399999999999998E-2"/>
    <n v="0.28000000000000003"/>
    <n v="0.71799999999999997"/>
    <n v="0.41399999999999998"/>
    <n v="-10.023"/>
    <n v="214333"/>
    <n v="2010"/>
    <x v="1"/>
  </r>
  <r>
    <n v="638"/>
    <n v="32"/>
    <n v="5"/>
    <d v="2020-12-18T00:00:00"/>
    <x v="3"/>
    <s v="The Christmas Song (Merry Christmas To You)"/>
    <n v="8478518"/>
    <s v="Nat King Cole"/>
    <n v="1634288"/>
    <s v="adult standards"/>
    <d v="1962-01-01T00:00:00"/>
    <n v="53"/>
    <x v="1"/>
    <n v="0.31900000000000001"/>
    <n v="0.21"/>
    <n v="3.4099999999999998E-2"/>
    <n v="0.92"/>
    <n v="0.13800000000000001"/>
    <n v="0.20899999999999999"/>
    <n v="-15.231"/>
    <n v="192160"/>
    <n v="1962"/>
    <x v="1"/>
  </r>
  <r>
    <n v="1338"/>
    <n v="140"/>
    <n v="1"/>
    <d v="2020-03-06T00:00:00"/>
    <x v="4"/>
    <s v="Urgency (feat. Syd)"/>
    <n v="6224412"/>
    <s v="Lil Uzi Vert"/>
    <n v="11821805"/>
    <s v="melodic rap"/>
    <d v="2020-03-06T00:00:00"/>
    <n v="53"/>
    <x v="0"/>
    <n v="0.61899999999999999"/>
    <n v="0.78400000000000003"/>
    <n v="0.123"/>
    <n v="3.2599999999999997E-2"/>
    <n v="0.315"/>
    <n v="0.47099999999999997"/>
    <n v="-6.11"/>
    <n v="181161"/>
    <n v="2020"/>
    <x v="1"/>
  </r>
  <r>
    <n v="1458"/>
    <n v="136"/>
    <n v="1"/>
    <d v="2020-01-31T00:00:00"/>
    <x v="1"/>
    <s v="Mon Ami"/>
    <n v="5774770"/>
    <s v="Samra"/>
    <n v="1045091"/>
    <s v="german hip hop"/>
    <d v="2020-01-29T00:00:00"/>
    <n v="53"/>
    <x v="0"/>
    <n v="0.80100000000000005"/>
    <n v="0.73099999999999998"/>
    <n v="0.38300000000000001"/>
    <n v="0.188"/>
    <n v="0.111"/>
    <n v="0.53700000000000003"/>
    <n v="-3.7229999999999999"/>
    <n v="138409"/>
    <n v="2020"/>
    <x v="1"/>
  </r>
  <r>
    <n v="208"/>
    <n v="159"/>
    <n v="1"/>
    <d v="2021-07-16T00:00:00"/>
    <x v="3"/>
    <s v="Genius (feat. Lil Tjay &amp; Swae Lee)"/>
    <n v="5702636"/>
    <s v="Pop Smoke"/>
    <n v="6837946"/>
    <s v="brooklyn drill"/>
    <d v="2021-07-31T00:00:00"/>
    <n v="53"/>
    <x v="0"/>
    <n v="0.72299999999999998"/>
    <n v="0.66700000000000004"/>
    <n v="0.35099999999999998"/>
    <n v="0.25600000000000001"/>
    <n v="0.26100000000000001"/>
    <n v="0.39600000000000002"/>
    <n v="-7.524"/>
    <n v="208112"/>
    <n v="2021"/>
    <x v="1"/>
  </r>
  <r>
    <n v="1153"/>
    <n v="123"/>
    <n v="1"/>
    <d v="2020-05-22T00:00:00"/>
    <x v="1"/>
    <s v="Komm Komm"/>
    <n v="5552890"/>
    <s v="Capital Bra"/>
    <n v="4093115"/>
    <s v="german hip hop"/>
    <d v="2020-05-21T00:00:00"/>
    <n v="53"/>
    <x v="0"/>
    <n v="0.48499999999999999"/>
    <n v="0.79300000000000004"/>
    <n v="0.42599999999999999"/>
    <n v="0.251"/>
    <n v="0.14599999999999999"/>
    <n v="0.371"/>
    <n v="-3.8359999999999999"/>
    <n v="160667"/>
    <n v="2020"/>
    <x v="1"/>
  </r>
  <r>
    <n v="1327"/>
    <n v="198"/>
    <n v="1"/>
    <d v="2020-03-13T00:00:00"/>
    <x v="4"/>
    <s v="Bad Girls, Good Vibes"/>
    <n v="4752181"/>
    <s v="Ufo361"/>
    <n v="1700759"/>
    <s v="german cloud rap"/>
    <d v="2020-03-13T00:00:00"/>
    <n v="53"/>
    <x v="1"/>
    <n v="0.82599999999999996"/>
    <n v="0.36799999999999999"/>
    <n v="0.13300000000000001"/>
    <n v="0.51600000000000001"/>
    <n v="9.1399999999999995E-2"/>
    <n v="0.158"/>
    <n v="-12.760999999999999"/>
    <n v="107446"/>
    <n v="2020"/>
    <x v="1"/>
  </r>
  <r>
    <n v="689"/>
    <n v="181"/>
    <n v="1"/>
    <d v="2020-12-18T00:00:00"/>
    <x v="2"/>
    <s v="Christmas Tree Farm"/>
    <n v="6657404"/>
    <s v="Taylor Swift"/>
    <n v="42227614"/>
    <s v="pop"/>
    <d v="2019-12-06T00:00:00"/>
    <n v="52"/>
    <x v="0"/>
    <n v="0.59799999999999998"/>
    <n v="0.68"/>
    <n v="3.3099999999999997E-2"/>
    <n v="0.06"/>
    <n v="0.32400000000000001"/>
    <n v="0.437"/>
    <n v="-4.5049999999999999"/>
    <n v="228027"/>
    <n v="2019"/>
    <x v="1"/>
  </r>
  <r>
    <n v="1520"/>
    <n v="166"/>
    <n v="1"/>
    <d v="2020-01-10T00:00:00"/>
    <x v="2"/>
    <s v="A Sweeter Place (feat. Kid Cudi)"/>
    <n v="5291134"/>
    <s v="Selena Gomez"/>
    <n v="28931149"/>
    <s v="dance pop"/>
    <d v="2020-01-10T00:00:00"/>
    <n v="52"/>
    <x v="0"/>
    <n v="0.58299999999999996"/>
    <n v="0.77700000000000002"/>
    <n v="0.185"/>
    <n v="0.109"/>
    <n v="0.108"/>
    <n v="0.31"/>
    <n v="-6.9909999999999997"/>
    <n v="263306"/>
    <n v="2020"/>
    <x v="1"/>
  </r>
  <r>
    <n v="1371"/>
    <n v="184"/>
    <n v="1"/>
    <d v="2020-02-28T00:00:00"/>
    <x v="1"/>
    <s v="100k Cash"/>
    <n v="5192813"/>
    <s v="Capital Bra, Samra"/>
    <n v="4093115"/>
    <s v="german hip hop"/>
    <d v="2020-02-27T00:00:00"/>
    <n v="52"/>
    <x v="0"/>
    <n v="0.70099999999999996"/>
    <n v="0.71399999999999997"/>
    <n v="0.52400000000000002"/>
    <n v="0.28899999999999998"/>
    <n v="8.8300000000000003E-2"/>
    <n v="0.60399999999999998"/>
    <n v="-5.9059999999999997"/>
    <n v="173353"/>
    <n v="2020"/>
    <x v="1"/>
  </r>
  <r>
    <n v="998"/>
    <n v="174"/>
    <n v="1"/>
    <d v="2020-07-24T00:00:00"/>
    <x v="4"/>
    <s v="Shit Changed"/>
    <n v="4823401"/>
    <s v="Ufo361, Sonus030"/>
    <n v="1700759"/>
    <s v="german cloud rap"/>
    <d v="2020-10-02T00:00:00"/>
    <n v="52"/>
    <x v="1"/>
    <n v="0.82399999999999995"/>
    <n v="0.52800000000000002"/>
    <n v="0.17499999999999999"/>
    <n v="0.14399999999999999"/>
    <n v="0.104"/>
    <n v="0.32"/>
    <n v="-9.2360000000000007"/>
    <n v="183839"/>
    <n v="2020"/>
    <x v="1"/>
  </r>
  <r>
    <n v="633"/>
    <n v="17"/>
    <n v="6"/>
    <d v="2020-12-18T00:00:00"/>
    <x v="3"/>
    <s v="Do They Know It's Christmas? - 1984 Version"/>
    <n v="10476212"/>
    <s v="Band Aid"/>
    <n v="4883"/>
    <s v="musical advocacy"/>
    <d v="2004-01-01T00:00:00"/>
    <n v="51"/>
    <x v="0"/>
    <n v="0.59899999999999998"/>
    <n v="0.64200000000000002"/>
    <n v="3.6299999999999999E-2"/>
    <n v="0.16400000000000001"/>
    <n v="9.9199999999999997E-2"/>
    <n v="0.34899999999999998"/>
    <n v="-6.9359999999999999"/>
    <n v="222533"/>
    <n v="2004"/>
    <x v="1"/>
  </r>
  <r>
    <n v="634"/>
    <n v="23"/>
    <n v="4"/>
    <d v="2020-12-18T00:00:00"/>
    <x v="0"/>
    <s v="Wonderful Christmastime - Edited Version / Remastered 2011"/>
    <n v="9882989"/>
    <s v="Paul McCartney"/>
    <n v="3609658"/>
    <s v="album rock"/>
    <d v="1980-05-16T00:00:00"/>
    <n v="51"/>
    <x v="1"/>
    <n v="0.77400000000000002"/>
    <n v="0.51100000000000001"/>
    <n v="3.1899999999999998E-2"/>
    <n v="0.32200000000000001"/>
    <n v="6.7199999999999996E-2"/>
    <n v="0.77100000000000002"/>
    <n v="-8.9139999999999997"/>
    <n v="227653"/>
    <n v="1980"/>
    <x v="1"/>
  </r>
  <r>
    <n v="736"/>
    <n v="83"/>
    <n v="2"/>
    <d v="2020-11-27T00:00:00"/>
    <x v="0"/>
    <s v="Wonderful Christmastime [Edited Version] - Remastered 2011 / Edited Version"/>
    <n v="9624871"/>
    <s v="Paul McCartney"/>
    <n v="3609658"/>
    <s v="album rock"/>
    <d v="1980-05-16T00:00:00"/>
    <n v="51"/>
    <x v="1"/>
    <n v="0.77400000000000002"/>
    <n v="0.51100000000000001"/>
    <n v="3.1899999999999998E-2"/>
    <n v="0.32200000000000001"/>
    <n v="6.7199999999999996E-2"/>
    <n v="0.77100000000000002"/>
    <n v="-8.9139999999999997"/>
    <n v="227653"/>
    <n v="1980"/>
    <x v="1"/>
  </r>
  <r>
    <n v="671"/>
    <n v="127"/>
    <n v="1"/>
    <d v="2020-12-18T00:00:00"/>
    <x v="3"/>
    <s v="Carol of the Bells"/>
    <n v="7993078"/>
    <s v="Mykola Dmytrovych Leontovych, John Williams"/>
    <n v="1024868"/>
    <s v="soundtrack"/>
    <d v="1990-01-01T00:00:00"/>
    <n v="51"/>
    <x v="1"/>
    <n v="0.41799999999999998"/>
    <n v="0.106"/>
    <n v="4.48E-2"/>
    <n v="0.99399999999999999"/>
    <n v="0.17899999999999999"/>
    <n v="0.8"/>
    <n v="-22.507000000000001"/>
    <n v="85267"/>
    <n v="1990"/>
    <x v="1"/>
  </r>
  <r>
    <n v="679"/>
    <n v="150"/>
    <n v="1"/>
    <d v="2020-12-18T00:00:00"/>
    <x v="2"/>
    <s v="Naughty List (with Dixie)"/>
    <n v="7299201"/>
    <s v="Liam Payne"/>
    <n v="8037861"/>
    <s v="dance pop"/>
    <d v="2020-10-30T00:00:00"/>
    <n v="51"/>
    <x v="0"/>
    <n v="0.61899999999999999"/>
    <n v="0.77100000000000002"/>
    <n v="6.0100000000000001E-2"/>
    <n v="3.1800000000000002E-2"/>
    <n v="0.114"/>
    <n v="0.70399999999999996"/>
    <n v="-2.2040000000000002"/>
    <n v="154747"/>
    <n v="2020"/>
    <x v="1"/>
  </r>
  <r>
    <n v="639"/>
    <n v="39"/>
    <n v="5"/>
    <d v="2020-12-18T00:00:00"/>
    <x v="3"/>
    <s v="White Christmas"/>
    <n v="7045348"/>
    <s v="Bing Crosby, Ken Darby Singers, John Scott Trotter &amp; His Orchestra"/>
    <n v="359973"/>
    <s v="adult standards"/>
    <d v="1942-01-01T00:00:00"/>
    <n v="51"/>
    <x v="1"/>
    <n v="0.317"/>
    <n v="0.158"/>
    <n v="3.8100000000000002E-2"/>
    <n v="0.67300000000000004"/>
    <n v="0.33800000000000002"/>
    <n v="0.247"/>
    <n v="-16.484999999999999"/>
    <n v="177480"/>
    <n v="1942"/>
    <x v="1"/>
  </r>
  <r>
    <n v="1085"/>
    <n v="83"/>
    <n v="1"/>
    <d v="2020-06-19T00:00:00"/>
    <x v="2"/>
    <s v="VACATION"/>
    <n v="6883487"/>
    <s v="Tyga"/>
    <n v="6298789"/>
    <s v="dance pop"/>
    <d v="2020-06-19T00:00:00"/>
    <n v="51"/>
    <x v="1"/>
    <n v="0.82099999999999995"/>
    <n v="0.61"/>
    <n v="9.5899999999999999E-2"/>
    <n v="2.47E-2"/>
    <n v="0.185"/>
    <n v="0.47"/>
    <n v="-6.22"/>
    <n v="192936"/>
    <n v="2020"/>
    <x v="1"/>
  </r>
  <r>
    <n v="1519"/>
    <n v="161"/>
    <n v="1"/>
    <d v="2020-01-10T00:00:00"/>
    <x v="2"/>
    <s v="Let Me Get Me"/>
    <n v="5356671"/>
    <s v="Selena Gomez"/>
    <n v="28931149"/>
    <s v="dance pop"/>
    <d v="2020-01-10T00:00:00"/>
    <n v="51"/>
    <x v="1"/>
    <n v="0.82599999999999996"/>
    <n v="0.57099999999999995"/>
    <n v="4.2599999999999999E-2"/>
    <n v="0.249"/>
    <n v="0.215"/>
    <n v="0.47499999999999998"/>
    <n v="-9.2629999999999999"/>
    <n v="189145"/>
    <n v="2020"/>
    <x v="1"/>
  </r>
  <r>
    <n v="1529"/>
    <n v="195"/>
    <n v="1"/>
    <d v="2020-01-10T00:00:00"/>
    <x v="2"/>
    <s v="Cut You Off"/>
    <n v="4874380"/>
    <s v="Selena Gomez"/>
    <n v="28931149"/>
    <s v="dance pop"/>
    <d v="2020-01-10T00:00:00"/>
    <n v="51"/>
    <x v="1"/>
    <n v="0.85499999999999998"/>
    <n v="0.29399999999999998"/>
    <n v="0.28599999999999998"/>
    <n v="0.3"/>
    <n v="9.0999999999999998E-2"/>
    <n v="0.84199999999999997"/>
    <n v="-8.6760000000000002"/>
    <n v="182017"/>
    <n v="2020"/>
    <x v="1"/>
  </r>
  <r>
    <n v="632"/>
    <n v="16"/>
    <n v="6"/>
    <d v="2020-12-18T00:00:00"/>
    <x v="3"/>
    <s v="Sleigh Ride"/>
    <n v="10508459"/>
    <s v="The Ronettes"/>
    <n v="1251372"/>
    <m/>
    <d v="1963-01-01T00:00:00"/>
    <n v="50"/>
    <x v="0"/>
    <n v="0.52900000000000003"/>
    <n v="0.77200000000000002"/>
    <n v="2.87E-2"/>
    <n v="0.40300000000000002"/>
    <n v="0.316"/>
    <n v="0.85299999999999998"/>
    <n v="-7.0129999999999999"/>
    <n v="181267"/>
    <n v="1963"/>
    <x v="1"/>
  </r>
  <r>
    <n v="1399"/>
    <n v="186"/>
    <n v="1"/>
    <d v="2020-02-21T00:00:00"/>
    <x v="4"/>
    <s v="Rich Rich"/>
    <n v="4938864"/>
    <s v="Ufo361"/>
    <n v="1700759"/>
    <s v="german cloud rap"/>
    <d v="2020-04-24T00:00:00"/>
    <n v="50"/>
    <x v="0"/>
    <n v="0.54800000000000004"/>
    <n v="0.64800000000000002"/>
    <n v="0.29199999999999998"/>
    <n v="8.4199999999999997E-2"/>
    <n v="0.123"/>
    <n v="0.23200000000000001"/>
    <n v="-4.7960000000000003"/>
    <n v="204319"/>
    <n v="2020"/>
    <x v="1"/>
  </r>
  <r>
    <n v="627"/>
    <n v="9"/>
    <n v="7"/>
    <d v="2020-12-18T00:00:00"/>
    <x v="2"/>
    <s v="Underneath the Tree"/>
    <n v="12266990"/>
    <s v="Kelly Clarkson"/>
    <n v="7869617"/>
    <s v="dance pop"/>
    <d v="2013-10-29T00:00:00"/>
    <n v="49"/>
    <x v="0"/>
    <n v="0.50900000000000001"/>
    <n v="0.81200000000000006"/>
    <n v="5.3699999999999998E-2"/>
    <n v="1.2800000000000001E-3"/>
    <n v="0.214"/>
    <n v="0.68899999999999995"/>
    <n v="-5.4390000000000001"/>
    <n v="229640"/>
    <n v="2013"/>
    <x v="1"/>
  </r>
  <r>
    <n v="628"/>
    <n v="14"/>
    <n v="6"/>
    <d v="2020-12-18T00:00:00"/>
    <x v="2"/>
    <s v="Feliz Navidad"/>
    <n v="11664490"/>
    <s v="José Feliciano"/>
    <n v="239129"/>
    <s v="latin pop"/>
    <d v="2002-09-24T00:00:00"/>
    <n v="49"/>
    <x v="0"/>
    <n v="0.51300000000000001"/>
    <n v="0.83099999999999996"/>
    <n v="3.8300000000000001E-2"/>
    <n v="0.55000000000000004"/>
    <n v="0.33600000000000002"/>
    <n v="0.96299999999999997"/>
    <n v="-9.0039999999999996"/>
    <n v="182067"/>
    <n v="2002"/>
    <x v="1"/>
  </r>
  <r>
    <n v="54"/>
    <n v="40"/>
    <n v="14"/>
    <d v="2021-06-18T00:00:00"/>
    <x v="3"/>
    <s v="Rasputin"/>
    <n v="9600707"/>
    <s v="Majestic, Boney M."/>
    <n v="32178"/>
    <s v="house"/>
    <d v="2021-06-25T00:00:00"/>
    <n v="49"/>
    <x v="0"/>
    <n v="0.83"/>
    <n v="0.83899999999999997"/>
    <n v="6.9900000000000004E-2"/>
    <n v="2.0100000000000001E-3"/>
    <n v="3.5299999999999998E-2"/>
    <n v="0.59"/>
    <n v="-6.9850000000000003"/>
    <n v="345543"/>
    <n v="2021"/>
    <x v="1"/>
  </r>
  <r>
    <n v="658"/>
    <n v="85"/>
    <n v="1"/>
    <d v="2020-12-18T00:00:00"/>
    <x v="3"/>
    <s v="Santa's Coming for Us"/>
    <n v="9474711"/>
    <s v="Sia"/>
    <n v="20528724"/>
    <s v="australian dance"/>
    <d v="2018-11-01T00:00:00"/>
    <n v="49"/>
    <x v="0"/>
    <n v="0.54700000000000004"/>
    <n v="0.81399999999999995"/>
    <n v="0.12"/>
    <n v="2.1499999999999998E-2"/>
    <n v="4.7500000000000001E-2"/>
    <n v="0.72399999999999998"/>
    <n v="-6.1909999999999998"/>
    <n v="205267"/>
    <n v="2018"/>
    <x v="1"/>
  </r>
  <r>
    <n v="641"/>
    <n v="42"/>
    <n v="5"/>
    <d v="2020-12-18T00:00:00"/>
    <x v="3"/>
    <s v="A Holly Jolly Christmas - Single Version"/>
    <n v="6716353"/>
    <s v="Burl Ives"/>
    <n v="58479"/>
    <s v="adult standards"/>
    <d v="1965-01-01T00:00:00"/>
    <n v="49"/>
    <x v="1"/>
    <n v="0.68300000000000005"/>
    <n v="0.375"/>
    <n v="3.0300000000000001E-2"/>
    <n v="0.57899999999999996"/>
    <n v="7.5999999999999998E-2"/>
    <n v="0.88800000000000001"/>
    <n v="-13.055999999999999"/>
    <n v="135533"/>
    <n v="1965"/>
    <x v="1"/>
  </r>
  <r>
    <n v="644"/>
    <n v="62"/>
    <n v="4"/>
    <d v="2020-12-18T00:00:00"/>
    <x v="0"/>
    <s v="Blue Christmas"/>
    <n v="6007011"/>
    <s v="Elvis Presley"/>
    <n v="5698788"/>
    <s v="rock-and-roll"/>
    <d v="1957-10-15T00:00:00"/>
    <n v="49"/>
    <x v="1"/>
    <n v="0.46500000000000002"/>
    <n v="0.27"/>
    <n v="4.2500000000000003E-2"/>
    <n v="0.9"/>
    <n v="0.14499999999999999"/>
    <n v="0.57999999999999996"/>
    <n v="-16.661000000000001"/>
    <n v="129173"/>
    <n v="1957"/>
    <x v="1"/>
  </r>
  <r>
    <n v="648"/>
    <n v="60"/>
    <n v="5"/>
    <d v="2020-12-18T00:00:00"/>
    <x v="3"/>
    <s v="It's Beginning to Look a Lot Like Christmas (with Mitchell Ayres &amp; His Orchestra)"/>
    <n v="5422082"/>
    <s v="Perry Como, The Fontane Sisters"/>
    <n v="336373"/>
    <s v="adult standards"/>
    <d v="1999-08-20T00:00:00"/>
    <n v="49"/>
    <x v="1"/>
    <n v="0.72399999999999998"/>
    <n v="0.27600000000000002"/>
    <n v="5.9900000000000002E-2"/>
    <n v="0.76"/>
    <n v="0.11600000000000001"/>
    <n v="0.71799999999999997"/>
    <n v="-12.25"/>
    <n v="155933"/>
    <n v="1999"/>
    <x v="1"/>
  </r>
  <r>
    <n v="1530"/>
    <n v="196"/>
    <n v="1"/>
    <d v="2020-01-10T00:00:00"/>
    <x v="2"/>
    <s v="Kinda Crazy"/>
    <n v="4866777"/>
    <s v="Selena Gomez"/>
    <n v="28931149"/>
    <s v="dance pop"/>
    <d v="2020-01-10T00:00:00"/>
    <n v="49"/>
    <x v="1"/>
    <n v="0.69099999999999995"/>
    <n v="0.44600000000000001"/>
    <n v="4.7199999999999999E-2"/>
    <n v="0.48399999999999999"/>
    <n v="0.183"/>
    <n v="0.53400000000000003"/>
    <n v="-10.304"/>
    <n v="212436"/>
    <n v="2020"/>
    <x v="1"/>
  </r>
  <r>
    <n v="635"/>
    <n v="21"/>
    <n v="6"/>
    <d v="2020-12-18T00:00:00"/>
    <x v="3"/>
    <s v="Holly Jolly Christmas"/>
    <n v="9852792"/>
    <s v="Michael Bublé"/>
    <n v="4702232"/>
    <s v="adult standards"/>
    <d v="2012-11-09T00:00:00"/>
    <n v="48"/>
    <x v="1"/>
    <n v="0.64700000000000002"/>
    <n v="0.46500000000000002"/>
    <n v="4.2799999999999998E-2"/>
    <n v="0.86499999999999999"/>
    <n v="8.8200000000000001E-2"/>
    <n v="0.69899999999999995"/>
    <n v="-8.3079999999999998"/>
    <n v="119787"/>
    <n v="2012"/>
    <x v="1"/>
  </r>
  <r>
    <n v="1507"/>
    <n v="155"/>
    <n v="1"/>
    <d v="2020-01-17T00:00:00"/>
    <x v="4"/>
    <s v="Big Drip"/>
    <n v="6010373"/>
    <s v="Ufo361, Future"/>
    <n v="1700759"/>
    <s v="german cloud rap"/>
    <d v="2020-04-24T00:00:00"/>
    <n v="48"/>
    <x v="1"/>
    <n v="0.79100000000000004"/>
    <n v="0.53500000000000003"/>
    <n v="0.311"/>
    <n v="4.48E-2"/>
    <n v="0.129"/>
    <n v="0.443"/>
    <n v="-6.7530000000000001"/>
    <n v="173785"/>
    <n v="2020"/>
    <x v="1"/>
  </r>
  <r>
    <n v="661"/>
    <n v="92"/>
    <n v="2"/>
    <d v="2020-12-18T00:00:00"/>
    <x v="3"/>
    <s v="Like It's Christmas"/>
    <n v="9167304"/>
    <s v="Jonas Brothers"/>
    <n v="5436999"/>
    <s v="boy band"/>
    <d v="2019-11-08T00:00:00"/>
    <n v="47"/>
    <x v="1"/>
    <n v="0.72499999999999998"/>
    <n v="0.57099999999999995"/>
    <n v="0.10199999999999999"/>
    <n v="1.83E-2"/>
    <n v="5.1900000000000002E-2"/>
    <n v="0.61"/>
    <n v="-6.0069999999999997"/>
    <n v="200880"/>
    <n v="2019"/>
    <x v="1"/>
  </r>
  <r>
    <n v="667"/>
    <n v="119"/>
    <n v="1"/>
    <d v="2020-12-18T00:00:00"/>
    <x v="3"/>
    <s v="Baby It's Cold Outside (duet with Michael Bublé)"/>
    <n v="8160534"/>
    <s v="Idina Menzel"/>
    <n v="353571"/>
    <s v="hollywood"/>
    <d v="2014-10-10T00:00:00"/>
    <n v="47"/>
    <x v="1"/>
    <n v="0.55300000000000005"/>
    <n v="0.47599999999999998"/>
    <n v="6.4899999999999999E-2"/>
    <n v="0.64700000000000002"/>
    <n v="0.28100000000000003"/>
    <n v="0.55800000000000005"/>
    <n v="-8.8689999999999998"/>
    <n v="166147"/>
    <n v="2014"/>
    <x v="1"/>
  </r>
  <r>
    <n v="684"/>
    <n v="160"/>
    <n v="1"/>
    <d v="2020-12-18T00:00:00"/>
    <x v="2"/>
    <s v="Oh Santa! (feat. Ariana Grande &amp; Jennifer Hudson)"/>
    <n v="7170169"/>
    <s v="Mariah Carey"/>
    <n v="6931357"/>
    <s v="dance pop"/>
    <d v="2020-12-04T00:00:00"/>
    <n v="47"/>
    <x v="0"/>
    <n v="0.64800000000000002"/>
    <n v="0.93799999999999994"/>
    <n v="0.115"/>
    <n v="3.39E-2"/>
    <n v="5.6399999999999999E-2"/>
    <n v="0.84899999999999998"/>
    <n v="-3.298"/>
    <n v="200467"/>
    <n v="2020"/>
    <x v="1"/>
  </r>
  <r>
    <n v="643"/>
    <n v="38"/>
    <n v="5"/>
    <d v="2020-12-18T00:00:00"/>
    <x v="2"/>
    <s v="Merry Christmas Everyone"/>
    <n v="6052105"/>
    <s v="Shakin' Stevens"/>
    <n v="99249"/>
    <s v="classic uk pop"/>
    <d v="1991-11-25T00:00:00"/>
    <n v="47"/>
    <x v="0"/>
    <n v="0.53400000000000003"/>
    <n v="0.90400000000000003"/>
    <n v="3.6900000000000002E-2"/>
    <n v="0.129"/>
    <n v="0.128"/>
    <n v="0.96"/>
    <n v="-3.3149999999999999"/>
    <n v="220160"/>
    <n v="1991"/>
    <x v="1"/>
  </r>
  <r>
    <n v="1012"/>
    <n v="129"/>
    <n v="4"/>
    <d v="2020-07-03T00:00:00"/>
    <x v="3"/>
    <s v="Past Life (with Selena Gomez)"/>
    <n v="5228433"/>
    <s v="Trevor Daniel"/>
    <n v="632097"/>
    <s v="alternative r&amp;b"/>
    <d v="2020-06-26T00:00:00"/>
    <n v="47"/>
    <x v="1"/>
    <n v="0.57499999999999996"/>
    <n v="0.54300000000000004"/>
    <n v="5.2900000000000003E-2"/>
    <n v="0.10199999999999999"/>
    <n v="0.17599999999999999"/>
    <n v="0.28299999999999997"/>
    <n v="-5.0620000000000003"/>
    <n v="186480"/>
    <n v="2020"/>
    <x v="1"/>
  </r>
  <r>
    <n v="657"/>
    <n v="83"/>
    <n v="3"/>
    <d v="2020-12-18T00:00:00"/>
    <x v="2"/>
    <s v="Have Yourself A Merry Little Christmas"/>
    <n v="9548924"/>
    <s v="Sam Smith"/>
    <n v="17097317"/>
    <s v="dance pop"/>
    <d v="2014-12-05T00:00:00"/>
    <n v="46"/>
    <x v="1"/>
    <n v="0.438"/>
    <n v="0.17799999999999999"/>
    <n v="4.1399999999999999E-2"/>
    <n v="0.95699999999999996"/>
    <n v="0.316"/>
    <n v="0.34399999999999997"/>
    <n v="-9.4019999999999992"/>
    <n v="170964"/>
    <n v="2014"/>
    <x v="1"/>
  </r>
  <r>
    <n v="662"/>
    <n v="102"/>
    <n v="1"/>
    <d v="2020-12-18T00:00:00"/>
    <x v="2"/>
    <s v="Christmas Without You"/>
    <n v="8813922"/>
    <s v="Ava Max"/>
    <n v="3916979"/>
    <s v="dance pop"/>
    <d v="2020-10-15T00:00:00"/>
    <n v="45"/>
    <x v="1"/>
    <n v="0.65400000000000003"/>
    <n v="0.59599999999999997"/>
    <n v="4.58E-2"/>
    <n v="0.42399999999999999"/>
    <n v="0.11"/>
    <n v="0.38200000000000001"/>
    <n v="-4.68"/>
    <n v="169245"/>
    <n v="2020"/>
    <x v="1"/>
  </r>
  <r>
    <n v="680"/>
    <n v="152"/>
    <n v="1"/>
    <d v="2020-12-18T00:00:00"/>
    <x v="2"/>
    <s v="I'll Be Home"/>
    <n v="7281773"/>
    <s v="Meghan Trainor"/>
    <n v="10606572"/>
    <s v="dance pop"/>
    <d v="2015-01-09T00:00:00"/>
    <n v="45"/>
    <x v="1"/>
    <n v="0.54200000000000004"/>
    <n v="0.37"/>
    <n v="2.5700000000000001E-2"/>
    <n v="0.318"/>
    <n v="0.108"/>
    <n v="0.28899999999999998"/>
    <n v="-7.7789999999999999"/>
    <n v="219653"/>
    <n v="2015"/>
    <x v="1"/>
  </r>
  <r>
    <n v="649"/>
    <n v="69"/>
    <n v="6"/>
    <d v="2020-12-18T00:00:00"/>
    <x v="3"/>
    <s v="Christmas (Baby Please Come Home)"/>
    <n v="5394054"/>
    <s v="Darlene Love"/>
    <n v="1251372"/>
    <m/>
    <d v="1963-01-01T00:00:00"/>
    <n v="45"/>
    <x v="0"/>
    <n v="0.32500000000000001"/>
    <n v="0.75900000000000001"/>
    <n v="5.2999999999999999E-2"/>
    <n v="0.39500000000000002"/>
    <n v="7.7299999999999994E-2"/>
    <n v="0.36"/>
    <n v="-7.1459999999999999"/>
    <n v="166453"/>
    <n v="1963"/>
    <x v="1"/>
  </r>
  <r>
    <n v="660"/>
    <n v="89"/>
    <n v="3"/>
    <d v="2020-12-18T00:00:00"/>
    <x v="5"/>
    <s v="Baby, It's Cold Outside (feat. Meghan Trainor)"/>
    <n v="9270017"/>
    <s v="Brett Eldredge"/>
    <n v="1298537"/>
    <s v="contemporary country"/>
    <d v="2016-10-28T00:00:00"/>
    <n v="44"/>
    <x v="1"/>
    <n v="0.58299999999999996"/>
    <n v="0.57199999999999995"/>
    <n v="3.6600000000000001E-2"/>
    <n v="0.73799999999999999"/>
    <n v="0.26600000000000001"/>
    <n v="0.68400000000000005"/>
    <n v="-4.7759999999999998"/>
    <n v="173560"/>
    <n v="2016"/>
    <x v="1"/>
  </r>
  <r>
    <n v="663"/>
    <n v="104"/>
    <n v="1"/>
    <d v="2020-12-18T00:00:00"/>
    <x v="2"/>
    <s v="You Make It Feel Like Christmas (feat. Blake Shelton)"/>
    <n v="8696354"/>
    <s v="Gwen Stefani"/>
    <n v="4805333"/>
    <s v="dance pop"/>
    <d v="2017-10-06T00:00:00"/>
    <n v="44"/>
    <x v="0"/>
    <n v="0.63500000000000001"/>
    <n v="0.87"/>
    <n v="0.04"/>
    <n v="1.5599999999999999E-2"/>
    <n v="0.11799999999999999"/>
    <n v="0.91200000000000003"/>
    <n v="-4.2910000000000004"/>
    <n v="156773"/>
    <n v="2017"/>
    <x v="1"/>
  </r>
  <r>
    <n v="666"/>
    <n v="117"/>
    <n v="1"/>
    <d v="2020-12-18T00:00:00"/>
    <x v="3"/>
    <s v="Santa Claus Is Coming to Town"/>
    <n v="8177832"/>
    <s v="Michael Bublé"/>
    <n v="4702232"/>
    <s v="adult standards"/>
    <d v="2012-11-09T00:00:00"/>
    <n v="44"/>
    <x v="1"/>
    <n v="0.59399999999999997"/>
    <n v="0.38900000000000001"/>
    <n v="5.1700000000000003E-2"/>
    <n v="0.78500000000000003"/>
    <n v="3.1300000000000001E-2"/>
    <n v="0.39600000000000002"/>
    <n v="-7.109"/>
    <n v="171093"/>
    <n v="2012"/>
    <x v="1"/>
  </r>
  <r>
    <n v="669"/>
    <n v="123"/>
    <n v="1"/>
    <d v="2020-12-18T00:00:00"/>
    <x v="3"/>
    <s v="I Saw Mommy Kissing Santa Claus"/>
    <n v="8064361"/>
    <s v="The Jackson 5"/>
    <n v="1151360"/>
    <s v="motown"/>
    <d v="1970-10-15T00:00:00"/>
    <n v="44"/>
    <x v="0"/>
    <n v="0.58299999999999996"/>
    <n v="0.71199999999999997"/>
    <n v="5.3800000000000001E-2"/>
    <n v="0.26300000000000001"/>
    <n v="0.81699999999999995"/>
    <n v="0.61399999999999999"/>
    <n v="-8.2219999999999995"/>
    <n v="181267"/>
    <n v="1970"/>
    <x v="1"/>
  </r>
  <r>
    <n v="675"/>
    <n v="144"/>
    <n v="1"/>
    <d v="2020-12-18T00:00:00"/>
    <x v="3"/>
    <s v="Baby, It's Cold Outside"/>
    <n v="7367482"/>
    <s v="Dean Martin"/>
    <n v="1139096"/>
    <s v="adult standards"/>
    <d v="1959-01-01T00:00:00"/>
    <n v="44"/>
    <x v="1"/>
    <n v="0.46899999999999997"/>
    <n v="0.19600000000000001"/>
    <n v="5.7099999999999998E-2"/>
    <n v="0.88200000000000001"/>
    <n v="5.1299999999999998E-2"/>
    <n v="0.53700000000000003"/>
    <n v="-16.093"/>
    <n v="143733"/>
    <n v="1959"/>
    <x v="1"/>
  </r>
  <r>
    <n v="676"/>
    <n v="145"/>
    <n v="1"/>
    <d v="2020-12-18T00:00:00"/>
    <x v="0"/>
    <s v="Santa Claus Is Comin' to Town - Live at C.W. Post College, Greenvale, NY - December 1975"/>
    <n v="7363913"/>
    <s v="Bruce Springsteen"/>
    <n v="4224071"/>
    <s v="classic rock"/>
    <d v="1981-01-01T00:00:00"/>
    <n v="44"/>
    <x v="0"/>
    <n v="0.35699999999999998"/>
    <n v="0.66800000000000004"/>
    <n v="4.7899999999999998E-2"/>
    <n v="0.36199999999999999"/>
    <n v="0.72699999999999998"/>
    <n v="0.40699999999999997"/>
    <n v="-8.4440000000000008"/>
    <n v="267600"/>
    <n v="1981"/>
    <x v="1"/>
  </r>
  <r>
    <n v="685"/>
    <n v="161"/>
    <n v="1"/>
    <d v="2020-12-18T00:00:00"/>
    <x v="3"/>
    <s v="Do You Hear What I Hear? - Remastered 2006"/>
    <n v="7149158"/>
    <s v="Bing Crosby"/>
    <n v="359973"/>
    <s v="adult standards"/>
    <d v="2006-01-01T00:00:00"/>
    <n v="44"/>
    <x v="1"/>
    <n v="0.56599999999999995"/>
    <n v="0.246"/>
    <n v="2.76E-2"/>
    <n v="0.81299999999999994"/>
    <n v="0.19500000000000001"/>
    <n v="0.41199999999999998"/>
    <n v="-15.499000000000001"/>
    <n v="165667"/>
    <n v="2006"/>
    <x v="1"/>
  </r>
  <r>
    <n v="693"/>
    <n v="192"/>
    <n v="1"/>
    <d v="2020-12-18T00:00:00"/>
    <x v="0"/>
    <s v="Please Come Home for Christmas - 2013 Remaster"/>
    <n v="6400108"/>
    <s v="Eagles"/>
    <n v="6896776"/>
    <s v="album rock"/>
    <d v="1994-01-01T00:00:00"/>
    <n v="44"/>
    <x v="1"/>
    <n v="0.61199999999999999"/>
    <n v="0.28899999999999998"/>
    <n v="4.2099999999999999E-2"/>
    <n v="0.59899999999999998"/>
    <n v="5.6099999999999997E-2"/>
    <n v="0.46600000000000003"/>
    <n v="-11.568"/>
    <n v="177440"/>
    <n v="1994"/>
    <x v="1"/>
  </r>
  <r>
    <n v="654"/>
    <n v="71"/>
    <n v="3"/>
    <d v="2020-12-18T00:00:00"/>
    <x v="0"/>
    <s v="Jingle Bell Rock - Daryl's Version"/>
    <n v="10522305"/>
    <s v="Daryl Hall &amp; John Oates"/>
    <n v="1549216"/>
    <s v="album rock"/>
    <d v="1983-11-01T00:00:00"/>
    <n v="43"/>
    <x v="0"/>
    <n v="0.66600000000000004"/>
    <n v="0.84099999999999997"/>
    <n v="3.1199999999999999E-2"/>
    <n v="0.61299999999999999"/>
    <n v="0.113"/>
    <n v="0.84"/>
    <n v="-3.5920000000000001"/>
    <n v="126360"/>
    <n v="1983"/>
    <x v="1"/>
  </r>
  <r>
    <n v="659"/>
    <n v="86"/>
    <n v="2"/>
    <d v="2020-12-18T00:00:00"/>
    <x v="2"/>
    <s v="My Only Wish (This Year)"/>
    <n v="9457199"/>
    <s v="Britney Spears"/>
    <n v="9470311"/>
    <s v="dance pop"/>
    <d v="2000-11-14T00:00:00"/>
    <n v="43"/>
    <x v="0"/>
    <n v="0.66900000000000004"/>
    <n v="0.84299999999999997"/>
    <n v="2.6800000000000001E-2"/>
    <n v="0.16900000000000001"/>
    <n v="0.19500000000000001"/>
    <n v="0.70199999999999996"/>
    <n v="-3.766"/>
    <n v="255400"/>
    <n v="2000"/>
    <x v="1"/>
  </r>
  <r>
    <n v="650"/>
    <n v="66"/>
    <n v="4"/>
    <d v="2020-12-18T00:00:00"/>
    <x v="0"/>
    <s v="Step Into Christmas"/>
    <n v="5353591"/>
    <s v="Elton John"/>
    <n v="7504724"/>
    <s v="glam rock"/>
    <d v="1973-10-05T00:00:00"/>
    <n v="43"/>
    <x v="0"/>
    <n v="0.52600000000000002"/>
    <n v="0.92500000000000004"/>
    <n v="3.6299999999999999E-2"/>
    <n v="0.10199999999999999"/>
    <n v="0.30499999999999999"/>
    <n v="0.81899999999999995"/>
    <n v="-5.5839999999999996"/>
    <n v="272394"/>
    <n v="1973"/>
    <x v="1"/>
  </r>
  <r>
    <n v="674"/>
    <n v="140"/>
    <n v="1"/>
    <d v="2020-12-18T00:00:00"/>
    <x v="2"/>
    <s v="The Christmas Song (Shawn Mendes &amp; Camila Cabello)"/>
    <n v="7536851"/>
    <s v="Shawn Mendes"/>
    <n v="33893352"/>
    <s v="canadian pop"/>
    <d v="2020-12-07T00:00:00"/>
    <n v="42"/>
    <x v="1"/>
    <n v="0.34100000000000003"/>
    <n v="0.18099999999999999"/>
    <n v="3.6600000000000001E-2"/>
    <n v="0.88800000000000001"/>
    <n v="0.13700000000000001"/>
    <n v="0.21199999999999999"/>
    <n v="-12.073"/>
    <n v="196254"/>
    <n v="2020"/>
    <x v="1"/>
  </r>
  <r>
    <n v="677"/>
    <n v="147"/>
    <n v="1"/>
    <d v="2020-12-18T00:00:00"/>
    <x v="3"/>
    <s v="One More Sleep"/>
    <n v="7350024"/>
    <s v="Leona Lewis"/>
    <n v="2877234"/>
    <s v="british soul"/>
    <d v="2013-12-02T00:00:00"/>
    <n v="42"/>
    <x v="0"/>
    <n v="0.63800000000000001"/>
    <n v="0.81299999999999994"/>
    <n v="3.6200000000000003E-2"/>
    <n v="0.46400000000000002"/>
    <n v="0.34399999999999997"/>
    <n v="0.754"/>
    <n v="-3.8490000000000002"/>
    <n v="239587"/>
    <n v="2013"/>
    <x v="1"/>
  </r>
  <r>
    <n v="687"/>
    <n v="175"/>
    <n v="1"/>
    <d v="2020-12-18T00:00:00"/>
    <x v="3"/>
    <s v="This Christmas"/>
    <n v="6809438"/>
    <s v="Donny Hathaway"/>
    <n v="424935"/>
    <s v="chicago soul"/>
    <d v="1990-04-03T00:00:00"/>
    <n v="42"/>
    <x v="0"/>
    <n v="0.63400000000000001"/>
    <n v="0.64500000000000002"/>
    <n v="3.7600000000000001E-2"/>
    <n v="0.29199999999999998"/>
    <n v="0.246"/>
    <n v="0.67700000000000005"/>
    <n v="-9.1999999999999993"/>
    <n v="231173"/>
    <n v="1990"/>
    <x v="1"/>
  </r>
  <r>
    <n v="647"/>
    <n v="52"/>
    <n v="5"/>
    <d v="2020-12-18T00:00:00"/>
    <x v="3"/>
    <s v="Santa Baby"/>
    <n v="5687085"/>
    <s v="Kylie Minogue"/>
    <n v="1324920"/>
    <s v="australian dance"/>
    <d v="2010-11-30T00:00:00"/>
    <n v="42"/>
    <x v="1"/>
    <n v="0.68500000000000005"/>
    <n v="0.39100000000000001"/>
    <n v="4.3499999999999997E-2"/>
    <n v="0.74399999999999999"/>
    <n v="0.14199999999999999"/>
    <n v="0.443"/>
    <n v="-7.1829999999999998"/>
    <n v="202547"/>
    <n v="2010"/>
    <x v="1"/>
  </r>
  <r>
    <n v="670"/>
    <n v="126"/>
    <n v="1"/>
    <d v="2020-12-18T00:00:00"/>
    <x v="3"/>
    <s v="Santa Baby (with Henri René &amp; His Orchestra)"/>
    <n v="8022773"/>
    <s v="Eartha Kitt, Henri Rene &amp; His Orchestra"/>
    <n v="127251"/>
    <s v="adult standards"/>
    <d v="2002-01-01T00:00:00"/>
    <n v="41"/>
    <x v="1"/>
    <n v="0.7"/>
    <n v="0.13900000000000001"/>
    <n v="6.0699999999999997E-2"/>
    <n v="0.90200000000000002"/>
    <n v="0.185"/>
    <n v="0.49"/>
    <n v="-12.346"/>
    <n v="206067"/>
    <n v="2002"/>
    <x v="1"/>
  </r>
  <r>
    <n v="681"/>
    <n v="156"/>
    <n v="1"/>
    <d v="2020-12-18T00:00:00"/>
    <x v="3"/>
    <s v="Rudolph The Red-Nosed Reindeer"/>
    <n v="7227612"/>
    <s v="Dean Martin"/>
    <n v="1139096"/>
    <s v="adult standards"/>
    <d v="1959-01-01T00:00:00"/>
    <n v="41"/>
    <x v="1"/>
    <n v="0.47799999999999998"/>
    <n v="0.20100000000000001"/>
    <n v="3.32E-2"/>
    <n v="0.91900000000000004"/>
    <n v="8.5400000000000004E-2"/>
    <n v="0.85699999999999998"/>
    <n v="-16.768000000000001"/>
    <n v="135760"/>
    <n v="1959"/>
    <x v="1"/>
  </r>
  <r>
    <n v="690"/>
    <n v="182"/>
    <n v="1"/>
    <d v="2020-12-18T00:00:00"/>
    <x v="2"/>
    <s v="Cozy Little Christmas"/>
    <n v="6652130"/>
    <s v="Katy Perry"/>
    <n v="18936929"/>
    <s v="dance pop"/>
    <d v="2018-11-15T00:00:00"/>
    <n v="41"/>
    <x v="1"/>
    <n v="0.77400000000000002"/>
    <n v="0.60799999999999998"/>
    <n v="0.128"/>
    <n v="0.128"/>
    <n v="8.9499999999999996E-2"/>
    <n v="0.56000000000000005"/>
    <n v="-6.2640000000000002"/>
    <n v="182521"/>
    <n v="2018"/>
    <x v="1"/>
  </r>
  <r>
    <n v="691"/>
    <n v="184"/>
    <n v="1"/>
    <d v="2020-12-18T00:00:00"/>
    <x v="3"/>
    <s v="Merry Christmas, Happy Holidays"/>
    <n v="6635128"/>
    <s v="*NSYNC"/>
    <n v="1564750"/>
    <s v="boy band"/>
    <d v="1998-10-30T00:00:00"/>
    <n v="41"/>
    <x v="0"/>
    <n v="0.64300000000000002"/>
    <n v="0.93899999999999995"/>
    <n v="4.6300000000000001E-2"/>
    <n v="0.104"/>
    <n v="0.88100000000000001"/>
    <n v="0.75600000000000001"/>
    <n v="-3.9670000000000001"/>
    <n v="255307"/>
    <n v="1998"/>
    <x v="1"/>
  </r>
  <r>
    <n v="694"/>
    <n v="197"/>
    <n v="1"/>
    <d v="2020-12-18T00:00:00"/>
    <x v="2"/>
    <s v="My Kind Of Present"/>
    <n v="6278993"/>
    <s v="Meghan Trainor"/>
    <n v="10606572"/>
    <s v="dance pop"/>
    <d v="2020-10-30T00:00:00"/>
    <n v="41"/>
    <x v="1"/>
    <n v="0.48499999999999999"/>
    <n v="0.44400000000000001"/>
    <n v="0.19500000000000001"/>
    <n v="0.373"/>
    <n v="9.69E-2"/>
    <n v="0.77700000000000002"/>
    <n v="-6.2320000000000002"/>
    <n v="161013"/>
    <n v="2020"/>
    <x v="1"/>
  </r>
  <r>
    <n v="1249"/>
    <n v="105"/>
    <n v="9"/>
    <d v="2020-02-28T00:00:00"/>
    <x v="4"/>
    <s v="Go Stupid (feat. NLE Choppa &amp; Mike WiLL Made-It)"/>
    <n v="4244510"/>
    <s v="Polo G, Stunna 4 Vegas"/>
    <n v="4849204"/>
    <s v="chicago rap"/>
    <d v="2020-05-15T00:00:00"/>
    <n v="41"/>
    <x v="0"/>
    <n v="0.92200000000000004"/>
    <n v="0.81299999999999994"/>
    <n v="0.251"/>
    <n v="1.9800000000000002E-2"/>
    <n v="5.3900000000000003E-2"/>
    <n v="0.72399999999999998"/>
    <n v="-3.2679999999999998"/>
    <n v="165726"/>
    <n v="2020"/>
    <x v="1"/>
  </r>
  <r>
    <n v="682"/>
    <n v="157"/>
    <n v="1"/>
    <d v="2020-12-18T00:00:00"/>
    <x v="3"/>
    <s v="Mistletoe And Holly - Remastered 1999"/>
    <n v="7225080"/>
    <s v="Frank Sinatra"/>
    <n v="4953667"/>
    <s v="adult standards"/>
    <d v="1957-09-01T00:00:00"/>
    <n v="38"/>
    <x v="1"/>
    <n v="0.60699999999999998"/>
    <n v="0.10299999999999999"/>
    <n v="4.0399999999999998E-2"/>
    <n v="0.80400000000000005"/>
    <n v="7.5999999999999998E-2"/>
    <n v="0.34100000000000003"/>
    <n v="-14.404999999999999"/>
    <n v="136427"/>
    <n v="1957"/>
    <x v="1"/>
  </r>
  <r>
    <n v="683"/>
    <n v="159"/>
    <n v="1"/>
    <d v="2020-12-18T00:00:00"/>
    <x v="3"/>
    <s v="Jingle Bells - Remastered 1999"/>
    <n v="7182262"/>
    <s v="Frank Sinatra"/>
    <n v="4953667"/>
    <s v="adult standards"/>
    <d v="1957-09-01T00:00:00"/>
    <n v="36"/>
    <x v="1"/>
    <n v="0.51200000000000001"/>
    <n v="0.33900000000000002"/>
    <n v="4.9799999999999997E-2"/>
    <n v="0.72699999999999998"/>
    <n v="9.7699999999999995E-2"/>
    <n v="0.95099999999999996"/>
    <n v="-13.119"/>
    <n v="120693"/>
    <n v="1957"/>
    <x v="1"/>
  </r>
  <r>
    <n v="1292"/>
    <n v="183"/>
    <n v="1"/>
    <d v="2020-03-20T00:00:00"/>
    <x v="1"/>
    <s v="H &lt;3 T E L"/>
    <n v="4701388"/>
    <s v="Dardan, Monet192"/>
    <n v="861082"/>
    <s v="albanian hip hop"/>
    <d v="2020-05-22T00:00:00"/>
    <n v="34"/>
    <x v="0"/>
    <n v="0.72599999999999998"/>
    <n v="0.64600000000000002"/>
    <n v="9.7699999999999995E-2"/>
    <n v="4.9500000000000002E-2"/>
    <n v="0.112"/>
    <n v="0.57999999999999996"/>
    <n v="-6.9"/>
    <n v="163253"/>
    <n v="2020"/>
    <x v="1"/>
  </r>
  <r>
    <n v="688"/>
    <n v="180"/>
    <n v="1"/>
    <d v="2020-12-18T00:00:00"/>
    <x v="3"/>
    <s v="Winter Wonderland"/>
    <n v="6680928"/>
    <s v="Tony Bennett"/>
    <n v="659472"/>
    <s v="adult standards"/>
    <d v="2014-12-09T00:00:00"/>
    <n v="29"/>
    <x v="1"/>
    <n v="0.60399999999999998"/>
    <n v="0.497"/>
    <n v="3.1899999999999998E-2"/>
    <n v="0.72699999999999998"/>
    <n v="0.10199999999999999"/>
    <n v="0.72"/>
    <n v="-6.6760000000000002"/>
    <n v="149307"/>
    <n v="2014"/>
    <x v="1"/>
  </r>
  <r>
    <n v="1398"/>
    <n v="121"/>
    <n v="8"/>
    <d v="2019-12-27T00:00:00"/>
    <x v="2"/>
    <s v="Que Calor (with J Balvin &amp; El Alfa)"/>
    <n v="4950254"/>
    <s v="Major Lazer, Diplo"/>
    <n v="6223652"/>
    <s v="dance pop"/>
    <d v="2019-12-13T00:00:00"/>
    <n v="29"/>
    <x v="0"/>
    <n v="0.873"/>
    <n v="0.65600000000000003"/>
    <n v="6.8000000000000005E-2"/>
    <n v="4.7699999999999999E-3"/>
    <n v="7.2599999999999998E-2"/>
    <n v="0.54600000000000004"/>
    <n v="-6.0430000000000001"/>
    <n v="206811"/>
    <n v="2019"/>
    <x v="1"/>
  </r>
  <r>
    <n v="1421"/>
    <n v="80"/>
    <n v="4"/>
    <d v="2020-01-24T00:00:00"/>
    <x v="3"/>
    <s v="Forever Yours - Avicii Tribute"/>
    <n v="5421905"/>
    <s v="Kygo, Sandro Cavazza"/>
    <n v="1251372"/>
    <m/>
    <d v="2021-08-10T00:00:00"/>
    <n v="15"/>
    <x v="1"/>
    <n v="0.53"/>
    <n v="0.61199999999999999"/>
    <n v="5.1799999999999999E-2"/>
    <n v="0.253"/>
    <n v="0.246"/>
    <n v="0.433"/>
    <n v="-8.7940000000000005"/>
    <n v="193847"/>
    <n v="2021"/>
    <x v="1"/>
  </r>
  <r>
    <n v="1452"/>
    <n v="105"/>
    <n v="7"/>
    <d v="2019-12-27T00:00:00"/>
    <x v="3"/>
    <s v="Con Calma"/>
    <n v="4861378"/>
    <s v="Daddy Yankee, Snow"/>
    <n v="1251372"/>
    <m/>
    <d v="2021-08-12T00:00:00"/>
    <n v="3"/>
    <x v="0"/>
    <n v="0.73699999999999999"/>
    <n v="0.86"/>
    <n v="5.9400000000000001E-2"/>
    <n v="0.11"/>
    <n v="5.74E-2"/>
    <n v="0.65600000000000003"/>
    <n v="-2.6520000000000001"/>
    <n v="193227"/>
    <n v="2021"/>
    <x v="1"/>
  </r>
  <r>
    <n v="96"/>
    <n v="96"/>
    <n v="4"/>
    <d v="2021-07-23T00:00:00"/>
    <x v="3"/>
    <s v="In Da Getto"/>
    <n v="6984262"/>
    <s v="J Balvin, Skrillex"/>
    <n v="1250353"/>
    <m/>
    <d v="2021-08-12T00:00:00"/>
    <n v="2"/>
    <x v="0"/>
    <n v="0.91500000000000004"/>
    <n v="0.72"/>
    <n v="4.5900000000000003E-2"/>
    <n v="2.5000000000000001E-2"/>
    <n v="9.4200000000000006E-2"/>
    <n v="0.63100000000000001"/>
    <n v="-3.1259999999999999"/>
    <n v="131067"/>
    <n v="2021"/>
    <x v="1"/>
  </r>
  <r>
    <n v="1401"/>
    <n v="148"/>
    <n v="6"/>
    <d v="2020-01-24T00:00:00"/>
    <x v="3"/>
    <s v="i love you"/>
    <n v="4863910"/>
    <s v="Billie Eilish"/>
    <n v="1251372"/>
    <m/>
    <d v="2021-08-13T00:00:00"/>
    <n v="2"/>
    <x v="1"/>
    <n v="0.42"/>
    <n v="0.13100000000000001"/>
    <n v="3.8199999999999998E-2"/>
    <n v="0.95299999999999996"/>
    <n v="0.109"/>
    <n v="0.12"/>
    <n v="-18.434999999999999"/>
    <n v="291796"/>
    <n v="2021"/>
    <x v="1"/>
  </r>
  <r>
    <n v="1380"/>
    <n v="91"/>
    <n v="10"/>
    <d v="2020-01-24T00:00:00"/>
    <x v="3"/>
    <s v="bury a friend"/>
    <n v="5020303"/>
    <s v="Billie Eilish"/>
    <n v="1251372"/>
    <m/>
    <d v="2021-08-13T00:00:00"/>
    <n v="1"/>
    <x v="1"/>
    <n v="0.88700000000000001"/>
    <n v="0.38800000000000001"/>
    <n v="0.34899999999999998"/>
    <n v="0.73899999999999999"/>
    <n v="0.106"/>
    <n v="0.20499999999999999"/>
    <n v="-14.505000000000001"/>
    <n v="193143"/>
    <n v="2021"/>
    <x v="1"/>
  </r>
  <r>
    <n v="590"/>
    <n v="108"/>
    <n v="4"/>
    <d v="2020-12-25T00:00:00"/>
    <x v="3"/>
    <s v="MODO TURBO"/>
    <n v="4983557"/>
    <s v="Luísa Sonza, Pabllo Vittar, Anitta"/>
    <n v="1251372"/>
    <m/>
    <d v="2021-08-11T00:00:00"/>
    <n v="1"/>
    <x v="0"/>
    <n v="0.65500000000000003"/>
    <n v="0.72599999999999998"/>
    <n v="7.9600000000000004E-2"/>
    <n v="0.33400000000000002"/>
    <n v="0.23200000000000001"/>
    <n v="0.76600000000000001"/>
    <n v="-7.6280000000000001"/>
    <n v="150260"/>
    <n v="2021"/>
    <x v="1"/>
  </r>
  <r>
    <n v="1064"/>
    <n v="70"/>
    <n v="14"/>
    <d v="2020-04-24T00:00:00"/>
    <x v="3"/>
    <s v="Salt"/>
    <n v="4874960"/>
    <s v="Ava Max"/>
    <n v="1251372"/>
    <m/>
    <d v="2021-08-13T00:00:00"/>
    <n v="1"/>
    <x v="0"/>
    <n v="0.69299999999999995"/>
    <n v="0.83499999999999996"/>
    <n v="6.2399999999999997E-2"/>
    <n v="0.13100000000000001"/>
    <n v="7.2999999999999995E-2"/>
    <n v="0.74399999999999999"/>
    <n v="-3.242"/>
    <n v="180283"/>
    <n v="2021"/>
    <x v="1"/>
  </r>
  <r>
    <n v="992"/>
    <n v="101"/>
    <n v="22"/>
    <d v="2020-02-14T00:00:00"/>
    <x v="3"/>
    <s v="ocean eyes"/>
    <n v="4476954"/>
    <s v="Billie Eilish"/>
    <n v="1251372"/>
    <m/>
    <d v="2021-08-13T00:00:00"/>
    <n v="1"/>
    <x v="1"/>
    <n v="0.35799999999999998"/>
    <n v="0.372"/>
    <n v="4.6399999999999997E-2"/>
    <n v="0.81"/>
    <n v="8.77E-2"/>
    <n v="0.16"/>
    <n v="-7.6639999999999997"/>
    <n v="200387"/>
    <n v="2021"/>
    <x v="1"/>
  </r>
  <r>
    <n v="1215"/>
    <n v="32"/>
    <n v="3"/>
    <d v="2020-04-17T00:00:00"/>
    <x v="3"/>
    <s v="@ MEH"/>
    <n v="4420187"/>
    <s v="Playboi Carti"/>
    <n v="1251372"/>
    <m/>
    <d v="2021-08-13T00:00:00"/>
    <n v="1"/>
    <x v="1"/>
    <n v="0.877"/>
    <n v="0.49199999999999999"/>
    <n v="0.153"/>
    <n v="1.3599999999999999E-2"/>
    <n v="6.7799999999999999E-2"/>
    <n v="0.4"/>
    <n v="-8.11"/>
    <n v="166799"/>
    <n v="2021"/>
    <x v="1"/>
  </r>
  <r>
    <n v="66"/>
    <n v="2"/>
    <n v="83"/>
    <d v="2020-03-27T00:00:00"/>
    <x v="3"/>
    <s v="Don't Start Now"/>
    <n v="8821971"/>
    <s v="Dua Lipa"/>
    <n v="1250353"/>
    <m/>
    <d v="2021-08-13T00:00:00"/>
    <n v="0"/>
    <x v="0"/>
    <n v="0.79300000000000004"/>
    <n v="0.79300000000000004"/>
    <n v="8.3000000000000004E-2"/>
    <n v="1.23E-2"/>
    <n v="9.5100000000000004E-2"/>
    <n v="0.67900000000000005"/>
    <n v="-4.5209999999999999"/>
    <n v="183290"/>
    <n v="2021"/>
    <x v="1"/>
  </r>
  <r>
    <n v="665"/>
    <n v="111"/>
    <n v="1"/>
    <d v="2020-12-18T00:00:00"/>
    <x v="3"/>
    <s v="Joy To The World"/>
    <n v="8387899"/>
    <s v="Nat King Cole"/>
    <n v="1251372"/>
    <m/>
    <d v="2021-08-06T00:00:00"/>
    <n v="0"/>
    <x v="1"/>
    <n v="0.59"/>
    <n v="0.30499999999999999"/>
    <n v="3.2000000000000001E-2"/>
    <n v="0.89400000000000002"/>
    <n v="0.14000000000000001"/>
    <n v="0.54500000000000004"/>
    <n v="-12.955"/>
    <n v="86760"/>
    <n v="2021"/>
    <x v="1"/>
  </r>
  <r>
    <n v="673"/>
    <n v="133"/>
    <n v="1"/>
    <d v="2020-12-18T00:00:00"/>
    <x v="3"/>
    <s v="What Christmas Means To Me"/>
    <n v="7792643"/>
    <s v="Stevie Wonder"/>
    <n v="1251372"/>
    <m/>
    <d v="2021-08-06T00:00:00"/>
    <n v="0"/>
    <x v="0"/>
    <n v="0.54500000000000004"/>
    <n v="0.7"/>
    <n v="3.2300000000000002E-2"/>
    <n v="9.8199999999999996E-2"/>
    <n v="0.1"/>
    <n v="0.79900000000000004"/>
    <n v="-6.9610000000000003"/>
    <n v="148147"/>
    <n v="2021"/>
    <x v="1"/>
  </r>
  <r>
    <n v="84"/>
    <n v="76"/>
    <n v="3"/>
    <d v="2020-03-27T00:00:00"/>
    <x v="3"/>
    <s v="Love Again"/>
    <n v="7465445"/>
    <s v="Dua Lipa"/>
    <n v="1250353"/>
    <m/>
    <d v="2021-08-13T00:00:00"/>
    <n v="0"/>
    <x v="0"/>
    <n v="0.65900000000000003"/>
    <n v="0.66700000000000004"/>
    <n v="3.39E-2"/>
    <n v="1.73E-3"/>
    <n v="0.1"/>
    <n v="0.46800000000000003"/>
    <n v="-4.6680000000000001"/>
    <n v="258004"/>
    <n v="2021"/>
    <x v="1"/>
  </r>
  <r>
    <n v="678"/>
    <n v="149"/>
    <n v="1"/>
    <d v="2020-12-18T00:00:00"/>
    <x v="3"/>
    <s v="Little Saint Nick - 1991 Remix"/>
    <n v="7301381"/>
    <s v="The Beach Boys"/>
    <n v="1251372"/>
    <m/>
    <d v="2021-08-06T00:00:00"/>
    <n v="0"/>
    <x v="1"/>
    <n v="0.60199999999999998"/>
    <n v="0.55300000000000005"/>
    <n v="3.2800000000000003E-2"/>
    <n v="0.108"/>
    <n v="5.1200000000000002E-2"/>
    <n v="0.97099999999999997"/>
    <n v="-9.3360000000000003"/>
    <n v="118840"/>
    <n v="2021"/>
    <x v="1"/>
  </r>
  <r>
    <n v="119"/>
    <n v="5"/>
    <n v="21"/>
    <d v="2021-03-19T00:00:00"/>
    <x v="3"/>
    <s v="Hold On"/>
    <n v="6300416"/>
    <s v="Justin Bieber"/>
    <n v="1250353"/>
    <m/>
    <d v="2021-08-13T00:00:00"/>
    <n v="0"/>
    <x v="0"/>
    <n v="0.65800000000000003"/>
    <n v="0.63400000000000001"/>
    <n v="4.1300000000000003E-2"/>
    <n v="1.06E-2"/>
    <n v="0.13200000000000001"/>
    <n v="0.28999999999999998"/>
    <n v="-5.7969999999999997"/>
    <n v="170813"/>
    <n v="2021"/>
    <x v="1"/>
  </r>
  <r>
    <n v="1456"/>
    <n v="128"/>
    <n v="1"/>
    <d v="2020-01-31T00:00:00"/>
    <x v="3"/>
    <s v="King Of My City"/>
    <n v="5922748"/>
    <s v="A Boogie Wit da Hoodie"/>
    <n v="1251372"/>
    <m/>
    <d v="2021-08-13T00:00:00"/>
    <n v="0"/>
    <x v="0"/>
    <n v="0.67900000000000005"/>
    <n v="0.67900000000000005"/>
    <n v="0.16700000000000001"/>
    <n v="0.443"/>
    <n v="0.153"/>
    <n v="0.245"/>
    <n v="-6.7469999999999999"/>
    <n v="148676"/>
    <n v="2021"/>
    <x v="1"/>
  </r>
  <r>
    <n v="645"/>
    <n v="65"/>
    <n v="4"/>
    <d v="2020-12-18T00:00:00"/>
    <x v="3"/>
    <s v="Run Rudolph Run - Single Version"/>
    <n v="5802508"/>
    <s v="Chuck Berry"/>
    <n v="1251372"/>
    <m/>
    <d v="2021-08-06T00:00:00"/>
    <n v="0"/>
    <x v="0"/>
    <n v="0.64700000000000002"/>
    <n v="0.876"/>
    <n v="0.185"/>
    <n v="0.88100000000000001"/>
    <n v="0.26"/>
    <n v="0.94899999999999995"/>
    <n v="-5.6619999999999999"/>
    <n v="162897"/>
    <n v="2021"/>
    <x v="1"/>
  </r>
  <r>
    <n v="646"/>
    <n v="59"/>
    <n v="4"/>
    <d v="2020-12-18T00:00:00"/>
    <x v="3"/>
    <s v="Santa Claus Is Coming To Town"/>
    <n v="5801639"/>
    <s v="The Jackson 5"/>
    <n v="1251372"/>
    <m/>
    <d v="2021-08-06T00:00:00"/>
    <n v="0"/>
    <x v="0"/>
    <n v="0.69099999999999995"/>
    <n v="0.77600000000000002"/>
    <n v="3.4099999999999998E-2"/>
    <n v="0.45800000000000002"/>
    <n v="0.33"/>
    <n v="0.96099999999999997"/>
    <n v="-4.1769999999999996"/>
    <n v="144080"/>
    <n v="2021"/>
    <x v="1"/>
  </r>
  <r>
    <n v="157"/>
    <n v="68"/>
    <n v="6"/>
    <d v="2021-07-02T00:00:00"/>
    <x v="3"/>
    <s v="Ramenez la coupe à la maison"/>
    <n v="5576844"/>
    <s v="Vegedream"/>
    <n v="1250353"/>
    <m/>
    <d v="2021-08-13T00:00:00"/>
    <n v="0"/>
    <x v="0"/>
    <n v="0.80800000000000005"/>
    <n v="0.66"/>
    <n v="3.95E-2"/>
    <n v="3.5799999999999998E-2"/>
    <n v="0.13800000000000001"/>
    <n v="0.80400000000000005"/>
    <n v="-6.2370000000000001"/>
    <n v="235556"/>
    <n v="2021"/>
    <x v="1"/>
  </r>
  <r>
    <n v="534"/>
    <n v="12"/>
    <n v="21"/>
    <d v="2020-10-02T00:00:00"/>
    <x v="3"/>
    <s v="Wonder"/>
    <n v="5535339"/>
    <s v="Shawn Mendes"/>
    <n v="1251372"/>
    <m/>
    <d v="2021-08-13T00:00:00"/>
    <n v="0"/>
    <x v="0"/>
    <n v="0.33300000000000002"/>
    <n v="0.63700000000000001"/>
    <n v="5.8099999999999999E-2"/>
    <n v="0.13100000000000001"/>
    <n v="0.14899999999999999"/>
    <n v="0.13200000000000001"/>
    <n v="-4.9039999999999999"/>
    <n v="172693"/>
    <n v="2021"/>
    <x v="1"/>
  </r>
  <r>
    <n v="506"/>
    <n v="158"/>
    <n v="1"/>
    <d v="2021-03-05T00:00:00"/>
    <x v="3"/>
    <s v="VOCE"/>
    <n v="5510906"/>
    <s v="Madame"/>
    <n v="1251372"/>
    <m/>
    <d v="2021-08-13T00:00:00"/>
    <n v="0"/>
    <x v="0"/>
    <n v="0.61499999999999999"/>
    <n v="0.83399999999999996"/>
    <n v="6.6699999999999995E-2"/>
    <n v="0.105"/>
    <n v="0.157"/>
    <n v="0.34100000000000003"/>
    <n v="-5.4710000000000001"/>
    <n v="211411"/>
    <n v="2021"/>
    <x v="1"/>
  </r>
  <r>
    <n v="400"/>
    <n v="42"/>
    <n v="60"/>
    <d v="2020-01-31T00:00:00"/>
    <x v="3"/>
    <s v="when the party's over"/>
    <n v="5467596"/>
    <s v="Billie Eilish"/>
    <n v="1250353"/>
    <m/>
    <d v="2021-08-13T00:00:00"/>
    <n v="0"/>
    <x v="1"/>
    <n v="0.48399999999999999"/>
    <n v="0.10299999999999999"/>
    <n v="6.2700000000000006E-2"/>
    <n v="0.97899999999999998"/>
    <n v="8.9499999999999996E-2"/>
    <n v="0.19400000000000001"/>
    <n v="-14.074999999999999"/>
    <n v="199931"/>
    <n v="2021"/>
    <x v="1"/>
  </r>
  <r>
    <n v="378"/>
    <n v="10"/>
    <n v="69"/>
    <d v="2019-12-27T00:00:00"/>
    <x v="3"/>
    <s v="everything i wanted"/>
    <n v="5448680"/>
    <s v="Billie Eilish"/>
    <n v="1250353"/>
    <m/>
    <d v="2021-08-13T00:00:00"/>
    <n v="0"/>
    <x v="1"/>
    <n v="0.70399999999999996"/>
    <n v="0.22500000000000001"/>
    <n v="9.9400000000000002E-2"/>
    <n v="0.90100000000000002"/>
    <n v="0.106"/>
    <n v="0.24299999999999999"/>
    <n v="-14.454000000000001"/>
    <n v="245426"/>
    <n v="2021"/>
    <x v="1"/>
  </r>
  <r>
    <n v="165"/>
    <n v="13"/>
    <n v="83"/>
    <d v="2020-01-24T00:00:00"/>
    <x v="3"/>
    <s v="bad guy"/>
    <n v="5436286"/>
    <s v="Billie Eilish"/>
    <n v="1250353"/>
    <m/>
    <d v="2021-08-13T00:00:00"/>
    <n v="0"/>
    <x v="1"/>
    <n v="0.70099999999999996"/>
    <n v="0.42499999999999999"/>
    <n v="0.375"/>
    <n v="0.32800000000000001"/>
    <n v="0.1"/>
    <n v="0.56200000000000006"/>
    <n v="-10.965"/>
    <n v="194088"/>
    <n v="2021"/>
    <x v="1"/>
  </r>
  <r>
    <n v="543"/>
    <n v="14"/>
    <n v="32"/>
    <d v="2020-08-28T00:00:00"/>
    <x v="3"/>
    <s v="Ay, DiOs Mío!"/>
    <n v="5344862"/>
    <s v="KAROL G"/>
    <n v="1251372"/>
    <m/>
    <d v="2021-08-12T00:00:00"/>
    <n v="0"/>
    <x v="0"/>
    <n v="0.71499999999999997"/>
    <n v="0.70599999999999996"/>
    <n v="0.19500000000000001"/>
    <n v="0.496"/>
    <n v="0.106"/>
    <n v="0.52200000000000002"/>
    <n v="-4.423"/>
    <n v="189840"/>
    <n v="2021"/>
    <x v="1"/>
  </r>
  <r>
    <n v="309"/>
    <n v="2"/>
    <n v="31"/>
    <d v="2020-11-13T00:00:00"/>
    <x v="3"/>
    <s v="Therefore I Am"/>
    <n v="5265630"/>
    <s v="Billie Eilish"/>
    <n v="1250353"/>
    <m/>
    <d v="2021-08-13T00:00:00"/>
    <n v="0"/>
    <x v="1"/>
    <n v="0.88900000000000001"/>
    <n v="0.34"/>
    <n v="6.9699999999999998E-2"/>
    <n v="0.218"/>
    <n v="5.5E-2"/>
    <n v="0.71599999999999997"/>
    <n v="-7.7729999999999997"/>
    <n v="174321"/>
    <n v="2021"/>
    <x v="1"/>
  </r>
  <r>
    <n v="443"/>
    <n v="40"/>
    <n v="25"/>
    <d v="2021-01-01T00:00:00"/>
    <x v="3"/>
    <s v="Chica Ideal"/>
    <n v="5217052"/>
    <s v="Sebastian Yatra, Guaynaa"/>
    <n v="1250353"/>
    <m/>
    <d v="2021-08-09T00:00:00"/>
    <n v="0"/>
    <x v="0"/>
    <n v="0.57399999999999995"/>
    <n v="0.89100000000000001"/>
    <n v="0.157"/>
    <n v="8.4699999999999998E-2"/>
    <n v="0.16"/>
    <n v="0.70699999999999996"/>
    <n v="-3.665"/>
    <n v="183240"/>
    <n v="2021"/>
    <x v="1"/>
  </r>
  <r>
    <n v="372"/>
    <n v="110"/>
    <n v="10"/>
    <d v="2021-03-26T00:00:00"/>
    <x v="3"/>
    <s v="PROBLEMA"/>
    <n v="5215973"/>
    <s v="Daddy Yankee"/>
    <n v="1250353"/>
    <m/>
    <d v="2021-08-09T00:00:00"/>
    <n v="0"/>
    <x v="0"/>
    <n v="0.77300000000000002"/>
    <n v="0.8"/>
    <n v="9.8699999999999996E-2"/>
    <n v="6.13E-2"/>
    <n v="3.27E-2"/>
    <n v="0.84199999999999997"/>
    <n v="-3.17"/>
    <n v="184507"/>
    <n v="2021"/>
    <x v="1"/>
  </r>
  <r>
    <n v="216"/>
    <n v="15"/>
    <n v="7"/>
    <d v="2021-06-04T00:00:00"/>
    <x v="3"/>
    <s v="Lost Cause"/>
    <n v="5203319"/>
    <s v="Billie Eilish"/>
    <n v="1250353"/>
    <m/>
    <d v="2021-08-12T00:00:00"/>
    <n v="0"/>
    <x v="1"/>
    <n v="0.67100000000000004"/>
    <n v="0.33600000000000002"/>
    <n v="0.24099999999999999"/>
    <n v="0.70499999999999996"/>
    <n v="5.7700000000000001E-2"/>
    <n v="0.51800000000000002"/>
    <n v="-8.4939999999999998"/>
    <n v="212496"/>
    <n v="2021"/>
    <x v="1"/>
  </r>
  <r>
    <n v="326"/>
    <n v="3"/>
    <n v="33"/>
    <d v="2020-12-25T00:00:00"/>
    <x v="3"/>
    <s v="BICHOTA"/>
    <n v="5201714"/>
    <s v="KAROL G"/>
    <n v="1250353"/>
    <m/>
    <d v="2021-08-13T00:00:00"/>
    <n v="0"/>
    <x v="0"/>
    <n v="0.86299999999999999"/>
    <n v="0.66600000000000004"/>
    <n v="0.152"/>
    <n v="0.21199999999999999"/>
    <n v="0.10299999999999999"/>
    <n v="0.83799999999999997"/>
    <n v="-4.1580000000000004"/>
    <n v="178947"/>
    <n v="2021"/>
    <x v="1"/>
  </r>
  <r>
    <n v="312"/>
    <n v="39"/>
    <n v="6"/>
    <d v="2021-05-07T00:00:00"/>
    <x v="3"/>
    <s v="Higher Power"/>
    <n v="5142982"/>
    <s v="Coldplay"/>
    <n v="1250353"/>
    <m/>
    <d v="2021-08-13T00:00:00"/>
    <n v="0"/>
    <x v="0"/>
    <n v="0.50700000000000001"/>
    <n v="0.82799999999999996"/>
    <n v="4.4900000000000002E-2"/>
    <n v="7.11E-3"/>
    <n v="0.26100000000000001"/>
    <n v="0.48899999999999999"/>
    <n v="-6.0229999999999997"/>
    <n v="211295"/>
    <n v="2021"/>
    <x v="1"/>
  </r>
  <r>
    <n v="286"/>
    <n v="6"/>
    <n v="26"/>
    <d v="2021-01-01T00:00:00"/>
    <x v="3"/>
    <s v="Anyone"/>
    <n v="5079587"/>
    <s v="Justin Bieber"/>
    <n v="1250353"/>
    <m/>
    <d v="2021-08-13T00:00:00"/>
    <n v="0"/>
    <x v="1"/>
    <n v="0.68600000000000005"/>
    <n v="0.53800000000000003"/>
    <n v="3.4500000000000003E-2"/>
    <n v="0.18099999999999999"/>
    <n v="0.113"/>
    <n v="0.58399999999999996"/>
    <n v="-8.0259999999999998"/>
    <n v="190779"/>
    <n v="2021"/>
    <x v="1"/>
  </r>
  <r>
    <n v="1481"/>
    <n v="56"/>
    <n v="5"/>
    <d v="2020-01-10T00:00:00"/>
    <x v="3"/>
    <s v="Look At Her Now"/>
    <n v="5066377"/>
    <s v="Selena Gomez"/>
    <n v="1251372"/>
    <m/>
    <d v="2021-08-13T00:00:00"/>
    <n v="0"/>
    <x v="1"/>
    <n v="0.753"/>
    <n v="0.56399999999999995"/>
    <n v="0.251"/>
    <n v="0.114"/>
    <n v="0.35899999999999999"/>
    <n v="0.55000000000000004"/>
    <n v="-7.9080000000000004"/>
    <n v="162596"/>
    <n v="2021"/>
    <x v="1"/>
  </r>
  <r>
    <n v="1429"/>
    <n v="167"/>
    <n v="4"/>
    <d v="2020-01-24T00:00:00"/>
    <x v="3"/>
    <s v="you should see me in a crown"/>
    <n v="4988054"/>
    <s v="Billie Eilish"/>
    <n v="1251372"/>
    <m/>
    <d v="2021-08-13T00:00:00"/>
    <n v="0"/>
    <x v="1"/>
    <n v="0.68300000000000005"/>
    <n v="0.53400000000000003"/>
    <n v="0.189"/>
    <n v="0.51900000000000002"/>
    <n v="0.14799999999999999"/>
    <n v="0.28399999999999997"/>
    <n v="-10.348000000000001"/>
    <n v="180567"/>
    <n v="2021"/>
    <x v="1"/>
  </r>
  <r>
    <n v="822"/>
    <n v="56"/>
    <n v="7"/>
    <d v="2020-09-11T00:00:00"/>
    <x v="3"/>
    <s v="OK Not To Be OK"/>
    <n v="4980744"/>
    <s v="Marshmello, Demi Lovato"/>
    <n v="1251372"/>
    <m/>
    <d v="2021-08-13T00:00:00"/>
    <n v="0"/>
    <x v="0"/>
    <n v="0.74299999999999999"/>
    <n v="0.83699999999999997"/>
    <n v="6.4899999999999999E-2"/>
    <n v="1.72E-2"/>
    <n v="7.4300000000000005E-2"/>
    <n v="0.26300000000000001"/>
    <n v="-5.0250000000000004"/>
    <n v="159863"/>
    <n v="2021"/>
    <x v="1"/>
  </r>
  <r>
    <n v="427"/>
    <n v="18"/>
    <n v="18"/>
    <d v="2021-01-01T00:00:00"/>
    <x v="3"/>
    <s v="Afterglow"/>
    <n v="4965330"/>
    <s v="Ed Sheeran"/>
    <n v="1250353"/>
    <m/>
    <d v="2021-08-13T00:00:00"/>
    <n v="0"/>
    <x v="1"/>
    <n v="0.64100000000000001"/>
    <n v="0.32400000000000001"/>
    <n v="2.9899999999999999E-2"/>
    <n v="0.69799999999999995"/>
    <n v="0.32800000000000001"/>
    <n v="0.27300000000000002"/>
    <n v="-5.851"/>
    <n v="185487"/>
    <n v="2021"/>
    <x v="1"/>
  </r>
  <r>
    <n v="418"/>
    <n v="73"/>
    <n v="11"/>
    <d v="2021-02-19T00:00:00"/>
    <x v="3"/>
    <s v="LOCATION"/>
    <n v="4940701"/>
    <s v="KAROL G, Anuel AA, J Balvin"/>
    <n v="1250353"/>
    <m/>
    <d v="2021-08-12T00:00:00"/>
    <n v="0"/>
    <x v="0"/>
    <n v="0.77200000000000002"/>
    <n v="0.75800000000000001"/>
    <n v="4.82E-2"/>
    <n v="4.3299999999999998E-2"/>
    <n v="0.29499999999999998"/>
    <n v="0.65400000000000003"/>
    <n v="-3.891"/>
    <n v="265240"/>
    <n v="2021"/>
    <x v="1"/>
  </r>
  <r>
    <n v="1400"/>
    <n v="86"/>
    <n v="9"/>
    <d v="2019-12-27T00:00:00"/>
    <x v="3"/>
    <s v="Indeciso"/>
    <n v="4897374"/>
    <s v="Reik, J Balvin, Lalo Ebratt"/>
    <n v="1251372"/>
    <m/>
    <d v="2021-08-09T00:00:00"/>
    <n v="0"/>
    <x v="0"/>
    <n v="0.73799999999999999"/>
    <n v="0.748"/>
    <n v="4.53E-2"/>
    <n v="0.182"/>
    <n v="0.109"/>
    <n v="0.89600000000000002"/>
    <n v="-4.9020000000000001"/>
    <n v="217253"/>
    <n v="2021"/>
    <x v="1"/>
  </r>
  <r>
    <n v="1324"/>
    <n v="192"/>
    <n v="1"/>
    <d v="2020-03-13T00:00:00"/>
    <x v="3"/>
    <s v="Bad Child"/>
    <n v="4787180"/>
    <s v="Tones And I"/>
    <n v="1251372"/>
    <m/>
    <d v="2021-08-13T00:00:00"/>
    <n v="0"/>
    <x v="1"/>
    <n v="0.75600000000000001"/>
    <n v="0.55300000000000005"/>
    <n v="3.4299999999999997E-2"/>
    <n v="0.40400000000000003"/>
    <n v="0.158"/>
    <n v="0.59699999999999998"/>
    <n v="-4.24"/>
    <n v="221467"/>
    <n v="2021"/>
    <x v="1"/>
  </r>
  <r>
    <n v="804"/>
    <n v="14"/>
    <n v="37"/>
    <d v="2020-03-20T00:00:00"/>
    <x v="3"/>
    <s v="Rojo"/>
    <n v="4773792"/>
    <s v="J Balvin"/>
    <n v="1251372"/>
    <m/>
    <d v="2021-08-09T00:00:00"/>
    <n v="0"/>
    <x v="1"/>
    <n v="0.65200000000000002"/>
    <n v="0.59499999999999997"/>
    <n v="0.11700000000000001"/>
    <n v="0.15"/>
    <n v="8.3599999999999994E-2"/>
    <n v="0.42099999999999999"/>
    <n v="-4.04"/>
    <n v="151147"/>
    <n v="2021"/>
    <x v="1"/>
  </r>
  <r>
    <n v="941"/>
    <n v="56"/>
    <n v="21"/>
    <d v="2020-04-24T00:00:00"/>
    <x v="3"/>
    <s v="PORFA"/>
    <n v="4702117"/>
    <s v="Feid, Justin Quiles"/>
    <n v="1251372"/>
    <m/>
    <d v="2021-08-09T00:00:00"/>
    <n v="0"/>
    <x v="1"/>
    <n v="0.84299999999999997"/>
    <n v="0.54900000000000004"/>
    <n v="0.16400000000000001"/>
    <n v="9.4799999999999995E-2"/>
    <n v="0.155"/>
    <n v="0.54200000000000004"/>
    <n v="-8.0180000000000007"/>
    <n v="233000"/>
    <n v="2021"/>
    <x v="1"/>
  </r>
  <r>
    <n v="1093"/>
    <n v="13"/>
    <n v="14"/>
    <d v="2020-02-28T00:00:00"/>
    <x v="3"/>
    <s v="Stupid Love"/>
    <n v="4609858"/>
    <s v="Lady Gaga"/>
    <n v="1251372"/>
    <m/>
    <d v="2021-08-08T00:00:00"/>
    <n v="0"/>
    <x v="0"/>
    <n v="0.68"/>
    <n v="0.82499999999999996"/>
    <n v="7.0199999999999999E-2"/>
    <n v="1.73E-3"/>
    <n v="0.27"/>
    <n v="0.78400000000000003"/>
    <n v="-4.2960000000000003"/>
    <n v="193533"/>
    <n v="2021"/>
    <x v="1"/>
  </r>
  <r>
    <n v="1166"/>
    <n v="74"/>
    <n v="22"/>
    <d v="2020-02-07T00:00:00"/>
    <x v="3"/>
    <s v="Never Seen the Rain"/>
    <n v="4473968"/>
    <s v="Tones And I"/>
    <n v="1251372"/>
    <m/>
    <d v="2021-08-13T00:00:00"/>
    <n v="0"/>
    <x v="1"/>
    <n v="0.74199999999999999"/>
    <n v="0.46400000000000002"/>
    <n v="3.1800000000000002E-2"/>
    <n v="0.42499999999999999"/>
    <n v="0.28399999999999997"/>
    <n v="0.28100000000000003"/>
    <n v="-5.6239999999999997"/>
    <n v="200742"/>
    <n v="2021"/>
    <x v="1"/>
  </r>
  <r>
    <n v="1257"/>
    <n v="191"/>
    <n v="2"/>
    <d v="2020-04-03T00:00:00"/>
    <x v="3"/>
    <s v="BRABA"/>
    <n v="4452819"/>
    <s v="Luísa Sonza"/>
    <n v="1251372"/>
    <m/>
    <d v="2021-08-11T00:00:00"/>
    <n v="0"/>
    <x v="0"/>
    <n v="0.81200000000000006"/>
    <n v="0.68899999999999995"/>
    <n v="6.1899999999999997E-2"/>
    <n v="0.18099999999999999"/>
    <n v="7.8399999999999997E-2"/>
    <n v="0.66300000000000003"/>
    <n v="-5.1130000000000004"/>
    <n v="129782"/>
    <n v="2021"/>
    <x v="1"/>
  </r>
  <r>
    <n v="1076"/>
    <n v="189"/>
    <n v="1"/>
    <d v="2020-06-26T00:00:00"/>
    <x v="3"/>
    <s v="Karaoke"/>
    <n v="4374448"/>
    <s v="Boomdabash, Alessandra Amoroso"/>
    <n v="1251372"/>
    <m/>
    <d v="2021-08-10T00:00:00"/>
    <n v="0"/>
    <x v="1"/>
    <n v="0.92900000000000005"/>
    <n v="0.625"/>
    <n v="0.14000000000000001"/>
    <n v="0.28899999999999998"/>
    <n v="0.38600000000000001"/>
    <n v="0.57799999999999996"/>
    <n v="-5.7279999999999998"/>
    <n v="156493"/>
    <n v="2021"/>
    <x v="1"/>
  </r>
  <r>
    <n v="36"/>
    <n v="36"/>
    <n v="1"/>
    <d v="2021-07-23T00:00:00"/>
    <x v="3"/>
    <s v="NOT SOBER (feat. Polo G &amp; Stunna Gambino)"/>
    <n v="11869336"/>
    <s v="The Kid LAROI"/>
    <m/>
    <s v=" "/>
    <m/>
    <m/>
    <x v="1"/>
    <m/>
    <m/>
    <m/>
    <m/>
    <m/>
    <m/>
    <m/>
    <m/>
    <n v="1900"/>
    <x v="1"/>
  </r>
  <r>
    <n v="655"/>
    <n v="73"/>
    <n v="1"/>
    <d v="2020-12-18T00:00:00"/>
    <x v="3"/>
    <s v="Thank God It's Christmas - Non-Album Single"/>
    <n v="10509961"/>
    <s v="Queen"/>
    <m/>
    <s v=" "/>
    <m/>
    <m/>
    <x v="1"/>
    <m/>
    <m/>
    <m/>
    <m/>
    <m/>
    <m/>
    <m/>
    <m/>
    <n v="1900"/>
    <x v="1"/>
  </r>
  <r>
    <n v="637"/>
    <n v="22"/>
    <n v="6"/>
    <d v="2020-12-18T00:00:00"/>
    <x v="3"/>
    <s v="Driving Home for Christmas - 2019 Remaster"/>
    <n v="8804531"/>
    <s v="Chris Rea"/>
    <m/>
    <s v=" "/>
    <m/>
    <m/>
    <x v="1"/>
    <m/>
    <m/>
    <m/>
    <m/>
    <m/>
    <m/>
    <m/>
    <m/>
    <n v="1900"/>
    <x v="1"/>
  </r>
  <r>
    <n v="465"/>
    <n v="118"/>
    <n v="1"/>
    <d v="2021-03-26T00:00:00"/>
    <x v="3"/>
    <s v="Richer (feat. Polo G)"/>
    <n v="6292362"/>
    <s v="Rod Wave"/>
    <m/>
    <s v=" "/>
    <m/>
    <m/>
    <x v="1"/>
    <m/>
    <m/>
    <m/>
    <m/>
    <m/>
    <m/>
    <m/>
    <m/>
    <n v="1900"/>
    <x v="1"/>
  </r>
  <r>
    <n v="531"/>
    <n v="20"/>
    <n v="5"/>
    <d v="2021-01-15T00:00:00"/>
    <x v="3"/>
    <s v="34+35 Remix (feat. Doja Cat, Megan Thee Stallion) - Remix"/>
    <n v="6162453"/>
    <s v="Ariana Grande"/>
    <m/>
    <s v=" "/>
    <m/>
    <m/>
    <x v="1"/>
    <m/>
    <m/>
    <m/>
    <m/>
    <m/>
    <m/>
    <m/>
    <m/>
    <n v="1900"/>
    <x v="1"/>
  </r>
  <r>
    <n v="1141"/>
    <n v="131"/>
    <n v="1"/>
    <d v="2020-05-29T00:00:00"/>
    <x v="3"/>
    <s v="In meinem Benz"/>
    <n v="5494500"/>
    <s v="AK AUSSERKONTROLLE, Bonez MC"/>
    <m/>
    <s v=" "/>
    <m/>
    <m/>
    <x v="1"/>
    <m/>
    <m/>
    <m/>
    <m/>
    <m/>
    <m/>
    <m/>
    <m/>
    <n v="1900"/>
    <x v="1"/>
  </r>
  <r>
    <n v="164"/>
    <n v="5"/>
    <n v="39"/>
    <d v="2020-10-30T00:00:00"/>
    <x v="3"/>
    <s v="34+35"/>
    <n v="5453159"/>
    <s v="Ariana Grande"/>
    <m/>
    <s v=" "/>
    <m/>
    <m/>
    <x v="1"/>
    <m/>
    <m/>
    <m/>
    <m/>
    <m/>
    <m/>
    <m/>
    <m/>
    <n v="1900"/>
    <x v="1"/>
  </r>
  <r>
    <n v="751"/>
    <n v="19"/>
    <n v="20"/>
    <d v="2020-07-31T00:00:00"/>
    <x v="3"/>
    <s v="Agua (with J Balvin) - Music From &quot;Sponge On The Run&quot; Movie"/>
    <n v="5358940"/>
    <s v="Tainy"/>
    <m/>
    <s v=" "/>
    <m/>
    <m/>
    <x v="1"/>
    <m/>
    <m/>
    <m/>
    <m/>
    <m/>
    <m/>
    <m/>
    <m/>
    <n v="1900"/>
    <x v="1"/>
  </r>
  <r>
    <n v="877"/>
    <n v="164"/>
    <n v="4"/>
    <d v="2020-09-18T00:00:00"/>
    <x v="3"/>
    <s v="+Linda"/>
    <n v="4964708"/>
    <s v="Dalex"/>
    <m/>
    <s v=" "/>
    <m/>
    <m/>
    <x v="1"/>
    <m/>
    <m/>
    <m/>
    <m/>
    <m/>
    <m/>
    <m/>
    <m/>
    <n v="1900"/>
    <x v="1"/>
  </r>
  <r>
    <n v="1539"/>
    <n v="176"/>
    <n v="1"/>
    <d v="2020-01-03T00:00:00"/>
    <x v="3"/>
    <s v="fuck, i'm lonely (with Anne-Marie) - from “13 Reasons Why: Season 3”"/>
    <n v="4856458"/>
    <s v="Lauv"/>
    <m/>
    <s v=" "/>
    <m/>
    <m/>
    <x v="1"/>
    <m/>
    <m/>
    <m/>
    <m/>
    <m/>
    <m/>
    <m/>
    <m/>
    <n v="1900"/>
    <x v="1"/>
  </r>
  <r>
    <n v="785"/>
    <n v="76"/>
    <n v="14"/>
    <d v="2020-09-04T00:00:00"/>
    <x v="3"/>
    <s v="Lean (feat. Towy, Osquel, Beltito &amp; Sammy &amp; Falsetto)"/>
    <n v="4739241"/>
    <s v="Super Yei, Jone Quest"/>
    <m/>
    <s v=" "/>
    <m/>
    <m/>
    <x v="1"/>
    <m/>
    <m/>
    <m/>
    <m/>
    <m/>
    <m/>
    <m/>
    <m/>
    <n v="19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EAB702-A167-47E2-95BD-71ADCE4078AE}" name="Tableau croisé dynamique21"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3">
  <location ref="B24:C35" firstHeaderRow="1" firstDataRow="1" firstDataCol="1"/>
  <pivotFields count="1">
    <pivotField axis="axisRow" dataField="1" showAll="0" measureFilter="1" sortType="descending">
      <items count="172">
        <item x="69"/>
        <item x="81"/>
        <item x="46"/>
        <item x="60"/>
        <item x="149"/>
        <item x="122"/>
        <item x="54"/>
        <item x="26"/>
        <item x="23"/>
        <item x="68"/>
        <item x="89"/>
        <item x="67"/>
        <item x="92"/>
        <item x="28"/>
        <item x="13"/>
        <item x="141"/>
        <item x="87"/>
        <item x="80"/>
        <item x="66"/>
        <item x="43"/>
        <item x="64"/>
        <item x="144"/>
        <item x="44"/>
        <item x="20"/>
        <item x="156"/>
        <item x="142"/>
        <item x="86"/>
        <item x="168"/>
        <item x="91"/>
        <item x="19"/>
        <item x="85"/>
        <item x="10"/>
        <item x="12"/>
        <item x="59"/>
        <item x="145"/>
        <item x="131"/>
        <item x="76"/>
        <item x="79"/>
        <item x="83"/>
        <item x="88"/>
        <item x="24"/>
        <item x="158"/>
        <item x="84"/>
        <item x="111"/>
        <item x="18"/>
        <item x="71"/>
        <item x="123"/>
        <item x="106"/>
        <item x="98"/>
        <item x="162"/>
        <item x="37"/>
        <item x="94"/>
        <item x="15"/>
        <item x="35"/>
        <item x="157"/>
        <item x="104"/>
        <item x="11"/>
        <item x="90"/>
        <item x="107"/>
        <item x="99"/>
        <item x="63"/>
        <item x="73"/>
        <item x="36"/>
        <item x="96"/>
        <item x="50"/>
        <item x="48"/>
        <item x="7"/>
        <item x="152"/>
        <item x="165"/>
        <item x="100"/>
        <item x="105"/>
        <item x="21"/>
        <item x="129"/>
        <item x="30"/>
        <item x="39"/>
        <item x="52"/>
        <item x="102"/>
        <item x="34"/>
        <item x="72"/>
        <item x="47"/>
        <item x="38"/>
        <item x="40"/>
        <item x="70"/>
        <item x="127"/>
        <item x="95"/>
        <item x="0"/>
        <item x="113"/>
        <item x="121"/>
        <item x="164"/>
        <item x="97"/>
        <item x="9"/>
        <item x="163"/>
        <item x="61"/>
        <item x="29"/>
        <item x="58"/>
        <item x="146"/>
        <item x="151"/>
        <item x="108"/>
        <item x="1"/>
        <item x="120"/>
        <item x="161"/>
        <item x="45"/>
        <item x="3"/>
        <item x="114"/>
        <item x="118"/>
        <item x="154"/>
        <item x="109"/>
        <item x="112"/>
        <item x="8"/>
        <item x="126"/>
        <item x="75"/>
        <item x="27"/>
        <item x="143"/>
        <item x="135"/>
        <item x="16"/>
        <item x="132"/>
        <item x="153"/>
        <item x="5"/>
        <item x="136"/>
        <item x="65"/>
        <item x="148"/>
        <item x="101"/>
        <item x="137"/>
        <item x="78"/>
        <item x="17"/>
        <item x="115"/>
        <item x="74"/>
        <item x="169"/>
        <item x="53"/>
        <item x="25"/>
        <item x="56"/>
        <item x="116"/>
        <item x="166"/>
        <item x="22"/>
        <item x="124"/>
        <item x="41"/>
        <item x="119"/>
        <item x="62"/>
        <item x="170"/>
        <item x="160"/>
        <item x="42"/>
        <item x="117"/>
        <item x="31"/>
        <item x="125"/>
        <item x="6"/>
        <item x="134"/>
        <item x="93"/>
        <item x="103"/>
        <item x="51"/>
        <item x="82"/>
        <item x="130"/>
        <item x="77"/>
        <item x="150"/>
        <item x="147"/>
        <item x="33"/>
        <item x="139"/>
        <item x="4"/>
        <item x="57"/>
        <item x="110"/>
        <item x="133"/>
        <item x="140"/>
        <item x="138"/>
        <item x="55"/>
        <item x="32"/>
        <item x="167"/>
        <item x="2"/>
        <item x="49"/>
        <item x="159"/>
        <item x="128"/>
        <item x="155"/>
        <item x="14"/>
        <item t="default"/>
      </items>
      <autoSortScope>
        <pivotArea dataOnly="0" outline="0" fieldPosition="0">
          <references count="1">
            <reference field="4294967294" count="1" selected="0">
              <x v="0"/>
            </reference>
          </references>
        </pivotArea>
      </autoSortScope>
    </pivotField>
  </pivotFields>
  <rowFields count="1">
    <field x="0"/>
  </rowFields>
  <rowItems count="11">
    <i>
      <x v="56"/>
    </i>
    <i>
      <x v="117"/>
    </i>
    <i>
      <x v="144"/>
    </i>
    <i>
      <x v="124"/>
    </i>
    <i>
      <x v="14"/>
    </i>
    <i>
      <x v="98"/>
    </i>
    <i>
      <x v="44"/>
    </i>
    <i>
      <x v="114"/>
    </i>
    <i>
      <x v="33"/>
    </i>
    <i>
      <x v="40"/>
    </i>
    <i t="grand">
      <x/>
    </i>
  </rowItems>
  <colItems count="1">
    <i/>
  </colItems>
  <dataFields count="1">
    <dataField name="Nombre de Genre principal"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B8F6B6-85BE-4ECC-A565-56EBBCEDC10B}" name="Tableau croisé dynamique2" cacheId="7"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8">
  <location ref="B35:E43" firstHeaderRow="1" firstDataRow="2" firstDataCol="1"/>
  <pivotFields count="23">
    <pivotField showAll="0"/>
    <pivotField showAll="0"/>
    <pivotField showAll="0"/>
    <pivotField numFmtId="14" showAll="0"/>
    <pivotField axis="axisRow" showAll="0">
      <items count="7">
        <item x="3"/>
        <item x="5"/>
        <item x="1"/>
        <item x="2"/>
        <item x="4"/>
        <item x="0"/>
        <item t="default"/>
      </items>
    </pivotField>
    <pivotField dataField="1" showAll="0"/>
    <pivotField numFmtId="3" showAll="0"/>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Fields count="1">
    <field x="12"/>
  </colFields>
  <colItems count="3">
    <i>
      <x/>
    </i>
    <i>
      <x v="1"/>
    </i>
    <i t="grand">
      <x/>
    </i>
  </colItems>
  <dataFields count="1">
    <dataField name="Nombre de Chanson" fld="5" subtotal="count" baseField="0" baseItem="0"/>
  </dataFields>
  <chartFormats count="4">
    <chartFormat chart="3" format="0" series="1">
      <pivotArea type="data" outline="0" fieldPosition="0">
        <references count="2">
          <reference field="4294967294" count="1" selected="0">
            <x v="0"/>
          </reference>
          <reference field="12" count="1" selected="0">
            <x v="0"/>
          </reference>
        </references>
      </pivotArea>
    </chartFormat>
    <chartFormat chart="3" format="1" series="1">
      <pivotArea type="data" outline="0" fieldPosition="0">
        <references count="2">
          <reference field="4294967294" count="1" selected="0">
            <x v="0"/>
          </reference>
          <reference field="12" count="1" selected="0">
            <x v="1"/>
          </reference>
        </references>
      </pivotArea>
    </chartFormat>
    <chartFormat chart="5" format="0" series="1">
      <pivotArea type="data" outline="0" fieldPosition="0">
        <references count="2">
          <reference field="4294967294" count="1" selected="0">
            <x v="0"/>
          </reference>
          <reference field="12" count="1" selected="0">
            <x v="0"/>
          </reference>
        </references>
      </pivotArea>
    </chartFormat>
    <chartFormat chart="5" format="1"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61D4BD-DD2B-47DB-AB2D-95AF055DA781}" name="Tableau croisé dynamique1" cacheId="7"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3">
  <location ref="B2:E10" firstHeaderRow="1" firstDataRow="2" firstDataCol="1"/>
  <pivotFields count="23">
    <pivotField showAll="0"/>
    <pivotField showAll="0"/>
    <pivotField showAll="0"/>
    <pivotField numFmtId="14" showAll="0"/>
    <pivotField axis="axisRow" showAll="0">
      <items count="7">
        <item x="3"/>
        <item x="5"/>
        <item x="1"/>
        <item x="2"/>
        <item x="4"/>
        <item x="0"/>
        <item t="default"/>
      </items>
    </pivotField>
    <pivotField dataField="1" showAll="0"/>
    <pivotField numFmtId="3"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s>
  <rowFields count="1">
    <field x="4"/>
  </rowFields>
  <rowItems count="7">
    <i>
      <x/>
    </i>
    <i>
      <x v="1"/>
    </i>
    <i>
      <x v="2"/>
    </i>
    <i>
      <x v="3"/>
    </i>
    <i>
      <x v="4"/>
    </i>
    <i>
      <x v="5"/>
    </i>
    <i t="grand">
      <x/>
    </i>
  </rowItems>
  <colFields count="1">
    <field x="22"/>
  </colFields>
  <colItems count="3">
    <i>
      <x/>
    </i>
    <i>
      <x v="1"/>
    </i>
    <i t="grand">
      <x/>
    </i>
  </colItems>
  <dataFields count="1">
    <dataField name="Nombre de Chanson" fld="5" subtotal="count" baseField="0" baseItem="0"/>
  </dataFields>
  <chartFormats count="2">
    <chartFormat chart="2" format="0" series="1">
      <pivotArea type="data" outline="0" fieldPosition="0">
        <references count="2">
          <reference field="4294967294" count="1" selected="0">
            <x v="0"/>
          </reference>
          <reference field="22" count="1" selected="0">
            <x v="0"/>
          </reference>
        </references>
      </pivotArea>
    </chartFormat>
    <chartFormat chart="2" format="1"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2C01D1-BCF2-4E24-9426-CB940DC65E63}" name="Spotify" displayName="Spotify" ref="A1:W1557">
  <autoFilter ref="A1:W1557" xr:uid="{2C2C01D1-BCF2-4E24-9426-CB940DC65E63}"/>
  <sortState xmlns:xlrd2="http://schemas.microsoft.com/office/spreadsheetml/2017/richdata2" ref="A2:U1557">
    <sortCondition descending="1" ref="L2:L1557"/>
  </sortState>
  <tableColumns count="23">
    <tableColumn id="1" xr3:uid="{4B7BB243-C5BA-4D80-83CB-CFF18BB32604}" name="Index"/>
    <tableColumn id="2" xr3:uid="{2B019BAE-A36D-491E-9F7E-6F57C5C467E3}" name="Position la plus élevée dans les charts"/>
    <tableColumn id="3" xr3:uid="{9997E6D6-B7D9-48AD-AC1C-C42F80E63EFC}" name="Nombre d'apparitions dans les charts" dataDxfId="54"/>
    <tableColumn id="4" xr3:uid="{D08E9D2B-6BDF-41F4-A1CE-3B200BC0FADC}" name="Semaine du plus haut classement" dataDxfId="53" totalsRowDxfId="52"/>
    <tableColumn id="20" xr3:uid="{869A1BF5-6F9B-4E7A-B0D4-2BE24BACE7D1}" name="Genre" dataDxfId="51" totalsRowDxfId="50" dataCellStyle="Milliers">
      <calculatedColumnFormula array="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calculatedColumnFormula>
    </tableColumn>
    <tableColumn id="5" xr3:uid="{16F301D5-1D3E-41D6-9309-574647A6978F}" name="Chanson"/>
    <tableColumn id="6" xr3:uid="{E5DD8F5E-30D7-4CB0-982A-2840B5596A12}" name="Ecoutes" dataDxfId="49" totalsRowDxfId="48"/>
    <tableColumn id="7" xr3:uid="{4ADA5CF6-5EFE-4A6D-BA5A-3F21A5A09B7C}" name="Artiste"/>
    <tableColumn id="8" xr3:uid="{27F939C8-A5C6-4385-8468-5E2B8147D8E4}" name="Followers" dataDxfId="47" totalsRowDxfId="46" dataCellStyle="Milliers"/>
    <tableColumn id="9" xr3:uid="{D217085F-FA0C-4186-B716-1C9A55675A7D}" name="Genre principal"/>
    <tableColumn id="10" xr3:uid="{1F756179-CBC9-472C-9E4A-0C6406810472}" name="Date de sortie" dataDxfId="45" totalsRowDxfId="44"/>
    <tableColumn id="11" xr3:uid="{DC9CC3F4-D8B5-413C-9097-BBBF263215D5}" name="Popularité"/>
    <tableColumn id="23" xr3:uid="{6BB0B640-E587-40F2-A8F7-C13A315B1B47}" name="Energie Forte" dataDxfId="43">
      <calculatedColumnFormula>IF(Spotify[[#This Row],[Energie]]&gt;AVERAGE(Spotify[Energie]),"FORTE","FAIBLE")</calculatedColumnFormula>
    </tableColumn>
    <tableColumn id="12" xr3:uid="{154E15F9-24BD-498D-8CEA-4E9397B63B0A}" name="Dansabilité" dataDxfId="42" totalsRowDxfId="41"/>
    <tableColumn id="13" xr3:uid="{DBB3060A-78AF-4921-B6DD-1A43DD6F00B1}" name="Energie" dataDxfId="40" totalsRowDxfId="39"/>
    <tableColumn id="14" xr3:uid="{FFBE2530-3B29-4DC7-BE49-144A5110B75D}" name="Paroles" dataDxfId="38" totalsRowDxfId="37"/>
    <tableColumn id="15" xr3:uid="{097A51E3-99F6-4B6E-9B7D-1F9ED9E70197}" name="Acousticité" dataDxfId="36" totalsRowDxfId="35"/>
    <tableColumn id="16" xr3:uid="{D1F46D69-3647-4E33-B93D-049B35A2013A}" name="Concert" dataDxfId="34" totalsRowDxfId="33"/>
    <tableColumn id="17" xr3:uid="{3507F5FB-FB3D-4F6E-8F2D-A093BD730519}" name="Positivité" dataDxfId="32" totalsRowDxfId="31"/>
    <tableColumn id="18" xr3:uid="{378954CD-2EA0-4A27-8C5C-8E3CB1890219}" name="Intensité" dataDxfId="30" totalsRowDxfId="29"/>
    <tableColumn id="19" xr3:uid="{FBE5F2B3-0D00-489B-84FC-1D9C39C5B632}" name="Durée(ms)"/>
    <tableColumn id="21" xr3:uid="{655C600C-FD14-4F64-936B-91013ADF828B}" name="Année de sortie" dataDxfId="28">
      <calculatedColumnFormula>YEAR(Spotify[[#This Row],[Date de sortie]])</calculatedColumnFormula>
    </tableColumn>
    <tableColumn id="22" xr3:uid="{7E191E64-CA73-4A65-BD04-DB20EA943C2E}" name="popularité forte" dataDxfId="27">
      <calculatedColumnFormula>IF(Spotify[[#This Row],[Popularité]]&gt;=70,"FORTE","FAIBLE")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3842154-98CE-4EEB-996E-A0894B0A1737}" name="Tableau4" displayName="Tableau4" ref="A1:L1048576" totalsRowShown="0" headerRowDxfId="26">
  <autoFilter ref="A1:L1048576" xr:uid="{C3842154-98CE-4EEB-996E-A0894B0A1737}"/>
  <tableColumns count="12">
    <tableColumn id="1" xr3:uid="{EBACD715-5883-484D-A2EC-B80640C407B0}" name="Position la plus élevée dans les charts"/>
    <tableColumn id="2" xr3:uid="{53D1C11E-69F8-44EF-B957-1AE76476217F}" name="Nombre d'apparitions dans les charts"/>
    <tableColumn id="3" xr3:uid="{1F2E97C0-3CFF-43AE-A666-86FE9E5B7529}" name="Ecoutes" dataDxfId="25"/>
    <tableColumn id="4" xr3:uid="{DE677DAF-1005-4286-89CF-ADEC46CA4675}" name="Followers" dataDxfId="24" dataCellStyle="Milliers"/>
    <tableColumn id="5" xr3:uid="{AE177723-346F-4E33-8E98-BE8666258EE8}" name="Popularité"/>
    <tableColumn id="6" xr3:uid="{A58BD3E3-33BC-4E5A-A9AE-3A5423C04527}" name="Dansabilité" dataDxfId="23"/>
    <tableColumn id="7" xr3:uid="{A80779EB-CF38-4297-BA08-A867F6346420}" name="Energie" dataDxfId="22"/>
    <tableColumn id="8" xr3:uid="{D8789D37-1F2E-4961-8A96-51641ABE0DDB}" name="Paroles" dataDxfId="21"/>
    <tableColumn id="9" xr3:uid="{FB1AEA54-932F-4544-8711-694C833C4028}" name="Acousticité" dataDxfId="20"/>
    <tableColumn id="10" xr3:uid="{2DEA7F67-E334-494E-BCDE-84C05C7D11A1}" name="Concert" dataDxfId="19"/>
    <tableColumn id="11" xr3:uid="{0192126E-67D5-4EC9-8207-F72C367348F4}" name="Positivité" dataDxfId="18"/>
    <tableColumn id="12" xr3:uid="{C704D9D6-A84A-46AE-8324-E9BD8249D8A5}" name="Intensité"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EDCD969-6CD7-4307-BC98-9772D0F13822}" name="Tableau5" displayName="Tableau5" ref="B63:N75" totalsRowShown="0" headerRowDxfId="16" dataDxfId="14" headerRowBorderDxfId="15" tableBorderDxfId="13">
  <autoFilter ref="B63:N75" xr:uid="{4EDCD969-6CD7-4307-BC98-9772D0F13822}"/>
  <tableColumns count="13">
    <tableColumn id="1" xr3:uid="{875A0A08-E49F-443D-A711-F3E0138F1D87}" name="Colonne1" dataDxfId="12"/>
    <tableColumn id="2" xr3:uid="{D9B6CE8F-C336-4246-A2BE-5D267264438E}" name="Position la plus élevée dans les charts" dataDxfId="11"/>
    <tableColumn id="3" xr3:uid="{858359BE-DAA5-445C-938F-1D96D31DCC06}" name="Nombre d'apparitions dans les charts" dataDxfId="10"/>
    <tableColumn id="4" xr3:uid="{AE82DA82-247A-4E96-8FEB-B78E3DDE080A}" name="Ecoutes" dataDxfId="9"/>
    <tableColumn id="5" xr3:uid="{4048256B-6ABD-490E-B460-96EF09D74DDA}" name="Followers" dataDxfId="8"/>
    <tableColumn id="6" xr3:uid="{8D499DA1-38A1-4D4A-BB93-81595104E8B9}" name="Popularité" dataDxfId="7"/>
    <tableColumn id="7" xr3:uid="{10BFF172-D254-4816-B7CA-D5BA7AD67426}" name="Dansabilité" dataDxfId="6"/>
    <tableColumn id="8" xr3:uid="{335D8404-583C-4E73-86E1-0D70FADD51F8}" name="Energie" dataDxfId="5"/>
    <tableColumn id="9" xr3:uid="{8171B143-AA35-454D-9931-1779223CFFF4}" name="Paroles" dataDxfId="4"/>
    <tableColumn id="10" xr3:uid="{1BB4F1A9-4293-468D-BDAB-B4E222F84E96}" name="Acousticité" dataDxfId="3"/>
    <tableColumn id="11" xr3:uid="{B46551FB-8445-4B13-8481-2A54E4ED16C9}" name="Concert" dataDxfId="2"/>
    <tableColumn id="12" xr3:uid="{2623BB00-BE33-439D-BF3D-D33DC0CBDC55}" name="Positivité" dataDxfId="1"/>
    <tableColumn id="13" xr3:uid="{67F4C88B-CF07-4A28-AE1A-40B195C9F457}" name="Intensité" dataDxfId="0"/>
  </tableColumns>
  <tableStyleInfo name="TableStyleMedium2"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689CE-F0EA-4590-A0AA-4BFD346FF77C}">
  <dimension ref="A1:AR1557"/>
  <sheetViews>
    <sheetView topLeftCell="H1523" workbookViewId="0">
      <selection activeCell="Q1" activeCellId="1" sqref="M1:M1048576 Q1:Q1048576"/>
    </sheetView>
  </sheetViews>
  <sheetFormatPr baseColWidth="10" defaultRowHeight="15" x14ac:dyDescent="0.25"/>
  <cols>
    <col min="2" max="2" width="33.85546875" customWidth="1"/>
    <col min="3" max="3" width="33.42578125" customWidth="1"/>
    <col min="4" max="4" width="30.140625" style="1" customWidth="1"/>
    <col min="6" max="6" width="75.42578125" bestFit="1" customWidth="1"/>
    <col min="8" max="8" width="13.42578125" style="3" bestFit="1" customWidth="1"/>
    <col min="10" max="10" width="14.85546875" style="59" customWidth="1"/>
    <col min="11" max="11" width="15.5703125" style="4" customWidth="1"/>
    <col min="13" max="13" width="14.42578125" customWidth="1"/>
    <col min="14" max="14" width="15.5703125" customWidth="1"/>
    <col min="15" max="15" width="14.42578125" style="1" customWidth="1"/>
    <col min="16" max="16" width="11.5703125" customWidth="1"/>
    <col min="17" max="17" width="13.140625" style="2" customWidth="1"/>
    <col min="18" max="18" width="11.5703125" style="2"/>
    <col min="19" max="19" width="13.140625" style="2" customWidth="1"/>
    <col min="20" max="20" width="13.5703125" style="2" customWidth="1"/>
    <col min="21" max="21" width="12" style="2" customWidth="1"/>
    <col min="22" max="22" width="11.5703125" style="2"/>
    <col min="23" max="23" width="10.85546875" style="2" customWidth="1"/>
    <col min="27" max="27" width="14.85546875" bestFit="1" customWidth="1"/>
  </cols>
  <sheetData>
    <row r="1" spans="1:44" x14ac:dyDescent="0.25">
      <c r="A1" t="s">
        <v>0</v>
      </c>
      <c r="B1" t="s">
        <v>2445</v>
      </c>
      <c r="C1" t="s">
        <v>2446</v>
      </c>
      <c r="D1" s="1" t="s">
        <v>2447</v>
      </c>
      <c r="E1" s="3" t="s">
        <v>2554</v>
      </c>
      <c r="F1" t="s">
        <v>2448</v>
      </c>
      <c r="G1" s="3" t="s">
        <v>2449</v>
      </c>
      <c r="H1" t="s">
        <v>2450</v>
      </c>
      <c r="I1" s="4" t="s">
        <v>2451</v>
      </c>
      <c r="J1" t="s">
        <v>2452</v>
      </c>
      <c r="K1" s="1" t="s">
        <v>2453</v>
      </c>
      <c r="L1" t="s">
        <v>2454</v>
      </c>
      <c r="M1" s="56" t="s">
        <v>2557</v>
      </c>
      <c r="N1" s="2" t="s">
        <v>2455</v>
      </c>
      <c r="O1" s="2" t="s">
        <v>2456</v>
      </c>
      <c r="P1" s="2" t="s">
        <v>2457</v>
      </c>
      <c r="Q1" s="2" t="s">
        <v>2458</v>
      </c>
      <c r="R1" s="2" t="s">
        <v>2459</v>
      </c>
      <c r="S1" s="2" t="s">
        <v>1</v>
      </c>
      <c r="T1" s="2" t="s">
        <v>2460</v>
      </c>
      <c r="U1" t="s">
        <v>2461</v>
      </c>
      <c r="V1" s="56" t="s">
        <v>2555</v>
      </c>
      <c r="W1" s="56" t="s">
        <v>2556</v>
      </c>
      <c r="Z1" s="6" t="s">
        <v>0</v>
      </c>
      <c r="AA1" s="5" t="s">
        <v>2445</v>
      </c>
      <c r="AB1" s="5" t="s">
        <v>2446</v>
      </c>
      <c r="AC1" s="46" t="s">
        <v>2447</v>
      </c>
      <c r="AD1" s="5" t="s">
        <v>2448</v>
      </c>
      <c r="AE1" s="47" t="s">
        <v>2449</v>
      </c>
      <c r="AF1" s="5" t="s">
        <v>2450</v>
      </c>
      <c r="AG1" s="48" t="s">
        <v>2451</v>
      </c>
      <c r="AH1" s="5" t="s">
        <v>2452</v>
      </c>
      <c r="AI1" s="46" t="s">
        <v>2453</v>
      </c>
      <c r="AJ1" s="5" t="s">
        <v>2454</v>
      </c>
      <c r="AK1" s="49" t="s">
        <v>2455</v>
      </c>
      <c r="AL1" s="49" t="s">
        <v>2456</v>
      </c>
      <c r="AM1" s="49" t="s">
        <v>2457</v>
      </c>
      <c r="AN1" s="49" t="s">
        <v>2458</v>
      </c>
      <c r="AO1" s="49" t="s">
        <v>2459</v>
      </c>
      <c r="AP1" s="49" t="s">
        <v>1</v>
      </c>
      <c r="AQ1" s="49" t="s">
        <v>2460</v>
      </c>
      <c r="AR1" s="7" t="s">
        <v>2461</v>
      </c>
    </row>
    <row r="2" spans="1:44" x14ac:dyDescent="0.25">
      <c r="A2">
        <v>1</v>
      </c>
      <c r="B2">
        <v>1</v>
      </c>
      <c r="C2">
        <v>8</v>
      </c>
      <c r="D2" s="1">
        <v>44400</v>
      </c>
      <c r="E2" s="59" t="str" cm="1">
        <f t="array" ref="E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2" t="s">
        <v>2</v>
      </c>
      <c r="G2" s="3">
        <v>48633449</v>
      </c>
      <c r="H2" t="s">
        <v>3</v>
      </c>
      <c r="I2" s="4">
        <v>3377762</v>
      </c>
      <c r="J2" t="s">
        <v>4</v>
      </c>
      <c r="K2" s="1">
        <v>43077</v>
      </c>
      <c r="L2">
        <v>100</v>
      </c>
      <c r="M2" s="2" t="str">
        <f>IF(Spotify[[#This Row],[Energie]]&gt;AVERAGE(Spotify[Energie]),"FORTE","FAIBLE")</f>
        <v>FORTE</v>
      </c>
      <c r="N2" s="2">
        <v>0.71399999999999997</v>
      </c>
      <c r="O2" s="2">
        <v>0.8</v>
      </c>
      <c r="P2" s="2">
        <v>5.04E-2</v>
      </c>
      <c r="Q2" s="2">
        <v>0.127</v>
      </c>
      <c r="R2" s="2">
        <v>0.35899999999999999</v>
      </c>
      <c r="S2" s="2">
        <v>0.58899999999999997</v>
      </c>
      <c r="T2" s="2">
        <v>-4.8079999999999998</v>
      </c>
      <c r="U2">
        <v>211560</v>
      </c>
      <c r="V2">
        <f>YEAR(Spotify[[#This Row],[Date de sortie]])</f>
        <v>2017</v>
      </c>
      <c r="W2" s="2" t="str">
        <f>IF(Spotify[[#This Row],[Popularité]]&gt;=70,"FORTE","FAIBLE")</f>
        <v>FORTE</v>
      </c>
      <c r="AH2" t="s">
        <v>10</v>
      </c>
      <c r="AJ2" t="s">
        <v>2543</v>
      </c>
    </row>
    <row r="3" spans="1:44" x14ac:dyDescent="0.25">
      <c r="A3">
        <v>2</v>
      </c>
      <c r="B3">
        <v>2</v>
      </c>
      <c r="C3">
        <v>3</v>
      </c>
      <c r="D3" s="1">
        <v>44400</v>
      </c>
      <c r="E3" s="59" t="str" cm="1">
        <f t="array" ref="E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3" t="s">
        <v>5</v>
      </c>
      <c r="G3" s="3">
        <v>47248719</v>
      </c>
      <c r="H3" t="s">
        <v>6</v>
      </c>
      <c r="I3" s="4">
        <v>2230022</v>
      </c>
      <c r="J3" t="s">
        <v>7</v>
      </c>
      <c r="K3" s="1">
        <v>44386</v>
      </c>
      <c r="L3">
        <v>99</v>
      </c>
      <c r="M3" s="2" t="str">
        <f>IF(Spotify[[#This Row],[Energie]]&gt;AVERAGE(Spotify[Energie]),"FORTE","FAIBLE")</f>
        <v>FORTE</v>
      </c>
      <c r="N3" s="2">
        <v>0.59099999999999997</v>
      </c>
      <c r="O3" s="2">
        <v>0.76400000000000001</v>
      </c>
      <c r="P3" s="2">
        <v>4.8300000000000003E-2</v>
      </c>
      <c r="Q3" s="2">
        <v>3.8300000000000001E-2</v>
      </c>
      <c r="R3" s="2">
        <v>0.10299999999999999</v>
      </c>
      <c r="S3" s="2">
        <v>0.47799999999999998</v>
      </c>
      <c r="T3" s="2">
        <v>-5.484</v>
      </c>
      <c r="U3">
        <v>141806</v>
      </c>
      <c r="V3">
        <f>YEAR(Spotify[[#This Row],[Date de sortie]])</f>
        <v>2021</v>
      </c>
      <c r="W3" s="2" t="str">
        <f>IF(Spotify[[#This Row],[Popularité]]&gt;=70,"FORTE","FAIBLE")</f>
        <v>FORTE</v>
      </c>
    </row>
    <row r="4" spans="1:44" x14ac:dyDescent="0.25">
      <c r="A4">
        <v>3</v>
      </c>
      <c r="B4">
        <v>1</v>
      </c>
      <c r="C4">
        <v>11</v>
      </c>
      <c r="D4" s="1">
        <v>44372</v>
      </c>
      <c r="E4" s="59" t="str" cm="1">
        <f t="array" ref="E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 t="s">
        <v>8</v>
      </c>
      <c r="G4" s="3">
        <v>40162559</v>
      </c>
      <c r="H4" t="s">
        <v>9</v>
      </c>
      <c r="I4" s="4">
        <v>6266514</v>
      </c>
      <c r="J4" t="s">
        <v>10</v>
      </c>
      <c r="K4" s="1">
        <v>44337</v>
      </c>
      <c r="L4">
        <v>99</v>
      </c>
      <c r="M4" s="2" t="str">
        <f>IF(Spotify[[#This Row],[Energie]]&gt;AVERAGE(Spotify[Energie]),"FORTE","FAIBLE")</f>
        <v>FORTE</v>
      </c>
      <c r="N4" s="2">
        <v>0.56299999999999994</v>
      </c>
      <c r="O4" s="2">
        <v>0.66400000000000003</v>
      </c>
      <c r="P4" s="2">
        <v>0.154</v>
      </c>
      <c r="Q4" s="2">
        <v>0.33500000000000002</v>
      </c>
      <c r="R4" s="2">
        <v>8.4900000000000003E-2</v>
      </c>
      <c r="S4" s="2">
        <v>0.68799999999999994</v>
      </c>
      <c r="T4" s="2">
        <v>-5.0439999999999996</v>
      </c>
      <c r="U4">
        <v>178147</v>
      </c>
      <c r="V4">
        <f>YEAR(Spotify[[#This Row],[Date de sortie]])</f>
        <v>2021</v>
      </c>
      <c r="W4" s="2" t="str">
        <f>IF(Spotify[[#This Row],[Popularité]]&gt;=70,"FORTE","FAIBLE")</f>
        <v>FORTE</v>
      </c>
      <c r="Z4" t="s">
        <v>0</v>
      </c>
      <c r="AA4" t="s">
        <v>2445</v>
      </c>
      <c r="AB4" t="s">
        <v>2446</v>
      </c>
      <c r="AC4" s="1" t="s">
        <v>2447</v>
      </c>
      <c r="AD4" t="s">
        <v>2448</v>
      </c>
      <c r="AE4" s="3" t="s">
        <v>2449</v>
      </c>
      <c r="AF4" t="s">
        <v>2450</v>
      </c>
      <c r="AG4" s="4" t="s">
        <v>2451</v>
      </c>
      <c r="AH4" t="s">
        <v>2452</v>
      </c>
      <c r="AI4" s="1" t="s">
        <v>2453</v>
      </c>
      <c r="AJ4" t="s">
        <v>2454</v>
      </c>
      <c r="AK4" s="2" t="s">
        <v>2455</v>
      </c>
      <c r="AL4" s="2" t="s">
        <v>2456</v>
      </c>
      <c r="AM4" s="2" t="s">
        <v>2457</v>
      </c>
      <c r="AN4" s="2" t="s">
        <v>2458</v>
      </c>
      <c r="AO4" s="2" t="s">
        <v>2459</v>
      </c>
      <c r="AP4" s="2" t="s">
        <v>1</v>
      </c>
      <c r="AQ4" s="2" t="s">
        <v>2460</v>
      </c>
      <c r="AR4" t="s">
        <v>2461</v>
      </c>
    </row>
    <row r="5" spans="1:44" x14ac:dyDescent="0.25">
      <c r="A5">
        <v>4</v>
      </c>
      <c r="B5">
        <v>3</v>
      </c>
      <c r="C5">
        <v>5</v>
      </c>
      <c r="D5" s="1">
        <v>44379</v>
      </c>
      <c r="E5" s="59" t="str" cm="1">
        <f t="array" ref="E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 t="s">
        <v>11</v>
      </c>
      <c r="G5" s="3">
        <v>37799456</v>
      </c>
      <c r="H5" t="s">
        <v>12</v>
      </c>
      <c r="I5" s="4">
        <v>83293380</v>
      </c>
      <c r="J5" t="s">
        <v>10</v>
      </c>
      <c r="K5" s="1">
        <v>44372</v>
      </c>
      <c r="L5">
        <v>98</v>
      </c>
      <c r="M5" s="2" t="str">
        <f>IF(Spotify[[#This Row],[Energie]]&gt;AVERAGE(Spotify[Energie]),"FORTE","FAIBLE")</f>
        <v>FORTE</v>
      </c>
      <c r="N5" s="2">
        <v>0.80800000000000005</v>
      </c>
      <c r="O5" s="2">
        <v>0.89700000000000002</v>
      </c>
      <c r="P5" s="2">
        <v>3.4799999999999998E-2</v>
      </c>
      <c r="Q5" s="2">
        <v>4.6899999999999997E-2</v>
      </c>
      <c r="R5" s="2">
        <v>0.36399999999999999</v>
      </c>
      <c r="S5" s="2">
        <v>0.59099999999999997</v>
      </c>
      <c r="T5" s="2">
        <v>-3.7120000000000002</v>
      </c>
      <c r="U5">
        <v>231041</v>
      </c>
      <c r="V5">
        <f>YEAR(Spotify[[#This Row],[Date de sortie]])</f>
        <v>2021</v>
      </c>
      <c r="W5" s="2" t="str">
        <f>IF(Spotify[[#This Row],[Popularité]]&gt;=70,"FORTE","FAIBLE")</f>
        <v>FORTE</v>
      </c>
      <c r="Z5">
        <v>3</v>
      </c>
      <c r="AA5">
        <v>1</v>
      </c>
      <c r="AB5">
        <v>11</v>
      </c>
      <c r="AC5" s="1">
        <v>44372</v>
      </c>
      <c r="AD5" t="s">
        <v>8</v>
      </c>
      <c r="AE5" s="3">
        <v>40162559</v>
      </c>
      <c r="AF5" t="s">
        <v>9</v>
      </c>
      <c r="AG5" s="4">
        <v>6266514</v>
      </c>
      <c r="AH5" t="s">
        <v>10</v>
      </c>
      <c r="AI5" s="1">
        <v>44337</v>
      </c>
      <c r="AJ5">
        <v>99</v>
      </c>
      <c r="AK5" s="2">
        <v>0.56299999999999994</v>
      </c>
      <c r="AL5" s="2">
        <v>0.66400000000000003</v>
      </c>
      <c r="AM5" s="2">
        <v>0.154</v>
      </c>
      <c r="AN5" s="2">
        <v>0.33500000000000002</v>
      </c>
      <c r="AO5" s="2">
        <v>8.4900000000000003E-2</v>
      </c>
      <c r="AP5" s="2">
        <v>0.68799999999999994</v>
      </c>
      <c r="AQ5" s="2">
        <v>-5.0439999999999996</v>
      </c>
      <c r="AR5">
        <v>178147</v>
      </c>
    </row>
    <row r="6" spans="1:44" x14ac:dyDescent="0.25">
      <c r="A6">
        <v>6</v>
      </c>
      <c r="B6">
        <v>1</v>
      </c>
      <c r="C6">
        <v>18</v>
      </c>
      <c r="D6" s="1">
        <v>44323</v>
      </c>
      <c r="E6" s="59" t="str" cm="1">
        <f t="array" ref="E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6" t="s">
        <v>16</v>
      </c>
      <c r="G6" s="3">
        <v>30071134</v>
      </c>
      <c r="H6" t="s">
        <v>14</v>
      </c>
      <c r="I6" s="4">
        <v>5473565</v>
      </c>
      <c r="J6" t="s">
        <v>15</v>
      </c>
      <c r="K6" s="1">
        <v>44286</v>
      </c>
      <c r="L6">
        <v>97</v>
      </c>
      <c r="M6" s="2" t="str">
        <f>IF(Spotify[[#This Row],[Energie]]&gt;AVERAGE(Spotify[Energie]),"FORTE","FAIBLE")</f>
        <v>FAIBLE</v>
      </c>
      <c r="N6" s="2">
        <v>0.61</v>
      </c>
      <c r="O6" s="2">
        <v>0.50800000000000001</v>
      </c>
      <c r="P6" s="2">
        <v>0.152</v>
      </c>
      <c r="Q6" s="2">
        <v>0.29699999999999999</v>
      </c>
      <c r="R6" s="2">
        <v>0.38400000000000001</v>
      </c>
      <c r="S6" s="2">
        <v>0.75800000000000001</v>
      </c>
      <c r="T6" s="2">
        <v>-6.6820000000000004</v>
      </c>
      <c r="U6">
        <v>137876</v>
      </c>
      <c r="V6">
        <f>YEAR(Spotify[[#This Row],[Date de sortie]])</f>
        <v>2021</v>
      </c>
      <c r="W6" s="2" t="str">
        <f>IF(Spotify[[#This Row],[Popularité]]&gt;=70,"FORTE","FAIBLE")</f>
        <v>FORTE</v>
      </c>
      <c r="Z6">
        <v>4</v>
      </c>
      <c r="AA6">
        <v>3</v>
      </c>
      <c r="AB6">
        <v>5</v>
      </c>
      <c r="AC6" s="1">
        <v>44379</v>
      </c>
      <c r="AD6" t="s">
        <v>11</v>
      </c>
      <c r="AE6" s="3">
        <v>37799456</v>
      </c>
      <c r="AF6" t="s">
        <v>12</v>
      </c>
      <c r="AG6" s="4">
        <v>83293380</v>
      </c>
      <c r="AH6" t="s">
        <v>10</v>
      </c>
      <c r="AI6" s="1">
        <v>44372</v>
      </c>
      <c r="AJ6">
        <v>98</v>
      </c>
      <c r="AK6" s="2">
        <v>0.80800000000000005</v>
      </c>
      <c r="AL6" s="2">
        <v>0.89700000000000002</v>
      </c>
      <c r="AM6" s="2">
        <v>3.4799999999999998E-2</v>
      </c>
      <c r="AN6" s="2">
        <v>4.6899999999999997E-2</v>
      </c>
      <c r="AO6" s="2">
        <v>0.36399999999999999</v>
      </c>
      <c r="AP6" s="2">
        <v>0.59099999999999997</v>
      </c>
      <c r="AQ6" s="2">
        <v>-3.7120000000000002</v>
      </c>
      <c r="AR6">
        <v>231041</v>
      </c>
    </row>
    <row r="7" spans="1:44" x14ac:dyDescent="0.25">
      <c r="A7">
        <v>5</v>
      </c>
      <c r="B7">
        <v>5</v>
      </c>
      <c r="C7">
        <v>1</v>
      </c>
      <c r="D7" s="1">
        <v>44400</v>
      </c>
      <c r="E7" s="59" t="str" cm="1">
        <f t="array" ref="E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7" t="s">
        <v>13</v>
      </c>
      <c r="G7" s="3">
        <v>33948454</v>
      </c>
      <c r="H7" t="s">
        <v>14</v>
      </c>
      <c r="I7" s="4">
        <v>5473565</v>
      </c>
      <c r="J7" t="s">
        <v>15</v>
      </c>
      <c r="K7" s="1">
        <v>44400</v>
      </c>
      <c r="L7">
        <v>96</v>
      </c>
      <c r="M7" s="2" t="str">
        <f>IF(Spotify[[#This Row],[Energie]]&gt;AVERAGE(Spotify[Energie]),"FORTE","FAIBLE")</f>
        <v>FORTE</v>
      </c>
      <c r="N7" s="2">
        <v>0.73599999999999999</v>
      </c>
      <c r="O7" s="2">
        <v>0.70399999999999996</v>
      </c>
      <c r="P7" s="2">
        <v>6.1499999999999999E-2</v>
      </c>
      <c r="Q7" s="2">
        <v>2.0299999999999999E-2</v>
      </c>
      <c r="R7" s="2">
        <v>5.0099999999999999E-2</v>
      </c>
      <c r="S7" s="2">
        <v>0.89400000000000002</v>
      </c>
      <c r="T7" s="2">
        <v>-7.4089999999999998</v>
      </c>
      <c r="U7">
        <v>212000</v>
      </c>
      <c r="V7">
        <f>YEAR(Spotify[[#This Row],[Date de sortie]])</f>
        <v>2021</v>
      </c>
      <c r="W7" s="2" t="str">
        <f>IF(Spotify[[#This Row],[Popularité]]&gt;=70,"FORTE","FAIBLE")</f>
        <v>FORTE</v>
      </c>
      <c r="Z7">
        <v>16</v>
      </c>
      <c r="AA7">
        <v>7</v>
      </c>
      <c r="AB7">
        <v>10</v>
      </c>
      <c r="AC7" s="1">
        <v>44337</v>
      </c>
      <c r="AD7" t="s">
        <v>38</v>
      </c>
      <c r="AE7" s="3">
        <v>19480679</v>
      </c>
      <c r="AF7" t="s">
        <v>9</v>
      </c>
      <c r="AG7" s="4">
        <v>6266514</v>
      </c>
      <c r="AH7" t="s">
        <v>10</v>
      </c>
      <c r="AI7" s="1">
        <v>44337</v>
      </c>
      <c r="AJ7">
        <v>94</v>
      </c>
      <c r="AK7" s="2">
        <v>0.38</v>
      </c>
      <c r="AL7" s="2">
        <v>0.33900000000000002</v>
      </c>
      <c r="AM7" s="2">
        <v>3.3799999999999997E-2</v>
      </c>
      <c r="AN7" s="2">
        <v>0.69099999999999995</v>
      </c>
      <c r="AO7" s="2">
        <v>0.12</v>
      </c>
      <c r="AP7" s="2">
        <v>8.4900000000000003E-2</v>
      </c>
      <c r="AQ7" s="2">
        <v>-7.8849999999999998</v>
      </c>
      <c r="AR7">
        <v>229227</v>
      </c>
    </row>
    <row r="8" spans="1:44" x14ac:dyDescent="0.25">
      <c r="A8">
        <v>9</v>
      </c>
      <c r="B8">
        <v>3</v>
      </c>
      <c r="C8">
        <v>8</v>
      </c>
      <c r="D8" s="1">
        <v>44365</v>
      </c>
      <c r="E8" s="59" t="str" cm="1">
        <f t="array" ref="E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 t="s">
        <v>23</v>
      </c>
      <c r="G8" s="3">
        <v>25030128</v>
      </c>
      <c r="H8" t="s">
        <v>24</v>
      </c>
      <c r="I8" s="4">
        <v>36142273</v>
      </c>
      <c r="J8" t="s">
        <v>25</v>
      </c>
      <c r="K8" s="1">
        <v>44351</v>
      </c>
      <c r="L8">
        <v>96</v>
      </c>
      <c r="M8" s="2" t="str">
        <f>IF(Spotify[[#This Row],[Energie]]&gt;AVERAGE(Spotify[Energie]),"FORTE","FAIBLE")</f>
        <v>FORTE</v>
      </c>
      <c r="N8" s="2">
        <v>0.64400000000000002</v>
      </c>
      <c r="O8" s="2">
        <v>0.64800000000000002</v>
      </c>
      <c r="P8" s="2">
        <v>0.11799999999999999</v>
      </c>
      <c r="Q8" s="2">
        <v>0.27600000000000002</v>
      </c>
      <c r="R8" s="2">
        <v>0.13500000000000001</v>
      </c>
      <c r="S8" s="2">
        <v>0.44</v>
      </c>
      <c r="T8" s="2">
        <v>-4.601</v>
      </c>
      <c r="U8">
        <v>206710</v>
      </c>
      <c r="V8">
        <f>YEAR(Spotify[[#This Row],[Date de sortie]])</f>
        <v>2021</v>
      </c>
      <c r="W8" s="2" t="str">
        <f>IF(Spotify[[#This Row],[Popularité]]&gt;=70,"FORTE","FAIBLE")</f>
        <v>FORTE</v>
      </c>
      <c r="Z8">
        <v>17</v>
      </c>
      <c r="AA8">
        <v>3</v>
      </c>
      <c r="AB8">
        <v>17</v>
      </c>
      <c r="AC8" s="1">
        <v>44337</v>
      </c>
      <c r="AD8" t="s">
        <v>39</v>
      </c>
      <c r="AE8" s="3">
        <v>18571755</v>
      </c>
      <c r="AF8" t="s">
        <v>9</v>
      </c>
      <c r="AG8" s="4">
        <v>6266514</v>
      </c>
      <c r="AH8" t="s">
        <v>10</v>
      </c>
      <c r="AI8" s="1">
        <v>44337</v>
      </c>
      <c r="AJ8">
        <v>93</v>
      </c>
      <c r="AK8" s="2">
        <v>0.442</v>
      </c>
      <c r="AL8" s="2">
        <v>0.61199999999999999</v>
      </c>
      <c r="AM8" s="2">
        <v>0.112</v>
      </c>
      <c r="AN8" s="2">
        <v>0.58399999999999996</v>
      </c>
      <c r="AO8" s="2">
        <v>0.37</v>
      </c>
      <c r="AP8" s="2">
        <v>0.17799999999999999</v>
      </c>
      <c r="AQ8" s="2">
        <v>-7.2220000000000004</v>
      </c>
      <c r="AR8">
        <v>215507</v>
      </c>
    </row>
    <row r="9" spans="1:44" x14ac:dyDescent="0.25">
      <c r="A9">
        <v>8</v>
      </c>
      <c r="B9">
        <v>2</v>
      </c>
      <c r="C9">
        <v>10</v>
      </c>
      <c r="D9" s="1">
        <v>44365</v>
      </c>
      <c r="E9" s="59" t="str" cm="1">
        <f t="array" ref="E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 t="s">
        <v>20</v>
      </c>
      <c r="G9" s="3">
        <v>26951613</v>
      </c>
      <c r="H9" t="s">
        <v>21</v>
      </c>
      <c r="I9" s="4">
        <v>6080597</v>
      </c>
      <c r="J9" t="s">
        <v>22</v>
      </c>
      <c r="K9" s="1">
        <v>44336</v>
      </c>
      <c r="L9">
        <v>95</v>
      </c>
      <c r="M9" s="2" t="str">
        <f>IF(Spotify[[#This Row],[Energie]]&gt;AVERAGE(Spotify[Energie]),"FORTE","FAIBLE")</f>
        <v>FORTE</v>
      </c>
      <c r="N9" s="2">
        <v>0.78</v>
      </c>
      <c r="O9" s="2">
        <v>0.71799999999999997</v>
      </c>
      <c r="P9" s="2">
        <v>5.0599999999999999E-2</v>
      </c>
      <c r="Q9" s="2">
        <v>0.31</v>
      </c>
      <c r="R9" s="2">
        <v>9.3200000000000005E-2</v>
      </c>
      <c r="S9" s="2">
        <v>0.34200000000000003</v>
      </c>
      <c r="T9" s="2">
        <v>-3.605</v>
      </c>
      <c r="U9">
        <v>199604</v>
      </c>
      <c r="V9">
        <f>YEAR(Spotify[[#This Row],[Date de sortie]])</f>
        <v>2021</v>
      </c>
      <c r="W9" s="2" t="str">
        <f>IF(Spotify[[#This Row],[Popularité]]&gt;=70,"FORTE","FAIBLE")</f>
        <v>FORTE</v>
      </c>
      <c r="Z9">
        <v>23</v>
      </c>
      <c r="AA9">
        <v>1</v>
      </c>
      <c r="AB9">
        <v>29</v>
      </c>
      <c r="AC9" s="1">
        <v>44267</v>
      </c>
      <c r="AD9" t="s">
        <v>50</v>
      </c>
      <c r="AE9" s="3">
        <v>15684978</v>
      </c>
      <c r="AF9" t="s">
        <v>9</v>
      </c>
      <c r="AG9" s="4">
        <v>6266514</v>
      </c>
      <c r="AH9" t="s">
        <v>10</v>
      </c>
      <c r="AI9" s="1">
        <v>44337</v>
      </c>
      <c r="AJ9">
        <v>92</v>
      </c>
      <c r="AK9" s="2">
        <v>0.56100000000000005</v>
      </c>
      <c r="AL9" s="2">
        <v>0.43099999999999999</v>
      </c>
      <c r="AM9" s="2">
        <v>5.7799999999999997E-2</v>
      </c>
      <c r="AN9" s="2">
        <v>0.76800000000000002</v>
      </c>
      <c r="AO9" s="2">
        <v>0.106</v>
      </c>
      <c r="AP9" s="2">
        <v>0.13700000000000001</v>
      </c>
      <c r="AQ9" s="2">
        <v>-8.81</v>
      </c>
      <c r="AR9">
        <v>242013</v>
      </c>
    </row>
    <row r="10" spans="1:44" x14ac:dyDescent="0.25">
      <c r="A10">
        <v>10</v>
      </c>
      <c r="B10">
        <v>8</v>
      </c>
      <c r="C10">
        <v>10</v>
      </c>
      <c r="D10" s="1">
        <v>44379</v>
      </c>
      <c r="E10" s="59" t="str" cm="1">
        <f t="array" ref="E1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10" t="s">
        <v>26</v>
      </c>
      <c r="G10" s="3">
        <v>24551591</v>
      </c>
      <c r="H10" t="s">
        <v>3</v>
      </c>
      <c r="I10" s="4">
        <v>3377762</v>
      </c>
      <c r="J10" t="s">
        <v>4</v>
      </c>
      <c r="K10" s="1">
        <v>44274</v>
      </c>
      <c r="L10">
        <v>95</v>
      </c>
      <c r="M10" s="2" t="str">
        <f>IF(Spotify[[#This Row],[Energie]]&gt;AVERAGE(Spotify[Energie]),"FORTE","FAIBLE")</f>
        <v>FAIBLE</v>
      </c>
      <c r="N10" s="2">
        <v>0.75</v>
      </c>
      <c r="O10" s="2">
        <v>0.60799999999999998</v>
      </c>
      <c r="P10" s="2">
        <v>3.8699999999999998E-2</v>
      </c>
      <c r="Q10" s="2">
        <v>1.65E-3</v>
      </c>
      <c r="R10" s="2">
        <v>0.17799999999999999</v>
      </c>
      <c r="S10" s="2">
        <v>0.95799999999999996</v>
      </c>
      <c r="T10" s="2">
        <v>-4.008</v>
      </c>
      <c r="U10">
        <v>173347</v>
      </c>
      <c r="V10">
        <f>YEAR(Spotify[[#This Row],[Date de sortie]])</f>
        <v>2021</v>
      </c>
      <c r="W10" s="2" t="str">
        <f>IF(Spotify[[#This Row],[Popularité]]&gt;=70,"FORTE","FAIBLE")</f>
        <v>FORTE</v>
      </c>
      <c r="Z10">
        <v>26</v>
      </c>
      <c r="AA10">
        <v>12</v>
      </c>
      <c r="AB10">
        <v>10</v>
      </c>
      <c r="AC10" s="1">
        <v>44337</v>
      </c>
      <c r="AD10" t="s">
        <v>55</v>
      </c>
      <c r="AE10" s="3">
        <v>14849078</v>
      </c>
      <c r="AF10" t="s">
        <v>9</v>
      </c>
      <c r="AG10" s="4">
        <v>6266514</v>
      </c>
      <c r="AH10" t="s">
        <v>10</v>
      </c>
      <c r="AI10" s="1">
        <v>44337</v>
      </c>
      <c r="AJ10">
        <v>92</v>
      </c>
      <c r="AK10" s="2">
        <v>0.39500000000000002</v>
      </c>
      <c r="AL10" s="2">
        <v>0.443</v>
      </c>
      <c r="AM10" s="2">
        <v>0.13300000000000001</v>
      </c>
      <c r="AN10" s="2">
        <v>0.76500000000000001</v>
      </c>
      <c r="AO10" s="2">
        <v>8.3900000000000002E-2</v>
      </c>
      <c r="AP10" s="2">
        <v>0.33800000000000002</v>
      </c>
      <c r="AQ10" s="2">
        <v>-9.7200000000000006</v>
      </c>
      <c r="AR10">
        <v>175933</v>
      </c>
    </row>
    <row r="11" spans="1:44" x14ac:dyDescent="0.25">
      <c r="A11">
        <v>12</v>
      </c>
      <c r="B11">
        <v>9</v>
      </c>
      <c r="C11">
        <v>9</v>
      </c>
      <c r="D11" s="1">
        <v>44379</v>
      </c>
      <c r="E11" s="59" t="str" cm="1">
        <f t="array" ref="E1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 t="s">
        <v>29</v>
      </c>
      <c r="G11" s="3">
        <v>22405111</v>
      </c>
      <c r="H11" t="s">
        <v>30</v>
      </c>
      <c r="I11" s="4">
        <v>29051363</v>
      </c>
      <c r="J11" t="s">
        <v>25</v>
      </c>
      <c r="K11" s="1">
        <v>44344</v>
      </c>
      <c r="L11">
        <v>95</v>
      </c>
      <c r="M11" s="2" t="str">
        <f>IF(Spotify[[#This Row],[Energie]]&gt;AVERAGE(Spotify[Energie]),"FORTE","FAIBLE")</f>
        <v>FORTE</v>
      </c>
      <c r="N11" s="2">
        <v>0.89100000000000001</v>
      </c>
      <c r="O11" s="2">
        <v>0.81899999999999995</v>
      </c>
      <c r="P11" s="2">
        <v>0.106</v>
      </c>
      <c r="Q11" s="2">
        <v>2.6100000000000002E-2</v>
      </c>
      <c r="R11" s="2">
        <v>0.17299999999999999</v>
      </c>
      <c r="S11" s="2">
        <v>0.76800000000000002</v>
      </c>
      <c r="T11" s="2">
        <v>-3.964</v>
      </c>
      <c r="U11">
        <v>217773</v>
      </c>
      <c r="V11">
        <f>YEAR(Spotify[[#This Row],[Date de sortie]])</f>
        <v>2021</v>
      </c>
      <c r="W11" s="2" t="str">
        <f>IF(Spotify[[#This Row],[Popularité]]&gt;=70,"FORTE","FAIBLE")</f>
        <v>FORTE</v>
      </c>
      <c r="Z11">
        <v>33</v>
      </c>
      <c r="AA11">
        <v>11</v>
      </c>
      <c r="AB11">
        <v>10</v>
      </c>
      <c r="AC11" s="1">
        <v>44344</v>
      </c>
      <c r="AD11" t="s">
        <v>69</v>
      </c>
      <c r="AE11" s="3">
        <v>12818935</v>
      </c>
      <c r="AF11" t="s">
        <v>9</v>
      </c>
      <c r="AG11" s="4">
        <v>6266514</v>
      </c>
      <c r="AH11" t="s">
        <v>10</v>
      </c>
      <c r="AI11" s="1">
        <v>44337</v>
      </c>
      <c r="AJ11">
        <v>91</v>
      </c>
      <c r="AK11" s="2">
        <v>0.36899999999999999</v>
      </c>
      <c r="AL11" s="2">
        <v>0.27200000000000002</v>
      </c>
      <c r="AM11" s="2">
        <v>3.6400000000000002E-2</v>
      </c>
      <c r="AN11" s="2">
        <v>0.86599999999999999</v>
      </c>
      <c r="AO11" s="2">
        <v>0.14699999999999999</v>
      </c>
      <c r="AP11" s="2">
        <v>0.218</v>
      </c>
      <c r="AQ11" s="2">
        <v>-10.497</v>
      </c>
      <c r="AR11">
        <v>152667</v>
      </c>
    </row>
    <row r="12" spans="1:44" x14ac:dyDescent="0.25">
      <c r="A12">
        <v>13</v>
      </c>
      <c r="B12">
        <v>5</v>
      </c>
      <c r="C12">
        <v>3</v>
      </c>
      <c r="D12" s="1">
        <v>44386</v>
      </c>
      <c r="E12" s="59" t="str" cm="1">
        <f t="array" ref="E1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 t="s">
        <v>31</v>
      </c>
      <c r="G12" s="3">
        <v>22062812</v>
      </c>
      <c r="H12" t="s">
        <v>32</v>
      </c>
      <c r="I12" s="4">
        <v>37106176</v>
      </c>
      <c r="J12" t="s">
        <v>33</v>
      </c>
      <c r="K12" s="1">
        <v>44386</v>
      </c>
      <c r="L12">
        <v>95</v>
      </c>
      <c r="M12" s="2" t="str">
        <f>IF(Spotify[[#This Row],[Energie]]&gt;AVERAGE(Spotify[Energie]),"FORTE","FAIBLE")</f>
        <v>FORTE</v>
      </c>
      <c r="N12" s="2">
        <v>0.70199999999999996</v>
      </c>
      <c r="O12" s="2">
        <v>0.74099999999999999</v>
      </c>
      <c r="P12" s="2">
        <v>4.2700000000000002E-2</v>
      </c>
      <c r="Q12" s="2">
        <v>5.4400000000000004E-3</v>
      </c>
      <c r="R12" s="2">
        <v>0.33700000000000002</v>
      </c>
      <c r="S12" s="2">
        <v>0.64600000000000002</v>
      </c>
      <c r="T12" s="2">
        <v>-5.33</v>
      </c>
      <c r="U12">
        <v>187585</v>
      </c>
      <c r="V12">
        <f>YEAR(Spotify[[#This Row],[Date de sortie]])</f>
        <v>2021</v>
      </c>
      <c r="W12" s="2" t="str">
        <f>IF(Spotify[[#This Row],[Popularité]]&gt;=70,"FORTE","FAIBLE")</f>
        <v>FORTE</v>
      </c>
      <c r="Z12">
        <v>35</v>
      </c>
      <c r="AA12">
        <v>4</v>
      </c>
      <c r="AB12">
        <v>83</v>
      </c>
      <c r="AC12" s="1">
        <v>44043</v>
      </c>
      <c r="AD12" t="s">
        <v>73</v>
      </c>
      <c r="AE12" s="3">
        <v>11996689</v>
      </c>
      <c r="AF12" t="s">
        <v>74</v>
      </c>
      <c r="AG12" s="4">
        <v>16112621</v>
      </c>
      <c r="AH12" t="s">
        <v>10</v>
      </c>
      <c r="AI12" s="1">
        <v>43812</v>
      </c>
      <c r="AJ12">
        <v>90</v>
      </c>
      <c r="AK12" s="2">
        <v>0.54800000000000004</v>
      </c>
      <c r="AL12" s="2">
        <v>0.81599999999999995</v>
      </c>
      <c r="AM12" s="2">
        <v>4.65E-2</v>
      </c>
      <c r="AN12" s="2">
        <v>0.122</v>
      </c>
      <c r="AO12" s="2">
        <v>0.33500000000000002</v>
      </c>
      <c r="AP12" s="2">
        <v>0.55700000000000005</v>
      </c>
      <c r="AQ12" s="2">
        <v>-4.2089999999999996</v>
      </c>
      <c r="AR12">
        <v>174000</v>
      </c>
    </row>
    <row r="13" spans="1:44" x14ac:dyDescent="0.25">
      <c r="A13">
        <v>15</v>
      </c>
      <c r="B13">
        <v>2</v>
      </c>
      <c r="C13">
        <v>10</v>
      </c>
      <c r="D13" s="1">
        <v>44337</v>
      </c>
      <c r="E13" s="59" t="str" cm="1">
        <f t="array" ref="E1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3" t="s">
        <v>37</v>
      </c>
      <c r="G13" s="3">
        <v>19985713</v>
      </c>
      <c r="H13" t="s">
        <v>32</v>
      </c>
      <c r="I13" s="4">
        <v>37106176</v>
      </c>
      <c r="J13" t="s">
        <v>33</v>
      </c>
      <c r="K13" s="1">
        <v>44351</v>
      </c>
      <c r="L13">
        <v>95</v>
      </c>
      <c r="M13" s="2" t="str">
        <f>IF(Spotify[[#This Row],[Energie]]&gt;AVERAGE(Spotify[Energie]),"FORTE","FAIBLE")</f>
        <v>FAIBLE</v>
      </c>
      <c r="N13" s="2">
        <v>0.75900000000000001</v>
      </c>
      <c r="O13" s="2">
        <v>0.45900000000000002</v>
      </c>
      <c r="P13" s="2">
        <v>9.4799999999999995E-2</v>
      </c>
      <c r="Q13" s="2">
        <v>3.2299999999999998E-3</v>
      </c>
      <c r="R13" s="2">
        <v>9.06E-2</v>
      </c>
      <c r="S13" s="2">
        <v>0.69499999999999995</v>
      </c>
      <c r="T13" s="2">
        <v>-5.1870000000000003</v>
      </c>
      <c r="U13">
        <v>164442</v>
      </c>
      <c r="V13">
        <f>YEAR(Spotify[[#This Row],[Date de sortie]])</f>
        <v>2021</v>
      </c>
      <c r="W13" s="2" t="str">
        <f>IF(Spotify[[#This Row],[Popularité]]&gt;=70,"FORTE","FAIBLE")</f>
        <v>FORTE</v>
      </c>
      <c r="Z13">
        <v>42</v>
      </c>
      <c r="AA13">
        <v>17</v>
      </c>
      <c r="AB13">
        <v>10</v>
      </c>
      <c r="AC13" s="1">
        <v>44337</v>
      </c>
      <c r="AD13" t="s">
        <v>89</v>
      </c>
      <c r="AE13" s="3">
        <v>11287301</v>
      </c>
      <c r="AF13" t="s">
        <v>9</v>
      </c>
      <c r="AG13" s="4">
        <v>6266514</v>
      </c>
      <c r="AH13" t="s">
        <v>10</v>
      </c>
      <c r="AI13" s="1">
        <v>44337</v>
      </c>
      <c r="AJ13">
        <v>90</v>
      </c>
      <c r="AK13" s="2">
        <v>0.69499999999999995</v>
      </c>
      <c r="AL13" s="2">
        <v>0.57499999999999996</v>
      </c>
      <c r="AM13" s="2">
        <v>0.11600000000000001</v>
      </c>
      <c r="AN13" s="2">
        <v>0.19800000000000001</v>
      </c>
      <c r="AO13" s="2">
        <v>6.1400000000000003E-2</v>
      </c>
      <c r="AP13" s="2">
        <v>0.69899999999999995</v>
      </c>
      <c r="AQ13" s="2">
        <v>-6.3339999999999996</v>
      </c>
      <c r="AR13">
        <v>173160</v>
      </c>
    </row>
    <row r="14" spans="1:44" x14ac:dyDescent="0.25">
      <c r="A14">
        <v>7</v>
      </c>
      <c r="B14">
        <v>3</v>
      </c>
      <c r="C14">
        <v>16</v>
      </c>
      <c r="D14" s="1">
        <v>44330</v>
      </c>
      <c r="E14" s="59" t="str" cm="1">
        <f t="array" ref="E1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 t="s">
        <v>17</v>
      </c>
      <c r="G14" s="3">
        <v>29356736</v>
      </c>
      <c r="H14" t="s">
        <v>18</v>
      </c>
      <c r="I14" s="4">
        <v>8640063</v>
      </c>
      <c r="J14" t="s">
        <v>19</v>
      </c>
      <c r="K14" s="1">
        <v>44295</v>
      </c>
      <c r="L14">
        <v>94</v>
      </c>
      <c r="M14" s="2" t="str">
        <f>IF(Spotify[[#This Row],[Energie]]&gt;AVERAGE(Spotify[Energie]),"FORTE","FAIBLE")</f>
        <v>FORTE</v>
      </c>
      <c r="N14" s="2">
        <v>0.76200000000000001</v>
      </c>
      <c r="O14" s="2">
        <v>0.70099999999999996</v>
      </c>
      <c r="P14" s="2">
        <v>2.86E-2</v>
      </c>
      <c r="Q14" s="2">
        <v>0.23499999999999999</v>
      </c>
      <c r="R14" s="2">
        <v>0.123</v>
      </c>
      <c r="S14" s="2">
        <v>0.74199999999999999</v>
      </c>
      <c r="T14" s="2">
        <v>-3.5409999999999999</v>
      </c>
      <c r="U14">
        <v>208867</v>
      </c>
      <c r="V14">
        <f>YEAR(Spotify[[#This Row],[Date de sortie]])</f>
        <v>2021</v>
      </c>
      <c r="W14" s="2" t="str">
        <f>IF(Spotify[[#This Row],[Popularité]]&gt;=70,"FORTE","FAIBLE")</f>
        <v>FORTE</v>
      </c>
      <c r="Z14">
        <v>63</v>
      </c>
      <c r="AA14">
        <v>9</v>
      </c>
      <c r="AB14">
        <v>10</v>
      </c>
      <c r="AC14" s="1">
        <v>44337</v>
      </c>
      <c r="AD14" t="s">
        <v>139</v>
      </c>
      <c r="AE14" s="3">
        <v>8881356</v>
      </c>
      <c r="AF14" t="s">
        <v>9</v>
      </c>
      <c r="AG14" s="4">
        <v>6266514</v>
      </c>
      <c r="AH14" t="s">
        <v>10</v>
      </c>
      <c r="AI14" s="1">
        <v>44337</v>
      </c>
      <c r="AJ14">
        <v>89</v>
      </c>
      <c r="AK14" s="2">
        <v>0.67200000000000004</v>
      </c>
      <c r="AL14" s="2">
        <v>0.52600000000000002</v>
      </c>
      <c r="AM14" s="2">
        <v>5.9900000000000002E-2</v>
      </c>
      <c r="AN14" s="2">
        <v>3.1099999999999999E-2</v>
      </c>
      <c r="AO14" s="2">
        <v>0.28000000000000003</v>
      </c>
      <c r="AP14" s="2">
        <v>0.28000000000000003</v>
      </c>
      <c r="AQ14" s="2">
        <v>-6.4459999999999997</v>
      </c>
      <c r="AR14">
        <v>143747</v>
      </c>
    </row>
    <row r="15" spans="1:44" x14ac:dyDescent="0.25">
      <c r="A15">
        <v>14</v>
      </c>
      <c r="B15">
        <v>1</v>
      </c>
      <c r="C15">
        <v>19</v>
      </c>
      <c r="D15" s="1">
        <v>44288</v>
      </c>
      <c r="E15" s="59" t="str" cm="1">
        <f t="array" ref="E1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5" t="s">
        <v>34</v>
      </c>
      <c r="G15" s="3">
        <v>20294457</v>
      </c>
      <c r="H15" t="s">
        <v>35</v>
      </c>
      <c r="I15" s="4">
        <v>48504126</v>
      </c>
      <c r="J15" t="s">
        <v>36</v>
      </c>
      <c r="K15" s="1">
        <v>44274</v>
      </c>
      <c r="L15">
        <v>94</v>
      </c>
      <c r="M15" s="2" t="str">
        <f>IF(Spotify[[#This Row],[Energie]]&gt;AVERAGE(Spotify[Energie]),"FORTE","FAIBLE")</f>
        <v>FORTE</v>
      </c>
      <c r="N15" s="2">
        <v>0.67700000000000005</v>
      </c>
      <c r="O15" s="2">
        <v>0.69599999999999995</v>
      </c>
      <c r="P15" s="2">
        <v>0.11899999999999999</v>
      </c>
      <c r="Q15" s="2">
        <v>0.32100000000000001</v>
      </c>
      <c r="R15" s="2">
        <v>0.42</v>
      </c>
      <c r="S15" s="2">
        <v>0.46400000000000002</v>
      </c>
      <c r="T15" s="2">
        <v>-6.181</v>
      </c>
      <c r="U15">
        <v>198082</v>
      </c>
      <c r="V15">
        <f>YEAR(Spotify[[#This Row],[Date de sortie]])</f>
        <v>2021</v>
      </c>
      <c r="W15" s="2" t="str">
        <f>IF(Spotify[[#This Row],[Popularité]]&gt;=70,"FORTE","FAIBLE")</f>
        <v>FORTE</v>
      </c>
      <c r="Z15">
        <v>59</v>
      </c>
      <c r="AA15">
        <v>34</v>
      </c>
      <c r="AB15">
        <v>21</v>
      </c>
      <c r="AC15" s="1">
        <v>44309</v>
      </c>
      <c r="AD15" t="s">
        <v>129</v>
      </c>
      <c r="AE15" s="3">
        <v>9048966</v>
      </c>
      <c r="AF15" t="s">
        <v>130</v>
      </c>
      <c r="AG15" s="4">
        <v>32262679</v>
      </c>
      <c r="AH15" t="s">
        <v>10</v>
      </c>
      <c r="AI15" s="1">
        <v>44358</v>
      </c>
      <c r="AJ15">
        <v>88</v>
      </c>
      <c r="AK15" s="2">
        <v>0.71299999999999997</v>
      </c>
      <c r="AL15" s="2">
        <v>0.67600000000000005</v>
      </c>
      <c r="AM15" s="2">
        <v>2.7E-2</v>
      </c>
      <c r="AN15" s="2">
        <v>3.7699999999999997E-2</v>
      </c>
      <c r="AO15" s="2">
        <v>0.154</v>
      </c>
      <c r="AP15" s="2">
        <v>0.72099999999999997</v>
      </c>
      <c r="AQ15" s="2">
        <v>-5.4829999999999997</v>
      </c>
      <c r="AR15">
        <v>227395</v>
      </c>
    </row>
    <row r="16" spans="1:44" x14ac:dyDescent="0.25">
      <c r="A16">
        <v>16</v>
      </c>
      <c r="B16">
        <v>7</v>
      </c>
      <c r="C16">
        <v>10</v>
      </c>
      <c r="D16" s="1">
        <v>44337</v>
      </c>
      <c r="E16" s="59" t="str" cm="1">
        <f t="array" ref="E1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6" t="s">
        <v>38</v>
      </c>
      <c r="G16" s="3">
        <v>19480679</v>
      </c>
      <c r="H16" t="s">
        <v>9</v>
      </c>
      <c r="I16" s="4">
        <v>6266514</v>
      </c>
      <c r="J16" t="s">
        <v>10</v>
      </c>
      <c r="K16" s="1">
        <v>44337</v>
      </c>
      <c r="L16">
        <v>94</v>
      </c>
      <c r="M16" s="2" t="str">
        <f>IF(Spotify[[#This Row],[Energie]]&gt;AVERAGE(Spotify[Energie]),"FORTE","FAIBLE")</f>
        <v>FAIBLE</v>
      </c>
      <c r="N16" s="2">
        <v>0.38</v>
      </c>
      <c r="O16" s="2">
        <v>0.33900000000000002</v>
      </c>
      <c r="P16" s="2">
        <v>3.3799999999999997E-2</v>
      </c>
      <c r="Q16" s="2">
        <v>0.69099999999999995</v>
      </c>
      <c r="R16" s="2">
        <v>0.12</v>
      </c>
      <c r="S16" s="2">
        <v>8.4900000000000003E-2</v>
      </c>
      <c r="T16" s="2">
        <v>-7.8849999999999998</v>
      </c>
      <c r="U16">
        <v>229227</v>
      </c>
      <c r="V16">
        <f>YEAR(Spotify[[#This Row],[Date de sortie]])</f>
        <v>2021</v>
      </c>
      <c r="W16" s="2" t="str">
        <f>IF(Spotify[[#This Row],[Popularité]]&gt;=70,"FORTE","FAIBLE")</f>
        <v>FORTE</v>
      </c>
      <c r="Z16">
        <v>65</v>
      </c>
      <c r="AA16">
        <v>8</v>
      </c>
      <c r="AB16">
        <v>24</v>
      </c>
      <c r="AC16" s="1">
        <v>44288</v>
      </c>
      <c r="AD16" t="s">
        <v>141</v>
      </c>
      <c r="AE16" s="3">
        <v>8832945</v>
      </c>
      <c r="AF16" t="s">
        <v>142</v>
      </c>
      <c r="AG16" s="4">
        <v>1398563</v>
      </c>
      <c r="AH16" t="s">
        <v>10</v>
      </c>
      <c r="AI16" s="1">
        <v>43917</v>
      </c>
      <c r="AJ16">
        <v>87</v>
      </c>
      <c r="AK16" s="2">
        <v>0.44900000000000001</v>
      </c>
      <c r="AL16" s="2">
        <v>0.46500000000000002</v>
      </c>
      <c r="AM16" s="2">
        <v>7.9100000000000004E-2</v>
      </c>
      <c r="AN16" s="2">
        <v>0.52400000000000002</v>
      </c>
      <c r="AO16" s="2">
        <v>0.30299999999999999</v>
      </c>
      <c r="AP16" s="2">
        <v>0.54300000000000004</v>
      </c>
      <c r="AQ16" s="2">
        <v>-8.9640000000000004</v>
      </c>
      <c r="AR16">
        <v>198371</v>
      </c>
    </row>
    <row r="17" spans="1:44" x14ac:dyDescent="0.25">
      <c r="A17">
        <v>18</v>
      </c>
      <c r="B17">
        <v>5</v>
      </c>
      <c r="C17">
        <v>14</v>
      </c>
      <c r="D17" s="1">
        <v>44309</v>
      </c>
      <c r="E17" s="59" t="str" cm="1">
        <f t="array" ref="E1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7" t="s">
        <v>40</v>
      </c>
      <c r="G17" s="3">
        <v>18053141</v>
      </c>
      <c r="H17" t="s">
        <v>41</v>
      </c>
      <c r="I17" s="4">
        <v>35305637</v>
      </c>
      <c r="J17" t="s">
        <v>42</v>
      </c>
      <c r="K17" s="1">
        <v>44309</v>
      </c>
      <c r="L17">
        <v>94</v>
      </c>
      <c r="M17" s="2" t="str">
        <f>IF(Spotify[[#This Row],[Energie]]&gt;AVERAGE(Spotify[Energie]),"FORTE","FAIBLE")</f>
        <v>FORTE</v>
      </c>
      <c r="N17" s="2">
        <v>0.65</v>
      </c>
      <c r="O17" s="2">
        <v>0.82499999999999996</v>
      </c>
      <c r="P17" s="2">
        <v>3.2500000000000001E-2</v>
      </c>
      <c r="Q17" s="2">
        <v>2.1499999999999998E-2</v>
      </c>
      <c r="R17" s="2">
        <v>9.3600000000000003E-2</v>
      </c>
      <c r="S17" s="2">
        <v>0.59299999999999997</v>
      </c>
      <c r="T17" s="2">
        <v>-4.6449999999999996</v>
      </c>
      <c r="U17">
        <v>191014</v>
      </c>
      <c r="V17">
        <f>YEAR(Spotify[[#This Row],[Date de sortie]])</f>
        <v>2021</v>
      </c>
      <c r="W17" s="2" t="str">
        <f>IF(Spotify[[#This Row],[Popularité]]&gt;=70,"FORTE","FAIBLE")</f>
        <v>FORTE</v>
      </c>
      <c r="Z17">
        <v>70</v>
      </c>
      <c r="AA17">
        <v>12</v>
      </c>
      <c r="AB17">
        <v>83</v>
      </c>
      <c r="AC17" s="1">
        <v>43826</v>
      </c>
      <c r="AD17" t="s">
        <v>151</v>
      </c>
      <c r="AE17" s="3">
        <v>8490162</v>
      </c>
      <c r="AF17" t="s">
        <v>152</v>
      </c>
      <c r="AG17" s="4">
        <v>8384096</v>
      </c>
      <c r="AH17" t="s">
        <v>10</v>
      </c>
      <c r="AI17" s="1">
        <v>43602</v>
      </c>
      <c r="AJ17">
        <v>86</v>
      </c>
      <c r="AK17" s="2">
        <v>0.501</v>
      </c>
      <c r="AL17" s="2">
        <v>0.40500000000000003</v>
      </c>
      <c r="AM17" s="2">
        <v>3.1899999999999998E-2</v>
      </c>
      <c r="AN17" s="2">
        <v>0.751</v>
      </c>
      <c r="AO17" s="2">
        <v>0.105</v>
      </c>
      <c r="AP17" s="2">
        <v>0.44600000000000001</v>
      </c>
      <c r="AQ17" s="2">
        <v>-5.6790000000000003</v>
      </c>
      <c r="AR17">
        <v>182161</v>
      </c>
    </row>
    <row r="18" spans="1:44" x14ac:dyDescent="0.25">
      <c r="A18">
        <v>64</v>
      </c>
      <c r="B18">
        <v>2</v>
      </c>
      <c r="C18">
        <v>34</v>
      </c>
      <c r="D18" s="1">
        <v>44253</v>
      </c>
      <c r="E18" s="59" t="str" cm="1">
        <f t="array" ref="E1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8" t="s">
        <v>140</v>
      </c>
      <c r="G18" s="3">
        <v>8843110</v>
      </c>
      <c r="H18" t="s">
        <v>41</v>
      </c>
      <c r="I18" s="4">
        <v>35305637</v>
      </c>
      <c r="J18" t="s">
        <v>42</v>
      </c>
      <c r="K18" s="1">
        <v>44309</v>
      </c>
      <c r="L18">
        <v>94</v>
      </c>
      <c r="M18" s="2" t="str">
        <f>IF(Spotify[[#This Row],[Energie]]&gt;AVERAGE(Spotify[Energie]),"FORTE","FAIBLE")</f>
        <v>FORTE</v>
      </c>
      <c r="N18" s="2">
        <v>0.65</v>
      </c>
      <c r="O18" s="2">
        <v>0.82499999999999996</v>
      </c>
      <c r="P18" s="2">
        <v>3.2500000000000001E-2</v>
      </c>
      <c r="Q18" s="2">
        <v>2.1499999999999998E-2</v>
      </c>
      <c r="R18" s="2">
        <v>9.3600000000000003E-2</v>
      </c>
      <c r="S18" s="2">
        <v>0.59299999999999997</v>
      </c>
      <c r="T18" s="2">
        <v>-4.6449999999999996</v>
      </c>
      <c r="U18">
        <v>191014</v>
      </c>
      <c r="V18">
        <f>YEAR(Spotify[[#This Row],[Date de sortie]])</f>
        <v>2021</v>
      </c>
      <c r="W18" s="2" t="str">
        <f>IF(Spotify[[#This Row],[Popularité]]&gt;=70,"FORTE","FAIBLE")</f>
        <v>FORTE</v>
      </c>
      <c r="Z18">
        <v>120</v>
      </c>
      <c r="AA18">
        <v>99</v>
      </c>
      <c r="AB18">
        <v>83</v>
      </c>
      <c r="AC18" s="1">
        <v>44036</v>
      </c>
      <c r="AD18" t="s">
        <v>258</v>
      </c>
      <c r="AE18" s="3">
        <v>6278765</v>
      </c>
      <c r="AF18" t="s">
        <v>12</v>
      </c>
      <c r="AG18" s="4">
        <v>83293380</v>
      </c>
      <c r="AH18" t="s">
        <v>10</v>
      </c>
      <c r="AI18" s="1">
        <v>42797</v>
      </c>
      <c r="AJ18">
        <v>86</v>
      </c>
      <c r="AK18" s="2">
        <v>0.59899999999999998</v>
      </c>
      <c r="AL18" s="2">
        <v>0.44800000000000001</v>
      </c>
      <c r="AM18" s="2">
        <v>2.3199999999999998E-2</v>
      </c>
      <c r="AN18" s="2">
        <v>0.16300000000000001</v>
      </c>
      <c r="AO18" s="2">
        <v>0.106</v>
      </c>
      <c r="AP18" s="2">
        <v>0.16800000000000001</v>
      </c>
      <c r="AQ18" s="2">
        <v>-6.3120000000000003</v>
      </c>
      <c r="AR18">
        <v>263400</v>
      </c>
    </row>
    <row r="19" spans="1:44" x14ac:dyDescent="0.25">
      <c r="A19">
        <v>17</v>
      </c>
      <c r="B19">
        <v>3</v>
      </c>
      <c r="C19">
        <v>17</v>
      </c>
      <c r="D19" s="1">
        <v>44337</v>
      </c>
      <c r="E19" s="59" t="str" cm="1">
        <f t="array" ref="E1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9" t="s">
        <v>39</v>
      </c>
      <c r="G19" s="3">
        <v>18571755</v>
      </c>
      <c r="H19" t="s">
        <v>9</v>
      </c>
      <c r="I19" s="4">
        <v>6266514</v>
      </c>
      <c r="J19" t="s">
        <v>10</v>
      </c>
      <c r="K19" s="1">
        <v>44337</v>
      </c>
      <c r="L19">
        <v>93</v>
      </c>
      <c r="M19" s="2" t="str">
        <f>IF(Spotify[[#This Row],[Energie]]&gt;AVERAGE(Spotify[Energie]),"FORTE","FAIBLE")</f>
        <v>FAIBLE</v>
      </c>
      <c r="N19" s="2">
        <v>0.442</v>
      </c>
      <c r="O19" s="2">
        <v>0.61199999999999999</v>
      </c>
      <c r="P19" s="2">
        <v>0.112</v>
      </c>
      <c r="Q19" s="2">
        <v>0.58399999999999996</v>
      </c>
      <c r="R19" s="2">
        <v>0.37</v>
      </c>
      <c r="S19" s="2">
        <v>0.17799999999999999</v>
      </c>
      <c r="T19" s="2">
        <v>-7.2220000000000004</v>
      </c>
      <c r="U19">
        <v>215507</v>
      </c>
      <c r="V19">
        <f>YEAR(Spotify[[#This Row],[Date de sortie]])</f>
        <v>2021</v>
      </c>
      <c r="W19" s="2" t="str">
        <f>IF(Spotify[[#This Row],[Popularité]]&gt;=70,"FORTE","FAIBLE")</f>
        <v>FORTE</v>
      </c>
      <c r="Z19">
        <v>129</v>
      </c>
      <c r="AA19">
        <v>11</v>
      </c>
      <c r="AB19">
        <v>10</v>
      </c>
      <c r="AC19" s="1">
        <v>44337</v>
      </c>
      <c r="AD19" t="s">
        <v>278</v>
      </c>
      <c r="AE19" s="3">
        <v>6040918</v>
      </c>
      <c r="AF19" t="s">
        <v>9</v>
      </c>
      <c r="AG19" s="4">
        <v>6266514</v>
      </c>
      <c r="AH19" t="s">
        <v>10</v>
      </c>
      <c r="AI19" s="1">
        <v>44337</v>
      </c>
      <c r="AJ19">
        <v>86</v>
      </c>
      <c r="AK19" s="2">
        <v>0.63800000000000001</v>
      </c>
      <c r="AL19" s="2">
        <v>0.25900000000000001</v>
      </c>
      <c r="AM19" s="2">
        <v>8.9800000000000005E-2</v>
      </c>
      <c r="AN19" s="2">
        <v>0.753</v>
      </c>
      <c r="AO19" s="2">
        <v>0.219</v>
      </c>
      <c r="AP19" s="2">
        <v>0.26900000000000002</v>
      </c>
      <c r="AQ19" s="2">
        <v>-10.706</v>
      </c>
      <c r="AR19">
        <v>202827</v>
      </c>
    </row>
    <row r="20" spans="1:44" x14ac:dyDescent="0.25">
      <c r="A20">
        <v>19</v>
      </c>
      <c r="B20">
        <v>14</v>
      </c>
      <c r="C20">
        <v>5</v>
      </c>
      <c r="D20" s="1">
        <v>44379</v>
      </c>
      <c r="E20" s="59" t="str" cm="1">
        <f t="array" ref="E2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0" t="s">
        <v>43</v>
      </c>
      <c r="G20" s="3">
        <v>17617965</v>
      </c>
      <c r="H20" t="s">
        <v>44</v>
      </c>
      <c r="I20" s="4">
        <v>2123734</v>
      </c>
      <c r="J20" t="s">
        <v>25</v>
      </c>
      <c r="K20" s="1">
        <v>44371</v>
      </c>
      <c r="L20">
        <v>93</v>
      </c>
      <c r="M20" s="2" t="str">
        <f>IF(Spotify[[#This Row],[Energie]]&gt;AVERAGE(Spotify[Energie]),"FORTE","FAIBLE")</f>
        <v>FORTE</v>
      </c>
      <c r="N20" s="2">
        <v>0.74299999999999999</v>
      </c>
      <c r="O20" s="2">
        <v>0.65500000000000003</v>
      </c>
      <c r="P20" s="2">
        <v>0.159</v>
      </c>
      <c r="Q20" s="2">
        <v>0.114</v>
      </c>
      <c r="R20" s="2">
        <v>7.6399999999999996E-2</v>
      </c>
      <c r="S20" s="2">
        <v>0.78500000000000003</v>
      </c>
      <c r="T20" s="2">
        <v>-5.0149999999999997</v>
      </c>
      <c r="U20">
        <v>261335</v>
      </c>
      <c r="V20">
        <f>YEAR(Spotify[[#This Row],[Date de sortie]])</f>
        <v>2021</v>
      </c>
      <c r="W20" s="2" t="str">
        <f>IF(Spotify[[#This Row],[Popularité]]&gt;=70,"FORTE","FAIBLE")</f>
        <v>FORTE</v>
      </c>
      <c r="Z20">
        <v>117</v>
      </c>
      <c r="AA20">
        <v>80</v>
      </c>
      <c r="AB20">
        <v>80</v>
      </c>
      <c r="AC20" s="1">
        <v>43826</v>
      </c>
      <c r="AD20" t="s">
        <v>254</v>
      </c>
      <c r="AE20" s="3">
        <v>6452492</v>
      </c>
      <c r="AF20" t="s">
        <v>12</v>
      </c>
      <c r="AG20" s="4">
        <v>83293380</v>
      </c>
      <c r="AH20" t="s">
        <v>10</v>
      </c>
      <c r="AI20" s="1">
        <v>42797</v>
      </c>
      <c r="AJ20">
        <v>85</v>
      </c>
      <c r="AK20" s="2">
        <v>0.82499999999999996</v>
      </c>
      <c r="AL20" s="2">
        <v>0.65200000000000002</v>
      </c>
      <c r="AM20" s="2">
        <v>8.0199999999999994E-2</v>
      </c>
      <c r="AN20" s="2">
        <v>0.58099999999999996</v>
      </c>
      <c r="AO20" s="2">
        <v>9.3100000000000002E-2</v>
      </c>
      <c r="AP20" s="2">
        <v>0.93100000000000005</v>
      </c>
      <c r="AQ20" s="2">
        <v>-3.1829999999999998</v>
      </c>
      <c r="AR20">
        <v>233713</v>
      </c>
    </row>
    <row r="21" spans="1:44" x14ac:dyDescent="0.25">
      <c r="A21">
        <v>23</v>
      </c>
      <c r="B21">
        <v>1</v>
      </c>
      <c r="C21">
        <v>29</v>
      </c>
      <c r="D21" s="1">
        <v>44267</v>
      </c>
      <c r="E21" s="59" t="str" cm="1">
        <f t="array" ref="E2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1" t="s">
        <v>50</v>
      </c>
      <c r="G21" s="3">
        <v>15684978</v>
      </c>
      <c r="H21" t="s">
        <v>9</v>
      </c>
      <c r="I21" s="4">
        <v>6266514</v>
      </c>
      <c r="J21" t="s">
        <v>10</v>
      </c>
      <c r="K21" s="1">
        <v>44337</v>
      </c>
      <c r="L21">
        <v>92</v>
      </c>
      <c r="M21" s="2" t="str">
        <f>IF(Spotify[[#This Row],[Energie]]&gt;AVERAGE(Spotify[Energie]),"FORTE","FAIBLE")</f>
        <v>FAIBLE</v>
      </c>
      <c r="N21" s="2">
        <v>0.56100000000000005</v>
      </c>
      <c r="O21" s="2">
        <v>0.43099999999999999</v>
      </c>
      <c r="P21" s="2">
        <v>5.7799999999999997E-2</v>
      </c>
      <c r="Q21" s="2">
        <v>0.76800000000000002</v>
      </c>
      <c r="R21" s="2">
        <v>0.106</v>
      </c>
      <c r="S21" s="2">
        <v>0.13700000000000001</v>
      </c>
      <c r="T21" s="2">
        <v>-8.81</v>
      </c>
      <c r="U21">
        <v>242013</v>
      </c>
      <c r="V21">
        <f>YEAR(Spotify[[#This Row],[Date de sortie]])</f>
        <v>2021</v>
      </c>
      <c r="W21" s="2" t="str">
        <f>IF(Spotify[[#This Row],[Popularité]]&gt;=70,"FORTE","FAIBLE")</f>
        <v>FORTE</v>
      </c>
      <c r="Z21">
        <v>133</v>
      </c>
      <c r="AA21">
        <v>4</v>
      </c>
      <c r="AB21">
        <v>83</v>
      </c>
      <c r="AC21" s="1">
        <v>43826</v>
      </c>
      <c r="AD21" t="s">
        <v>283</v>
      </c>
      <c r="AE21" s="3">
        <v>5928329</v>
      </c>
      <c r="AF21" t="s">
        <v>130</v>
      </c>
      <c r="AG21" s="4">
        <v>32262679</v>
      </c>
      <c r="AH21" t="s">
        <v>10</v>
      </c>
      <c r="AI21" s="1">
        <v>44358</v>
      </c>
      <c r="AJ21">
        <v>85</v>
      </c>
      <c r="AK21" s="2">
        <v>0.77500000000000002</v>
      </c>
      <c r="AL21" s="2">
        <v>0.32700000000000001</v>
      </c>
      <c r="AM21" s="2">
        <v>5.57E-2</v>
      </c>
      <c r="AN21" s="2">
        <v>0.84099999999999997</v>
      </c>
      <c r="AO21" s="2">
        <v>8.2100000000000006E-2</v>
      </c>
      <c r="AP21" s="2">
        <v>0.59499999999999997</v>
      </c>
      <c r="AQ21" s="2">
        <v>-7.2409999999999997</v>
      </c>
      <c r="AR21">
        <v>189486</v>
      </c>
    </row>
    <row r="22" spans="1:44" x14ac:dyDescent="0.25">
      <c r="A22">
        <v>25</v>
      </c>
      <c r="B22">
        <v>1</v>
      </c>
      <c r="C22">
        <v>83</v>
      </c>
      <c r="D22" s="1">
        <v>43994</v>
      </c>
      <c r="E22" s="59" t="str" cm="1">
        <f t="array" ref="E2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2" t="s">
        <v>54</v>
      </c>
      <c r="G22" s="3">
        <v>15011809</v>
      </c>
      <c r="H22" t="s">
        <v>41</v>
      </c>
      <c r="I22" s="4">
        <v>35305637</v>
      </c>
      <c r="J22" t="s">
        <v>42</v>
      </c>
      <c r="K22" s="1">
        <v>43910</v>
      </c>
      <c r="L22">
        <v>92</v>
      </c>
      <c r="M22" s="2" t="str">
        <f>IF(Spotify[[#This Row],[Energie]]&gt;AVERAGE(Spotify[Energie]),"FORTE","FAIBLE")</f>
        <v>FORTE</v>
      </c>
      <c r="N22" s="2">
        <v>0.51400000000000001</v>
      </c>
      <c r="O22" s="2">
        <v>0.73</v>
      </c>
      <c r="P22" s="2">
        <v>5.9799999999999999E-2</v>
      </c>
      <c r="Q22" s="2">
        <v>1.4599999999999999E-3</v>
      </c>
      <c r="R22" s="2">
        <v>8.9700000000000002E-2</v>
      </c>
      <c r="S22" s="2">
        <v>0.33400000000000002</v>
      </c>
      <c r="T22" s="2">
        <v>-5.9340000000000002</v>
      </c>
      <c r="U22">
        <v>200040</v>
      </c>
      <c r="V22">
        <f>YEAR(Spotify[[#This Row],[Date de sortie]])</f>
        <v>2020</v>
      </c>
      <c r="W22" s="2" t="str">
        <f>IF(Spotify[[#This Row],[Popularité]]&gt;=70,"FORTE","FAIBLE")</f>
        <v>FORTE</v>
      </c>
      <c r="Z22">
        <v>135</v>
      </c>
      <c r="AA22">
        <v>135</v>
      </c>
      <c r="AB22">
        <v>4</v>
      </c>
      <c r="AC22" s="1">
        <v>44400</v>
      </c>
      <c r="AD22" t="s">
        <v>286</v>
      </c>
      <c r="AE22" s="3">
        <v>5912784</v>
      </c>
      <c r="AF22" t="s">
        <v>287</v>
      </c>
      <c r="AG22" s="4">
        <v>64288</v>
      </c>
      <c r="AH22" t="s">
        <v>288</v>
      </c>
      <c r="AI22" s="1">
        <v>44316</v>
      </c>
      <c r="AJ22">
        <v>85</v>
      </c>
      <c r="AK22" s="2">
        <v>0.55800000000000005</v>
      </c>
      <c r="AL22" s="2">
        <v>0.45400000000000001</v>
      </c>
      <c r="AM22" s="2">
        <v>5.5100000000000003E-2</v>
      </c>
      <c r="AN22" s="2">
        <v>0.499</v>
      </c>
      <c r="AO22" s="2">
        <v>0.14599999999999999</v>
      </c>
      <c r="AP22" s="2">
        <v>0.42399999999999999</v>
      </c>
      <c r="AQ22" s="2">
        <v>-5.335</v>
      </c>
      <c r="AR22">
        <v>158594</v>
      </c>
    </row>
    <row r="23" spans="1:44" x14ac:dyDescent="0.25">
      <c r="A23">
        <v>26</v>
      </c>
      <c r="B23">
        <v>12</v>
      </c>
      <c r="C23">
        <v>10</v>
      </c>
      <c r="D23" s="1">
        <v>44337</v>
      </c>
      <c r="E23" s="59" t="str" cm="1">
        <f t="array" ref="E2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3" t="s">
        <v>55</v>
      </c>
      <c r="G23" s="3">
        <v>14849078</v>
      </c>
      <c r="H23" t="s">
        <v>9</v>
      </c>
      <c r="I23" s="4">
        <v>6266514</v>
      </c>
      <c r="J23" t="s">
        <v>10</v>
      </c>
      <c r="K23" s="1">
        <v>44337</v>
      </c>
      <c r="L23">
        <v>92</v>
      </c>
      <c r="M23" s="2" t="str">
        <f>IF(Spotify[[#This Row],[Energie]]&gt;AVERAGE(Spotify[Energie]),"FORTE","FAIBLE")</f>
        <v>FAIBLE</v>
      </c>
      <c r="N23" s="2">
        <v>0.39500000000000002</v>
      </c>
      <c r="O23" s="2">
        <v>0.443</v>
      </c>
      <c r="P23" s="2">
        <v>0.13300000000000001</v>
      </c>
      <c r="Q23" s="2">
        <v>0.76500000000000001</v>
      </c>
      <c r="R23" s="2">
        <v>8.3900000000000002E-2</v>
      </c>
      <c r="S23" s="2">
        <v>0.33800000000000002</v>
      </c>
      <c r="T23" s="2">
        <v>-9.7200000000000006</v>
      </c>
      <c r="U23">
        <v>175933</v>
      </c>
      <c r="V23">
        <f>YEAR(Spotify[[#This Row],[Date de sortie]])</f>
        <v>2021</v>
      </c>
      <c r="W23" s="2" t="str">
        <f>IF(Spotify[[#This Row],[Popularité]]&gt;=70,"FORTE","FAIBLE")</f>
        <v>FORTE</v>
      </c>
      <c r="Z23">
        <v>168</v>
      </c>
      <c r="AA23">
        <v>13</v>
      </c>
      <c r="AB23">
        <v>10</v>
      </c>
      <c r="AC23" s="1">
        <v>44337</v>
      </c>
      <c r="AD23" t="s">
        <v>353</v>
      </c>
      <c r="AE23" s="3">
        <v>5420003</v>
      </c>
      <c r="AF23" t="s">
        <v>9</v>
      </c>
      <c r="AG23" s="4">
        <v>6266514</v>
      </c>
      <c r="AH23" t="s">
        <v>10</v>
      </c>
      <c r="AI23" s="1">
        <v>44337</v>
      </c>
      <c r="AJ23">
        <v>85</v>
      </c>
      <c r="AK23" s="2">
        <v>0.47299999999999998</v>
      </c>
      <c r="AL23" s="2">
        <v>0.20300000000000001</v>
      </c>
      <c r="AM23" s="2">
        <v>0.10199999999999999</v>
      </c>
      <c r="AN23" s="2">
        <v>0.94099999999999995</v>
      </c>
      <c r="AO23" s="2">
        <v>0.126</v>
      </c>
      <c r="AP23" s="2">
        <v>0.41899999999999998</v>
      </c>
      <c r="AQ23" s="2">
        <v>-12.627000000000001</v>
      </c>
      <c r="AR23">
        <v>163587</v>
      </c>
    </row>
    <row r="24" spans="1:44" x14ac:dyDescent="0.25">
      <c r="A24">
        <v>27</v>
      </c>
      <c r="B24">
        <v>27</v>
      </c>
      <c r="C24">
        <v>3</v>
      </c>
      <c r="D24" s="1">
        <v>44400</v>
      </c>
      <c r="E24" s="59" t="str" cm="1">
        <f t="array" ref="E2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4" t="s">
        <v>56</v>
      </c>
      <c r="G24" s="3">
        <v>14809458</v>
      </c>
      <c r="H24" t="s">
        <v>57</v>
      </c>
      <c r="I24" s="4">
        <v>10502148</v>
      </c>
      <c r="J24" t="s">
        <v>25</v>
      </c>
      <c r="K24" s="1">
        <v>44371</v>
      </c>
      <c r="L24">
        <v>92</v>
      </c>
      <c r="M24" s="2" t="str">
        <f>IF(Spotify[[#This Row],[Energie]]&gt;AVERAGE(Spotify[Energie]),"FORTE","FAIBLE")</f>
        <v>FORTE</v>
      </c>
      <c r="N24" s="2">
        <v>0.76200000000000001</v>
      </c>
      <c r="O24" s="2">
        <v>0.76600000000000001</v>
      </c>
      <c r="P24" s="2">
        <v>3.4299999999999997E-2</v>
      </c>
      <c r="Q24" s="2">
        <v>7.7600000000000004E-3</v>
      </c>
      <c r="R24" s="2">
        <v>0.128</v>
      </c>
      <c r="S24" s="2">
        <v>0.442</v>
      </c>
      <c r="T24" s="2">
        <v>-3.9550000000000001</v>
      </c>
      <c r="U24">
        <v>287120</v>
      </c>
      <c r="V24">
        <f>YEAR(Spotify[[#This Row],[Date de sortie]])</f>
        <v>2021</v>
      </c>
      <c r="W24" s="2" t="str">
        <f>IF(Spotify[[#This Row],[Popularité]]&gt;=70,"FORTE","FAIBLE")</f>
        <v>FORTE</v>
      </c>
      <c r="Z24">
        <v>227</v>
      </c>
      <c r="AA24">
        <v>22</v>
      </c>
      <c r="AB24">
        <v>8</v>
      </c>
      <c r="AC24" s="1">
        <v>44337</v>
      </c>
      <c r="AD24" t="s">
        <v>457</v>
      </c>
      <c r="AE24" s="3">
        <v>5435614</v>
      </c>
      <c r="AF24" t="s">
        <v>9</v>
      </c>
      <c r="AG24" s="4">
        <v>6266514</v>
      </c>
      <c r="AH24" t="s">
        <v>10</v>
      </c>
      <c r="AI24" s="1">
        <v>44337</v>
      </c>
      <c r="AJ24">
        <v>84</v>
      </c>
      <c r="AK24" s="2">
        <v>0.443</v>
      </c>
      <c r="AL24" s="2">
        <v>0.29799999999999999</v>
      </c>
      <c r="AM24" s="2">
        <v>6.4399999999999999E-2</v>
      </c>
      <c r="AN24" s="2">
        <v>0.38800000000000001</v>
      </c>
      <c r="AO24" s="2">
        <v>0.10299999999999999</v>
      </c>
      <c r="AP24" s="2">
        <v>0.17199999999999999</v>
      </c>
      <c r="AQ24" s="2">
        <v>-12.180999999999999</v>
      </c>
      <c r="AR24">
        <v>209560</v>
      </c>
    </row>
    <row r="25" spans="1:44" x14ac:dyDescent="0.25">
      <c r="A25">
        <v>29</v>
      </c>
      <c r="B25">
        <v>15</v>
      </c>
      <c r="C25">
        <v>23</v>
      </c>
      <c r="D25" s="1">
        <v>44323</v>
      </c>
      <c r="E25" s="59" t="str" cm="1">
        <f t="array" ref="E2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5" t="s">
        <v>61</v>
      </c>
      <c r="G25" s="3">
        <v>14273637</v>
      </c>
      <c r="H25" t="s">
        <v>62</v>
      </c>
      <c r="I25" s="4">
        <v>83689</v>
      </c>
      <c r="J25" t="s">
        <v>19</v>
      </c>
      <c r="K25" s="1">
        <v>44211</v>
      </c>
      <c r="L25">
        <v>92</v>
      </c>
      <c r="M25" s="2" t="str">
        <f>IF(Spotify[[#This Row],[Energie]]&gt;AVERAGE(Spotify[Energie]),"FORTE","FAIBLE")</f>
        <v>FORTE</v>
      </c>
      <c r="N25" s="2">
        <v>0.82399999999999995</v>
      </c>
      <c r="O25" s="2">
        <v>0.86199999999999999</v>
      </c>
      <c r="P25" s="2">
        <v>0.126</v>
      </c>
      <c r="Q25" s="2">
        <v>7.6E-3</v>
      </c>
      <c r="R25" s="2">
        <v>0.30299999999999999</v>
      </c>
      <c r="S25" s="2">
        <v>0.80100000000000005</v>
      </c>
      <c r="T25" s="2">
        <v>-3.4239999999999999</v>
      </c>
      <c r="U25">
        <v>169153</v>
      </c>
      <c r="V25">
        <f>YEAR(Spotify[[#This Row],[Date de sortie]])</f>
        <v>2021</v>
      </c>
      <c r="W25" s="2" t="str">
        <f>IF(Spotify[[#This Row],[Popularité]]&gt;=70,"FORTE","FAIBLE")</f>
        <v>FORTE</v>
      </c>
      <c r="Z25">
        <v>173</v>
      </c>
      <c r="AA25">
        <v>94</v>
      </c>
      <c r="AB25">
        <v>82</v>
      </c>
      <c r="AC25" s="1">
        <v>44239</v>
      </c>
      <c r="AD25" t="s">
        <v>363</v>
      </c>
      <c r="AE25" s="3">
        <v>5375426</v>
      </c>
      <c r="AF25" t="s">
        <v>364</v>
      </c>
      <c r="AG25" s="4">
        <v>8441598</v>
      </c>
      <c r="AH25" t="s">
        <v>10</v>
      </c>
      <c r="AI25" s="1">
        <v>42671</v>
      </c>
      <c r="AJ25">
        <v>84</v>
      </c>
      <c r="AK25" s="2">
        <v>0.35799999999999998</v>
      </c>
      <c r="AL25" s="2">
        <v>0.55700000000000005</v>
      </c>
      <c r="AM25" s="2">
        <v>5.8999999999999997E-2</v>
      </c>
      <c r="AN25" s="2">
        <v>0.69499999999999995</v>
      </c>
      <c r="AO25" s="2">
        <v>9.0200000000000002E-2</v>
      </c>
      <c r="AP25" s="2">
        <v>0.49399999999999999</v>
      </c>
      <c r="AQ25" s="2">
        <v>-7.3979999999999997</v>
      </c>
      <c r="AR25">
        <v>211467</v>
      </c>
    </row>
    <row r="26" spans="1:44" x14ac:dyDescent="0.25">
      <c r="A26">
        <v>31</v>
      </c>
      <c r="B26">
        <v>5</v>
      </c>
      <c r="C26">
        <v>21</v>
      </c>
      <c r="D26" s="1">
        <v>44295</v>
      </c>
      <c r="E26" s="59" t="str" cm="1">
        <f t="array" ref="E2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6" t="s">
        <v>65</v>
      </c>
      <c r="G26" s="3">
        <v>13963568</v>
      </c>
      <c r="H26" t="s">
        <v>66</v>
      </c>
      <c r="I26" s="4">
        <v>32574754</v>
      </c>
      <c r="J26" t="s">
        <v>19</v>
      </c>
      <c r="K26" s="1">
        <v>44260</v>
      </c>
      <c r="L26">
        <v>92</v>
      </c>
      <c r="M26" s="2" t="str">
        <f>IF(Spotify[[#This Row],[Energie]]&gt;AVERAGE(Spotify[Energie]),"FORTE","FAIBLE")</f>
        <v>FAIBLE</v>
      </c>
      <c r="N26" s="2">
        <v>0.58599999999999997</v>
      </c>
      <c r="O26" s="2">
        <v>0.61599999999999999</v>
      </c>
      <c r="P26" s="2">
        <v>3.2399999999999998E-2</v>
      </c>
      <c r="Q26" s="2">
        <v>0.182</v>
      </c>
      <c r="R26" s="2">
        <v>9.2700000000000005E-2</v>
      </c>
      <c r="S26" s="2">
        <v>0.71899999999999997</v>
      </c>
      <c r="T26" s="2">
        <v>-7.9640000000000004</v>
      </c>
      <c r="U26">
        <v>242096</v>
      </c>
      <c r="V26">
        <f>YEAR(Spotify[[#This Row],[Date de sortie]])</f>
        <v>2021</v>
      </c>
      <c r="W26" s="2" t="str">
        <f>IF(Spotify[[#This Row],[Popularité]]&gt;=70,"FORTE","FAIBLE")</f>
        <v>FORTE</v>
      </c>
      <c r="Z26">
        <v>181</v>
      </c>
      <c r="AA26">
        <v>15</v>
      </c>
      <c r="AB26">
        <v>83</v>
      </c>
      <c r="AC26" s="1">
        <v>43826</v>
      </c>
      <c r="AD26" t="s">
        <v>377</v>
      </c>
      <c r="AE26" s="3">
        <v>5166847</v>
      </c>
      <c r="AF26" t="s">
        <v>74</v>
      </c>
      <c r="AG26" s="4">
        <v>16112621</v>
      </c>
      <c r="AH26" t="s">
        <v>10</v>
      </c>
      <c r="AI26" s="1">
        <v>43812</v>
      </c>
      <c r="AJ26">
        <v>84</v>
      </c>
      <c r="AK26" s="2">
        <v>0.67600000000000005</v>
      </c>
      <c r="AL26" s="2">
        <v>0.77100000000000002</v>
      </c>
      <c r="AM26" s="2">
        <v>4.8300000000000003E-2</v>
      </c>
      <c r="AN26" s="2">
        <v>2.3699999999999999E-2</v>
      </c>
      <c r="AO26" s="2">
        <v>0.10199999999999999</v>
      </c>
      <c r="AP26" s="2">
        <v>0.56899999999999995</v>
      </c>
      <c r="AQ26" s="2">
        <v>-3.6749999999999998</v>
      </c>
      <c r="AR26">
        <v>207133</v>
      </c>
    </row>
    <row r="27" spans="1:44" x14ac:dyDescent="0.25">
      <c r="A27">
        <v>21</v>
      </c>
      <c r="B27">
        <v>19</v>
      </c>
      <c r="C27">
        <v>3</v>
      </c>
      <c r="D27" s="1">
        <v>44393</v>
      </c>
      <c r="E27" s="59" t="str" cm="1">
        <f t="array" ref="E2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7" t="s">
        <v>46</v>
      </c>
      <c r="G27" s="3">
        <v>16606925</v>
      </c>
      <c r="H27" t="s">
        <v>47</v>
      </c>
      <c r="I27" s="4">
        <v>151486</v>
      </c>
      <c r="J27" t="s">
        <v>48</v>
      </c>
      <c r="K27" s="1">
        <v>44385</v>
      </c>
      <c r="L27">
        <v>91</v>
      </c>
      <c r="M27" s="2" t="str">
        <f>IF(Spotify[[#This Row],[Energie]]&gt;AVERAGE(Spotify[Energie]),"FORTE","FAIBLE")</f>
        <v>FORTE</v>
      </c>
      <c r="N27" s="2">
        <v>0.65900000000000003</v>
      </c>
      <c r="O27" s="2">
        <v>0.68799999999999994</v>
      </c>
      <c r="P27" s="2">
        <v>6.7299999999999999E-2</v>
      </c>
      <c r="Q27" s="2">
        <v>0.20699999999999999</v>
      </c>
      <c r="R27" s="2">
        <v>0.113</v>
      </c>
      <c r="S27" s="2">
        <v>0.63200000000000001</v>
      </c>
      <c r="T27" s="2">
        <v>-4.649</v>
      </c>
      <c r="U27">
        <v>273474</v>
      </c>
      <c r="V27">
        <f>YEAR(Spotify[[#This Row],[Date de sortie]])</f>
        <v>2021</v>
      </c>
      <c r="W27" s="2" t="str">
        <f>IF(Spotify[[#This Row],[Popularité]]&gt;=70,"FORTE","FAIBLE")</f>
        <v>FORTE</v>
      </c>
      <c r="Z27">
        <v>220</v>
      </c>
      <c r="AA27">
        <v>122</v>
      </c>
      <c r="AB27">
        <v>5</v>
      </c>
      <c r="AC27" s="1">
        <v>44330</v>
      </c>
      <c r="AD27" t="s">
        <v>448</v>
      </c>
      <c r="AE27" s="3">
        <v>5110475</v>
      </c>
      <c r="AF27" t="s">
        <v>229</v>
      </c>
      <c r="AG27" s="4">
        <v>411579</v>
      </c>
      <c r="AH27" t="s">
        <v>230</v>
      </c>
      <c r="AI27" s="1">
        <v>44329</v>
      </c>
      <c r="AJ27">
        <v>84</v>
      </c>
      <c r="AK27" s="2">
        <v>0.79200000000000004</v>
      </c>
      <c r="AL27" s="2">
        <v>0.70699999999999996</v>
      </c>
      <c r="AM27" s="2">
        <v>6.2300000000000001E-2</v>
      </c>
      <c r="AN27" s="2">
        <v>0.11600000000000001</v>
      </c>
      <c r="AO27" s="2">
        <v>0.12</v>
      </c>
      <c r="AP27" s="2">
        <v>0.40799999999999997</v>
      </c>
      <c r="AQ27" s="2">
        <v>-5.218</v>
      </c>
      <c r="AR27">
        <v>224042</v>
      </c>
    </row>
    <row r="28" spans="1:44" x14ac:dyDescent="0.25">
      <c r="A28">
        <v>33</v>
      </c>
      <c r="B28">
        <v>11</v>
      </c>
      <c r="C28">
        <v>10</v>
      </c>
      <c r="D28" s="1">
        <v>44344</v>
      </c>
      <c r="E28" s="59" t="str" cm="1">
        <f t="array" ref="E2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8" t="s">
        <v>69</v>
      </c>
      <c r="G28" s="3">
        <v>12818935</v>
      </c>
      <c r="H28" t="s">
        <v>9</v>
      </c>
      <c r="I28" s="4">
        <v>6266514</v>
      </c>
      <c r="J28" t="s">
        <v>10</v>
      </c>
      <c r="K28" s="1">
        <v>44337</v>
      </c>
      <c r="L28">
        <v>91</v>
      </c>
      <c r="M28" s="2" t="str">
        <f>IF(Spotify[[#This Row],[Energie]]&gt;AVERAGE(Spotify[Energie]),"FORTE","FAIBLE")</f>
        <v>FAIBLE</v>
      </c>
      <c r="N28" s="2">
        <v>0.36899999999999999</v>
      </c>
      <c r="O28" s="2">
        <v>0.27200000000000002</v>
      </c>
      <c r="P28" s="2">
        <v>3.6400000000000002E-2</v>
      </c>
      <c r="Q28" s="2">
        <v>0.86599999999999999</v>
      </c>
      <c r="R28" s="2">
        <v>0.14699999999999999</v>
      </c>
      <c r="S28" s="2">
        <v>0.218</v>
      </c>
      <c r="T28" s="2">
        <v>-10.497</v>
      </c>
      <c r="U28">
        <v>152667</v>
      </c>
      <c r="V28">
        <f>YEAR(Spotify[[#This Row],[Date de sortie]])</f>
        <v>2021</v>
      </c>
      <c r="W28" s="2" t="str">
        <f>IF(Spotify[[#This Row],[Popularité]]&gt;=70,"FORTE","FAIBLE")</f>
        <v>FORTE</v>
      </c>
      <c r="Z28">
        <v>190</v>
      </c>
      <c r="AA28">
        <v>5</v>
      </c>
      <c r="AB28">
        <v>31</v>
      </c>
      <c r="AC28" s="1">
        <v>44218</v>
      </c>
      <c r="AD28" t="s">
        <v>392</v>
      </c>
      <c r="AE28" s="3">
        <v>5065132</v>
      </c>
      <c r="AF28" t="s">
        <v>393</v>
      </c>
      <c r="AG28" s="4">
        <v>5881963</v>
      </c>
      <c r="AH28" t="s">
        <v>10</v>
      </c>
      <c r="AI28" s="1">
        <v>44190</v>
      </c>
      <c r="AJ28">
        <v>84</v>
      </c>
      <c r="AK28" s="2">
        <v>0.436</v>
      </c>
      <c r="AL28" s="2">
        <v>0.65500000000000003</v>
      </c>
      <c r="AM28" s="2">
        <v>5.8299999999999998E-2</v>
      </c>
      <c r="AN28" s="2">
        <v>0.499</v>
      </c>
      <c r="AO28" s="2">
        <v>0.68799999999999994</v>
      </c>
      <c r="AP28" s="2">
        <v>0.41199999999999998</v>
      </c>
      <c r="AQ28" s="2">
        <v>-8.3699999999999992</v>
      </c>
      <c r="AR28">
        <v>279204</v>
      </c>
    </row>
    <row r="29" spans="1:44" x14ac:dyDescent="0.25">
      <c r="A29">
        <v>34</v>
      </c>
      <c r="B29">
        <v>10</v>
      </c>
      <c r="C29">
        <v>15</v>
      </c>
      <c r="D29" s="1">
        <v>44323</v>
      </c>
      <c r="E29" s="59" t="str" cm="1">
        <f t="array" ref="E2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9" t="s">
        <v>70</v>
      </c>
      <c r="G29" s="3">
        <v>12572307</v>
      </c>
      <c r="H29" t="s">
        <v>71</v>
      </c>
      <c r="I29" s="4">
        <v>16216789</v>
      </c>
      <c r="J29" t="s">
        <v>72</v>
      </c>
      <c r="K29" s="1">
        <v>44302</v>
      </c>
      <c r="L29">
        <v>91</v>
      </c>
      <c r="M29" s="2" t="str">
        <f>IF(Spotify[[#This Row],[Energie]]&gt;AVERAGE(Spotify[Energie]),"FORTE","FAIBLE")</f>
        <v>FAIBLE</v>
      </c>
      <c r="N29" s="2">
        <v>0.71499999999999997</v>
      </c>
      <c r="O29" s="2">
        <v>0.622</v>
      </c>
      <c r="P29" s="2">
        <v>4.5999999999999999E-2</v>
      </c>
      <c r="Q29" s="2">
        <v>0.16300000000000001</v>
      </c>
      <c r="R29" s="2">
        <v>9.4799999999999995E-2</v>
      </c>
      <c r="S29" s="2">
        <v>0.80800000000000005</v>
      </c>
      <c r="T29" s="2">
        <v>-5.1020000000000003</v>
      </c>
      <c r="U29">
        <v>195053</v>
      </c>
      <c r="V29">
        <f>YEAR(Spotify[[#This Row],[Date de sortie]])</f>
        <v>2021</v>
      </c>
      <c r="W29" s="2" t="str">
        <f>IF(Spotify[[#This Row],[Popularité]]&gt;=70,"FORTE","FAIBLE")</f>
        <v>FORTE</v>
      </c>
      <c r="Z29">
        <v>100</v>
      </c>
      <c r="AA29">
        <v>22</v>
      </c>
      <c r="AB29">
        <v>83</v>
      </c>
      <c r="AC29" s="1">
        <v>43868</v>
      </c>
      <c r="AD29" t="s">
        <v>218</v>
      </c>
      <c r="AE29" s="3">
        <v>6813800</v>
      </c>
      <c r="AF29" t="s">
        <v>152</v>
      </c>
      <c r="AG29" s="4">
        <v>8384096</v>
      </c>
      <c r="AH29" t="s">
        <v>10</v>
      </c>
      <c r="AI29" s="1">
        <v>43791</v>
      </c>
      <c r="AJ29">
        <v>83</v>
      </c>
      <c r="AK29" s="2">
        <v>0.45900000000000002</v>
      </c>
      <c r="AL29" s="2">
        <v>0.57499999999999996</v>
      </c>
      <c r="AM29" s="2">
        <v>5.7299999999999997E-2</v>
      </c>
      <c r="AN29" s="2">
        <v>0.60399999999999998</v>
      </c>
      <c r="AO29" s="2">
        <v>8.8499999999999995E-2</v>
      </c>
      <c r="AP29" s="2">
        <v>0.183</v>
      </c>
      <c r="AQ29" s="2">
        <v>-4.8579999999999997</v>
      </c>
      <c r="AR29">
        <v>215107</v>
      </c>
    </row>
    <row r="30" spans="1:44" x14ac:dyDescent="0.25">
      <c r="A30">
        <v>20</v>
      </c>
      <c r="B30">
        <v>20</v>
      </c>
      <c r="C30">
        <v>7</v>
      </c>
      <c r="D30" s="1">
        <v>44400</v>
      </c>
      <c r="E30" s="59" t="str" cm="1">
        <f t="array" ref="E3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0" t="s">
        <v>45</v>
      </c>
      <c r="G30" s="3">
        <v>16908917</v>
      </c>
      <c r="H30" t="s">
        <v>18</v>
      </c>
      <c r="I30" s="4">
        <v>8640063</v>
      </c>
      <c r="J30" t="s">
        <v>19</v>
      </c>
      <c r="K30" s="1">
        <v>44372</v>
      </c>
      <c r="L30">
        <v>90</v>
      </c>
      <c r="M30" s="2" t="str">
        <f>IF(Spotify[[#This Row],[Energie]]&gt;AVERAGE(Spotify[Energie]),"FORTE","FAIBLE")</f>
        <v>FAIBLE</v>
      </c>
      <c r="N30" s="2">
        <v>0.66400000000000003</v>
      </c>
      <c r="O30" s="2">
        <v>0.60899999999999999</v>
      </c>
      <c r="P30" s="2">
        <v>7.0699999999999999E-2</v>
      </c>
      <c r="Q30" s="2">
        <v>0.30399999999999999</v>
      </c>
      <c r="R30" s="2">
        <v>9.2600000000000002E-2</v>
      </c>
      <c r="S30" s="2">
        <v>0.19400000000000001</v>
      </c>
      <c r="T30" s="2">
        <v>-6.5090000000000003</v>
      </c>
      <c r="U30">
        <v>210560</v>
      </c>
      <c r="V30">
        <f>YEAR(Spotify[[#This Row],[Date de sortie]])</f>
        <v>2021</v>
      </c>
      <c r="W30" s="2" t="str">
        <f>IF(Spotify[[#This Row],[Popularité]]&gt;=70,"FORTE","FAIBLE")</f>
        <v>FORTE</v>
      </c>
      <c r="Z30">
        <v>324</v>
      </c>
      <c r="AA30">
        <v>47</v>
      </c>
      <c r="AB30">
        <v>32</v>
      </c>
      <c r="AC30" s="1">
        <v>44148</v>
      </c>
      <c r="AD30" t="s">
        <v>621</v>
      </c>
      <c r="AE30" s="3">
        <v>5298893</v>
      </c>
      <c r="AF30" t="s">
        <v>74</v>
      </c>
      <c r="AG30" s="4">
        <v>16112621</v>
      </c>
      <c r="AH30" t="s">
        <v>10</v>
      </c>
      <c r="AI30" s="1">
        <v>43812</v>
      </c>
      <c r="AJ30">
        <v>83</v>
      </c>
      <c r="AK30" s="2">
        <v>0.44800000000000001</v>
      </c>
      <c r="AL30" s="2">
        <v>0.83799999999999997</v>
      </c>
      <c r="AM30" s="2">
        <v>5.57E-2</v>
      </c>
      <c r="AN30" s="2">
        <v>0.21</v>
      </c>
      <c r="AO30" s="2">
        <v>0.13100000000000001</v>
      </c>
      <c r="AP30" s="2">
        <v>0.254</v>
      </c>
      <c r="AQ30" s="2">
        <v>-5.2569999999999997</v>
      </c>
      <c r="AR30">
        <v>208907</v>
      </c>
    </row>
    <row r="31" spans="1:44" x14ac:dyDescent="0.25">
      <c r="A31">
        <v>22</v>
      </c>
      <c r="B31">
        <v>22</v>
      </c>
      <c r="C31">
        <v>5</v>
      </c>
      <c r="D31" s="1">
        <v>44400</v>
      </c>
      <c r="E31" s="59" t="str" cm="1">
        <f t="array" ref="E3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1" t="s">
        <v>49</v>
      </c>
      <c r="G31" s="3">
        <v>16126897</v>
      </c>
      <c r="H31" t="s">
        <v>18</v>
      </c>
      <c r="I31" s="4">
        <v>8640063</v>
      </c>
      <c r="J31" t="s">
        <v>19</v>
      </c>
      <c r="K31" s="1">
        <v>44372</v>
      </c>
      <c r="L31">
        <v>90</v>
      </c>
      <c r="M31" s="2" t="str">
        <f>IF(Spotify[[#This Row],[Energie]]&gt;AVERAGE(Spotify[Energie]),"FORTE","FAIBLE")</f>
        <v>FAIBLE</v>
      </c>
      <c r="N31" s="2">
        <v>0.85499999999999998</v>
      </c>
      <c r="O31" s="2">
        <v>0.48799999999999999</v>
      </c>
      <c r="P31" s="2">
        <v>0.20799999999999999</v>
      </c>
      <c r="Q31" s="2">
        <v>0.50600000000000001</v>
      </c>
      <c r="R31" s="2">
        <v>0.34699999999999998</v>
      </c>
      <c r="S31" s="2">
        <v>0.61899999999999999</v>
      </c>
      <c r="T31" s="2">
        <v>-4.601</v>
      </c>
      <c r="U31">
        <v>174253</v>
      </c>
      <c r="V31">
        <f>YEAR(Spotify[[#This Row],[Date de sortie]])</f>
        <v>2021</v>
      </c>
      <c r="W31" s="2" t="str">
        <f>IF(Spotify[[#This Row],[Popularité]]&gt;=70,"FORTE","FAIBLE")</f>
        <v>FORTE</v>
      </c>
      <c r="Z31">
        <v>369</v>
      </c>
      <c r="AA31">
        <v>5</v>
      </c>
      <c r="AB31">
        <v>142</v>
      </c>
      <c r="AC31" s="1">
        <v>43826</v>
      </c>
      <c r="AD31" t="s">
        <v>695</v>
      </c>
      <c r="AE31" s="3">
        <v>5294368</v>
      </c>
      <c r="AF31" t="s">
        <v>74</v>
      </c>
      <c r="AG31" s="4">
        <v>16112621</v>
      </c>
      <c r="AH31" t="s">
        <v>10</v>
      </c>
      <c r="AI31" s="1">
        <v>43812</v>
      </c>
      <c r="AJ31">
        <v>83</v>
      </c>
      <c r="AK31" s="2">
        <v>0.56699999999999995</v>
      </c>
      <c r="AL31" s="2">
        <v>0.26700000000000002</v>
      </c>
      <c r="AM31" s="2">
        <v>2.9899999999999999E-2</v>
      </c>
      <c r="AN31" s="2">
        <v>0.83899999999999997</v>
      </c>
      <c r="AO31" s="2">
        <v>8.8999999999999996E-2</v>
      </c>
      <c r="AP31" s="2">
        <v>5.9200000000000003E-2</v>
      </c>
      <c r="AQ31" s="2">
        <v>-6.5019999999999998</v>
      </c>
      <c r="AR31">
        <v>240133</v>
      </c>
    </row>
    <row r="32" spans="1:44" x14ac:dyDescent="0.25">
      <c r="A32">
        <v>28</v>
      </c>
      <c r="B32">
        <v>18</v>
      </c>
      <c r="C32">
        <v>3</v>
      </c>
      <c r="D32" s="1">
        <v>44386</v>
      </c>
      <c r="E32" s="59" t="str" cm="1">
        <f t="array" ref="E3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32" t="s">
        <v>58</v>
      </c>
      <c r="G32" s="3">
        <v>14329162</v>
      </c>
      <c r="H32" t="s">
        <v>59</v>
      </c>
      <c r="I32" s="4">
        <v>33651775</v>
      </c>
      <c r="J32" t="s">
        <v>60</v>
      </c>
      <c r="K32" s="1">
        <v>44386</v>
      </c>
      <c r="L32">
        <v>90</v>
      </c>
      <c r="M32" s="2" t="str">
        <f>IF(Spotify[[#This Row],[Energie]]&gt;AVERAGE(Spotify[Energie]),"FORTE","FAIBLE")</f>
        <v>FAIBLE</v>
      </c>
      <c r="N32" s="2">
        <v>0.79700000000000004</v>
      </c>
      <c r="O32" s="2">
        <v>0.63100000000000001</v>
      </c>
      <c r="P32" s="2">
        <v>7.8600000000000003E-2</v>
      </c>
      <c r="Q32" s="2">
        <v>9.0399999999999994E-2</v>
      </c>
      <c r="R32" s="2">
        <v>9.98E-2</v>
      </c>
      <c r="S32" s="2">
        <v>0.28799999999999998</v>
      </c>
      <c r="T32" s="2">
        <v>-3.8180000000000001</v>
      </c>
      <c r="U32">
        <v>184213</v>
      </c>
      <c r="V32">
        <f>YEAR(Spotify[[#This Row],[Date de sortie]])</f>
        <v>2021</v>
      </c>
      <c r="W32" s="2" t="str">
        <f>IF(Spotify[[#This Row],[Popularité]]&gt;=70,"FORTE","FAIBLE")</f>
        <v>FORTE</v>
      </c>
      <c r="Z32">
        <v>530</v>
      </c>
      <c r="AA32">
        <v>176</v>
      </c>
      <c r="AB32">
        <v>9</v>
      </c>
      <c r="AC32" s="1">
        <v>44239</v>
      </c>
      <c r="AD32" t="s">
        <v>960</v>
      </c>
      <c r="AE32" s="3">
        <v>4974880</v>
      </c>
      <c r="AF32" t="s">
        <v>12</v>
      </c>
      <c r="AG32" s="4">
        <v>83337783</v>
      </c>
      <c r="AH32" t="s">
        <v>10</v>
      </c>
      <c r="AI32" s="1">
        <v>41811</v>
      </c>
      <c r="AJ32">
        <v>83</v>
      </c>
      <c r="AK32" s="2">
        <v>0.61399999999999999</v>
      </c>
      <c r="AL32" s="2">
        <v>0.379</v>
      </c>
      <c r="AM32" s="2">
        <v>4.7600000000000003E-2</v>
      </c>
      <c r="AN32" s="2">
        <v>0.60699999999999998</v>
      </c>
      <c r="AO32" s="2">
        <v>9.8599999999999993E-2</v>
      </c>
      <c r="AP32" s="2">
        <v>0.20100000000000001</v>
      </c>
      <c r="AQ32" s="2">
        <v>-10.48</v>
      </c>
      <c r="AR32">
        <v>258987</v>
      </c>
    </row>
    <row r="33" spans="1:44" x14ac:dyDescent="0.25">
      <c r="A33">
        <v>35</v>
      </c>
      <c r="B33">
        <v>4</v>
      </c>
      <c r="C33">
        <v>83</v>
      </c>
      <c r="D33" s="1">
        <v>44043</v>
      </c>
      <c r="E33" s="59" t="str" cm="1">
        <f t="array" ref="E3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3" t="s">
        <v>73</v>
      </c>
      <c r="G33" s="3">
        <v>11996689</v>
      </c>
      <c r="H33" t="s">
        <v>74</v>
      </c>
      <c r="I33" s="4">
        <v>16112621</v>
      </c>
      <c r="J33" t="s">
        <v>10</v>
      </c>
      <c r="K33" s="1">
        <v>43812</v>
      </c>
      <c r="L33">
        <v>90</v>
      </c>
      <c r="M33" s="2" t="str">
        <f>IF(Spotify[[#This Row],[Energie]]&gt;AVERAGE(Spotify[Energie]),"FORTE","FAIBLE")</f>
        <v>FORTE</v>
      </c>
      <c r="N33" s="2">
        <v>0.54800000000000004</v>
      </c>
      <c r="O33" s="2">
        <v>0.81599999999999995</v>
      </c>
      <c r="P33" s="2">
        <v>4.65E-2</v>
      </c>
      <c r="Q33" s="2">
        <v>0.122</v>
      </c>
      <c r="R33" s="2">
        <v>0.33500000000000002</v>
      </c>
      <c r="S33" s="2">
        <v>0.55700000000000005</v>
      </c>
      <c r="T33" s="2">
        <v>-4.2089999999999996</v>
      </c>
      <c r="U33">
        <v>174000</v>
      </c>
      <c r="V33">
        <f>YEAR(Spotify[[#This Row],[Date de sortie]])</f>
        <v>2019</v>
      </c>
      <c r="W33" s="2" t="str">
        <f>IF(Spotify[[#This Row],[Popularité]]&gt;=70,"FORTE","FAIBLE")</f>
        <v>FORTE</v>
      </c>
      <c r="Z33">
        <v>936</v>
      </c>
      <c r="AA33">
        <v>43</v>
      </c>
      <c r="AB33">
        <v>2</v>
      </c>
      <c r="AC33" s="1">
        <v>44064</v>
      </c>
      <c r="AD33" t="s">
        <v>1599</v>
      </c>
      <c r="AE33" s="3">
        <v>11373347</v>
      </c>
      <c r="AF33" t="s">
        <v>1600</v>
      </c>
      <c r="AG33" s="4">
        <v>412466</v>
      </c>
      <c r="AH33" t="s">
        <v>230</v>
      </c>
      <c r="AI33" s="1">
        <v>44057</v>
      </c>
      <c r="AJ33">
        <v>82</v>
      </c>
      <c r="AK33" s="2">
        <v>0.79900000000000004</v>
      </c>
      <c r="AL33" s="2">
        <v>0.66</v>
      </c>
      <c r="AM33" s="2">
        <v>7.9000000000000001E-2</v>
      </c>
      <c r="AN33" s="2">
        <v>0.25600000000000001</v>
      </c>
      <c r="AO33" s="2">
        <v>0.111</v>
      </c>
      <c r="AP33" s="2">
        <v>0.47099999999999997</v>
      </c>
      <c r="AQ33" s="2">
        <v>-6.1529999999999996</v>
      </c>
      <c r="AR33">
        <v>195429</v>
      </c>
    </row>
    <row r="34" spans="1:44" x14ac:dyDescent="0.25">
      <c r="A34">
        <v>41</v>
      </c>
      <c r="B34">
        <v>41</v>
      </c>
      <c r="C34">
        <v>13</v>
      </c>
      <c r="D34" s="1">
        <v>44400</v>
      </c>
      <c r="E34" s="59" t="str" cm="1">
        <f t="array" ref="E3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4" t="s">
        <v>86</v>
      </c>
      <c r="G34" s="3">
        <v>11477024</v>
      </c>
      <c r="H34" t="s">
        <v>87</v>
      </c>
      <c r="I34" s="4">
        <v>2936204</v>
      </c>
      <c r="J34" t="s">
        <v>88</v>
      </c>
      <c r="K34" s="1">
        <v>44315</v>
      </c>
      <c r="L34">
        <v>90</v>
      </c>
      <c r="M34" s="2" t="str">
        <f>IF(Spotify[[#This Row],[Energie]]&gt;AVERAGE(Spotify[Energie]),"FORTE","FAIBLE")</f>
        <v>FAIBLE</v>
      </c>
      <c r="N34" s="2">
        <v>0.85</v>
      </c>
      <c r="O34" s="2">
        <v>0.54100000000000004</v>
      </c>
      <c r="P34" s="2">
        <v>6.7400000000000002E-2</v>
      </c>
      <c r="Q34" s="2">
        <v>0.161</v>
      </c>
      <c r="R34" s="2">
        <v>0.28599999999999998</v>
      </c>
      <c r="S34" s="2">
        <v>0.91600000000000004</v>
      </c>
      <c r="T34" s="2">
        <v>-4.5220000000000002</v>
      </c>
      <c r="U34">
        <v>165275</v>
      </c>
      <c r="V34">
        <f>YEAR(Spotify[[#This Row],[Date de sortie]])</f>
        <v>2021</v>
      </c>
      <c r="W34" s="2" t="str">
        <f>IF(Spotify[[#This Row],[Popularité]]&gt;=70,"FORTE","FAIBLE")</f>
        <v>FORTE</v>
      </c>
      <c r="Z34">
        <v>105</v>
      </c>
      <c r="AA34">
        <v>2</v>
      </c>
      <c r="AB34">
        <v>48</v>
      </c>
      <c r="AC34" s="1">
        <v>44120</v>
      </c>
      <c r="AD34" t="s">
        <v>228</v>
      </c>
      <c r="AE34" s="3">
        <v>6697067</v>
      </c>
      <c r="AF34" t="s">
        <v>229</v>
      </c>
      <c r="AG34" s="4">
        <v>411579</v>
      </c>
      <c r="AH34" t="s">
        <v>230</v>
      </c>
      <c r="AI34" s="1">
        <v>44057</v>
      </c>
      <c r="AJ34">
        <v>82</v>
      </c>
      <c r="AK34" s="2">
        <v>0.79900000000000004</v>
      </c>
      <c r="AL34" s="2">
        <v>0.66</v>
      </c>
      <c r="AM34" s="2">
        <v>7.9000000000000001E-2</v>
      </c>
      <c r="AN34" s="2">
        <v>0.25600000000000001</v>
      </c>
      <c r="AO34" s="2">
        <v>0.111</v>
      </c>
      <c r="AP34" s="2">
        <v>0.47099999999999997</v>
      </c>
      <c r="AQ34" s="2">
        <v>-6.1529999999999996</v>
      </c>
      <c r="AR34">
        <v>195429</v>
      </c>
    </row>
    <row r="35" spans="1:44" x14ac:dyDescent="0.25">
      <c r="A35">
        <v>42</v>
      </c>
      <c r="B35">
        <v>17</v>
      </c>
      <c r="C35">
        <v>10</v>
      </c>
      <c r="D35" s="1">
        <v>44337</v>
      </c>
      <c r="E35" s="59" t="str" cm="1">
        <f t="array" ref="E3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5" t="s">
        <v>89</v>
      </c>
      <c r="G35" s="3">
        <v>11287301</v>
      </c>
      <c r="H35" t="s">
        <v>9</v>
      </c>
      <c r="I35" s="4">
        <v>6266514</v>
      </c>
      <c r="J35" t="s">
        <v>10</v>
      </c>
      <c r="K35" s="1">
        <v>44337</v>
      </c>
      <c r="L35">
        <v>90</v>
      </c>
      <c r="M35" s="2" t="str">
        <f>IF(Spotify[[#This Row],[Energie]]&gt;AVERAGE(Spotify[Energie]),"FORTE","FAIBLE")</f>
        <v>FAIBLE</v>
      </c>
      <c r="N35" s="2">
        <v>0.69499999999999995</v>
      </c>
      <c r="O35" s="2">
        <v>0.57499999999999996</v>
      </c>
      <c r="P35" s="2">
        <v>0.11600000000000001</v>
      </c>
      <c r="Q35" s="2">
        <v>0.19800000000000001</v>
      </c>
      <c r="R35" s="2">
        <v>6.1400000000000003E-2</v>
      </c>
      <c r="S35" s="2">
        <v>0.69899999999999995</v>
      </c>
      <c r="T35" s="2">
        <v>-6.3339999999999996</v>
      </c>
      <c r="U35">
        <v>173160</v>
      </c>
      <c r="V35">
        <f>YEAR(Spotify[[#This Row],[Date de sortie]])</f>
        <v>2021</v>
      </c>
      <c r="W35" s="2" t="str">
        <f>IF(Spotify[[#This Row],[Popularité]]&gt;=70,"FORTE","FAIBLE")</f>
        <v>FORTE</v>
      </c>
      <c r="Z35">
        <v>523</v>
      </c>
      <c r="AA35">
        <v>2</v>
      </c>
      <c r="AB35">
        <v>61</v>
      </c>
      <c r="AC35" s="1">
        <v>43826</v>
      </c>
      <c r="AD35" t="s">
        <v>949</v>
      </c>
      <c r="AE35" s="3">
        <v>5124742</v>
      </c>
      <c r="AF35" t="s">
        <v>950</v>
      </c>
      <c r="AG35" s="4">
        <v>621200</v>
      </c>
      <c r="AH35" t="s">
        <v>230</v>
      </c>
      <c r="AI35" s="1">
        <v>43748</v>
      </c>
      <c r="AJ35">
        <v>82</v>
      </c>
      <c r="AK35" s="2">
        <v>0.621</v>
      </c>
      <c r="AL35" s="2">
        <v>0.60099999999999998</v>
      </c>
      <c r="AM35" s="2">
        <v>0.14799999999999999</v>
      </c>
      <c r="AN35" s="2">
        <v>5.2200000000000003E-2</v>
      </c>
      <c r="AO35" s="2">
        <v>0.46</v>
      </c>
      <c r="AP35" s="2">
        <v>0.45700000000000002</v>
      </c>
      <c r="AQ35" s="2">
        <v>-5.6159999999999997</v>
      </c>
      <c r="AR35">
        <v>163636</v>
      </c>
    </row>
    <row r="36" spans="1:44" x14ac:dyDescent="0.25">
      <c r="A36">
        <v>45</v>
      </c>
      <c r="B36">
        <v>9</v>
      </c>
      <c r="C36">
        <v>39</v>
      </c>
      <c r="D36" s="1">
        <v>44253</v>
      </c>
      <c r="E36" s="59" t="str" cm="1">
        <f t="array" ref="E3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6" t="s">
        <v>93</v>
      </c>
      <c r="G36" s="3">
        <v>10739770</v>
      </c>
      <c r="H36" t="s">
        <v>94</v>
      </c>
      <c r="I36" s="4">
        <v>5785065</v>
      </c>
      <c r="J36" t="s">
        <v>95</v>
      </c>
      <c r="K36" s="1">
        <v>44090</v>
      </c>
      <c r="L36">
        <v>90</v>
      </c>
      <c r="M36" s="2" t="str">
        <f>IF(Spotify[[#This Row],[Energie]]&gt;AVERAGE(Spotify[Energie]),"FORTE","FAIBLE")</f>
        <v>FAIBLE</v>
      </c>
      <c r="N36" s="2">
        <v>0.79800000000000004</v>
      </c>
      <c r="O36" s="2">
        <v>0.62</v>
      </c>
      <c r="P36" s="2">
        <v>0.23200000000000001</v>
      </c>
      <c r="Q36" s="2">
        <v>0.41399999999999998</v>
      </c>
      <c r="R36" s="2">
        <v>0.112</v>
      </c>
      <c r="S36" s="2">
        <v>0.23499999999999999</v>
      </c>
      <c r="T36" s="2">
        <v>-7.0789999999999997</v>
      </c>
      <c r="U36">
        <v>164000</v>
      </c>
      <c r="V36">
        <f>YEAR(Spotify[[#This Row],[Date de sortie]])</f>
        <v>2020</v>
      </c>
      <c r="W36" s="2" t="str">
        <f>IF(Spotify[[#This Row],[Popularité]]&gt;=70,"FORTE","FAIBLE")</f>
        <v>FORTE</v>
      </c>
      <c r="Z36">
        <v>411</v>
      </c>
      <c r="AA36">
        <v>62</v>
      </c>
      <c r="AB36">
        <v>28</v>
      </c>
      <c r="AC36" s="1">
        <v>44211</v>
      </c>
      <c r="AD36" t="s">
        <v>769</v>
      </c>
      <c r="AE36" s="3">
        <v>5081800</v>
      </c>
      <c r="AF36" t="s">
        <v>364</v>
      </c>
      <c r="AG36" s="4">
        <v>8446147</v>
      </c>
      <c r="AH36" t="s">
        <v>10</v>
      </c>
      <c r="AI36" s="1">
        <v>42671</v>
      </c>
      <c r="AJ36">
        <v>82</v>
      </c>
      <c r="AK36" s="2">
        <v>0.311</v>
      </c>
      <c r="AL36" s="2">
        <v>0.48499999999999999</v>
      </c>
      <c r="AM36" s="2">
        <v>3.6499999999999998E-2</v>
      </c>
      <c r="AN36" s="2">
        <v>0.70099999999999996</v>
      </c>
      <c r="AO36" s="2">
        <v>7.2599999999999998E-2</v>
      </c>
      <c r="AP36" s="2">
        <v>0.22500000000000001</v>
      </c>
      <c r="AQ36" s="2">
        <v>-5.726</v>
      </c>
      <c r="AR36">
        <v>208827</v>
      </c>
    </row>
    <row r="37" spans="1:44" x14ac:dyDescent="0.25">
      <c r="A37">
        <v>11</v>
      </c>
      <c r="B37">
        <v>4</v>
      </c>
      <c r="C37">
        <v>43</v>
      </c>
      <c r="D37" s="1">
        <v>44323</v>
      </c>
      <c r="E37" s="59" t="str" cm="1">
        <f t="array" ref="E3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7" t="s">
        <v>27</v>
      </c>
      <c r="G37" s="3">
        <v>23518010</v>
      </c>
      <c r="H37" t="s">
        <v>28</v>
      </c>
      <c r="I37" s="4">
        <v>27142474</v>
      </c>
      <c r="J37" t="s">
        <v>19</v>
      </c>
      <c r="K37" s="1">
        <v>44105</v>
      </c>
      <c r="L37">
        <v>89</v>
      </c>
      <c r="M37" s="2" t="str">
        <f>IF(Spotify[[#This Row],[Energie]]&gt;AVERAGE(Spotify[Energie]),"FORTE","FAIBLE")</f>
        <v>FORTE</v>
      </c>
      <c r="N37" s="2">
        <v>0.70199999999999996</v>
      </c>
      <c r="O37" s="2">
        <v>0.82499999999999996</v>
      </c>
      <c r="P37" s="2">
        <v>6.0100000000000001E-2</v>
      </c>
      <c r="Q37" s="2">
        <v>8.8299999999999993E-3</v>
      </c>
      <c r="R37" s="2">
        <v>6.7400000000000002E-2</v>
      </c>
      <c r="S37" s="2">
        <v>0.91500000000000004</v>
      </c>
      <c r="T37" s="2">
        <v>-3.7869999999999999</v>
      </c>
      <c r="U37">
        <v>203064</v>
      </c>
      <c r="V37">
        <f>YEAR(Spotify[[#This Row],[Date de sortie]])</f>
        <v>2020</v>
      </c>
      <c r="W37" s="2" t="str">
        <f>IF(Spotify[[#This Row],[Popularité]]&gt;=70,"FORTE","FAIBLE")</f>
        <v>FORTE</v>
      </c>
      <c r="Z37">
        <v>549</v>
      </c>
      <c r="AA37">
        <v>182</v>
      </c>
      <c r="AB37">
        <v>6</v>
      </c>
      <c r="AC37" s="1">
        <v>44120</v>
      </c>
      <c r="AD37" t="s">
        <v>988</v>
      </c>
      <c r="AE37" s="3">
        <v>4995623</v>
      </c>
      <c r="AF37" t="s">
        <v>12</v>
      </c>
      <c r="AG37" s="4">
        <v>83337783</v>
      </c>
      <c r="AH37" t="s">
        <v>10</v>
      </c>
      <c r="AI37" s="1">
        <v>41811</v>
      </c>
      <c r="AJ37">
        <v>82</v>
      </c>
      <c r="AK37" s="2">
        <v>0.78100000000000003</v>
      </c>
      <c r="AL37" s="2">
        <v>0.44500000000000001</v>
      </c>
      <c r="AM37" s="2">
        <v>2.9499999999999998E-2</v>
      </c>
      <c r="AN37" s="2">
        <v>0.47399999999999998</v>
      </c>
      <c r="AO37" s="2">
        <v>0.184</v>
      </c>
      <c r="AP37" s="2">
        <v>0.59099999999999997</v>
      </c>
      <c r="AQ37" s="2">
        <v>-6.0609999999999999</v>
      </c>
      <c r="AR37">
        <v>281560</v>
      </c>
    </row>
    <row r="38" spans="1:44" x14ac:dyDescent="0.25">
      <c r="A38">
        <v>30</v>
      </c>
      <c r="B38">
        <v>3</v>
      </c>
      <c r="C38">
        <v>28</v>
      </c>
      <c r="D38" s="1">
        <v>44288</v>
      </c>
      <c r="E38" s="59" t="str" cm="1">
        <f t="array" ref="E3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38" t="s">
        <v>63</v>
      </c>
      <c r="G38" s="3">
        <v>14174752</v>
      </c>
      <c r="H38" t="s">
        <v>64</v>
      </c>
      <c r="I38" s="4">
        <v>365975</v>
      </c>
      <c r="J38" t="s">
        <v>7</v>
      </c>
      <c r="K38" s="1">
        <v>44202</v>
      </c>
      <c r="L38">
        <v>89</v>
      </c>
      <c r="M38" s="2" t="str">
        <f>IF(Spotify[[#This Row],[Energie]]&gt;AVERAGE(Spotify[Energie]),"FORTE","FAIBLE")</f>
        <v>FORTE</v>
      </c>
      <c r="N38" s="2">
        <v>0.77800000000000002</v>
      </c>
      <c r="O38" s="2">
        <v>0.69499999999999995</v>
      </c>
      <c r="P38" s="2">
        <v>9.1300000000000006E-2</v>
      </c>
      <c r="Q38" s="2">
        <v>0.17499999999999999</v>
      </c>
      <c r="R38" s="2">
        <v>0.15</v>
      </c>
      <c r="S38" s="2">
        <v>0.47199999999999998</v>
      </c>
      <c r="T38" s="2">
        <v>-6.8650000000000002</v>
      </c>
      <c r="U38">
        <v>132780</v>
      </c>
      <c r="V38">
        <f>YEAR(Spotify[[#This Row],[Date de sortie]])</f>
        <v>2021</v>
      </c>
      <c r="W38" s="2" t="str">
        <f>IF(Spotify[[#This Row],[Popularité]]&gt;=70,"FORTE","FAIBLE")</f>
        <v>FORTE</v>
      </c>
      <c r="Z38">
        <v>542</v>
      </c>
      <c r="AA38">
        <v>28</v>
      </c>
      <c r="AB38">
        <v>57</v>
      </c>
      <c r="AC38" s="1">
        <v>43826</v>
      </c>
      <c r="AD38" t="s">
        <v>978</v>
      </c>
      <c r="AE38" s="3">
        <v>4984399</v>
      </c>
      <c r="AF38" t="s">
        <v>12</v>
      </c>
      <c r="AG38" s="4">
        <v>83337783</v>
      </c>
      <c r="AH38" t="s">
        <v>10</v>
      </c>
      <c r="AI38" s="1">
        <v>43595</v>
      </c>
      <c r="AJ38">
        <v>80</v>
      </c>
      <c r="AK38" s="2">
        <v>0.79800000000000004</v>
      </c>
      <c r="AL38" s="2">
        <v>0.67500000000000004</v>
      </c>
      <c r="AM38" s="2">
        <v>4.4200000000000003E-2</v>
      </c>
      <c r="AN38" s="2">
        <v>9.1200000000000003E-2</v>
      </c>
      <c r="AO38" s="2">
        <v>8.9399999999999993E-2</v>
      </c>
      <c r="AP38" s="2">
        <v>0.84199999999999997</v>
      </c>
      <c r="AQ38" s="2">
        <v>-5.0410000000000004</v>
      </c>
      <c r="AR38">
        <v>219947</v>
      </c>
    </row>
    <row r="39" spans="1:44" x14ac:dyDescent="0.25">
      <c r="A39">
        <v>37</v>
      </c>
      <c r="B39">
        <v>3</v>
      </c>
      <c r="C39">
        <v>16</v>
      </c>
      <c r="D39" s="1">
        <v>44302</v>
      </c>
      <c r="E39" s="59" t="str" cm="1">
        <f t="array" ref="E3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39" t="s">
        <v>77</v>
      </c>
      <c r="G39" s="3">
        <v>11683383</v>
      </c>
      <c r="H39" t="s">
        <v>78</v>
      </c>
      <c r="I39" s="4">
        <v>4840346</v>
      </c>
      <c r="J39" t="s">
        <v>79</v>
      </c>
      <c r="K39" s="1">
        <v>44295</v>
      </c>
      <c r="L39">
        <v>89</v>
      </c>
      <c r="M39" s="2" t="str">
        <f>IF(Spotify[[#This Row],[Energie]]&gt;AVERAGE(Spotify[Energie]),"FORTE","FAIBLE")</f>
        <v>FAIBLE</v>
      </c>
      <c r="N39" s="2">
        <v>0.78900000000000003</v>
      </c>
      <c r="O39" s="2">
        <v>0.53600000000000003</v>
      </c>
      <c r="P39" s="2">
        <v>0.24199999999999999</v>
      </c>
      <c r="Q39" s="2">
        <v>0.41</v>
      </c>
      <c r="R39" s="2">
        <v>0.129</v>
      </c>
      <c r="S39" s="2">
        <v>0.437</v>
      </c>
      <c r="T39" s="2">
        <v>-6.8620000000000001</v>
      </c>
      <c r="U39">
        <v>165926</v>
      </c>
      <c r="V39">
        <f>YEAR(Spotify[[#This Row],[Date de sortie]])</f>
        <v>2021</v>
      </c>
      <c r="W39" s="2" t="str">
        <f>IF(Spotify[[#This Row],[Popularité]]&gt;=70,"FORTE","FAIBLE")</f>
        <v>FORTE</v>
      </c>
      <c r="Z39">
        <v>843</v>
      </c>
      <c r="AA39">
        <v>93</v>
      </c>
      <c r="AB39">
        <v>38</v>
      </c>
      <c r="AC39" s="1">
        <v>43868</v>
      </c>
      <c r="AD39" t="s">
        <v>1457</v>
      </c>
      <c r="AE39" s="3">
        <v>4560503</v>
      </c>
      <c r="AF39" t="s">
        <v>152</v>
      </c>
      <c r="AG39" s="4">
        <v>8388838</v>
      </c>
      <c r="AH39" t="s">
        <v>10</v>
      </c>
      <c r="AI39" s="1">
        <v>43602</v>
      </c>
      <c r="AJ39">
        <v>80</v>
      </c>
      <c r="AK39" s="2">
        <v>0.73599999999999999</v>
      </c>
      <c r="AL39" s="2">
        <v>0.308</v>
      </c>
      <c r="AM39" s="2">
        <v>6.7699999999999996E-2</v>
      </c>
      <c r="AN39" s="2">
        <v>0.94599999999999995</v>
      </c>
      <c r="AO39" s="2">
        <v>0.186</v>
      </c>
      <c r="AP39" s="2">
        <v>0.36099999999999999</v>
      </c>
      <c r="AQ39" s="2">
        <v>-7.83</v>
      </c>
      <c r="AR39">
        <v>220492</v>
      </c>
    </row>
    <row r="40" spans="1:44" x14ac:dyDescent="0.25">
      <c r="A40">
        <v>38</v>
      </c>
      <c r="B40">
        <v>15</v>
      </c>
      <c r="C40">
        <v>5</v>
      </c>
      <c r="D40" s="1">
        <v>44372</v>
      </c>
      <c r="E40" s="59" t="str" cm="1">
        <f t="array" ref="E4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0" t="s">
        <v>80</v>
      </c>
      <c r="G40" s="3">
        <v>11629418</v>
      </c>
      <c r="H40" t="s">
        <v>81</v>
      </c>
      <c r="I40" s="4">
        <v>8640063</v>
      </c>
      <c r="J40" t="s">
        <v>19</v>
      </c>
      <c r="K40" s="1">
        <v>44372</v>
      </c>
      <c r="L40">
        <v>89</v>
      </c>
      <c r="M40" s="2" t="str">
        <f>IF(Spotify[[#This Row],[Energie]]&gt;AVERAGE(Spotify[Energie]),"FORTE","FAIBLE")</f>
        <v>FAIBLE</v>
      </c>
      <c r="N40" s="2">
        <v>0.82799999999999996</v>
      </c>
      <c r="O40" s="2">
        <v>0.621</v>
      </c>
      <c r="P40" s="2">
        <v>5.6500000000000002E-2</v>
      </c>
      <c r="Q40" s="2">
        <v>1.6400000000000001E-2</v>
      </c>
      <c r="R40" s="2">
        <v>8.4500000000000006E-2</v>
      </c>
      <c r="S40" s="2">
        <v>0.436</v>
      </c>
      <c r="T40" s="2">
        <v>-6.4139999999999997</v>
      </c>
      <c r="U40">
        <v>186173</v>
      </c>
      <c r="V40">
        <f>YEAR(Spotify[[#This Row],[Date de sortie]])</f>
        <v>2021</v>
      </c>
      <c r="W40" s="2" t="str">
        <f>IF(Spotify[[#This Row],[Popularité]]&gt;=70,"FORTE","FAIBLE")</f>
        <v>FORTE</v>
      </c>
      <c r="Z40">
        <v>302</v>
      </c>
      <c r="AA40">
        <v>124</v>
      </c>
      <c r="AB40">
        <v>1</v>
      </c>
      <c r="AC40" s="1">
        <v>44358</v>
      </c>
      <c r="AD40" t="s">
        <v>589</v>
      </c>
      <c r="AE40" s="3">
        <v>6410263</v>
      </c>
      <c r="AF40" t="s">
        <v>130</v>
      </c>
      <c r="AG40" s="4">
        <v>32262679</v>
      </c>
      <c r="AH40" t="s">
        <v>10</v>
      </c>
      <c r="AI40" s="1">
        <v>44358</v>
      </c>
      <c r="AJ40">
        <v>79</v>
      </c>
      <c r="AK40" s="2">
        <v>0.76600000000000001</v>
      </c>
      <c r="AL40" s="2">
        <v>0.70599999999999996</v>
      </c>
      <c r="AM40" s="2">
        <v>0.16</v>
      </c>
      <c r="AN40" s="2">
        <v>0.223</v>
      </c>
      <c r="AO40" s="2">
        <v>6.4000000000000001E-2</v>
      </c>
      <c r="AP40" s="2">
        <v>0.76600000000000001</v>
      </c>
      <c r="AQ40" s="2">
        <v>-6.5529999999999999</v>
      </c>
      <c r="AR40">
        <v>172598</v>
      </c>
    </row>
    <row r="41" spans="1:44" x14ac:dyDescent="0.25">
      <c r="A41">
        <v>39</v>
      </c>
      <c r="B41">
        <v>39</v>
      </c>
      <c r="C41">
        <v>3</v>
      </c>
      <c r="D41" s="1">
        <v>44400</v>
      </c>
      <c r="E41" s="59" t="str" cm="1">
        <f t="array" ref="E4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1" t="s">
        <v>82</v>
      </c>
      <c r="G41" s="3">
        <v>11553846</v>
      </c>
      <c r="H41" t="s">
        <v>83</v>
      </c>
      <c r="I41" s="4">
        <v>8758283</v>
      </c>
      <c r="J41" t="s">
        <v>25</v>
      </c>
      <c r="K41" s="1">
        <v>44386</v>
      </c>
      <c r="L41">
        <v>89</v>
      </c>
      <c r="M41" s="2" t="str">
        <f>IF(Spotify[[#This Row],[Energie]]&gt;AVERAGE(Spotify[Energie]),"FORTE","FAIBLE")</f>
        <v>FORTE</v>
      </c>
      <c r="N41" s="2">
        <v>0.81599999999999995</v>
      </c>
      <c r="O41" s="2">
        <v>0.71</v>
      </c>
      <c r="P41" s="2">
        <v>3.9800000000000002E-2</v>
      </c>
      <c r="Q41" s="2">
        <v>0.16500000000000001</v>
      </c>
      <c r="R41" s="2">
        <v>0.29199999999999998</v>
      </c>
      <c r="S41" s="2">
        <v>0.78400000000000003</v>
      </c>
      <c r="T41" s="2">
        <v>-3.7280000000000002</v>
      </c>
      <c r="U41">
        <v>208631</v>
      </c>
      <c r="V41">
        <f>YEAR(Spotify[[#This Row],[Date de sortie]])</f>
        <v>2021</v>
      </c>
      <c r="W41" s="2" t="str">
        <f>IF(Spotify[[#This Row],[Popularité]]&gt;=70,"FORTE","FAIBLE")</f>
        <v>FORTE</v>
      </c>
      <c r="Z41">
        <v>714</v>
      </c>
      <c r="AA41">
        <v>1</v>
      </c>
      <c r="AB41">
        <v>12</v>
      </c>
      <c r="AC41" s="1">
        <v>44036</v>
      </c>
      <c r="AD41" t="s">
        <v>1256</v>
      </c>
      <c r="AE41" s="3">
        <v>5845457</v>
      </c>
      <c r="AF41" t="s">
        <v>746</v>
      </c>
      <c r="AG41" s="4">
        <v>42227614</v>
      </c>
      <c r="AH41" t="s">
        <v>10</v>
      </c>
      <c r="AI41" s="1">
        <v>44036</v>
      </c>
      <c r="AJ41">
        <v>79</v>
      </c>
      <c r="AK41" s="2">
        <v>0.61299999999999999</v>
      </c>
      <c r="AL41" s="2">
        <v>0.58099999999999996</v>
      </c>
      <c r="AM41" s="2">
        <v>4.24E-2</v>
      </c>
      <c r="AN41" s="2">
        <v>0.53700000000000003</v>
      </c>
      <c r="AO41" s="2">
        <v>0.25</v>
      </c>
      <c r="AP41" s="2">
        <v>0.55100000000000005</v>
      </c>
      <c r="AQ41" s="2">
        <v>-8.5879999999999992</v>
      </c>
      <c r="AR41">
        <v>239560</v>
      </c>
    </row>
    <row r="42" spans="1:44" x14ac:dyDescent="0.25">
      <c r="A42">
        <v>43</v>
      </c>
      <c r="B42">
        <v>33</v>
      </c>
      <c r="C42">
        <v>6</v>
      </c>
      <c r="D42" s="1">
        <v>44379</v>
      </c>
      <c r="E42" s="59" t="str" cm="1">
        <f t="array" ref="E4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2" t="s">
        <v>90</v>
      </c>
      <c r="G42" s="3">
        <v>11283626</v>
      </c>
      <c r="H42" t="s">
        <v>91</v>
      </c>
      <c r="I42" s="4">
        <v>29051363</v>
      </c>
      <c r="J42" t="s">
        <v>25</v>
      </c>
      <c r="K42" s="1">
        <v>44365</v>
      </c>
      <c r="L42">
        <v>89</v>
      </c>
      <c r="M42" s="2" t="str">
        <f>IF(Spotify[[#This Row],[Energie]]&gt;AVERAGE(Spotify[Energie]),"FORTE","FAIBLE")</f>
        <v>FORTE</v>
      </c>
      <c r="N42" s="2">
        <v>0.81299999999999994</v>
      </c>
      <c r="O42" s="2">
        <v>0.80900000000000005</v>
      </c>
      <c r="P42" s="2">
        <v>8.4599999999999995E-2</v>
      </c>
      <c r="Q42" s="2">
        <v>0.10199999999999999</v>
      </c>
      <c r="R42" s="2">
        <v>0.377</v>
      </c>
      <c r="S42" s="2">
        <v>0.64600000000000002</v>
      </c>
      <c r="T42" s="2">
        <v>-5.3819999999999997</v>
      </c>
      <c r="U42">
        <v>393280</v>
      </c>
      <c r="V42">
        <f>YEAR(Spotify[[#This Row],[Date de sortie]])</f>
        <v>2021</v>
      </c>
      <c r="W42" s="2" t="str">
        <f>IF(Spotify[[#This Row],[Popularité]]&gt;=70,"FORTE","FAIBLE")</f>
        <v>FORTE</v>
      </c>
      <c r="Z42">
        <v>141</v>
      </c>
      <c r="AA42">
        <v>141</v>
      </c>
      <c r="AB42">
        <v>1</v>
      </c>
      <c r="AC42" s="1">
        <v>44400</v>
      </c>
      <c r="AD42" t="s">
        <v>299</v>
      </c>
      <c r="AE42" s="3">
        <v>5768653</v>
      </c>
      <c r="AF42" t="s">
        <v>300</v>
      </c>
      <c r="AG42" s="4">
        <v>14187747</v>
      </c>
      <c r="AH42" t="s">
        <v>10</v>
      </c>
      <c r="AI42" s="1">
        <v>44398</v>
      </c>
      <c r="AJ42">
        <v>79</v>
      </c>
      <c r="AK42" s="2">
        <v>0.39</v>
      </c>
      <c r="AL42" s="2">
        <v>0.53400000000000003</v>
      </c>
      <c r="AM42" s="2">
        <v>7.0900000000000005E-2</v>
      </c>
      <c r="AN42" s="2">
        <v>8.0699999999999994E-2</v>
      </c>
      <c r="AO42" s="2">
        <v>0.184</v>
      </c>
      <c r="AP42" s="2">
        <v>0.24399999999999999</v>
      </c>
      <c r="AQ42" s="2">
        <v>-9.5749999999999993</v>
      </c>
      <c r="AR42">
        <v>198765</v>
      </c>
    </row>
    <row r="43" spans="1:44" x14ac:dyDescent="0.25">
      <c r="A43">
        <v>44</v>
      </c>
      <c r="B43">
        <v>2</v>
      </c>
      <c r="C43">
        <v>49</v>
      </c>
      <c r="D43" s="1">
        <v>44155</v>
      </c>
      <c r="E43" s="59" t="str" cm="1">
        <f t="array" ref="E4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3" t="s">
        <v>92</v>
      </c>
      <c r="G43" s="3">
        <v>11196819</v>
      </c>
      <c r="H43" t="s">
        <v>32</v>
      </c>
      <c r="I43" s="4">
        <v>37106176</v>
      </c>
      <c r="J43" t="s">
        <v>33</v>
      </c>
      <c r="K43" s="1">
        <v>44155</v>
      </c>
      <c r="L43">
        <v>89</v>
      </c>
      <c r="M43" s="2" t="str">
        <f>IF(Spotify[[#This Row],[Energie]]&gt;AVERAGE(Spotify[Energie]),"FORTE","FAIBLE")</f>
        <v>FORTE</v>
      </c>
      <c r="N43" s="2">
        <v>0.746</v>
      </c>
      <c r="O43" s="2">
        <v>0.76500000000000001</v>
      </c>
      <c r="P43" s="2">
        <v>9.9299999999999999E-2</v>
      </c>
      <c r="Q43" s="2">
        <v>1.12E-2</v>
      </c>
      <c r="R43" s="2">
        <v>9.3600000000000003E-2</v>
      </c>
      <c r="S43" s="2">
        <v>0.73699999999999999</v>
      </c>
      <c r="T43" s="2">
        <v>-4.41</v>
      </c>
      <c r="U43">
        <v>199054</v>
      </c>
      <c r="V43">
        <f>YEAR(Spotify[[#This Row],[Date de sortie]])</f>
        <v>2020</v>
      </c>
      <c r="W43" s="2" t="str">
        <f>IF(Spotify[[#This Row],[Popularité]]&gt;=70,"FORTE","FAIBLE")</f>
        <v>FORTE</v>
      </c>
      <c r="Z43">
        <v>425</v>
      </c>
      <c r="AA43">
        <v>3</v>
      </c>
      <c r="AB43">
        <v>19</v>
      </c>
      <c r="AC43" s="1">
        <v>44176</v>
      </c>
      <c r="AD43" t="s">
        <v>789</v>
      </c>
      <c r="AE43" s="3">
        <v>5016865</v>
      </c>
      <c r="AF43" t="s">
        <v>746</v>
      </c>
      <c r="AG43" s="4">
        <v>42227614</v>
      </c>
      <c r="AH43" t="s">
        <v>10</v>
      </c>
      <c r="AI43" s="1">
        <v>44176</v>
      </c>
      <c r="AJ43">
        <v>79</v>
      </c>
      <c r="AK43" s="2">
        <v>0.39200000000000002</v>
      </c>
      <c r="AL43" s="2">
        <v>0.57399999999999995</v>
      </c>
      <c r="AM43" s="2">
        <v>0.17</v>
      </c>
      <c r="AN43" s="2">
        <v>0.83299999999999996</v>
      </c>
      <c r="AO43" s="2">
        <v>0.14499999999999999</v>
      </c>
      <c r="AP43" s="2">
        <v>0.52900000000000003</v>
      </c>
      <c r="AQ43" s="2">
        <v>-9.1950000000000003</v>
      </c>
      <c r="AR43">
        <v>214707</v>
      </c>
    </row>
    <row r="44" spans="1:44" x14ac:dyDescent="0.25">
      <c r="A44">
        <v>46</v>
      </c>
      <c r="B44">
        <v>46</v>
      </c>
      <c r="C44">
        <v>10</v>
      </c>
      <c r="D44" s="1">
        <v>44400</v>
      </c>
      <c r="E44" s="59" t="str" cm="1">
        <f t="array" ref="E4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4" t="s">
        <v>96</v>
      </c>
      <c r="G44" s="3">
        <v>10315460</v>
      </c>
      <c r="H44" t="s">
        <v>97</v>
      </c>
      <c r="I44" s="4">
        <v>3120157</v>
      </c>
      <c r="J44" t="s">
        <v>19</v>
      </c>
      <c r="K44" s="1">
        <v>44336</v>
      </c>
      <c r="L44">
        <v>89</v>
      </c>
      <c r="M44" s="2" t="str">
        <f>IF(Spotify[[#This Row],[Energie]]&gt;AVERAGE(Spotify[Energie]),"FORTE","FAIBLE")</f>
        <v>FORTE</v>
      </c>
      <c r="N44" s="2">
        <v>0.59499999999999997</v>
      </c>
      <c r="O44" s="2">
        <v>0.78400000000000003</v>
      </c>
      <c r="P44" s="2">
        <v>0.10199999999999999</v>
      </c>
      <c r="Q44" s="2">
        <v>0.216</v>
      </c>
      <c r="R44" s="2">
        <v>6.08E-2</v>
      </c>
      <c r="S44" s="2">
        <v>0.47899999999999998</v>
      </c>
      <c r="T44" s="2">
        <v>-4.8780000000000001</v>
      </c>
      <c r="U44">
        <v>183726</v>
      </c>
      <c r="V44">
        <f>YEAR(Spotify[[#This Row],[Date de sortie]])</f>
        <v>2021</v>
      </c>
      <c r="W44" s="2" t="str">
        <f>IF(Spotify[[#This Row],[Popularité]]&gt;=70,"FORTE","FAIBLE")</f>
        <v>FORTE</v>
      </c>
      <c r="Z44">
        <v>823</v>
      </c>
      <c r="AA44">
        <v>1</v>
      </c>
      <c r="AB44">
        <v>27</v>
      </c>
      <c r="AC44" s="1">
        <v>43945</v>
      </c>
      <c r="AD44" t="s">
        <v>1421</v>
      </c>
      <c r="AE44" s="3">
        <v>4941592</v>
      </c>
      <c r="AF44" t="s">
        <v>1422</v>
      </c>
      <c r="AG44" s="4">
        <v>179193</v>
      </c>
      <c r="AH44" t="s">
        <v>230</v>
      </c>
      <c r="AI44" s="1">
        <v>43945</v>
      </c>
      <c r="AJ44">
        <v>79</v>
      </c>
      <c r="AK44" s="2">
        <v>0.71599999999999997</v>
      </c>
      <c r="AL44" s="2">
        <v>0.53700000000000003</v>
      </c>
      <c r="AM44" s="2">
        <v>5.1400000000000001E-2</v>
      </c>
      <c r="AN44" s="2">
        <v>0.23300000000000001</v>
      </c>
      <c r="AO44" s="2">
        <v>0.157</v>
      </c>
      <c r="AP44" s="2">
        <v>0.28000000000000003</v>
      </c>
      <c r="AQ44" s="2">
        <v>-7.6479999999999997</v>
      </c>
      <c r="AR44">
        <v>165978</v>
      </c>
    </row>
    <row r="45" spans="1:44" x14ac:dyDescent="0.25">
      <c r="A45">
        <v>47</v>
      </c>
      <c r="B45">
        <v>1</v>
      </c>
      <c r="C45">
        <v>51</v>
      </c>
      <c r="D45" s="1">
        <v>44120</v>
      </c>
      <c r="E45" s="59" t="str" cm="1">
        <f t="array" ref="E4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45" t="s">
        <v>98</v>
      </c>
      <c r="G45" s="3">
        <v>10222056</v>
      </c>
      <c r="H45" t="s">
        <v>99</v>
      </c>
      <c r="I45" s="4">
        <v>1274433</v>
      </c>
      <c r="J45" t="s">
        <v>100</v>
      </c>
      <c r="K45" s="1">
        <v>44281</v>
      </c>
      <c r="L45">
        <v>89</v>
      </c>
      <c r="M45" s="2" t="str">
        <f>IF(Spotify[[#This Row],[Energie]]&gt;AVERAGE(Spotify[Energie]),"FORTE","FAIBLE")</f>
        <v>FORTE</v>
      </c>
      <c r="N45" s="2">
        <v>0.70099999999999996</v>
      </c>
      <c r="O45" s="2">
        <v>0.71599999999999997</v>
      </c>
      <c r="P45" s="2">
        <v>3.61E-2</v>
      </c>
      <c r="Q45" s="2">
        <v>0.17399999999999999</v>
      </c>
      <c r="R45" s="2">
        <v>0.32400000000000001</v>
      </c>
      <c r="S45" s="2">
        <v>0.73199999999999998</v>
      </c>
      <c r="T45" s="2">
        <v>-3.6709999999999998</v>
      </c>
      <c r="U45">
        <v>140533</v>
      </c>
      <c r="V45">
        <f>YEAR(Spotify[[#This Row],[Date de sortie]])</f>
        <v>2021</v>
      </c>
      <c r="W45" s="2" t="str">
        <f>IF(Spotify[[#This Row],[Popularité]]&gt;=70,"FORTE","FAIBLE")</f>
        <v>FORTE</v>
      </c>
      <c r="Z45">
        <v>763</v>
      </c>
      <c r="AA45">
        <v>87</v>
      </c>
      <c r="AB45">
        <v>11</v>
      </c>
      <c r="AC45" s="1">
        <v>44099</v>
      </c>
      <c r="AD45" t="s">
        <v>1325</v>
      </c>
      <c r="AE45" s="3">
        <v>4907925</v>
      </c>
      <c r="AF45" t="s">
        <v>1326</v>
      </c>
      <c r="AG45" s="4">
        <v>260236</v>
      </c>
      <c r="AH45" t="s">
        <v>1327</v>
      </c>
      <c r="AI45" s="1">
        <v>43917</v>
      </c>
      <c r="AJ45">
        <v>79</v>
      </c>
      <c r="AK45" s="2">
        <v>0.76200000000000001</v>
      </c>
      <c r="AL45" s="2">
        <v>0.433</v>
      </c>
      <c r="AM45" s="2">
        <v>0.187</v>
      </c>
      <c r="AN45" s="2">
        <v>0.14299999999999999</v>
      </c>
      <c r="AO45" s="2">
        <v>0.11799999999999999</v>
      </c>
      <c r="AP45" s="2">
        <v>0.39400000000000002</v>
      </c>
      <c r="AQ45" s="2">
        <v>-8.9369999999999994</v>
      </c>
      <c r="AR45">
        <v>203145</v>
      </c>
    </row>
    <row r="46" spans="1:44" x14ac:dyDescent="0.25">
      <c r="A46">
        <v>48</v>
      </c>
      <c r="B46">
        <v>48</v>
      </c>
      <c r="C46">
        <v>3</v>
      </c>
      <c r="D46" s="1">
        <v>44400</v>
      </c>
      <c r="E46" s="59" t="str" cm="1">
        <f t="array" ref="E4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46" t="s">
        <v>101</v>
      </c>
      <c r="G46" s="3">
        <v>10215216</v>
      </c>
      <c r="H46" t="s">
        <v>102</v>
      </c>
      <c r="I46" s="4">
        <v>375865</v>
      </c>
      <c r="J46" t="s">
        <v>103</v>
      </c>
      <c r="K46" s="1">
        <v>44385</v>
      </c>
      <c r="L46">
        <v>89</v>
      </c>
      <c r="M46" s="2" t="str">
        <f>IF(Spotify[[#This Row],[Energie]]&gt;AVERAGE(Spotify[Energie]),"FORTE","FAIBLE")</f>
        <v>FAIBLE</v>
      </c>
      <c r="N46" s="2">
        <v>0.72899999999999998</v>
      </c>
      <c r="O46" s="2">
        <v>0.51300000000000001</v>
      </c>
      <c r="P46" s="2">
        <v>4.5499999999999999E-2</v>
      </c>
      <c r="Q46" s="2">
        <v>0.49399999999999999</v>
      </c>
      <c r="R46" s="2">
        <v>0.13700000000000001</v>
      </c>
      <c r="S46" s="2">
        <v>0.78900000000000003</v>
      </c>
      <c r="T46" s="2">
        <v>-6.3449999999999998</v>
      </c>
      <c r="U46">
        <v>192353</v>
      </c>
      <c r="V46">
        <f>YEAR(Spotify[[#This Row],[Date de sortie]])</f>
        <v>2021</v>
      </c>
      <c r="W46" s="2" t="str">
        <f>IF(Spotify[[#This Row],[Popularité]]&gt;=70,"FORTE","FAIBLE")</f>
        <v>FORTE</v>
      </c>
      <c r="Z46">
        <v>801</v>
      </c>
      <c r="AA46">
        <v>30</v>
      </c>
      <c r="AB46">
        <v>45</v>
      </c>
      <c r="AC46" s="1">
        <v>43826</v>
      </c>
      <c r="AD46" t="s">
        <v>1390</v>
      </c>
      <c r="AE46" s="3">
        <v>4813796</v>
      </c>
      <c r="AF46" t="s">
        <v>12</v>
      </c>
      <c r="AG46" s="4">
        <v>83337783</v>
      </c>
      <c r="AH46" t="s">
        <v>10</v>
      </c>
      <c r="AI46" s="1">
        <v>43644</v>
      </c>
      <c r="AJ46">
        <v>79</v>
      </c>
      <c r="AK46" s="2">
        <v>0.64</v>
      </c>
      <c r="AL46" s="2">
        <v>0.64800000000000002</v>
      </c>
      <c r="AM46" s="2">
        <v>0.187</v>
      </c>
      <c r="AN46" s="2">
        <v>0.124</v>
      </c>
      <c r="AO46" s="2">
        <v>8.0199999999999994E-2</v>
      </c>
      <c r="AP46" s="2">
        <v>0.54800000000000004</v>
      </c>
      <c r="AQ46" s="2">
        <v>-8.1129999999999995</v>
      </c>
      <c r="AR46">
        <v>197867</v>
      </c>
    </row>
    <row r="47" spans="1:44" x14ac:dyDescent="0.25">
      <c r="A47">
        <v>49</v>
      </c>
      <c r="B47">
        <v>29</v>
      </c>
      <c r="C47">
        <v>6</v>
      </c>
      <c r="D47" s="1">
        <v>44372</v>
      </c>
      <c r="E47" s="59" t="str" cm="1">
        <f t="array" ref="E4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7" t="s">
        <v>104</v>
      </c>
      <c r="G47" s="3">
        <v>10032746</v>
      </c>
      <c r="H47" t="s">
        <v>105</v>
      </c>
      <c r="I47" s="4">
        <v>6929075</v>
      </c>
      <c r="J47" t="s">
        <v>25</v>
      </c>
      <c r="K47" s="1">
        <v>44362</v>
      </c>
      <c r="L47">
        <v>89</v>
      </c>
      <c r="M47" s="2" t="str">
        <f>IF(Spotify[[#This Row],[Energie]]&gt;AVERAGE(Spotify[Energie]),"FORTE","FAIBLE")</f>
        <v>FORTE</v>
      </c>
      <c r="N47" s="2">
        <v>0.83899999999999997</v>
      </c>
      <c r="O47" s="2">
        <v>0.71099999999999997</v>
      </c>
      <c r="P47" s="2">
        <v>4.7300000000000002E-2</v>
      </c>
      <c r="Q47" s="2">
        <v>0.39800000000000002</v>
      </c>
      <c r="R47" s="2">
        <v>0.11799999999999999</v>
      </c>
      <c r="S47" s="2">
        <v>0.57299999999999995</v>
      </c>
      <c r="T47" s="2">
        <v>-4.7329999999999997</v>
      </c>
      <c r="U47">
        <v>349547</v>
      </c>
      <c r="V47">
        <f>YEAR(Spotify[[#This Row],[Date de sortie]])</f>
        <v>2021</v>
      </c>
      <c r="W47" s="2" t="str">
        <f>IF(Spotify[[#This Row],[Popularité]]&gt;=70,"FORTE","FAIBLE")</f>
        <v>FORTE</v>
      </c>
      <c r="Z47">
        <v>1375</v>
      </c>
      <c r="AA47">
        <v>140</v>
      </c>
      <c r="AB47">
        <v>9</v>
      </c>
      <c r="AC47" s="1">
        <v>43861</v>
      </c>
      <c r="AD47" t="s">
        <v>2203</v>
      </c>
      <c r="AE47" s="3">
        <v>5115153</v>
      </c>
      <c r="AF47" t="s">
        <v>746</v>
      </c>
      <c r="AG47" s="4">
        <v>42227614</v>
      </c>
      <c r="AH47" t="s">
        <v>10</v>
      </c>
      <c r="AI47" s="1">
        <v>43700</v>
      </c>
      <c r="AJ47">
        <v>78</v>
      </c>
      <c r="AK47" s="2">
        <v>0.77100000000000002</v>
      </c>
      <c r="AL47" s="2">
        <v>0.67100000000000004</v>
      </c>
      <c r="AM47" s="2">
        <v>5.5300000000000002E-2</v>
      </c>
      <c r="AN47" s="2">
        <v>9.2899999999999996E-3</v>
      </c>
      <c r="AO47" s="2">
        <v>6.3700000000000007E-2</v>
      </c>
      <c r="AP47" s="2">
        <v>0.71399999999999997</v>
      </c>
      <c r="AQ47" s="2">
        <v>-5.617</v>
      </c>
      <c r="AR47">
        <v>171360</v>
      </c>
    </row>
    <row r="48" spans="1:44" x14ac:dyDescent="0.25">
      <c r="A48">
        <v>50</v>
      </c>
      <c r="B48">
        <v>20</v>
      </c>
      <c r="C48">
        <v>11</v>
      </c>
      <c r="D48" s="1">
        <v>44351</v>
      </c>
      <c r="E48" s="59" t="str" cm="1">
        <f t="array" ref="E4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8" t="s">
        <v>106</v>
      </c>
      <c r="G48" s="3">
        <v>9841998</v>
      </c>
      <c r="H48" t="s">
        <v>107</v>
      </c>
      <c r="I48" s="4">
        <v>389076</v>
      </c>
      <c r="J48"/>
      <c r="K48" s="1">
        <v>44330</v>
      </c>
      <c r="L48">
        <v>89</v>
      </c>
      <c r="M48" s="2" t="str">
        <f>IF(Spotify[[#This Row],[Energie]]&gt;AVERAGE(Spotify[Energie]),"FORTE","FAIBLE")</f>
        <v>FAIBLE</v>
      </c>
      <c r="N48" s="2">
        <v>0.85499999999999998</v>
      </c>
      <c r="O48" s="2">
        <v>0.46300000000000002</v>
      </c>
      <c r="P48" s="2">
        <v>3.6700000000000003E-2</v>
      </c>
      <c r="Q48" s="2">
        <v>0.217</v>
      </c>
      <c r="R48" s="2">
        <v>0.34699999999999998</v>
      </c>
      <c r="S48" s="2">
        <v>0.86599999999999999</v>
      </c>
      <c r="T48" s="2">
        <v>-7.4539999999999997</v>
      </c>
      <c r="U48">
        <v>122773</v>
      </c>
      <c r="V48">
        <f>YEAR(Spotify[[#This Row],[Date de sortie]])</f>
        <v>2021</v>
      </c>
      <c r="W48" s="2" t="str">
        <f>IF(Spotify[[#This Row],[Popularité]]&gt;=70,"FORTE","FAIBLE")</f>
        <v>FORTE</v>
      </c>
      <c r="Z48">
        <v>1350</v>
      </c>
      <c r="AA48">
        <v>41</v>
      </c>
      <c r="AB48">
        <v>11</v>
      </c>
      <c r="AC48" s="1">
        <v>43833</v>
      </c>
      <c r="AD48" t="s">
        <v>2169</v>
      </c>
      <c r="AE48" s="3">
        <v>5315827</v>
      </c>
      <c r="AF48" t="s">
        <v>12</v>
      </c>
      <c r="AG48" s="4">
        <v>83337783</v>
      </c>
      <c r="AH48" t="s">
        <v>10</v>
      </c>
      <c r="AI48" s="1">
        <v>43658</v>
      </c>
      <c r="AJ48">
        <v>77</v>
      </c>
      <c r="AK48" s="2">
        <v>0.85699999999999998</v>
      </c>
      <c r="AL48" s="2">
        <v>0.621</v>
      </c>
      <c r="AM48" s="2">
        <v>8.2500000000000004E-2</v>
      </c>
      <c r="AN48" s="2">
        <v>0.14799999999999999</v>
      </c>
      <c r="AO48" s="2">
        <v>8.6499999999999994E-2</v>
      </c>
      <c r="AP48" s="2">
        <v>0.66800000000000004</v>
      </c>
      <c r="AQ48" s="2">
        <v>-6.3760000000000003</v>
      </c>
      <c r="AR48">
        <v>204467</v>
      </c>
    </row>
    <row r="49" spans="1:44" x14ac:dyDescent="0.25">
      <c r="A49">
        <v>55</v>
      </c>
      <c r="B49">
        <v>52</v>
      </c>
      <c r="C49">
        <v>9</v>
      </c>
      <c r="D49" s="1">
        <v>44379</v>
      </c>
      <c r="E49" s="59" t="str" cm="1">
        <f t="array" ref="E4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9" t="s">
        <v>119</v>
      </c>
      <c r="G49" s="3">
        <v>9428494</v>
      </c>
      <c r="H49" t="s">
        <v>120</v>
      </c>
      <c r="I49" s="4">
        <v>31541310</v>
      </c>
      <c r="J49" t="s">
        <v>121</v>
      </c>
      <c r="K49" s="1">
        <v>44337</v>
      </c>
      <c r="L49">
        <v>89</v>
      </c>
      <c r="M49" s="2" t="str">
        <f>IF(Spotify[[#This Row],[Energie]]&gt;AVERAGE(Spotify[Energie]),"FORTE","FAIBLE")</f>
        <v>FORTE</v>
      </c>
      <c r="N49" s="2">
        <v>0.72099999999999997</v>
      </c>
      <c r="O49" s="2">
        <v>0.73799999999999999</v>
      </c>
      <c r="P49" s="2">
        <v>4.0300000000000002E-2</v>
      </c>
      <c r="Q49" s="2">
        <v>2.2599999999999999E-3</v>
      </c>
      <c r="R49" s="2">
        <v>0.11799999999999999</v>
      </c>
      <c r="S49" s="2">
        <v>0.63700000000000001</v>
      </c>
      <c r="T49" s="2">
        <v>-4.7699999999999996</v>
      </c>
      <c r="U49">
        <v>154983</v>
      </c>
      <c r="V49">
        <f>YEAR(Spotify[[#This Row],[Date de sortie]])</f>
        <v>2021</v>
      </c>
      <c r="W49" s="2" t="str">
        <f>IF(Spotify[[#This Row],[Popularité]]&gt;=70,"FORTE","FAIBLE")</f>
        <v>FORTE</v>
      </c>
      <c r="Z49">
        <v>890</v>
      </c>
      <c r="AA49">
        <v>4</v>
      </c>
      <c r="AB49">
        <v>9</v>
      </c>
      <c r="AC49" s="1">
        <v>44036</v>
      </c>
      <c r="AD49" t="s">
        <v>1526</v>
      </c>
      <c r="AE49" s="3">
        <v>4924533</v>
      </c>
      <c r="AF49" t="s">
        <v>746</v>
      </c>
      <c r="AG49" s="4">
        <v>42227614</v>
      </c>
      <c r="AH49" t="s">
        <v>10</v>
      </c>
      <c r="AI49" s="1">
        <v>44036</v>
      </c>
      <c r="AJ49">
        <v>77</v>
      </c>
      <c r="AK49" s="2">
        <v>0.29799999999999999</v>
      </c>
      <c r="AL49" s="2">
        <v>0.38</v>
      </c>
      <c r="AM49" s="2">
        <v>2.87E-2</v>
      </c>
      <c r="AN49" s="2">
        <v>0.77800000000000002</v>
      </c>
      <c r="AO49" s="2">
        <v>0.11</v>
      </c>
      <c r="AP49" s="2">
        <v>0.152</v>
      </c>
      <c r="AQ49" s="2">
        <v>-8.4260000000000002</v>
      </c>
      <c r="AR49">
        <v>285634</v>
      </c>
    </row>
    <row r="50" spans="1:44" x14ac:dyDescent="0.25">
      <c r="A50">
        <v>56</v>
      </c>
      <c r="B50">
        <v>56</v>
      </c>
      <c r="C50">
        <v>13</v>
      </c>
      <c r="D50" s="1">
        <v>44400</v>
      </c>
      <c r="E50" s="59" t="str" cm="1">
        <f t="array" ref="E5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0" t="s">
        <v>122</v>
      </c>
      <c r="G50" s="3">
        <v>9319465</v>
      </c>
      <c r="H50" t="s">
        <v>123</v>
      </c>
      <c r="I50" s="4">
        <v>495226</v>
      </c>
      <c r="J50" t="s">
        <v>124</v>
      </c>
      <c r="K50" s="1">
        <v>44331</v>
      </c>
      <c r="L50">
        <v>89</v>
      </c>
      <c r="M50" s="2" t="str">
        <f>IF(Spotify[[#This Row],[Energie]]&gt;AVERAGE(Spotify[Energie]),"FORTE","FAIBLE")</f>
        <v>FORTE</v>
      </c>
      <c r="N50" s="2">
        <v>0.34499999999999997</v>
      </c>
      <c r="O50" s="2">
        <v>0.94099999999999995</v>
      </c>
      <c r="P50" s="2">
        <v>4.6600000000000003E-2</v>
      </c>
      <c r="Q50" s="2">
        <v>3.8399999999999998E-5</v>
      </c>
      <c r="R50" s="2">
        <v>5.11E-2</v>
      </c>
      <c r="S50" s="2">
        <v>0.40699999999999997</v>
      </c>
      <c r="T50" s="2">
        <v>-9.9179999999999993</v>
      </c>
      <c r="U50">
        <v>147062</v>
      </c>
      <c r="V50">
        <f>YEAR(Spotify[[#This Row],[Date de sortie]])</f>
        <v>2021</v>
      </c>
      <c r="W50" s="2" t="str">
        <f>IF(Spotify[[#This Row],[Popularité]]&gt;=70,"FORTE","FAIBLE")</f>
        <v>FORTE</v>
      </c>
      <c r="Z50">
        <v>1467</v>
      </c>
      <c r="AA50">
        <v>193</v>
      </c>
      <c r="AB50">
        <v>1</v>
      </c>
      <c r="AC50" s="1">
        <v>43861</v>
      </c>
      <c r="AD50" t="s">
        <v>2331</v>
      </c>
      <c r="AE50" s="3">
        <v>4884909</v>
      </c>
      <c r="AF50" t="s">
        <v>746</v>
      </c>
      <c r="AG50" s="4">
        <v>42227614</v>
      </c>
      <c r="AH50" t="s">
        <v>10</v>
      </c>
      <c r="AI50" s="1">
        <v>43700</v>
      </c>
      <c r="AJ50">
        <v>77</v>
      </c>
      <c r="AK50" s="2">
        <v>0.61</v>
      </c>
      <c r="AL50" s="2">
        <v>0.83</v>
      </c>
      <c r="AM50" s="2">
        <v>5.7099999999999998E-2</v>
      </c>
      <c r="AN50" s="2">
        <v>3.3000000000000002E-2</v>
      </c>
      <c r="AO50" s="2">
        <v>0.11799999999999999</v>
      </c>
      <c r="AP50" s="2">
        <v>0.72799999999999998</v>
      </c>
      <c r="AQ50" s="2">
        <v>-4.1050000000000004</v>
      </c>
      <c r="AR50">
        <v>193000</v>
      </c>
    </row>
    <row r="51" spans="1:44" x14ac:dyDescent="0.25">
      <c r="A51">
        <v>63</v>
      </c>
      <c r="B51">
        <v>9</v>
      </c>
      <c r="C51">
        <v>10</v>
      </c>
      <c r="D51" s="1">
        <v>44337</v>
      </c>
      <c r="E51" s="59" t="str" cm="1">
        <f t="array" ref="E5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1" t="s">
        <v>139</v>
      </c>
      <c r="G51" s="3">
        <v>8881356</v>
      </c>
      <c r="H51" t="s">
        <v>9</v>
      </c>
      <c r="I51" s="4">
        <v>6266514</v>
      </c>
      <c r="J51" t="s">
        <v>10</v>
      </c>
      <c r="K51" s="1">
        <v>44337</v>
      </c>
      <c r="L51">
        <v>89</v>
      </c>
      <c r="M51" s="2" t="str">
        <f>IF(Spotify[[#This Row],[Energie]]&gt;AVERAGE(Spotify[Energie]),"FORTE","FAIBLE")</f>
        <v>FAIBLE</v>
      </c>
      <c r="N51" s="2">
        <v>0.67200000000000004</v>
      </c>
      <c r="O51" s="2">
        <v>0.52600000000000002</v>
      </c>
      <c r="P51" s="2">
        <v>5.9900000000000002E-2</v>
      </c>
      <c r="Q51" s="2">
        <v>3.1099999999999999E-2</v>
      </c>
      <c r="R51" s="2">
        <v>0.28000000000000003</v>
      </c>
      <c r="S51" s="2">
        <v>0.28000000000000003</v>
      </c>
      <c r="T51" s="2">
        <v>-6.4459999999999997</v>
      </c>
      <c r="U51">
        <v>143747</v>
      </c>
      <c r="V51">
        <f>YEAR(Spotify[[#This Row],[Date de sortie]])</f>
        <v>2021</v>
      </c>
      <c r="W51" s="2" t="str">
        <f>IF(Spotify[[#This Row],[Popularité]]&gt;=70,"FORTE","FAIBLE")</f>
        <v>FORTE</v>
      </c>
      <c r="Z51">
        <v>1041</v>
      </c>
      <c r="AA51">
        <v>46</v>
      </c>
      <c r="AB51">
        <v>29</v>
      </c>
      <c r="AC51" s="1">
        <v>43826</v>
      </c>
      <c r="AD51" t="s">
        <v>1744</v>
      </c>
      <c r="AE51" s="3">
        <v>4541965</v>
      </c>
      <c r="AF51" t="s">
        <v>1745</v>
      </c>
      <c r="AG51" s="4">
        <v>268766</v>
      </c>
      <c r="AH51" t="s">
        <v>230</v>
      </c>
      <c r="AI51" s="1">
        <v>43644</v>
      </c>
      <c r="AJ51">
        <v>77</v>
      </c>
      <c r="AK51" s="2">
        <v>0.84299999999999997</v>
      </c>
      <c r="AL51" s="2">
        <v>0.39</v>
      </c>
      <c r="AM51" s="2">
        <v>8.4599999999999995E-2</v>
      </c>
      <c r="AN51" s="2">
        <v>0.17799999999999999</v>
      </c>
      <c r="AO51" s="2">
        <v>0.13700000000000001</v>
      </c>
      <c r="AP51" s="2">
        <v>0.495</v>
      </c>
      <c r="AQ51" s="2">
        <v>-7.899</v>
      </c>
      <c r="AR51">
        <v>160627</v>
      </c>
    </row>
    <row r="52" spans="1:44" x14ac:dyDescent="0.25">
      <c r="A52">
        <v>275</v>
      </c>
      <c r="B52">
        <v>59</v>
      </c>
      <c r="C52">
        <v>6</v>
      </c>
      <c r="D52" s="1">
        <v>44344</v>
      </c>
      <c r="E52" s="59" t="str" cm="1">
        <f t="array" ref="E5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2" t="s">
        <v>542</v>
      </c>
      <c r="G52" s="3">
        <v>6893939</v>
      </c>
      <c r="H52" t="s">
        <v>543</v>
      </c>
      <c r="I52" s="4">
        <v>29051363</v>
      </c>
      <c r="J52" t="s">
        <v>25</v>
      </c>
      <c r="K52" s="1">
        <v>44365</v>
      </c>
      <c r="L52">
        <v>89</v>
      </c>
      <c r="M52" s="2" t="str">
        <f>IF(Spotify[[#This Row],[Energie]]&gt;AVERAGE(Spotify[Energie]),"FORTE","FAIBLE")</f>
        <v>FORTE</v>
      </c>
      <c r="N52" s="2">
        <v>0.81299999999999994</v>
      </c>
      <c r="O52" s="2">
        <v>0.80900000000000005</v>
      </c>
      <c r="P52" s="2">
        <v>8.4599999999999995E-2</v>
      </c>
      <c r="Q52" s="2">
        <v>0.10199999999999999</v>
      </c>
      <c r="R52" s="2">
        <v>0.377</v>
      </c>
      <c r="S52" s="2">
        <v>0.64600000000000002</v>
      </c>
      <c r="T52" s="2">
        <v>-5.3819999999999997</v>
      </c>
      <c r="U52">
        <v>393280</v>
      </c>
      <c r="V52">
        <f>YEAR(Spotify[[#This Row],[Date de sortie]])</f>
        <v>2021</v>
      </c>
      <c r="W52" s="2" t="str">
        <f>IF(Spotify[[#This Row],[Popularité]]&gt;=70,"FORTE","FAIBLE")</f>
        <v>FORTE</v>
      </c>
      <c r="Z52">
        <v>574</v>
      </c>
      <c r="AA52">
        <v>103</v>
      </c>
      <c r="AB52">
        <v>12</v>
      </c>
      <c r="AC52" s="1">
        <v>44211</v>
      </c>
      <c r="AD52" t="s">
        <v>1027</v>
      </c>
      <c r="AE52" s="3">
        <v>5052801</v>
      </c>
      <c r="AF52" t="s">
        <v>9</v>
      </c>
      <c r="AG52" s="4">
        <v>6313514</v>
      </c>
      <c r="AH52" t="s">
        <v>10</v>
      </c>
      <c r="AI52" s="1">
        <v>43796</v>
      </c>
      <c r="AJ52">
        <v>76</v>
      </c>
      <c r="AK52" s="2">
        <v>0.376</v>
      </c>
      <c r="AL52" s="2">
        <v>0.43</v>
      </c>
      <c r="AM52" s="2">
        <v>3.2800000000000003E-2</v>
      </c>
      <c r="AN52" s="2">
        <v>9.0200000000000002E-2</v>
      </c>
      <c r="AO52" s="2">
        <v>9.1200000000000003E-2</v>
      </c>
      <c r="AP52" s="2">
        <v>0.129</v>
      </c>
      <c r="AQ52" s="2">
        <v>-6.585</v>
      </c>
      <c r="AR52">
        <v>177323</v>
      </c>
    </row>
    <row r="53" spans="1:44" x14ac:dyDescent="0.25">
      <c r="A53">
        <v>101</v>
      </c>
      <c r="B53">
        <v>52</v>
      </c>
      <c r="C53">
        <v>19</v>
      </c>
      <c r="D53" s="1">
        <v>43917</v>
      </c>
      <c r="E53" s="59" t="str" cm="1">
        <f t="array" ref="E5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3" t="s">
        <v>219</v>
      </c>
      <c r="G53" s="3">
        <v>6799831</v>
      </c>
      <c r="H53" t="s">
        <v>28</v>
      </c>
      <c r="I53" s="4">
        <v>27142474</v>
      </c>
      <c r="J53" t="s">
        <v>19</v>
      </c>
      <c r="K53" s="1">
        <v>44105</v>
      </c>
      <c r="L53">
        <v>89</v>
      </c>
      <c r="M53" s="2" t="str">
        <f>IF(Spotify[[#This Row],[Energie]]&gt;AVERAGE(Spotify[Energie]),"FORTE","FAIBLE")</f>
        <v>FORTE</v>
      </c>
      <c r="N53" s="2">
        <v>0.70199999999999996</v>
      </c>
      <c r="O53" s="2">
        <v>0.82499999999999996</v>
      </c>
      <c r="P53" s="2">
        <v>6.0100000000000001E-2</v>
      </c>
      <c r="Q53" s="2">
        <v>8.8299999999999993E-3</v>
      </c>
      <c r="R53" s="2">
        <v>6.7400000000000002E-2</v>
      </c>
      <c r="S53" s="2">
        <v>0.91500000000000004</v>
      </c>
      <c r="T53" s="2">
        <v>-3.7869999999999999</v>
      </c>
      <c r="U53">
        <v>203064</v>
      </c>
      <c r="V53">
        <f>YEAR(Spotify[[#This Row],[Date de sortie]])</f>
        <v>2020</v>
      </c>
      <c r="W53" s="2" t="str">
        <f>IF(Spotify[[#This Row],[Popularité]]&gt;=70,"FORTE","FAIBLE")</f>
        <v>FORTE</v>
      </c>
      <c r="Z53">
        <v>943</v>
      </c>
      <c r="AA53">
        <v>11</v>
      </c>
      <c r="AB53">
        <v>5</v>
      </c>
      <c r="AC53" s="1">
        <v>44036</v>
      </c>
      <c r="AD53" t="s">
        <v>1610</v>
      </c>
      <c r="AE53" s="3">
        <v>4586236</v>
      </c>
      <c r="AF53" t="s">
        <v>746</v>
      </c>
      <c r="AG53" s="4">
        <v>42227614</v>
      </c>
      <c r="AH53" t="s">
        <v>10</v>
      </c>
      <c r="AI53" s="1">
        <v>44036</v>
      </c>
      <c r="AJ53">
        <v>76</v>
      </c>
      <c r="AK53" s="2">
        <v>0.53200000000000003</v>
      </c>
      <c r="AL53" s="2">
        <v>0.623</v>
      </c>
      <c r="AM53" s="2">
        <v>3.3099999999999997E-2</v>
      </c>
      <c r="AN53" s="2">
        <v>0.53800000000000003</v>
      </c>
      <c r="AO53" s="2">
        <v>9.2499999999999999E-2</v>
      </c>
      <c r="AP53" s="2">
        <v>0.40300000000000002</v>
      </c>
      <c r="AQ53" s="2">
        <v>-9.2080000000000002</v>
      </c>
      <c r="AR53">
        <v>261923</v>
      </c>
    </row>
    <row r="54" spans="1:44" x14ac:dyDescent="0.25">
      <c r="A54">
        <v>224</v>
      </c>
      <c r="B54">
        <v>28</v>
      </c>
      <c r="C54">
        <v>23</v>
      </c>
      <c r="D54" s="1">
        <v>44302</v>
      </c>
      <c r="E54" s="59" t="str" cm="1">
        <f t="array" ref="E5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4" t="s">
        <v>452</v>
      </c>
      <c r="G54" s="3">
        <v>6111108</v>
      </c>
      <c r="H54" t="s">
        <v>237</v>
      </c>
      <c r="I54" s="4">
        <v>8758283</v>
      </c>
      <c r="J54" t="s">
        <v>25</v>
      </c>
      <c r="K54" s="1">
        <v>44386</v>
      </c>
      <c r="L54">
        <v>89</v>
      </c>
      <c r="M54" s="2" t="str">
        <f>IF(Spotify[[#This Row],[Energie]]&gt;AVERAGE(Spotify[Energie]),"FORTE","FAIBLE")</f>
        <v>FORTE</v>
      </c>
      <c r="N54" s="2">
        <v>0.81599999999999995</v>
      </c>
      <c r="O54" s="2">
        <v>0.71</v>
      </c>
      <c r="P54" s="2">
        <v>3.9800000000000002E-2</v>
      </c>
      <c r="Q54" s="2">
        <v>0.16500000000000001</v>
      </c>
      <c r="R54" s="2">
        <v>0.29199999999999998</v>
      </c>
      <c r="S54" s="2">
        <v>0.78400000000000003</v>
      </c>
      <c r="T54" s="2">
        <v>-3.7280000000000002</v>
      </c>
      <c r="U54">
        <v>208631</v>
      </c>
      <c r="V54">
        <f>YEAR(Spotify[[#This Row],[Date de sortie]])</f>
        <v>2021</v>
      </c>
      <c r="W54" s="2" t="str">
        <f>IF(Spotify[[#This Row],[Popularité]]&gt;=70,"FORTE","FAIBLE")</f>
        <v>FORTE</v>
      </c>
      <c r="Z54">
        <v>1077</v>
      </c>
      <c r="AA54">
        <v>36</v>
      </c>
      <c r="AB54">
        <v>21</v>
      </c>
      <c r="AC54" s="1">
        <v>43868</v>
      </c>
      <c r="AD54" t="s">
        <v>1793</v>
      </c>
      <c r="AE54" s="3">
        <v>4374392</v>
      </c>
      <c r="AF54" t="s">
        <v>1794</v>
      </c>
      <c r="AG54" s="4">
        <v>14190858</v>
      </c>
      <c r="AH54" t="s">
        <v>10</v>
      </c>
      <c r="AI54" s="1">
        <v>43865</v>
      </c>
      <c r="AJ54">
        <v>76</v>
      </c>
      <c r="AK54" s="2">
        <v>0.79</v>
      </c>
      <c r="AL54" s="2">
        <v>0.69399999999999995</v>
      </c>
      <c r="AM54" s="2">
        <v>7.0800000000000002E-2</v>
      </c>
      <c r="AN54" s="2">
        <v>0.14499999999999999</v>
      </c>
      <c r="AO54" s="2">
        <v>0.28100000000000003</v>
      </c>
      <c r="AP54" s="2">
        <v>0.50800000000000001</v>
      </c>
      <c r="AQ54" s="2">
        <v>-7.726</v>
      </c>
      <c r="AR54">
        <v>181436</v>
      </c>
    </row>
    <row r="55" spans="1:44" x14ac:dyDescent="0.25">
      <c r="A55">
        <v>32</v>
      </c>
      <c r="B55">
        <v>32</v>
      </c>
      <c r="C55">
        <v>1</v>
      </c>
      <c r="D55" s="1">
        <v>44400</v>
      </c>
      <c r="E55" s="59" t="str" cm="1">
        <f t="array" ref="E5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5" t="s">
        <v>67</v>
      </c>
      <c r="G55" s="3">
        <v>13205250</v>
      </c>
      <c r="H55" t="s">
        <v>68</v>
      </c>
      <c r="I55" s="4">
        <v>22683756</v>
      </c>
      <c r="J55" t="s">
        <v>19</v>
      </c>
      <c r="K55" s="1">
        <v>44400</v>
      </c>
      <c r="L55">
        <v>88</v>
      </c>
      <c r="M55" s="2" t="str">
        <f>IF(Spotify[[#This Row],[Energie]]&gt;AVERAGE(Spotify[Energie]),"FORTE","FAIBLE")</f>
        <v>FORTE</v>
      </c>
      <c r="N55" s="2">
        <v>0.66600000000000004</v>
      </c>
      <c r="O55" s="2">
        <v>0.79600000000000004</v>
      </c>
      <c r="P55" s="2">
        <v>0.10299999999999999</v>
      </c>
      <c r="Q55" s="2">
        <v>4.9200000000000001E-2</v>
      </c>
      <c r="R55" s="2">
        <v>4.4200000000000003E-2</v>
      </c>
      <c r="S55" s="2">
        <v>0.61</v>
      </c>
      <c r="T55" s="2">
        <v>-6.9669999999999996</v>
      </c>
      <c r="U55">
        <v>164842</v>
      </c>
      <c r="V55">
        <f>YEAR(Spotify[[#This Row],[Date de sortie]])</f>
        <v>2021</v>
      </c>
      <c r="W55" s="2" t="str">
        <f>IF(Spotify[[#This Row],[Popularité]]&gt;=70,"FORTE","FAIBLE")</f>
        <v>FORTE</v>
      </c>
      <c r="Z55">
        <v>586</v>
      </c>
      <c r="AA55">
        <v>10</v>
      </c>
      <c r="AB55">
        <v>7</v>
      </c>
      <c r="AC55" s="1">
        <v>44176</v>
      </c>
      <c r="AD55" t="s">
        <v>1046</v>
      </c>
      <c r="AE55" s="3">
        <v>4848954</v>
      </c>
      <c r="AF55" t="s">
        <v>746</v>
      </c>
      <c r="AG55" s="4">
        <v>42227614</v>
      </c>
      <c r="AH55" t="s">
        <v>10</v>
      </c>
      <c r="AI55" s="1">
        <v>44176</v>
      </c>
      <c r="AJ55">
        <v>75</v>
      </c>
      <c r="AK55" s="2">
        <v>0.46200000000000002</v>
      </c>
      <c r="AL55" s="2">
        <v>0.24</v>
      </c>
      <c r="AM55" s="2">
        <v>3.7699999999999997E-2</v>
      </c>
      <c r="AN55" s="2">
        <v>0.92</v>
      </c>
      <c r="AO55" s="2">
        <v>0.113</v>
      </c>
      <c r="AP55" s="2">
        <v>0.32</v>
      </c>
      <c r="AQ55" s="2">
        <v>-12.077</v>
      </c>
      <c r="AR55">
        <v>244000</v>
      </c>
    </row>
    <row r="56" spans="1:44" x14ac:dyDescent="0.25">
      <c r="A56">
        <v>51</v>
      </c>
      <c r="B56">
        <v>19</v>
      </c>
      <c r="C56">
        <v>4</v>
      </c>
      <c r="D56" s="1">
        <v>44379</v>
      </c>
      <c r="E56" s="59" t="str" cm="1">
        <f t="array" ref="E5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56" t="s">
        <v>108</v>
      </c>
      <c r="G56" s="3">
        <v>9799701</v>
      </c>
      <c r="H56" t="s">
        <v>109</v>
      </c>
      <c r="I56" s="4">
        <v>3126961</v>
      </c>
      <c r="J56" t="s">
        <v>110</v>
      </c>
      <c r="K56" s="1">
        <v>44377</v>
      </c>
      <c r="L56">
        <v>88</v>
      </c>
      <c r="M56" s="2" t="str">
        <f>IF(Spotify[[#This Row],[Energie]]&gt;AVERAGE(Spotify[Energie]),"FORTE","FAIBLE")</f>
        <v>FORTE</v>
      </c>
      <c r="N56" s="2">
        <v>0.627</v>
      </c>
      <c r="O56" s="2">
        <v>0.84899999999999998</v>
      </c>
      <c r="P56" s="2">
        <v>0.153</v>
      </c>
      <c r="Q56" s="2">
        <v>9.1300000000000006E-2</v>
      </c>
      <c r="R56" s="2">
        <v>0.14499999999999999</v>
      </c>
      <c r="S56" s="2">
        <v>0.81799999999999995</v>
      </c>
      <c r="T56" s="2">
        <v>-3.1669999999999998</v>
      </c>
      <c r="U56">
        <v>158087</v>
      </c>
      <c r="V56">
        <f>YEAR(Spotify[[#This Row],[Date de sortie]])</f>
        <v>2021</v>
      </c>
      <c r="W56" s="2" t="str">
        <f>IF(Spotify[[#This Row],[Popularité]]&gt;=70,"FORTE","FAIBLE")</f>
        <v>FORTE</v>
      </c>
      <c r="Z56">
        <v>922</v>
      </c>
      <c r="AA56">
        <v>5</v>
      </c>
      <c r="AB56">
        <v>7</v>
      </c>
      <c r="AC56" s="1">
        <v>44036</v>
      </c>
      <c r="AD56" t="s">
        <v>1574</v>
      </c>
      <c r="AE56" s="3">
        <v>4587573</v>
      </c>
      <c r="AF56" t="s">
        <v>746</v>
      </c>
      <c r="AG56" s="4">
        <v>42227614</v>
      </c>
      <c r="AH56" t="s">
        <v>10</v>
      </c>
      <c r="AI56" s="1">
        <v>44036</v>
      </c>
      <c r="AJ56">
        <v>75</v>
      </c>
      <c r="AK56" s="2">
        <v>0.77700000000000002</v>
      </c>
      <c r="AL56" s="2">
        <v>0.35699999999999998</v>
      </c>
      <c r="AM56" s="2">
        <v>5.2200000000000003E-2</v>
      </c>
      <c r="AN56" s="2">
        <v>0.75700000000000001</v>
      </c>
      <c r="AO56" s="2">
        <v>0.108</v>
      </c>
      <c r="AP56" s="2">
        <v>0.17199999999999999</v>
      </c>
      <c r="AQ56" s="2">
        <v>-6.9420000000000002</v>
      </c>
      <c r="AR56">
        <v>210252</v>
      </c>
    </row>
    <row r="57" spans="1:44" x14ac:dyDescent="0.25">
      <c r="A57">
        <v>52</v>
      </c>
      <c r="B57">
        <v>52</v>
      </c>
      <c r="C57">
        <v>4</v>
      </c>
      <c r="D57" s="1">
        <v>44400</v>
      </c>
      <c r="E57" s="59" t="str" cm="1">
        <f t="array" ref="E5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7" t="s">
        <v>111</v>
      </c>
      <c r="G57" s="3">
        <v>9781153</v>
      </c>
      <c r="H57" t="s">
        <v>112</v>
      </c>
      <c r="I57" s="4">
        <v>45362</v>
      </c>
      <c r="J57"/>
      <c r="K57" s="1">
        <v>44287</v>
      </c>
      <c r="L57">
        <v>88</v>
      </c>
      <c r="M57" s="2" t="str">
        <f>IF(Spotify[[#This Row],[Energie]]&gt;AVERAGE(Spotify[Energie]),"FORTE","FAIBLE")</f>
        <v>FAIBLE</v>
      </c>
      <c r="N57" s="2">
        <v>0.75</v>
      </c>
      <c r="O57" s="2">
        <v>0.52200000000000002</v>
      </c>
      <c r="P57" s="2">
        <v>2.93E-2</v>
      </c>
      <c r="Q57" s="2">
        <v>0.28199999999999997</v>
      </c>
      <c r="R57" s="2">
        <v>7.4300000000000005E-2</v>
      </c>
      <c r="S57" s="2">
        <v>0.60099999999999998</v>
      </c>
      <c r="T57" s="2">
        <v>-7.0179999999999998</v>
      </c>
      <c r="U57">
        <v>321556</v>
      </c>
      <c r="V57">
        <f>YEAR(Spotify[[#This Row],[Date de sortie]])</f>
        <v>2021</v>
      </c>
      <c r="W57" s="2" t="str">
        <f>IF(Spotify[[#This Row],[Popularité]]&gt;=70,"FORTE","FAIBLE")</f>
        <v>FORTE</v>
      </c>
      <c r="Z57">
        <v>1081</v>
      </c>
      <c r="AA57">
        <v>68</v>
      </c>
      <c r="AB57">
        <v>24</v>
      </c>
      <c r="AC57" s="1">
        <v>43826</v>
      </c>
      <c r="AD57" t="s">
        <v>1798</v>
      </c>
      <c r="AE57" s="3">
        <v>4325411</v>
      </c>
      <c r="AF57" t="s">
        <v>74</v>
      </c>
      <c r="AG57" s="4">
        <v>16127908</v>
      </c>
      <c r="AH57" t="s">
        <v>10</v>
      </c>
      <c r="AI57" s="1">
        <v>43812</v>
      </c>
      <c r="AJ57">
        <v>75</v>
      </c>
      <c r="AK57" s="2">
        <v>0.57499999999999996</v>
      </c>
      <c r="AL57" s="2">
        <v>0.621</v>
      </c>
      <c r="AM57" s="2">
        <v>3.2000000000000001E-2</v>
      </c>
      <c r="AN57" s="2">
        <v>3.9199999999999999E-2</v>
      </c>
      <c r="AO57" s="2">
        <v>0.14099999999999999</v>
      </c>
      <c r="AP57" s="2">
        <v>0.27</v>
      </c>
      <c r="AQ57" s="2">
        <v>-8.1649999999999991</v>
      </c>
      <c r="AR57">
        <v>172213</v>
      </c>
    </row>
    <row r="58" spans="1:44" x14ac:dyDescent="0.25">
      <c r="A58">
        <v>59</v>
      </c>
      <c r="B58">
        <v>34</v>
      </c>
      <c r="C58">
        <v>21</v>
      </c>
      <c r="D58" s="1">
        <v>44309</v>
      </c>
      <c r="E58" s="59" t="str" cm="1">
        <f t="array" ref="E5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8" t="s">
        <v>129</v>
      </c>
      <c r="G58" s="3">
        <v>9048966</v>
      </c>
      <c r="H58" t="s">
        <v>130</v>
      </c>
      <c r="I58" s="4">
        <v>32262679</v>
      </c>
      <c r="J58" t="s">
        <v>10</v>
      </c>
      <c r="K58" s="1">
        <v>44358</v>
      </c>
      <c r="L58">
        <v>88</v>
      </c>
      <c r="M58" s="2" t="str">
        <f>IF(Spotify[[#This Row],[Energie]]&gt;AVERAGE(Spotify[Energie]),"FORTE","FAIBLE")</f>
        <v>FORTE</v>
      </c>
      <c r="N58" s="2">
        <v>0.71299999999999997</v>
      </c>
      <c r="O58" s="2">
        <v>0.67600000000000005</v>
      </c>
      <c r="P58" s="2">
        <v>2.7E-2</v>
      </c>
      <c r="Q58" s="2">
        <v>3.7699999999999997E-2</v>
      </c>
      <c r="R58" s="2">
        <v>0.154</v>
      </c>
      <c r="S58" s="2">
        <v>0.72099999999999997</v>
      </c>
      <c r="T58" s="2">
        <v>-5.4829999999999997</v>
      </c>
      <c r="U58">
        <v>227395</v>
      </c>
      <c r="V58">
        <f>YEAR(Spotify[[#This Row],[Date de sortie]])</f>
        <v>2021</v>
      </c>
      <c r="W58" s="2" t="str">
        <f>IF(Spotify[[#This Row],[Popularité]]&gt;=70,"FORTE","FAIBLE")</f>
        <v>FORTE</v>
      </c>
      <c r="Z58">
        <v>1455</v>
      </c>
      <c r="AA58">
        <v>113</v>
      </c>
      <c r="AB58">
        <v>5</v>
      </c>
      <c r="AC58" s="1">
        <v>43861</v>
      </c>
      <c r="AD58" t="s">
        <v>2313</v>
      </c>
      <c r="AE58" s="3">
        <v>6350496</v>
      </c>
      <c r="AF58" t="s">
        <v>950</v>
      </c>
      <c r="AG58" s="4">
        <v>621200</v>
      </c>
      <c r="AH58" t="s">
        <v>230</v>
      </c>
      <c r="AI58" s="1">
        <v>43254</v>
      </c>
      <c r="AJ58">
        <v>74</v>
      </c>
      <c r="AK58" s="2">
        <v>0.82199999999999995</v>
      </c>
      <c r="AL58" s="2">
        <v>0.57499999999999996</v>
      </c>
      <c r="AM58" s="2">
        <v>9.3399999999999997E-2</v>
      </c>
      <c r="AN58" s="2">
        <v>0.113</v>
      </c>
      <c r="AO58" s="2">
        <v>0.106</v>
      </c>
      <c r="AP58" s="2">
        <v>0.61599999999999999</v>
      </c>
      <c r="AQ58" s="2">
        <v>-5.95</v>
      </c>
      <c r="AR58">
        <v>223000</v>
      </c>
    </row>
    <row r="59" spans="1:44" x14ac:dyDescent="0.25">
      <c r="A59">
        <v>60</v>
      </c>
      <c r="B59">
        <v>31</v>
      </c>
      <c r="C59">
        <v>15</v>
      </c>
      <c r="D59" s="1">
        <v>43868</v>
      </c>
      <c r="E59" s="59" t="str" cm="1">
        <f t="array" ref="E5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9" t="s">
        <v>131</v>
      </c>
      <c r="G59" s="3">
        <v>9017356</v>
      </c>
      <c r="H59" t="s">
        <v>132</v>
      </c>
      <c r="I59" s="4">
        <v>12169108</v>
      </c>
      <c r="J59" t="s">
        <v>19</v>
      </c>
      <c r="K59" s="1">
        <v>44321</v>
      </c>
      <c r="L59">
        <v>88</v>
      </c>
      <c r="M59" s="2" t="str">
        <f>IF(Spotify[[#This Row],[Energie]]&gt;AVERAGE(Spotify[Energie]),"FORTE","FAIBLE")</f>
        <v>FORTE</v>
      </c>
      <c r="N59" s="2">
        <v>0.68200000000000005</v>
      </c>
      <c r="O59" s="2">
        <v>0.72</v>
      </c>
      <c r="P59" s="2">
        <v>3.8100000000000002E-2</v>
      </c>
      <c r="Q59" s="2">
        <v>0.32600000000000001</v>
      </c>
      <c r="R59" s="2">
        <v>0.14799999999999999</v>
      </c>
      <c r="S59" s="2">
        <v>0.67300000000000004</v>
      </c>
      <c r="T59" s="2">
        <v>-8.173</v>
      </c>
      <c r="U59">
        <v>169011</v>
      </c>
      <c r="V59">
        <f>YEAR(Spotify[[#This Row],[Date de sortie]])</f>
        <v>2021</v>
      </c>
      <c r="W59" s="2" t="str">
        <f>IF(Spotify[[#This Row],[Popularité]]&gt;=70,"FORTE","FAIBLE")</f>
        <v>FORTE</v>
      </c>
      <c r="Z59">
        <v>399</v>
      </c>
      <c r="AA59">
        <v>20</v>
      </c>
      <c r="AB59">
        <v>5</v>
      </c>
      <c r="AC59" s="1">
        <v>44295</v>
      </c>
      <c r="AD59" t="s">
        <v>745</v>
      </c>
      <c r="AE59" s="3">
        <v>5480722</v>
      </c>
      <c r="AF59" t="s">
        <v>746</v>
      </c>
      <c r="AG59" s="4">
        <v>42227614</v>
      </c>
      <c r="AH59" t="s">
        <v>10</v>
      </c>
      <c r="AI59" s="1">
        <v>44295</v>
      </c>
      <c r="AJ59">
        <v>74</v>
      </c>
      <c r="AK59" s="2">
        <v>0.66</v>
      </c>
      <c r="AL59" s="2">
        <v>0.81699999999999995</v>
      </c>
      <c r="AM59" s="2">
        <v>5.21E-2</v>
      </c>
      <c r="AN59" s="2">
        <v>0.16200000000000001</v>
      </c>
      <c r="AO59" s="2">
        <v>6.6699999999999995E-2</v>
      </c>
      <c r="AP59" s="2">
        <v>0.71399999999999997</v>
      </c>
      <c r="AQ59" s="2">
        <v>-6.2690000000000001</v>
      </c>
      <c r="AR59">
        <v>277592</v>
      </c>
    </row>
    <row r="60" spans="1:44" x14ac:dyDescent="0.25">
      <c r="A60">
        <v>61</v>
      </c>
      <c r="B60">
        <v>46</v>
      </c>
      <c r="C60">
        <v>7</v>
      </c>
      <c r="D60" s="1">
        <v>44379</v>
      </c>
      <c r="E60" s="59" t="str" cm="1">
        <f t="array" ref="E6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60" t="s">
        <v>133</v>
      </c>
      <c r="G60" s="3">
        <v>8977336</v>
      </c>
      <c r="H60" t="s">
        <v>134</v>
      </c>
      <c r="I60" s="4">
        <v>4787261</v>
      </c>
      <c r="J60" t="s">
        <v>135</v>
      </c>
      <c r="K60" s="1">
        <v>44358</v>
      </c>
      <c r="L60">
        <v>88</v>
      </c>
      <c r="M60" s="2" t="str">
        <f>IF(Spotify[[#This Row],[Energie]]&gt;AVERAGE(Spotify[Energie]),"FORTE","FAIBLE")</f>
        <v>FORTE</v>
      </c>
      <c r="N60" s="2">
        <v>0.95</v>
      </c>
      <c r="O60" s="2">
        <v>0.69299999999999995</v>
      </c>
      <c r="P60" s="2">
        <v>8.9800000000000005E-2</v>
      </c>
      <c r="Q60" s="2">
        <v>1.3299999999999999E-2</v>
      </c>
      <c r="R60" s="2">
        <v>0.17299999999999999</v>
      </c>
      <c r="S60" s="2">
        <v>0.89100000000000001</v>
      </c>
      <c r="T60" s="2">
        <v>-3.4239999999999999</v>
      </c>
      <c r="U60">
        <v>184635</v>
      </c>
      <c r="V60">
        <f>YEAR(Spotify[[#This Row],[Date de sortie]])</f>
        <v>2021</v>
      </c>
      <c r="W60" s="2" t="str">
        <f>IF(Spotify[[#This Row],[Popularité]]&gt;=70,"FORTE","FAIBLE")</f>
        <v>FORTE</v>
      </c>
      <c r="Z60">
        <v>459</v>
      </c>
      <c r="AA60">
        <v>193</v>
      </c>
      <c r="AB60">
        <v>3</v>
      </c>
      <c r="AC60" s="1">
        <v>44274</v>
      </c>
      <c r="AD60" t="s">
        <v>837</v>
      </c>
      <c r="AE60" s="3">
        <v>5052717</v>
      </c>
      <c r="AF60" t="s">
        <v>838</v>
      </c>
      <c r="AG60" s="4">
        <v>32279979</v>
      </c>
      <c r="AH60" t="s">
        <v>10</v>
      </c>
      <c r="AI60" s="1">
        <v>40909</v>
      </c>
      <c r="AJ60">
        <v>74</v>
      </c>
      <c r="AK60" s="2">
        <v>0.73899999999999999</v>
      </c>
      <c r="AL60" s="2">
        <v>0.75600000000000001</v>
      </c>
      <c r="AM60" s="2">
        <v>3.9399999999999998E-2</v>
      </c>
      <c r="AN60" s="2">
        <v>1.3599999999999999E-2</v>
      </c>
      <c r="AO60" s="2">
        <v>0.37</v>
      </c>
      <c r="AP60" s="2">
        <v>0.52300000000000002</v>
      </c>
      <c r="AQ60" s="2">
        <v>-4.8280000000000003</v>
      </c>
      <c r="AR60">
        <v>231387</v>
      </c>
    </row>
    <row r="61" spans="1:44" x14ac:dyDescent="0.25">
      <c r="A61">
        <v>62</v>
      </c>
      <c r="B61">
        <v>26</v>
      </c>
      <c r="C61">
        <v>26</v>
      </c>
      <c r="D61" s="1">
        <v>44281</v>
      </c>
      <c r="E61" s="59" t="str" cm="1">
        <f t="array" ref="E6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1" t="s">
        <v>136</v>
      </c>
      <c r="G61" s="3">
        <v>8935418</v>
      </c>
      <c r="H61" t="s">
        <v>137</v>
      </c>
      <c r="I61" s="4">
        <v>291777</v>
      </c>
      <c r="J61" t="s">
        <v>138</v>
      </c>
      <c r="K61" s="1">
        <v>44211</v>
      </c>
      <c r="L61">
        <v>88</v>
      </c>
      <c r="M61" s="2" t="str">
        <f>IF(Spotify[[#This Row],[Energie]]&gt;AVERAGE(Spotify[Energie]),"FORTE","FAIBLE")</f>
        <v>FORTE</v>
      </c>
      <c r="N61" s="2">
        <v>0.66900000000000004</v>
      </c>
      <c r="O61" s="2">
        <v>0.78400000000000003</v>
      </c>
      <c r="P61" s="2">
        <v>0.112</v>
      </c>
      <c r="Q61" s="2">
        <v>0.19400000000000001</v>
      </c>
      <c r="R61" s="2">
        <v>0.115</v>
      </c>
      <c r="S61" s="2">
        <v>0.51700000000000002</v>
      </c>
      <c r="T61" s="2">
        <v>-5.6029999999999998</v>
      </c>
      <c r="U61">
        <v>150053</v>
      </c>
      <c r="V61">
        <f>YEAR(Spotify[[#This Row],[Date de sortie]])</f>
        <v>2021</v>
      </c>
      <c r="W61" s="2" t="str">
        <f>IF(Spotify[[#This Row],[Popularité]]&gt;=70,"FORTE","FAIBLE")</f>
        <v>FORTE</v>
      </c>
      <c r="Z61">
        <v>901</v>
      </c>
      <c r="AA61">
        <v>72</v>
      </c>
      <c r="AB61">
        <v>2</v>
      </c>
      <c r="AC61" s="1">
        <v>44078</v>
      </c>
      <c r="AD61" t="s">
        <v>1540</v>
      </c>
      <c r="AE61" s="3">
        <v>5049863</v>
      </c>
      <c r="AF61" t="s">
        <v>1541</v>
      </c>
      <c r="AG61" s="4">
        <v>5888533</v>
      </c>
      <c r="AH61" t="s">
        <v>10</v>
      </c>
      <c r="AI61" s="1">
        <v>44078</v>
      </c>
      <c r="AJ61">
        <v>74</v>
      </c>
      <c r="AK61" s="2">
        <v>0.67900000000000005</v>
      </c>
      <c r="AL61" s="2">
        <v>0.51600000000000001</v>
      </c>
      <c r="AM61" s="2">
        <v>4.5199999999999997E-2</v>
      </c>
      <c r="AN61" s="2">
        <v>0.19900000000000001</v>
      </c>
      <c r="AO61" s="2">
        <v>9.6500000000000002E-2</v>
      </c>
      <c r="AP61" s="2">
        <v>0.71599999999999997</v>
      </c>
      <c r="AQ61" s="2">
        <v>-6.3710000000000004</v>
      </c>
      <c r="AR61">
        <v>202008</v>
      </c>
    </row>
    <row r="62" spans="1:44" x14ac:dyDescent="0.25">
      <c r="A62">
        <v>77</v>
      </c>
      <c r="B62">
        <v>2</v>
      </c>
      <c r="C62">
        <v>23</v>
      </c>
      <c r="D62" s="1">
        <v>44267</v>
      </c>
      <c r="E62" s="59" t="str" cm="1">
        <f t="array" ref="E6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2" t="s">
        <v>167</v>
      </c>
      <c r="G62" s="3">
        <v>7912399</v>
      </c>
      <c r="H62" t="s">
        <v>168</v>
      </c>
      <c r="I62" s="4">
        <v>1999954</v>
      </c>
      <c r="J62" t="s">
        <v>72</v>
      </c>
      <c r="K62" s="1">
        <v>44169</v>
      </c>
      <c r="L62">
        <v>88</v>
      </c>
      <c r="M62" s="2" t="str">
        <f>IF(Spotify[[#This Row],[Energie]]&gt;AVERAGE(Spotify[Energie]),"FORTE","FAIBLE")</f>
        <v>FAIBLE</v>
      </c>
      <c r="N62" s="2">
        <v>0.65300000000000002</v>
      </c>
      <c r="O62" s="2">
        <v>0.52400000000000002</v>
      </c>
      <c r="P62" s="2">
        <v>5.0200000000000002E-2</v>
      </c>
      <c r="Q62" s="2">
        <v>0.112</v>
      </c>
      <c r="R62" s="2">
        <v>0.20300000000000001</v>
      </c>
      <c r="S62" s="2">
        <v>0.55300000000000005</v>
      </c>
      <c r="T62" s="2">
        <v>-9.016</v>
      </c>
      <c r="U62">
        <v>160191</v>
      </c>
      <c r="V62">
        <f>YEAR(Spotify[[#This Row],[Date de sortie]])</f>
        <v>2020</v>
      </c>
      <c r="W62" s="2" t="str">
        <f>IF(Spotify[[#This Row],[Popularité]]&gt;=70,"FORTE","FAIBLE")</f>
        <v>FORTE</v>
      </c>
      <c r="Z62">
        <v>1113</v>
      </c>
      <c r="AA62">
        <v>22</v>
      </c>
      <c r="AB62">
        <v>12</v>
      </c>
      <c r="AC62" s="1">
        <v>43917</v>
      </c>
      <c r="AD62" t="s">
        <v>1848</v>
      </c>
      <c r="AE62" s="3">
        <v>4361970</v>
      </c>
      <c r="AF62" t="s">
        <v>1849</v>
      </c>
      <c r="AG62" s="4">
        <v>3129968</v>
      </c>
      <c r="AH62" t="s">
        <v>10</v>
      </c>
      <c r="AI62" s="1">
        <v>43917</v>
      </c>
      <c r="AJ62">
        <v>74</v>
      </c>
      <c r="AK62" s="2">
        <v>0.43</v>
      </c>
      <c r="AL62" s="2">
        <v>0.7</v>
      </c>
      <c r="AM62" s="2">
        <v>0.26400000000000001</v>
      </c>
      <c r="AN62" s="2">
        <v>9.0200000000000002E-2</v>
      </c>
      <c r="AO62" s="2">
        <v>0.216</v>
      </c>
      <c r="AP62" s="2">
        <v>0.73099999999999998</v>
      </c>
      <c r="AQ62" s="2">
        <v>-5.35</v>
      </c>
      <c r="AR62">
        <v>183219</v>
      </c>
    </row>
    <row r="63" spans="1:44" x14ac:dyDescent="0.25">
      <c r="A63">
        <v>79</v>
      </c>
      <c r="B63">
        <v>7</v>
      </c>
      <c r="C63">
        <v>24</v>
      </c>
      <c r="D63" s="1">
        <v>44323</v>
      </c>
      <c r="E63" s="59" t="str" cm="1">
        <f t="array" ref="E6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3" t="s">
        <v>172</v>
      </c>
      <c r="G63" s="3">
        <v>7717211</v>
      </c>
      <c r="H63" t="s">
        <v>173</v>
      </c>
      <c r="I63" s="4">
        <v>31488</v>
      </c>
      <c r="J63" t="s">
        <v>48</v>
      </c>
      <c r="K63" s="1">
        <v>44231</v>
      </c>
      <c r="L63">
        <v>88</v>
      </c>
      <c r="M63" s="2" t="str">
        <f>IF(Spotify[[#This Row],[Energie]]&gt;AVERAGE(Spotify[Energie]),"FORTE","FAIBLE")</f>
        <v>FORTE</v>
      </c>
      <c r="N63" s="2">
        <v>0.84899999999999998</v>
      </c>
      <c r="O63" s="2">
        <v>0.70099999999999996</v>
      </c>
      <c r="P63" s="2">
        <v>0.06</v>
      </c>
      <c r="Q63" s="2">
        <v>0.40699999999999997</v>
      </c>
      <c r="R63" s="2">
        <v>0.112</v>
      </c>
      <c r="S63" s="2">
        <v>0.505</v>
      </c>
      <c r="T63" s="2">
        <v>-4.407</v>
      </c>
      <c r="U63">
        <v>261667</v>
      </c>
      <c r="V63">
        <f>YEAR(Spotify[[#This Row],[Date de sortie]])</f>
        <v>2021</v>
      </c>
      <c r="W63" s="2" t="str">
        <f>IF(Spotify[[#This Row],[Popularité]]&gt;=70,"FORTE","FAIBLE")</f>
        <v>FORTE</v>
      </c>
      <c r="Z63">
        <v>429</v>
      </c>
      <c r="AA63">
        <v>52</v>
      </c>
      <c r="AB63">
        <v>1</v>
      </c>
      <c r="AC63" s="1">
        <v>44295</v>
      </c>
      <c r="AD63" t="s">
        <v>794</v>
      </c>
      <c r="AE63" s="3">
        <v>9872084</v>
      </c>
      <c r="AF63" t="s">
        <v>746</v>
      </c>
      <c r="AG63" s="4">
        <v>42227614</v>
      </c>
      <c r="AH63" t="s">
        <v>10</v>
      </c>
      <c r="AI63" s="1">
        <v>44295</v>
      </c>
      <c r="AJ63">
        <v>73</v>
      </c>
      <c r="AK63" s="2">
        <v>0.63200000000000001</v>
      </c>
      <c r="AL63" s="2">
        <v>0.77300000000000002</v>
      </c>
      <c r="AM63" s="2">
        <v>3.4599999999999999E-2</v>
      </c>
      <c r="AN63" s="2">
        <v>6.2300000000000001E-2</v>
      </c>
      <c r="AO63" s="2">
        <v>8.8499999999999995E-2</v>
      </c>
      <c r="AP63" s="2">
        <v>0.47399999999999998</v>
      </c>
      <c r="AQ63" s="2">
        <v>-4.8559999999999999</v>
      </c>
      <c r="AR63">
        <v>231124</v>
      </c>
    </row>
    <row r="64" spans="1:44" x14ac:dyDescent="0.25">
      <c r="A64">
        <v>58</v>
      </c>
      <c r="B64">
        <v>31</v>
      </c>
      <c r="C64">
        <v>12</v>
      </c>
      <c r="D64" s="1">
        <v>44351</v>
      </c>
      <c r="E64" s="59" t="str" cm="1">
        <f t="array" ref="E6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4" t="s">
        <v>127</v>
      </c>
      <c r="G64" s="3">
        <v>9086979</v>
      </c>
      <c r="H64" t="s">
        <v>128</v>
      </c>
      <c r="I64" s="4">
        <v>6080597</v>
      </c>
      <c r="J64" t="s">
        <v>22</v>
      </c>
      <c r="K64" s="1">
        <v>44241</v>
      </c>
      <c r="L64">
        <v>87</v>
      </c>
      <c r="M64" s="2" t="str">
        <f>IF(Spotify[[#This Row],[Energie]]&gt;AVERAGE(Spotify[Energie]),"FORTE","FAIBLE")</f>
        <v>FAIBLE</v>
      </c>
      <c r="N64" s="2">
        <v>0.54</v>
      </c>
      <c r="O64" s="2">
        <v>0.45500000000000002</v>
      </c>
      <c r="P64" s="2">
        <v>0.224</v>
      </c>
      <c r="Q64" s="2">
        <v>0.67500000000000004</v>
      </c>
      <c r="R64" s="2">
        <v>0.12</v>
      </c>
      <c r="S64" s="2">
        <v>0.432</v>
      </c>
      <c r="T64" s="2">
        <v>-5.9880000000000004</v>
      </c>
      <c r="U64">
        <v>212032</v>
      </c>
      <c r="V64">
        <f>YEAR(Spotify[[#This Row],[Date de sortie]])</f>
        <v>2021</v>
      </c>
      <c r="W64" s="2" t="str">
        <f>IF(Spotify[[#This Row],[Popularité]]&gt;=70,"FORTE","FAIBLE")</f>
        <v>FORTE</v>
      </c>
      <c r="Z64">
        <v>422</v>
      </c>
      <c r="AA64">
        <v>8</v>
      </c>
      <c r="AB64">
        <v>5</v>
      </c>
      <c r="AC64" s="1">
        <v>44239</v>
      </c>
      <c r="AD64" t="s">
        <v>784</v>
      </c>
      <c r="AE64" s="3">
        <v>6202933</v>
      </c>
      <c r="AF64" t="s">
        <v>746</v>
      </c>
      <c r="AG64" s="4">
        <v>42227614</v>
      </c>
      <c r="AH64" t="s">
        <v>10</v>
      </c>
      <c r="AI64" s="1">
        <v>44295</v>
      </c>
      <c r="AJ64">
        <v>73</v>
      </c>
      <c r="AK64" s="2">
        <v>0.627</v>
      </c>
      <c r="AL64" s="2">
        <v>0.79200000000000004</v>
      </c>
      <c r="AM64" s="2">
        <v>3.1E-2</v>
      </c>
      <c r="AN64" s="2">
        <v>0.13</v>
      </c>
      <c r="AO64" s="2">
        <v>8.4500000000000006E-2</v>
      </c>
      <c r="AP64" s="2">
        <v>0.41499999999999998</v>
      </c>
      <c r="AQ64" s="2">
        <v>-4.3109999999999999</v>
      </c>
      <c r="AR64">
        <v>235767</v>
      </c>
    </row>
    <row r="65" spans="1:44" x14ac:dyDescent="0.25">
      <c r="A65">
        <v>65</v>
      </c>
      <c r="B65">
        <v>8</v>
      </c>
      <c r="C65">
        <v>24</v>
      </c>
      <c r="D65" s="1">
        <v>44288</v>
      </c>
      <c r="E65" s="59" t="str" cm="1">
        <f t="array" ref="E6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5" t="s">
        <v>141</v>
      </c>
      <c r="G65" s="3">
        <v>8832945</v>
      </c>
      <c r="H65" t="s">
        <v>142</v>
      </c>
      <c r="I65" s="4">
        <v>1398563</v>
      </c>
      <c r="J65" t="s">
        <v>10</v>
      </c>
      <c r="K65" s="1">
        <v>43917</v>
      </c>
      <c r="L65">
        <v>87</v>
      </c>
      <c r="M65" s="2" t="str">
        <f>IF(Spotify[[#This Row],[Energie]]&gt;AVERAGE(Spotify[Energie]),"FORTE","FAIBLE")</f>
        <v>FAIBLE</v>
      </c>
      <c r="N65" s="2">
        <v>0.44900000000000001</v>
      </c>
      <c r="O65" s="2">
        <v>0.46500000000000002</v>
      </c>
      <c r="P65" s="2">
        <v>7.9100000000000004E-2</v>
      </c>
      <c r="Q65" s="2">
        <v>0.52400000000000002</v>
      </c>
      <c r="R65" s="2">
        <v>0.30299999999999999</v>
      </c>
      <c r="S65" s="2">
        <v>0.54300000000000004</v>
      </c>
      <c r="T65" s="2">
        <v>-8.9640000000000004</v>
      </c>
      <c r="U65">
        <v>198371</v>
      </c>
      <c r="V65">
        <f>YEAR(Spotify[[#This Row],[Date de sortie]])</f>
        <v>2020</v>
      </c>
      <c r="W65" s="2" t="str">
        <f>IF(Spotify[[#This Row],[Popularité]]&gt;=70,"FORTE","FAIBLE")</f>
        <v>FORTE</v>
      </c>
      <c r="Z65">
        <v>902</v>
      </c>
      <c r="AA65">
        <v>65</v>
      </c>
      <c r="AB65">
        <v>8</v>
      </c>
      <c r="AC65" s="1">
        <v>44043</v>
      </c>
      <c r="AD65" t="s">
        <v>1542</v>
      </c>
      <c r="AE65" s="3">
        <v>4957966</v>
      </c>
      <c r="AF65" t="s">
        <v>130</v>
      </c>
      <c r="AG65" s="4">
        <v>32279979</v>
      </c>
      <c r="AH65" t="s">
        <v>10</v>
      </c>
      <c r="AI65" s="1">
        <v>44358</v>
      </c>
      <c r="AJ65">
        <v>73</v>
      </c>
      <c r="AK65" s="2">
        <v>0.48499999999999999</v>
      </c>
      <c r="AL65" s="2">
        <v>0.56699999999999995</v>
      </c>
      <c r="AM65" s="2">
        <v>3.8800000000000001E-2</v>
      </c>
      <c r="AN65" s="2">
        <v>0.316</v>
      </c>
      <c r="AO65" s="2">
        <v>9.4899999999999998E-2</v>
      </c>
      <c r="AP65" s="2">
        <v>0.157</v>
      </c>
      <c r="AQ65" s="2">
        <v>-6.4560000000000004</v>
      </c>
      <c r="AR65">
        <v>211254</v>
      </c>
    </row>
    <row r="66" spans="1:44" x14ac:dyDescent="0.25">
      <c r="A66">
        <v>67</v>
      </c>
      <c r="B66">
        <v>33</v>
      </c>
      <c r="C66">
        <v>7</v>
      </c>
      <c r="D66" s="1">
        <v>44372</v>
      </c>
      <c r="E66" s="59" t="str" cm="1">
        <f t="array" ref="E6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6" t="s">
        <v>144</v>
      </c>
      <c r="G66" s="3">
        <v>8564775</v>
      </c>
      <c r="H66" t="s">
        <v>145</v>
      </c>
      <c r="I66" s="4">
        <v>116817</v>
      </c>
      <c r="J66"/>
      <c r="K66" s="1">
        <v>43133</v>
      </c>
      <c r="L66">
        <v>87</v>
      </c>
      <c r="M66" s="2" t="str">
        <f>IF(Spotify[[#This Row],[Energie]]&gt;AVERAGE(Spotify[Energie]),"FORTE","FAIBLE")</f>
        <v>FORTE</v>
      </c>
      <c r="N66" s="2">
        <v>0.70799999999999996</v>
      </c>
      <c r="O66" s="2">
        <v>0.78200000000000003</v>
      </c>
      <c r="P66" s="2">
        <v>6.7400000000000002E-2</v>
      </c>
      <c r="Q66" s="2">
        <v>7.7200000000000003E-3</v>
      </c>
      <c r="R66" s="2">
        <v>0.107</v>
      </c>
      <c r="S66" s="2">
        <v>0.48399999999999999</v>
      </c>
      <c r="T66" s="2">
        <v>-4.6870000000000003</v>
      </c>
      <c r="U66">
        <v>160880</v>
      </c>
      <c r="V66">
        <f>YEAR(Spotify[[#This Row],[Date de sortie]])</f>
        <v>2018</v>
      </c>
      <c r="W66" s="2" t="str">
        <f>IF(Spotify[[#This Row],[Popularité]]&gt;=70,"FORTE","FAIBLE")</f>
        <v>FORTE</v>
      </c>
      <c r="Z66">
        <v>1449</v>
      </c>
      <c r="AA66">
        <v>135</v>
      </c>
      <c r="AB66">
        <v>6</v>
      </c>
      <c r="AC66" s="1">
        <v>43826</v>
      </c>
      <c r="AD66" t="s">
        <v>2304</v>
      </c>
      <c r="AE66" s="3">
        <v>4940984</v>
      </c>
      <c r="AF66" t="s">
        <v>300</v>
      </c>
      <c r="AG66" s="4">
        <v>14190858</v>
      </c>
      <c r="AH66" t="s">
        <v>10</v>
      </c>
      <c r="AI66" s="1">
        <v>43560</v>
      </c>
      <c r="AJ66">
        <v>73</v>
      </c>
      <c r="AK66" s="2">
        <v>0.9</v>
      </c>
      <c r="AL66" s="2">
        <v>0.4</v>
      </c>
      <c r="AM66" s="2">
        <v>0.127</v>
      </c>
      <c r="AN66" s="2">
        <v>5.16E-2</v>
      </c>
      <c r="AO66" s="2">
        <v>5.9900000000000002E-2</v>
      </c>
      <c r="AP66" s="2">
        <v>0.34599999999999997</v>
      </c>
      <c r="AQ66" s="2">
        <v>-8.5749999999999993</v>
      </c>
      <c r="AR66">
        <v>197573</v>
      </c>
    </row>
    <row r="67" spans="1:44" x14ac:dyDescent="0.25">
      <c r="A67">
        <v>68</v>
      </c>
      <c r="B67">
        <v>35</v>
      </c>
      <c r="C67">
        <v>48</v>
      </c>
      <c r="D67" s="1">
        <v>44225</v>
      </c>
      <c r="E67" s="59" t="str" cm="1">
        <f t="array" ref="E6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67" t="s">
        <v>146</v>
      </c>
      <c r="G67" s="3">
        <v>8564017</v>
      </c>
      <c r="H67" t="s">
        <v>147</v>
      </c>
      <c r="I67" s="4">
        <v>6662605</v>
      </c>
      <c r="J67" t="s">
        <v>148</v>
      </c>
      <c r="K67" s="1">
        <v>41383</v>
      </c>
      <c r="L67">
        <v>87</v>
      </c>
      <c r="M67" s="2" t="str">
        <f>IF(Spotify[[#This Row],[Energie]]&gt;AVERAGE(Spotify[Energie]),"FORTE","FAIBLE")</f>
        <v>FORTE</v>
      </c>
      <c r="N67" s="2">
        <v>0.61199999999999999</v>
      </c>
      <c r="O67" s="2">
        <v>0.80700000000000005</v>
      </c>
      <c r="P67" s="2">
        <v>3.3599999999999998E-2</v>
      </c>
      <c r="Q67" s="2">
        <v>4.9500000000000002E-2</v>
      </c>
      <c r="R67" s="2">
        <v>0.10100000000000001</v>
      </c>
      <c r="S67" s="2">
        <v>0.39800000000000002</v>
      </c>
      <c r="T67" s="2">
        <v>-2.81</v>
      </c>
      <c r="U67">
        <v>240400</v>
      </c>
      <c r="V67">
        <f>YEAR(Spotify[[#This Row],[Date de sortie]])</f>
        <v>2013</v>
      </c>
      <c r="W67" s="2" t="str">
        <f>IF(Spotify[[#This Row],[Popularité]]&gt;=70,"FORTE","FAIBLE")</f>
        <v>FORTE</v>
      </c>
      <c r="Z67">
        <v>433</v>
      </c>
      <c r="AA67">
        <v>84</v>
      </c>
      <c r="AB67">
        <v>1</v>
      </c>
      <c r="AC67" s="1">
        <v>44295</v>
      </c>
      <c r="AD67" t="s">
        <v>800</v>
      </c>
      <c r="AE67" s="3">
        <v>7736262</v>
      </c>
      <c r="AF67" t="s">
        <v>746</v>
      </c>
      <c r="AG67" s="4">
        <v>42227614</v>
      </c>
      <c r="AH67" t="s">
        <v>10</v>
      </c>
      <c r="AI67" s="1">
        <v>44295</v>
      </c>
      <c r="AJ67">
        <v>72</v>
      </c>
      <c r="AK67" s="2">
        <v>0.40200000000000002</v>
      </c>
      <c r="AL67" s="2">
        <v>0.73199999999999998</v>
      </c>
      <c r="AM67" s="2">
        <v>4.8399999999999999E-2</v>
      </c>
      <c r="AN67" s="2">
        <v>3.3E-3</v>
      </c>
      <c r="AO67" s="2">
        <v>0.108</v>
      </c>
      <c r="AP67" s="2">
        <v>0.47199999999999998</v>
      </c>
      <c r="AQ67" s="2">
        <v>-4.665</v>
      </c>
      <c r="AR67">
        <v>243137</v>
      </c>
    </row>
    <row r="68" spans="1:44" x14ac:dyDescent="0.25">
      <c r="A68">
        <v>69</v>
      </c>
      <c r="B68">
        <v>69</v>
      </c>
      <c r="C68">
        <v>3</v>
      </c>
      <c r="D68" s="1">
        <v>44400</v>
      </c>
      <c r="E68" s="59" t="str" cm="1">
        <f t="array" ref="E6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8" t="s">
        <v>149</v>
      </c>
      <c r="G68" s="3">
        <v>8514480</v>
      </c>
      <c r="H68" t="s">
        <v>150</v>
      </c>
      <c r="I68" s="4">
        <v>26769304</v>
      </c>
      <c r="J68" t="s">
        <v>25</v>
      </c>
      <c r="K68" s="1">
        <v>44385</v>
      </c>
      <c r="L68">
        <v>87</v>
      </c>
      <c r="M68" s="2" t="str">
        <f>IF(Spotify[[#This Row],[Energie]]&gt;AVERAGE(Spotify[Energie]),"FORTE","FAIBLE")</f>
        <v>FORTE</v>
      </c>
      <c r="N68" s="2">
        <v>0.76200000000000001</v>
      </c>
      <c r="O68" s="2">
        <v>0.77</v>
      </c>
      <c r="P68" s="2">
        <v>0.223</v>
      </c>
      <c r="Q68" s="2">
        <v>0.13800000000000001</v>
      </c>
      <c r="R68" s="2">
        <v>0.15</v>
      </c>
      <c r="S68" s="2">
        <v>0.63100000000000001</v>
      </c>
      <c r="T68" s="2">
        <v>-2.758</v>
      </c>
      <c r="U68">
        <v>201181</v>
      </c>
      <c r="V68">
        <f>YEAR(Spotify[[#This Row],[Date de sortie]])</f>
        <v>2021</v>
      </c>
      <c r="W68" s="2" t="str">
        <f>IF(Spotify[[#This Row],[Popularité]]&gt;=70,"FORTE","FAIBLE")</f>
        <v>FORTE</v>
      </c>
      <c r="Z68">
        <v>969</v>
      </c>
      <c r="AA68">
        <v>24</v>
      </c>
      <c r="AB68">
        <v>3</v>
      </c>
      <c r="AC68" s="1">
        <v>44036</v>
      </c>
      <c r="AD68" t="s">
        <v>1649</v>
      </c>
      <c r="AE68" s="3">
        <v>5112180</v>
      </c>
      <c r="AF68" t="s">
        <v>746</v>
      </c>
      <c r="AG68" s="4">
        <v>42227614</v>
      </c>
      <c r="AH68" t="s">
        <v>10</v>
      </c>
      <c r="AI68" s="1">
        <v>44036</v>
      </c>
      <c r="AJ68">
        <v>71</v>
      </c>
      <c r="AK68" s="2">
        <v>0.59299999999999997</v>
      </c>
      <c r="AL68" s="2">
        <v>0.377</v>
      </c>
      <c r="AM68" s="2">
        <v>2.53E-2</v>
      </c>
      <c r="AN68" s="2">
        <v>0.6</v>
      </c>
      <c r="AO68" s="2">
        <v>9.7600000000000006E-2</v>
      </c>
      <c r="AP68" s="2">
        <v>0.502</v>
      </c>
      <c r="AQ68" s="2">
        <v>-8.7609999999999992</v>
      </c>
      <c r="AR68">
        <v>294521</v>
      </c>
    </row>
    <row r="69" spans="1:44" x14ac:dyDescent="0.25">
      <c r="A69">
        <v>73</v>
      </c>
      <c r="B69">
        <v>33</v>
      </c>
      <c r="C69">
        <v>18</v>
      </c>
      <c r="D69" s="1">
        <v>44323</v>
      </c>
      <c r="E69" s="59" t="str" cm="1">
        <f t="array" ref="E6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9" t="s">
        <v>159</v>
      </c>
      <c r="G69" s="3">
        <v>8102107</v>
      </c>
      <c r="H69" t="s">
        <v>160</v>
      </c>
      <c r="I69" s="4">
        <v>17775316</v>
      </c>
      <c r="J69" t="s">
        <v>25</v>
      </c>
      <c r="K69" s="1">
        <v>44281</v>
      </c>
      <c r="L69">
        <v>87</v>
      </c>
      <c r="M69" s="2" t="str">
        <f>IF(Spotify[[#This Row],[Energie]]&gt;AVERAGE(Spotify[Energie]),"FORTE","FAIBLE")</f>
        <v>FORTE</v>
      </c>
      <c r="N69" s="2">
        <v>0.63500000000000001</v>
      </c>
      <c r="O69" s="2">
        <v>0.70599999999999996</v>
      </c>
      <c r="P69" s="2">
        <v>0.125</v>
      </c>
      <c r="Q69" s="2">
        <v>0.25600000000000001</v>
      </c>
      <c r="R69" s="2">
        <v>0.108</v>
      </c>
      <c r="S69" s="2">
        <v>0.443</v>
      </c>
      <c r="T69" s="2">
        <v>-3.2240000000000002</v>
      </c>
      <c r="U69">
        <v>209160</v>
      </c>
      <c r="V69">
        <f>YEAR(Spotify[[#This Row],[Date de sortie]])</f>
        <v>2021</v>
      </c>
      <c r="W69" s="2" t="str">
        <f>IF(Spotify[[#This Row],[Popularité]]&gt;=70,"FORTE","FAIBLE")</f>
        <v>FORTE</v>
      </c>
      <c r="Z69">
        <v>951</v>
      </c>
      <c r="AA69">
        <v>10</v>
      </c>
      <c r="AB69">
        <v>4</v>
      </c>
      <c r="AC69" s="1">
        <v>44036</v>
      </c>
      <c r="AD69" t="s">
        <v>1622</v>
      </c>
      <c r="AE69" s="3">
        <v>5111416</v>
      </c>
      <c r="AF69" t="s">
        <v>746</v>
      </c>
      <c r="AG69" s="4">
        <v>42227614</v>
      </c>
      <c r="AH69" t="s">
        <v>10</v>
      </c>
      <c r="AI69" s="1">
        <v>44036</v>
      </c>
      <c r="AJ69">
        <v>71</v>
      </c>
      <c r="AK69" s="2">
        <v>0.45600000000000002</v>
      </c>
      <c r="AL69" s="2">
        <v>0.26300000000000001</v>
      </c>
      <c r="AM69" s="2">
        <v>3.32E-2</v>
      </c>
      <c r="AN69" s="2">
        <v>0.80600000000000005</v>
      </c>
      <c r="AO69" s="2">
        <v>7.4899999999999994E-2</v>
      </c>
      <c r="AP69" s="2">
        <v>0.111</v>
      </c>
      <c r="AQ69" s="2">
        <v>-10.63</v>
      </c>
      <c r="AR69">
        <v>255894</v>
      </c>
    </row>
    <row r="70" spans="1:44" x14ac:dyDescent="0.25">
      <c r="A70">
        <v>74</v>
      </c>
      <c r="B70">
        <v>74</v>
      </c>
      <c r="C70">
        <v>8</v>
      </c>
      <c r="D70" s="1">
        <v>44400</v>
      </c>
      <c r="E70" s="59" t="str" cm="1">
        <f t="array" ref="E7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70" t="s">
        <v>161</v>
      </c>
      <c r="G70" s="3">
        <v>8093413</v>
      </c>
      <c r="H70" t="s">
        <v>162</v>
      </c>
      <c r="I70" s="4">
        <v>2895789</v>
      </c>
      <c r="J70" t="s">
        <v>25</v>
      </c>
      <c r="K70" s="1">
        <v>44329</v>
      </c>
      <c r="L70">
        <v>87</v>
      </c>
      <c r="M70" s="2" t="str">
        <f>IF(Spotify[[#This Row],[Energie]]&gt;AVERAGE(Spotify[Energie]),"FORTE","FAIBLE")</f>
        <v>FORTE</v>
      </c>
      <c r="N70" s="2">
        <v>0.77</v>
      </c>
      <c r="O70" s="2">
        <v>0.89900000000000002</v>
      </c>
      <c r="P70" s="2">
        <v>4.9399999999999999E-2</v>
      </c>
      <c r="Q70" s="2">
        <v>0.222</v>
      </c>
      <c r="R70" s="2">
        <v>8.9399999999999993E-2</v>
      </c>
      <c r="S70" s="2">
        <v>0.85099999999999998</v>
      </c>
      <c r="T70" s="2">
        <v>-2.9809999999999999</v>
      </c>
      <c r="U70">
        <v>231604</v>
      </c>
      <c r="V70">
        <f>YEAR(Spotify[[#This Row],[Date de sortie]])</f>
        <v>2021</v>
      </c>
      <c r="W70" s="2" t="str">
        <f>IF(Spotify[[#This Row],[Popularité]]&gt;=70,"FORTE","FAIBLE")</f>
        <v>FORTE</v>
      </c>
      <c r="Z70">
        <v>961</v>
      </c>
      <c r="AA70">
        <v>17</v>
      </c>
      <c r="AB70">
        <v>4</v>
      </c>
      <c r="AC70" s="1">
        <v>44036</v>
      </c>
      <c r="AD70" t="s">
        <v>1637</v>
      </c>
      <c r="AE70" s="3">
        <v>4424118</v>
      </c>
      <c r="AF70" t="s">
        <v>746</v>
      </c>
      <c r="AG70" s="4">
        <v>42227614</v>
      </c>
      <c r="AH70" t="s">
        <v>10</v>
      </c>
      <c r="AI70" s="1">
        <v>44036</v>
      </c>
      <c r="AJ70">
        <v>71</v>
      </c>
      <c r="AK70" s="2">
        <v>0.65300000000000002</v>
      </c>
      <c r="AL70" s="2">
        <v>0.45200000000000001</v>
      </c>
      <c r="AM70" s="2">
        <v>5.5E-2</v>
      </c>
      <c r="AN70" s="2">
        <v>0.83799999999999997</v>
      </c>
      <c r="AO70" s="2">
        <v>0.108</v>
      </c>
      <c r="AP70" s="2">
        <v>0.45</v>
      </c>
      <c r="AQ70" s="2">
        <v>-11.143000000000001</v>
      </c>
      <c r="AR70">
        <v>252881</v>
      </c>
    </row>
    <row r="71" spans="1:44" x14ac:dyDescent="0.25">
      <c r="A71">
        <v>75</v>
      </c>
      <c r="B71">
        <v>75</v>
      </c>
      <c r="C71">
        <v>4</v>
      </c>
      <c r="D71" s="1">
        <v>44400</v>
      </c>
      <c r="E71" s="59" t="str" cm="1">
        <f t="array" ref="E7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71" t="s">
        <v>163</v>
      </c>
      <c r="G71" s="3">
        <v>8006336</v>
      </c>
      <c r="H71" t="s">
        <v>164</v>
      </c>
      <c r="I71" s="4">
        <v>27116</v>
      </c>
      <c r="J71" t="s">
        <v>165</v>
      </c>
      <c r="K71" s="1">
        <v>43083</v>
      </c>
      <c r="L71">
        <v>87</v>
      </c>
      <c r="M71" s="2" t="str">
        <f>IF(Spotify[[#This Row],[Energie]]&gt;AVERAGE(Spotify[Energie]),"FORTE","FAIBLE")</f>
        <v>FORTE</v>
      </c>
      <c r="N71" s="2">
        <v>0.72699999999999998</v>
      </c>
      <c r="O71" s="2">
        <v>0.68100000000000005</v>
      </c>
      <c r="P71" s="2">
        <v>2.6499999999999999E-2</v>
      </c>
      <c r="Q71" s="2">
        <v>2.14E-3</v>
      </c>
      <c r="R71" s="2">
        <v>8.6099999999999996E-2</v>
      </c>
      <c r="S71" s="2">
        <v>0.44800000000000001</v>
      </c>
      <c r="T71" s="2">
        <v>-7.1139999999999999</v>
      </c>
      <c r="U71">
        <v>241970</v>
      </c>
      <c r="V71">
        <f>YEAR(Spotify[[#This Row],[Date de sortie]])</f>
        <v>2017</v>
      </c>
      <c r="W71" s="2" t="str">
        <f>IF(Spotify[[#This Row],[Popularité]]&gt;=70,"FORTE","FAIBLE")</f>
        <v>FORTE</v>
      </c>
      <c r="Z71">
        <v>949</v>
      </c>
      <c r="AA71">
        <v>8</v>
      </c>
      <c r="AB71">
        <v>5</v>
      </c>
      <c r="AC71" s="1">
        <v>44036</v>
      </c>
      <c r="AD71" t="s">
        <v>1620</v>
      </c>
      <c r="AE71" s="3">
        <v>4389670</v>
      </c>
      <c r="AF71" t="s">
        <v>746</v>
      </c>
      <c r="AG71" s="4">
        <v>42227614</v>
      </c>
      <c r="AH71" t="s">
        <v>10</v>
      </c>
      <c r="AI71" s="1">
        <v>44036</v>
      </c>
      <c r="AJ71">
        <v>71</v>
      </c>
      <c r="AK71" s="2">
        <v>0.68600000000000005</v>
      </c>
      <c r="AL71" s="2">
        <v>0.66200000000000003</v>
      </c>
      <c r="AM71" s="2">
        <v>4.1300000000000003E-2</v>
      </c>
      <c r="AN71" s="2">
        <v>0.46700000000000003</v>
      </c>
      <c r="AO71" s="2">
        <v>0.109</v>
      </c>
      <c r="AP71" s="2">
        <v>0.70599999999999996</v>
      </c>
      <c r="AQ71" s="2">
        <v>-8.5050000000000008</v>
      </c>
      <c r="AR71">
        <v>230999</v>
      </c>
    </row>
    <row r="72" spans="1:44" x14ac:dyDescent="0.25">
      <c r="A72">
        <v>78</v>
      </c>
      <c r="B72">
        <v>9</v>
      </c>
      <c r="C72">
        <v>14</v>
      </c>
      <c r="D72" s="1">
        <v>44309</v>
      </c>
      <c r="E72" s="59" t="str" cm="1">
        <f t="array" ref="E7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72" t="s">
        <v>169</v>
      </c>
      <c r="G72" s="3">
        <v>7735223</v>
      </c>
      <c r="H72" t="s">
        <v>170</v>
      </c>
      <c r="I72" s="4">
        <v>2043294</v>
      </c>
      <c r="J72" t="s">
        <v>171</v>
      </c>
      <c r="K72" s="1">
        <v>44309</v>
      </c>
      <c r="L72">
        <v>87</v>
      </c>
      <c r="M72" s="2" t="str">
        <f>IF(Spotify[[#This Row],[Energie]]&gt;AVERAGE(Spotify[Energie]),"FORTE","FAIBLE")</f>
        <v>FAIBLE</v>
      </c>
      <c r="N72" s="2">
        <v>0.72699999999999998</v>
      </c>
      <c r="O72" s="2">
        <v>0.54600000000000004</v>
      </c>
      <c r="P72" s="2">
        <v>4.3700000000000003E-2</v>
      </c>
      <c r="Q72" s="2">
        <v>0.65600000000000003</v>
      </c>
      <c r="R72" s="2">
        <v>0.122</v>
      </c>
      <c r="S72" s="2">
        <v>0.69</v>
      </c>
      <c r="T72" s="2">
        <v>-4.5720000000000001</v>
      </c>
      <c r="U72">
        <v>197333</v>
      </c>
      <c r="V72">
        <f>YEAR(Spotify[[#This Row],[Date de sortie]])</f>
        <v>2021</v>
      </c>
      <c r="W72" s="2" t="str">
        <f>IF(Spotify[[#This Row],[Popularité]]&gt;=70,"FORTE","FAIBLE")</f>
        <v>FORTE</v>
      </c>
      <c r="Z72">
        <v>672</v>
      </c>
      <c r="AA72">
        <v>19</v>
      </c>
      <c r="AB72">
        <v>2</v>
      </c>
      <c r="AC72" s="1">
        <v>44176</v>
      </c>
      <c r="AD72" t="s">
        <v>1198</v>
      </c>
      <c r="AE72" s="3">
        <v>7901968</v>
      </c>
      <c r="AF72" t="s">
        <v>746</v>
      </c>
      <c r="AG72" s="4">
        <v>42227614</v>
      </c>
      <c r="AH72" t="s">
        <v>10</v>
      </c>
      <c r="AI72" s="1">
        <v>44176</v>
      </c>
      <c r="AJ72">
        <v>70</v>
      </c>
      <c r="AK72" s="2">
        <v>0.51200000000000001</v>
      </c>
      <c r="AL72" s="2">
        <v>0.46200000000000002</v>
      </c>
      <c r="AM72" s="2">
        <v>4.0800000000000003E-2</v>
      </c>
      <c r="AN72" s="2">
        <v>0.83</v>
      </c>
      <c r="AO72" s="2">
        <v>0.121</v>
      </c>
      <c r="AP72" s="2">
        <v>0.35299999999999998</v>
      </c>
      <c r="AQ72" s="2">
        <v>-10.491</v>
      </c>
      <c r="AR72">
        <v>185320</v>
      </c>
    </row>
    <row r="73" spans="1:44" x14ac:dyDescent="0.25">
      <c r="A73">
        <v>81</v>
      </c>
      <c r="B73">
        <v>7</v>
      </c>
      <c r="C73">
        <v>34</v>
      </c>
      <c r="D73" s="1">
        <v>44232</v>
      </c>
      <c r="E73" s="59" t="str" cm="1">
        <f t="array" ref="E7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73" t="s">
        <v>177</v>
      </c>
      <c r="G73" s="3">
        <v>7642130</v>
      </c>
      <c r="H73" t="s">
        <v>6</v>
      </c>
      <c r="I73" s="4">
        <v>2230022</v>
      </c>
      <c r="J73" t="s">
        <v>7</v>
      </c>
      <c r="K73" s="1">
        <v>44141</v>
      </c>
      <c r="L73">
        <v>87</v>
      </c>
      <c r="M73" s="2" t="str">
        <f>IF(Spotify[[#This Row],[Energie]]&gt;AVERAGE(Spotify[Energie]),"FORTE","FAIBLE")</f>
        <v>FAIBLE</v>
      </c>
      <c r="N73" s="2">
        <v>0.66200000000000003</v>
      </c>
      <c r="O73" s="2">
        <v>0.41299999999999998</v>
      </c>
      <c r="P73" s="2">
        <v>2.9899999999999999E-2</v>
      </c>
      <c r="Q73" s="2">
        <v>0.21299999999999999</v>
      </c>
      <c r="R73" s="2">
        <v>0.13400000000000001</v>
      </c>
      <c r="S73" s="2">
        <v>0.46700000000000003</v>
      </c>
      <c r="T73" s="2">
        <v>-7.3570000000000002</v>
      </c>
      <c r="U73">
        <v>161385</v>
      </c>
      <c r="V73">
        <f>YEAR(Spotify[[#This Row],[Date de sortie]])</f>
        <v>2020</v>
      </c>
      <c r="W73" s="2" t="str">
        <f>IF(Spotify[[#This Row],[Popularité]]&gt;=70,"FORTE","FAIBLE")</f>
        <v>FORTE</v>
      </c>
      <c r="Z73">
        <v>966</v>
      </c>
      <c r="AA73">
        <v>13</v>
      </c>
      <c r="AB73">
        <v>3</v>
      </c>
      <c r="AC73" s="1">
        <v>44036</v>
      </c>
      <c r="AD73" t="s">
        <v>1646</v>
      </c>
      <c r="AE73" s="3">
        <v>5564072</v>
      </c>
      <c r="AF73" t="s">
        <v>746</v>
      </c>
      <c r="AG73" s="4">
        <v>42227614</v>
      </c>
      <c r="AH73" t="s">
        <v>10</v>
      </c>
      <c r="AI73" s="1">
        <v>44036</v>
      </c>
      <c r="AJ73">
        <v>70</v>
      </c>
      <c r="AK73" s="2">
        <v>0.55300000000000005</v>
      </c>
      <c r="AL73" s="2">
        <v>0.41299999999999998</v>
      </c>
      <c r="AM73" s="2">
        <v>3.3399999999999999E-2</v>
      </c>
      <c r="AN73" s="2">
        <v>0.68700000000000006</v>
      </c>
      <c r="AO73" s="2">
        <v>5.9400000000000001E-2</v>
      </c>
      <c r="AP73" s="2">
        <v>0.379</v>
      </c>
      <c r="AQ73" s="2">
        <v>-10.037000000000001</v>
      </c>
      <c r="AR73">
        <v>208978</v>
      </c>
    </row>
    <row r="74" spans="1:44" x14ac:dyDescent="0.25">
      <c r="A74">
        <v>82</v>
      </c>
      <c r="B74">
        <v>6</v>
      </c>
      <c r="C74">
        <v>21</v>
      </c>
      <c r="D74" s="1">
        <v>44260</v>
      </c>
      <c r="E74" s="59" t="str" cm="1">
        <f t="array" ref="E7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74" t="s">
        <v>178</v>
      </c>
      <c r="G74" s="3">
        <v>7637626</v>
      </c>
      <c r="H74" t="s">
        <v>179</v>
      </c>
      <c r="I74" s="4">
        <v>56308172</v>
      </c>
      <c r="J74" t="s">
        <v>155</v>
      </c>
      <c r="K74" s="1">
        <v>44260</v>
      </c>
      <c r="L74">
        <v>87</v>
      </c>
      <c r="M74" s="2" t="str">
        <f>IF(Spotify[[#This Row],[Energie]]&gt;AVERAGE(Spotify[Energie]),"FORTE","FAIBLE")</f>
        <v>FAIBLE</v>
      </c>
      <c r="N74" s="2">
        <v>0.57799999999999996</v>
      </c>
      <c r="O74" s="2">
        <v>0.44900000000000001</v>
      </c>
      <c r="P74" s="2">
        <v>0.28599999999999998</v>
      </c>
      <c r="Q74" s="2">
        <v>6.1800000000000001E-2</v>
      </c>
      <c r="R74" s="2">
        <v>0.11899999999999999</v>
      </c>
      <c r="S74" s="2">
        <v>0.1</v>
      </c>
      <c r="T74" s="2">
        <v>-6.3490000000000002</v>
      </c>
      <c r="U74">
        <v>192956</v>
      </c>
      <c r="V74">
        <f>YEAR(Spotify[[#This Row],[Date de sortie]])</f>
        <v>2021</v>
      </c>
      <c r="W74" s="2" t="str">
        <f>IF(Spotify[[#This Row],[Popularité]]&gt;=70,"FORTE","FAIBLE")</f>
        <v>FORTE</v>
      </c>
      <c r="Z74">
        <v>968</v>
      </c>
      <c r="AA74">
        <v>18</v>
      </c>
      <c r="AB74">
        <v>3</v>
      </c>
      <c r="AC74" s="1">
        <v>44036</v>
      </c>
      <c r="AD74" t="s">
        <v>1648</v>
      </c>
      <c r="AE74" s="3">
        <v>5128412</v>
      </c>
      <c r="AF74" t="s">
        <v>746</v>
      </c>
      <c r="AG74" s="4">
        <v>42227614</v>
      </c>
      <c r="AH74" t="s">
        <v>10</v>
      </c>
      <c r="AI74" s="1">
        <v>44036</v>
      </c>
      <c r="AJ74">
        <v>70</v>
      </c>
      <c r="AK74" s="2">
        <v>0.51500000000000001</v>
      </c>
      <c r="AL74" s="2">
        <v>0.47599999999999998</v>
      </c>
      <c r="AM74" s="2">
        <v>3.2800000000000003E-2</v>
      </c>
      <c r="AN74" s="2">
        <v>0.314</v>
      </c>
      <c r="AO74" s="2">
        <v>0.17100000000000001</v>
      </c>
      <c r="AP74" s="2">
        <v>0.41199999999999998</v>
      </c>
      <c r="AQ74" s="2">
        <v>-9.843</v>
      </c>
      <c r="AR74">
        <v>195097</v>
      </c>
    </row>
    <row r="75" spans="1:44" x14ac:dyDescent="0.25">
      <c r="A75">
        <v>85</v>
      </c>
      <c r="B75">
        <v>32</v>
      </c>
      <c r="C75">
        <v>28</v>
      </c>
      <c r="D75" s="1">
        <v>44316</v>
      </c>
      <c r="E75" s="59" t="str" cm="1">
        <f t="array" ref="E7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75" t="s">
        <v>184</v>
      </c>
      <c r="G75" s="3">
        <v>7452633</v>
      </c>
      <c r="H75" t="s">
        <v>185</v>
      </c>
      <c r="I75" s="4">
        <v>17719446</v>
      </c>
      <c r="J75" t="s">
        <v>186</v>
      </c>
      <c r="K75" s="1">
        <v>44211</v>
      </c>
      <c r="L75">
        <v>87</v>
      </c>
      <c r="M75" s="2" t="str">
        <f>IF(Spotify[[#This Row],[Energie]]&gt;AVERAGE(Spotify[Energie]),"FORTE","FAIBLE")</f>
        <v>FAIBLE</v>
      </c>
      <c r="N75" s="2">
        <v>0.84099999999999997</v>
      </c>
      <c r="O75" s="2">
        <v>0.59299999999999997</v>
      </c>
      <c r="P75" s="2">
        <v>3.7900000000000003E-2</v>
      </c>
      <c r="Q75" s="2">
        <v>0.41799999999999998</v>
      </c>
      <c r="R75" s="2">
        <v>0.124</v>
      </c>
      <c r="S75" s="2">
        <v>0.80800000000000005</v>
      </c>
      <c r="T75" s="2">
        <v>-7.8460000000000001</v>
      </c>
      <c r="U75">
        <v>162803</v>
      </c>
      <c r="V75">
        <f>YEAR(Spotify[[#This Row],[Date de sortie]])</f>
        <v>2021</v>
      </c>
      <c r="W75" s="2" t="str">
        <f>IF(Spotify[[#This Row],[Popularité]]&gt;=70,"FORTE","FAIBLE")</f>
        <v>FORTE</v>
      </c>
      <c r="Z75">
        <v>971</v>
      </c>
      <c r="AA75">
        <v>20</v>
      </c>
      <c r="AB75">
        <v>3</v>
      </c>
      <c r="AC75" s="1">
        <v>44036</v>
      </c>
      <c r="AD75" t="s">
        <v>1651</v>
      </c>
      <c r="AE75" s="3">
        <v>5053658</v>
      </c>
      <c r="AF75" t="s">
        <v>746</v>
      </c>
      <c r="AG75" s="4">
        <v>42227614</v>
      </c>
      <c r="AH75" t="s">
        <v>10</v>
      </c>
      <c r="AI75" s="1">
        <v>44036</v>
      </c>
      <c r="AJ75">
        <v>70</v>
      </c>
      <c r="AK75" s="2">
        <v>0.55900000000000005</v>
      </c>
      <c r="AL75" s="2">
        <v>0.31</v>
      </c>
      <c r="AM75" s="2">
        <v>3.3799999999999997E-2</v>
      </c>
      <c r="AN75" s="2">
        <v>0.88100000000000001</v>
      </c>
      <c r="AO75" s="2">
        <v>0.106</v>
      </c>
      <c r="AP75" s="2">
        <v>0.46</v>
      </c>
      <c r="AQ75" s="2">
        <v>-10.445</v>
      </c>
      <c r="AR75">
        <v>190898</v>
      </c>
    </row>
    <row r="76" spans="1:44" x14ac:dyDescent="0.25">
      <c r="A76">
        <v>86</v>
      </c>
      <c r="B76">
        <v>11</v>
      </c>
      <c r="C76">
        <v>55</v>
      </c>
      <c r="D76" s="1">
        <v>44113</v>
      </c>
      <c r="E76" s="59" t="str" cm="1">
        <f t="array" ref="E7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6" t="s">
        <v>187</v>
      </c>
      <c r="G76" s="3">
        <v>7434252</v>
      </c>
      <c r="H76" t="s">
        <v>188</v>
      </c>
      <c r="I76" s="4">
        <v>207547</v>
      </c>
      <c r="J76" t="s">
        <v>19</v>
      </c>
      <c r="K76" s="1">
        <v>44015</v>
      </c>
      <c r="L76">
        <v>87</v>
      </c>
      <c r="M76" s="2" t="str">
        <f>IF(Spotify[[#This Row],[Energie]]&gt;AVERAGE(Spotify[Energie]),"FORTE","FAIBLE")</f>
        <v>FORTE</v>
      </c>
      <c r="N76" s="2">
        <v>0.73399999999999999</v>
      </c>
      <c r="O76" s="2">
        <v>0.874</v>
      </c>
      <c r="P76" s="2">
        <v>6.6199999999999995E-2</v>
      </c>
      <c r="Q76" s="2">
        <v>0.16800000000000001</v>
      </c>
      <c r="R76" s="2">
        <v>4.8899999999999999E-2</v>
      </c>
      <c r="S76" s="2">
        <v>0.90500000000000003</v>
      </c>
      <c r="T76" s="2">
        <v>-3.1579999999999999</v>
      </c>
      <c r="U76">
        <v>166028</v>
      </c>
      <c r="V76">
        <f>YEAR(Spotify[[#This Row],[Date de sortie]])</f>
        <v>2020</v>
      </c>
      <c r="W76" s="2" t="str">
        <f>IF(Spotify[[#This Row],[Popularité]]&gt;=70,"FORTE","FAIBLE")</f>
        <v>FORTE</v>
      </c>
      <c r="Z76">
        <v>884</v>
      </c>
      <c r="AA76">
        <v>65</v>
      </c>
      <c r="AB76">
        <v>5</v>
      </c>
      <c r="AC76" s="1">
        <v>44071</v>
      </c>
      <c r="AD76" t="s">
        <v>1514</v>
      </c>
      <c r="AE76" s="3">
        <v>4628159</v>
      </c>
      <c r="AF76" t="s">
        <v>1515</v>
      </c>
      <c r="AG76" s="4">
        <v>412466</v>
      </c>
      <c r="AH76" t="s">
        <v>230</v>
      </c>
      <c r="AI76" s="1">
        <v>44072</v>
      </c>
      <c r="AJ76">
        <v>70</v>
      </c>
      <c r="AK76" s="2">
        <v>0.76100000000000001</v>
      </c>
      <c r="AL76" s="2">
        <v>0.51700000000000002</v>
      </c>
      <c r="AM76" s="2">
        <v>9.2700000000000005E-2</v>
      </c>
      <c r="AN76" s="2">
        <v>0.114</v>
      </c>
      <c r="AO76" s="2">
        <v>0.157</v>
      </c>
      <c r="AP76" s="2">
        <v>0.46</v>
      </c>
      <c r="AQ76" s="2">
        <v>-6.9160000000000004</v>
      </c>
      <c r="AR76">
        <v>174730</v>
      </c>
    </row>
    <row r="77" spans="1:44" x14ac:dyDescent="0.25">
      <c r="A77">
        <v>87</v>
      </c>
      <c r="B77">
        <v>42</v>
      </c>
      <c r="C77">
        <v>20</v>
      </c>
      <c r="D77" s="1">
        <v>44309</v>
      </c>
      <c r="E77" s="59" t="str" cm="1">
        <f t="array" ref="E7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7" t="s">
        <v>189</v>
      </c>
      <c r="G77" s="3">
        <v>7383369</v>
      </c>
      <c r="H77" t="s">
        <v>190</v>
      </c>
      <c r="I77" s="4">
        <v>207547</v>
      </c>
      <c r="J77" t="s">
        <v>19</v>
      </c>
      <c r="K77" s="1">
        <v>44253</v>
      </c>
      <c r="L77">
        <v>87</v>
      </c>
      <c r="M77" s="2" t="str">
        <f>IF(Spotify[[#This Row],[Energie]]&gt;AVERAGE(Spotify[Energie]),"FORTE","FAIBLE")</f>
        <v>FORTE</v>
      </c>
      <c r="N77" s="2">
        <v>0.67100000000000004</v>
      </c>
      <c r="O77" s="2">
        <v>0.78200000000000003</v>
      </c>
      <c r="P77" s="2">
        <v>3.4099999999999998E-2</v>
      </c>
      <c r="Q77" s="2">
        <v>1.4200000000000001E-2</v>
      </c>
      <c r="R77" s="2">
        <v>0.33300000000000002</v>
      </c>
      <c r="S77" s="2">
        <v>0.61799999999999999</v>
      </c>
      <c r="T77" s="2">
        <v>-4.593</v>
      </c>
      <c r="U77">
        <v>178088</v>
      </c>
      <c r="V77">
        <f>YEAR(Spotify[[#This Row],[Date de sortie]])</f>
        <v>2021</v>
      </c>
      <c r="W77" s="2" t="str">
        <f>IF(Spotify[[#This Row],[Popularité]]&gt;=70,"FORTE","FAIBLE")</f>
        <v>FORTE</v>
      </c>
      <c r="Z77">
        <v>1556</v>
      </c>
      <c r="AA77">
        <v>199</v>
      </c>
      <c r="AB77">
        <v>1</v>
      </c>
      <c r="AC77" s="1">
        <v>43826</v>
      </c>
      <c r="AD77" t="s">
        <v>2442</v>
      </c>
      <c r="AE77" s="3">
        <v>4595450</v>
      </c>
      <c r="AF77" t="s">
        <v>746</v>
      </c>
      <c r="AG77" s="4">
        <v>42227614</v>
      </c>
      <c r="AH77" t="s">
        <v>10</v>
      </c>
      <c r="AI77" s="1">
        <v>43782</v>
      </c>
      <c r="AJ77">
        <v>70</v>
      </c>
      <c r="AK77" s="2">
        <v>0.44800000000000001</v>
      </c>
      <c r="AL77" s="2">
        <v>0.60299999999999998</v>
      </c>
      <c r="AM77" s="2">
        <v>6.4000000000000001E-2</v>
      </c>
      <c r="AN77" s="2">
        <v>0.433</v>
      </c>
      <c r="AO77" s="2">
        <v>8.6199999999999999E-2</v>
      </c>
      <c r="AP77" s="2">
        <v>0.42199999999999999</v>
      </c>
      <c r="AQ77" s="2">
        <v>-7.1760000000000002</v>
      </c>
      <c r="AR77">
        <v>221307</v>
      </c>
    </row>
    <row r="78" spans="1:44" x14ac:dyDescent="0.25">
      <c r="A78">
        <v>88</v>
      </c>
      <c r="B78">
        <v>78</v>
      </c>
      <c r="C78">
        <v>8</v>
      </c>
      <c r="D78" s="1">
        <v>44379</v>
      </c>
      <c r="E78" s="59" t="str" cm="1">
        <f t="array" ref="E7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8" t="s">
        <v>191</v>
      </c>
      <c r="G78" s="3">
        <v>7381585</v>
      </c>
      <c r="H78" t="s">
        <v>192</v>
      </c>
      <c r="I78" s="4">
        <v>18228</v>
      </c>
      <c r="J78" t="s">
        <v>193</v>
      </c>
      <c r="K78" s="1">
        <v>43619</v>
      </c>
      <c r="L78">
        <v>87</v>
      </c>
      <c r="M78" s="2" t="str">
        <f>IF(Spotify[[#This Row],[Energie]]&gt;AVERAGE(Spotify[Energie]),"FORTE","FAIBLE")</f>
        <v>FORTE</v>
      </c>
      <c r="N78" s="2">
        <v>0.86199999999999999</v>
      </c>
      <c r="O78" s="2">
        <v>0.753</v>
      </c>
      <c r="P78" s="2">
        <v>6.25E-2</v>
      </c>
      <c r="Q78" s="2">
        <v>0.13100000000000001</v>
      </c>
      <c r="R78" s="2">
        <v>7.6999999999999999E-2</v>
      </c>
      <c r="S78" s="2">
        <v>0.82699999999999996</v>
      </c>
      <c r="T78" s="2">
        <v>-5.3559999999999999</v>
      </c>
      <c r="U78">
        <v>182857</v>
      </c>
      <c r="V78">
        <f>YEAR(Spotify[[#This Row],[Date de sortie]])</f>
        <v>2019</v>
      </c>
      <c r="W78" s="2" t="str">
        <f>IF(Spotify[[#This Row],[Popularité]]&gt;=70,"FORTE","FAIBLE")</f>
        <v>FORTE</v>
      </c>
      <c r="Z78">
        <v>430</v>
      </c>
      <c r="AA78">
        <v>54</v>
      </c>
      <c r="AB78">
        <v>1</v>
      </c>
      <c r="AC78" s="1">
        <v>44295</v>
      </c>
      <c r="AD78" t="s">
        <v>795</v>
      </c>
      <c r="AE78" s="3">
        <v>9676024</v>
      </c>
      <c r="AF78" t="s">
        <v>746</v>
      </c>
      <c r="AG78" s="4">
        <v>42227614</v>
      </c>
      <c r="AH78" t="s">
        <v>10</v>
      </c>
      <c r="AI78" s="1">
        <v>44295</v>
      </c>
      <c r="AJ78">
        <v>69</v>
      </c>
      <c r="AK78" s="2">
        <v>0.56899999999999995</v>
      </c>
      <c r="AL78" s="2">
        <v>0.74099999999999999</v>
      </c>
      <c r="AM78" s="2">
        <v>2.8199999999999999E-2</v>
      </c>
      <c r="AN78" s="2">
        <v>1.2200000000000001E-2</v>
      </c>
      <c r="AO78" s="2">
        <v>0.33300000000000002</v>
      </c>
      <c r="AP78" s="2">
        <v>0.43</v>
      </c>
      <c r="AQ78" s="2">
        <v>-4.9630000000000001</v>
      </c>
      <c r="AR78">
        <v>241592</v>
      </c>
    </row>
    <row r="79" spans="1:44" x14ac:dyDescent="0.25">
      <c r="A79">
        <v>91</v>
      </c>
      <c r="B79">
        <v>55</v>
      </c>
      <c r="C79">
        <v>13</v>
      </c>
      <c r="D79" s="1">
        <v>44344</v>
      </c>
      <c r="E79" s="59" t="str" cm="1">
        <f t="array" ref="E7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79" t="s">
        <v>199</v>
      </c>
      <c r="G79" s="3">
        <v>7336542</v>
      </c>
      <c r="H79" t="s">
        <v>200</v>
      </c>
      <c r="I79" s="4">
        <v>151486</v>
      </c>
      <c r="J79" t="s">
        <v>48</v>
      </c>
      <c r="K79" s="1">
        <v>44232</v>
      </c>
      <c r="L79">
        <v>87</v>
      </c>
      <c r="M79" s="2" t="str">
        <f>IF(Spotify[[#This Row],[Energie]]&gt;AVERAGE(Spotify[Energie]),"FORTE","FAIBLE")</f>
        <v>FORTE</v>
      </c>
      <c r="N79" s="2">
        <v>0.81799999999999995</v>
      </c>
      <c r="O79" s="2">
        <v>0.67300000000000004</v>
      </c>
      <c r="P79" s="2">
        <v>0.14799999999999999</v>
      </c>
      <c r="Q79" s="2">
        <v>0.34799999999999998</v>
      </c>
      <c r="R79" s="2">
        <v>0.17199999999999999</v>
      </c>
      <c r="S79" s="2">
        <v>0.69499999999999995</v>
      </c>
      <c r="T79" s="2">
        <v>-7.5419999999999998</v>
      </c>
      <c r="U79">
        <v>193636</v>
      </c>
      <c r="V79">
        <f>YEAR(Spotify[[#This Row],[Date de sortie]])</f>
        <v>2021</v>
      </c>
      <c r="W79" s="2" t="str">
        <f>IF(Spotify[[#This Row],[Popularité]]&gt;=70,"FORTE","FAIBLE")</f>
        <v>FORTE</v>
      </c>
      <c r="Z79">
        <v>1516</v>
      </c>
      <c r="AA79">
        <v>83</v>
      </c>
      <c r="AB79">
        <v>3</v>
      </c>
      <c r="AC79" s="1">
        <v>43833</v>
      </c>
      <c r="AD79" t="s">
        <v>2389</v>
      </c>
      <c r="AE79" s="3">
        <v>5834918</v>
      </c>
      <c r="AF79" t="s">
        <v>300</v>
      </c>
      <c r="AG79" s="4">
        <v>14190858</v>
      </c>
      <c r="AH79" t="s">
        <v>10</v>
      </c>
      <c r="AI79" s="1">
        <v>43783</v>
      </c>
      <c r="AJ79">
        <v>69</v>
      </c>
      <c r="AK79" s="2">
        <v>0.66500000000000004</v>
      </c>
      <c r="AL79" s="2">
        <v>0.71199999999999997</v>
      </c>
      <c r="AM79" s="2">
        <v>5.2699999999999997E-2</v>
      </c>
      <c r="AN79" s="2">
        <v>1.0300000000000001E-3</v>
      </c>
      <c r="AO79" s="2">
        <v>0.10199999999999999</v>
      </c>
      <c r="AP79" s="2">
        <v>0.66900000000000004</v>
      </c>
      <c r="AQ79" s="2">
        <v>-7.5359999999999996</v>
      </c>
      <c r="AR79">
        <v>157220</v>
      </c>
    </row>
    <row r="80" spans="1:44" x14ac:dyDescent="0.25">
      <c r="A80">
        <v>93</v>
      </c>
      <c r="B80">
        <v>6</v>
      </c>
      <c r="C80">
        <v>84</v>
      </c>
      <c r="D80" s="1">
        <v>43826</v>
      </c>
      <c r="E80" s="59" t="str" cm="1">
        <f t="array" ref="E8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80" t="s">
        <v>203</v>
      </c>
      <c r="G80" s="3">
        <v>7156162</v>
      </c>
      <c r="H80" t="s">
        <v>59</v>
      </c>
      <c r="I80" s="4">
        <v>33651775</v>
      </c>
      <c r="J80" t="s">
        <v>60</v>
      </c>
      <c r="K80" s="1">
        <v>43714</v>
      </c>
      <c r="L80">
        <v>87</v>
      </c>
      <c r="M80" s="2" t="str">
        <f>IF(Spotify[[#This Row],[Energie]]&gt;AVERAGE(Spotify[Energie]),"FORTE","FAIBLE")</f>
        <v>FORTE</v>
      </c>
      <c r="N80" s="2">
        <v>0.69499999999999995</v>
      </c>
      <c r="O80" s="2">
        <v>0.76200000000000001</v>
      </c>
      <c r="P80" s="2">
        <v>3.95E-2</v>
      </c>
      <c r="Q80" s="2">
        <v>0.192</v>
      </c>
      <c r="R80" s="2">
        <v>8.6300000000000002E-2</v>
      </c>
      <c r="S80" s="2">
        <v>0.55300000000000005</v>
      </c>
      <c r="T80" s="2">
        <v>-3.4969999999999999</v>
      </c>
      <c r="U80">
        <v>215280</v>
      </c>
      <c r="V80">
        <f>YEAR(Spotify[[#This Row],[Date de sortie]])</f>
        <v>2019</v>
      </c>
      <c r="W80" s="2" t="str">
        <f>IF(Spotify[[#This Row],[Popularité]]&gt;=70,"FORTE","FAIBLE")</f>
        <v>FORTE</v>
      </c>
      <c r="Z80">
        <v>859</v>
      </c>
      <c r="AA80">
        <v>153</v>
      </c>
      <c r="AB80">
        <v>1</v>
      </c>
      <c r="AC80" s="1">
        <v>44106</v>
      </c>
      <c r="AD80" t="s">
        <v>1479</v>
      </c>
      <c r="AE80" s="3">
        <v>5550390</v>
      </c>
      <c r="AF80" t="s">
        <v>229</v>
      </c>
      <c r="AG80" s="4">
        <v>412466</v>
      </c>
      <c r="AH80" t="s">
        <v>230</v>
      </c>
      <c r="AI80" s="1">
        <v>44104</v>
      </c>
      <c r="AJ80">
        <v>69</v>
      </c>
      <c r="AK80" s="2">
        <v>0.83199999999999996</v>
      </c>
      <c r="AL80" s="2">
        <v>0.54900000000000004</v>
      </c>
      <c r="AM80" s="2">
        <v>6.0199999999999997E-2</v>
      </c>
      <c r="AN80" s="2">
        <v>0.16800000000000001</v>
      </c>
      <c r="AO80" s="2">
        <v>0.11</v>
      </c>
      <c r="AP80" s="2">
        <v>0.38400000000000001</v>
      </c>
      <c r="AQ80" s="2">
        <v>-8.2590000000000003</v>
      </c>
      <c r="AR80">
        <v>181496</v>
      </c>
    </row>
    <row r="81" spans="1:44" x14ac:dyDescent="0.25">
      <c r="A81">
        <v>145</v>
      </c>
      <c r="B81">
        <v>13</v>
      </c>
      <c r="C81">
        <v>83</v>
      </c>
      <c r="D81" s="1">
        <v>43945</v>
      </c>
      <c r="E81" s="59" t="str" cm="1">
        <f t="array" ref="E8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81" t="s">
        <v>309</v>
      </c>
      <c r="G81" s="3">
        <v>5691540</v>
      </c>
      <c r="H81" t="s">
        <v>310</v>
      </c>
      <c r="I81" s="4">
        <v>17719446</v>
      </c>
      <c r="J81" t="s">
        <v>186</v>
      </c>
      <c r="K81" s="1">
        <v>44211</v>
      </c>
      <c r="L81">
        <v>87</v>
      </c>
      <c r="M81" s="2" t="str">
        <f>IF(Spotify[[#This Row],[Energie]]&gt;AVERAGE(Spotify[Energie]),"FORTE","FAIBLE")</f>
        <v>FAIBLE</v>
      </c>
      <c r="N81" s="2">
        <v>0.84099999999999997</v>
      </c>
      <c r="O81" s="2">
        <v>0.59299999999999997</v>
      </c>
      <c r="P81" s="2">
        <v>3.7900000000000003E-2</v>
      </c>
      <c r="Q81" s="2">
        <v>0.41799999999999998</v>
      </c>
      <c r="R81" s="2">
        <v>0.124</v>
      </c>
      <c r="S81" s="2">
        <v>0.80800000000000005</v>
      </c>
      <c r="T81" s="2">
        <v>-7.8460000000000001</v>
      </c>
      <c r="U81">
        <v>162803</v>
      </c>
      <c r="V81">
        <f>YEAR(Spotify[[#This Row],[Date de sortie]])</f>
        <v>2021</v>
      </c>
      <c r="W81" s="2" t="str">
        <f>IF(Spotify[[#This Row],[Popularité]]&gt;=70,"FORTE","FAIBLE")</f>
        <v>FORTE</v>
      </c>
      <c r="Z81">
        <v>967</v>
      </c>
      <c r="AA81">
        <v>15</v>
      </c>
      <c r="AB81">
        <v>3</v>
      </c>
      <c r="AC81" s="1">
        <v>44036</v>
      </c>
      <c r="AD81" t="s">
        <v>1647</v>
      </c>
      <c r="AE81" s="3">
        <v>5459423</v>
      </c>
      <c r="AF81" t="s">
        <v>746</v>
      </c>
      <c r="AG81" s="4">
        <v>42227614</v>
      </c>
      <c r="AH81" t="s">
        <v>10</v>
      </c>
      <c r="AI81" s="1">
        <v>44036</v>
      </c>
      <c r="AJ81">
        <v>69</v>
      </c>
      <c r="AK81" s="2">
        <v>0.59599999999999997</v>
      </c>
      <c r="AL81" s="2">
        <v>0.48799999999999999</v>
      </c>
      <c r="AM81" s="2">
        <v>2.7400000000000001E-2</v>
      </c>
      <c r="AN81" s="2">
        <v>0.9</v>
      </c>
      <c r="AO81" s="2">
        <v>9.0999999999999998E-2</v>
      </c>
      <c r="AP81" s="2">
        <v>0.41499999999999998</v>
      </c>
      <c r="AQ81" s="2">
        <v>-10.769</v>
      </c>
      <c r="AR81">
        <v>208907</v>
      </c>
    </row>
    <row r="82" spans="1:44" x14ac:dyDescent="0.25">
      <c r="A82">
        <v>408</v>
      </c>
      <c r="B82">
        <v>33</v>
      </c>
      <c r="C82">
        <v>24</v>
      </c>
      <c r="D82" s="1">
        <v>44204</v>
      </c>
      <c r="E82" s="59" t="str" cm="1">
        <f t="array" ref="E8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82" t="s">
        <v>762</v>
      </c>
      <c r="G82" s="3">
        <v>5496962</v>
      </c>
      <c r="H82" t="s">
        <v>763</v>
      </c>
      <c r="I82" s="4">
        <v>17719446</v>
      </c>
      <c r="J82" t="s">
        <v>186</v>
      </c>
      <c r="K82" s="1">
        <v>44211</v>
      </c>
      <c r="L82">
        <v>87</v>
      </c>
      <c r="M82" s="2" t="str">
        <f>IF(Spotify[[#This Row],[Energie]]&gt;AVERAGE(Spotify[Energie]),"FORTE","FAIBLE")</f>
        <v>FAIBLE</v>
      </c>
      <c r="N82" s="2">
        <v>0.84099999999999997</v>
      </c>
      <c r="O82" s="2">
        <v>0.59299999999999997</v>
      </c>
      <c r="P82" s="2">
        <v>3.7900000000000003E-2</v>
      </c>
      <c r="Q82" s="2">
        <v>0.41799999999999998</v>
      </c>
      <c r="R82" s="2">
        <v>0.124</v>
      </c>
      <c r="S82" s="2">
        <v>0.80800000000000005</v>
      </c>
      <c r="T82" s="2">
        <v>-7.8460000000000001</v>
      </c>
      <c r="U82">
        <v>162803</v>
      </c>
      <c r="V82">
        <f>YEAR(Spotify[[#This Row],[Date de sortie]])</f>
        <v>2021</v>
      </c>
      <c r="W82" s="2" t="str">
        <f>IF(Spotify[[#This Row],[Popularité]]&gt;=70,"FORTE","FAIBLE")</f>
        <v>FORTE</v>
      </c>
      <c r="Z82">
        <v>808</v>
      </c>
      <c r="AA82">
        <v>146</v>
      </c>
      <c r="AB82">
        <v>1</v>
      </c>
      <c r="AC82" s="1">
        <v>44134</v>
      </c>
      <c r="AD82" t="s">
        <v>1397</v>
      </c>
      <c r="AE82" s="3">
        <v>5605234</v>
      </c>
      <c r="AF82" t="s">
        <v>1398</v>
      </c>
      <c r="AG82" s="4">
        <v>19345579</v>
      </c>
      <c r="AH82" t="s">
        <v>10</v>
      </c>
      <c r="AI82" s="1">
        <v>43005</v>
      </c>
      <c r="AJ82">
        <v>68</v>
      </c>
      <c r="AK82" s="2">
        <v>0.76400000000000001</v>
      </c>
      <c r="AL82" s="2">
        <v>0.88700000000000001</v>
      </c>
      <c r="AM82" s="2">
        <v>7.4399999999999994E-2</v>
      </c>
      <c r="AN82" s="2">
        <v>8.1600000000000006E-2</v>
      </c>
      <c r="AO82" s="2">
        <v>0.84699999999999998</v>
      </c>
      <c r="AP82" s="2">
        <v>0.72</v>
      </c>
      <c r="AQ82" s="2">
        <v>-3.726</v>
      </c>
      <c r="AR82">
        <v>358053</v>
      </c>
    </row>
    <row r="83" spans="1:44" x14ac:dyDescent="0.25">
      <c r="A83">
        <v>40</v>
      </c>
      <c r="B83">
        <v>1</v>
      </c>
      <c r="C83">
        <v>39</v>
      </c>
      <c r="D83" s="1">
        <v>44197</v>
      </c>
      <c r="E83" s="59" t="str" cm="1">
        <f t="array" ref="E8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3" t="s">
        <v>84</v>
      </c>
      <c r="G83" s="3">
        <v>11524288</v>
      </c>
      <c r="H83" t="s">
        <v>85</v>
      </c>
      <c r="I83" s="4">
        <v>36142273</v>
      </c>
      <c r="J83" t="s">
        <v>25</v>
      </c>
      <c r="K83" s="1">
        <v>44162</v>
      </c>
      <c r="L83">
        <v>86</v>
      </c>
      <c r="M83" s="2" t="str">
        <f>IF(Spotify[[#This Row],[Energie]]&gt;AVERAGE(Spotify[Energie]),"FORTE","FAIBLE")</f>
        <v>FAIBLE</v>
      </c>
      <c r="N83" s="2">
        <v>0.73099999999999998</v>
      </c>
      <c r="O83" s="2">
        <v>0.57299999999999995</v>
      </c>
      <c r="P83" s="2">
        <v>5.4399999999999997E-2</v>
      </c>
      <c r="Q83" s="2">
        <v>0.40100000000000002</v>
      </c>
      <c r="R83" s="2">
        <v>0.113</v>
      </c>
      <c r="S83" s="2">
        <v>0.14499999999999999</v>
      </c>
      <c r="T83" s="2">
        <v>-10.058999999999999</v>
      </c>
      <c r="U83">
        <v>205090</v>
      </c>
      <c r="V83">
        <f>YEAR(Spotify[[#This Row],[Date de sortie]])</f>
        <v>2020</v>
      </c>
      <c r="W83" s="2" t="str">
        <f>IF(Spotify[[#This Row],[Popularité]]&gt;=70,"FORTE","FAIBLE")</f>
        <v>FORTE</v>
      </c>
      <c r="Z83">
        <v>1313</v>
      </c>
      <c r="AA83">
        <v>81</v>
      </c>
      <c r="AB83">
        <v>3</v>
      </c>
      <c r="AC83" s="1">
        <v>43889</v>
      </c>
      <c r="AD83" t="s">
        <v>2123</v>
      </c>
      <c r="AE83" s="3">
        <v>5193927</v>
      </c>
      <c r="AF83" t="s">
        <v>2124</v>
      </c>
      <c r="AG83" s="4">
        <v>5888533</v>
      </c>
      <c r="AH83" t="s">
        <v>10</v>
      </c>
      <c r="AI83" s="1">
        <v>43887</v>
      </c>
      <c r="AJ83">
        <v>68</v>
      </c>
      <c r="AK83" s="2">
        <v>0.76</v>
      </c>
      <c r="AL83" s="2">
        <v>0.60699999999999998</v>
      </c>
      <c r="AM83" s="2">
        <v>9.64E-2</v>
      </c>
      <c r="AN83" s="2">
        <v>2.7699999999999999E-3</v>
      </c>
      <c r="AO83" s="2">
        <v>0.13200000000000001</v>
      </c>
      <c r="AP83" s="2">
        <v>0.70899999999999996</v>
      </c>
      <c r="AQ83" s="2">
        <v>-6.274</v>
      </c>
      <c r="AR83">
        <v>188187</v>
      </c>
    </row>
    <row r="84" spans="1:44" x14ac:dyDescent="0.25">
      <c r="A84">
        <v>70</v>
      </c>
      <c r="B84">
        <v>12</v>
      </c>
      <c r="C84">
        <v>83</v>
      </c>
      <c r="D84" s="1">
        <v>43826</v>
      </c>
      <c r="E84" s="59" t="str" cm="1">
        <f t="array" ref="E8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4" t="s">
        <v>151</v>
      </c>
      <c r="G84" s="3">
        <v>8490162</v>
      </c>
      <c r="H84" t="s">
        <v>152</v>
      </c>
      <c r="I84" s="4">
        <v>8384096</v>
      </c>
      <c r="J84" t="s">
        <v>10</v>
      </c>
      <c r="K84" s="1">
        <v>43602</v>
      </c>
      <c r="L84">
        <v>86</v>
      </c>
      <c r="M84" s="2" t="str">
        <f>IF(Spotify[[#This Row],[Energie]]&gt;AVERAGE(Spotify[Energie]),"FORTE","FAIBLE")</f>
        <v>FAIBLE</v>
      </c>
      <c r="N84" s="2">
        <v>0.501</v>
      </c>
      <c r="O84" s="2">
        <v>0.40500000000000003</v>
      </c>
      <c r="P84" s="2">
        <v>3.1899999999999998E-2</v>
      </c>
      <c r="Q84" s="2">
        <v>0.751</v>
      </c>
      <c r="R84" s="2">
        <v>0.105</v>
      </c>
      <c r="S84" s="2">
        <v>0.44600000000000001</v>
      </c>
      <c r="T84" s="2">
        <v>-5.6790000000000003</v>
      </c>
      <c r="U84">
        <v>182161</v>
      </c>
      <c r="V84">
        <f>YEAR(Spotify[[#This Row],[Date de sortie]])</f>
        <v>2019</v>
      </c>
      <c r="W84" s="2" t="str">
        <f>IF(Spotify[[#This Row],[Popularité]]&gt;=70,"FORTE","FAIBLE")</f>
        <v>FORTE</v>
      </c>
      <c r="Z84">
        <v>609</v>
      </c>
      <c r="AA84">
        <v>15</v>
      </c>
      <c r="AB84">
        <v>4</v>
      </c>
      <c r="AC84" s="1">
        <v>44176</v>
      </c>
      <c r="AD84" t="s">
        <v>1080</v>
      </c>
      <c r="AE84" s="3">
        <v>4986214</v>
      </c>
      <c r="AF84" t="s">
        <v>746</v>
      </c>
      <c r="AG84" s="4">
        <v>42227614</v>
      </c>
      <c r="AH84" t="s">
        <v>10</v>
      </c>
      <c r="AI84" s="1">
        <v>44176</v>
      </c>
      <c r="AJ84">
        <v>68</v>
      </c>
      <c r="AK84" s="2">
        <v>0.54600000000000004</v>
      </c>
      <c r="AL84" s="2">
        <v>0.61299999999999999</v>
      </c>
      <c r="AM84" s="2">
        <v>2.64E-2</v>
      </c>
      <c r="AN84" s="2">
        <v>0.41799999999999998</v>
      </c>
      <c r="AO84" s="2">
        <v>0.10299999999999999</v>
      </c>
      <c r="AP84" s="2">
        <v>0.53500000000000003</v>
      </c>
      <c r="AQ84" s="2">
        <v>-7.5890000000000004</v>
      </c>
      <c r="AR84">
        <v>215627</v>
      </c>
    </row>
    <row r="85" spans="1:44" x14ac:dyDescent="0.25">
      <c r="A85">
        <v>76</v>
      </c>
      <c r="B85">
        <v>12</v>
      </c>
      <c r="C85">
        <v>11</v>
      </c>
      <c r="D85" s="1">
        <v>44344</v>
      </c>
      <c r="E85" s="59" t="str" cm="1">
        <f t="array" ref="E8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85" t="s">
        <v>166</v>
      </c>
      <c r="G85" s="3">
        <v>7975148</v>
      </c>
      <c r="H85" t="s">
        <v>3</v>
      </c>
      <c r="I85" s="4">
        <v>3377762</v>
      </c>
      <c r="J85" t="s">
        <v>4</v>
      </c>
      <c r="K85" s="1">
        <v>44274</v>
      </c>
      <c r="L85">
        <v>86</v>
      </c>
      <c r="M85" s="2" t="str">
        <f>IF(Spotify[[#This Row],[Energie]]&gt;AVERAGE(Spotify[Energie]),"FORTE","FAIBLE")</f>
        <v>FORTE</v>
      </c>
      <c r="N85" s="2">
        <v>0.625</v>
      </c>
      <c r="O85" s="2">
        <v>0.93899999999999995</v>
      </c>
      <c r="P85" s="2">
        <v>6.6900000000000001E-2</v>
      </c>
      <c r="Q85" s="2">
        <v>1.3799999999999999E-3</v>
      </c>
      <c r="R85" s="2">
        <v>0.42399999999999999</v>
      </c>
      <c r="S85" s="2">
        <v>0.64400000000000002</v>
      </c>
      <c r="T85" s="2">
        <v>-3.1150000000000002</v>
      </c>
      <c r="U85">
        <v>194787</v>
      </c>
      <c r="V85">
        <f>YEAR(Spotify[[#This Row],[Date de sortie]])</f>
        <v>2021</v>
      </c>
      <c r="W85" s="2" t="str">
        <f>IF(Spotify[[#This Row],[Popularité]]&gt;=70,"FORTE","FAIBLE")</f>
        <v>FORTE</v>
      </c>
      <c r="Z85">
        <v>1448</v>
      </c>
      <c r="AA85">
        <v>51</v>
      </c>
      <c r="AB85">
        <v>5</v>
      </c>
      <c r="AC85" s="1">
        <v>43840</v>
      </c>
      <c r="AD85" t="s">
        <v>2303</v>
      </c>
      <c r="AE85" s="3">
        <v>4947780</v>
      </c>
      <c r="AF85" t="s">
        <v>300</v>
      </c>
      <c r="AG85" s="4">
        <v>14190858</v>
      </c>
      <c r="AH85" t="s">
        <v>10</v>
      </c>
      <c r="AI85" s="1">
        <v>43952</v>
      </c>
      <c r="AJ85">
        <v>68</v>
      </c>
      <c r="AK85" s="2">
        <v>0.67900000000000005</v>
      </c>
      <c r="AL85" s="2">
        <v>0.40799999999999997</v>
      </c>
      <c r="AM85" s="2">
        <v>8.8200000000000001E-2</v>
      </c>
      <c r="AN85" s="2">
        <v>0.13300000000000001</v>
      </c>
      <c r="AO85" s="2">
        <v>0.23</v>
      </c>
      <c r="AP85" s="2">
        <v>0.151</v>
      </c>
      <c r="AQ85" s="2">
        <v>-9.7539999999999996</v>
      </c>
      <c r="AR85">
        <v>206080</v>
      </c>
    </row>
    <row r="86" spans="1:44" x14ac:dyDescent="0.25">
      <c r="A86">
        <v>92</v>
      </c>
      <c r="B86">
        <v>1</v>
      </c>
      <c r="C86">
        <v>40</v>
      </c>
      <c r="D86" s="1">
        <v>44134</v>
      </c>
      <c r="E86" s="59" t="str" cm="1">
        <f t="array" ref="E8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6" t="s">
        <v>201</v>
      </c>
      <c r="G86" s="3">
        <v>7244853</v>
      </c>
      <c r="H86" t="s">
        <v>202</v>
      </c>
      <c r="I86" s="4">
        <v>67158068</v>
      </c>
      <c r="J86" t="s">
        <v>19</v>
      </c>
      <c r="K86" s="1">
        <v>44134</v>
      </c>
      <c r="L86">
        <v>86</v>
      </c>
      <c r="M86" s="2" t="str">
        <f>IF(Spotify[[#This Row],[Energie]]&gt;AVERAGE(Spotify[Energie]),"FORTE","FAIBLE")</f>
        <v>FORTE</v>
      </c>
      <c r="N86" s="2">
        <v>0.73699999999999999</v>
      </c>
      <c r="O86" s="2">
        <v>0.80200000000000005</v>
      </c>
      <c r="P86" s="2">
        <v>8.7800000000000003E-2</v>
      </c>
      <c r="Q86" s="2">
        <v>0.46800000000000003</v>
      </c>
      <c r="R86" s="2">
        <v>9.3100000000000002E-2</v>
      </c>
      <c r="S86" s="2">
        <v>0.68200000000000005</v>
      </c>
      <c r="T86" s="2">
        <v>-4.7709999999999999</v>
      </c>
      <c r="U86">
        <v>172325</v>
      </c>
      <c r="V86">
        <f>YEAR(Spotify[[#This Row],[Date de sortie]])</f>
        <v>2020</v>
      </c>
      <c r="W86" s="2" t="str">
        <f>IF(Spotify[[#This Row],[Popularité]]&gt;=70,"FORTE","FAIBLE")</f>
        <v>FORTE</v>
      </c>
      <c r="Z86">
        <v>977</v>
      </c>
      <c r="AA86">
        <v>29</v>
      </c>
      <c r="AB86">
        <v>2</v>
      </c>
      <c r="AC86" s="1">
        <v>44036</v>
      </c>
      <c r="AD86" t="s">
        <v>1658</v>
      </c>
      <c r="AE86" s="3">
        <v>6796343</v>
      </c>
      <c r="AF86" t="s">
        <v>746</v>
      </c>
      <c r="AG86" s="4">
        <v>42227614</v>
      </c>
      <c r="AH86" t="s">
        <v>10</v>
      </c>
      <c r="AI86" s="1">
        <v>44036</v>
      </c>
      <c r="AJ86">
        <v>67</v>
      </c>
      <c r="AK86" s="2">
        <v>0.59199999999999997</v>
      </c>
      <c r="AL86" s="2">
        <v>0.69899999999999995</v>
      </c>
      <c r="AM86" s="2">
        <v>4.7100000000000003E-2</v>
      </c>
      <c r="AN86" s="2">
        <v>0.65500000000000003</v>
      </c>
      <c r="AO86" s="2">
        <v>0.114</v>
      </c>
      <c r="AP86" s="2">
        <v>0.50600000000000001</v>
      </c>
      <c r="AQ86" s="2">
        <v>-8.9949999999999992</v>
      </c>
      <c r="AR86">
        <v>237258</v>
      </c>
    </row>
    <row r="87" spans="1:44" x14ac:dyDescent="0.25">
      <c r="A87">
        <v>95</v>
      </c>
      <c r="B87">
        <v>75</v>
      </c>
      <c r="C87">
        <v>10</v>
      </c>
      <c r="D87" s="1">
        <v>44379</v>
      </c>
      <c r="E87" s="59" t="str" cm="1">
        <f t="array" ref="E8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7" t="s">
        <v>207</v>
      </c>
      <c r="G87" s="3">
        <v>7064003</v>
      </c>
      <c r="H87" t="s">
        <v>208</v>
      </c>
      <c r="I87" s="4">
        <v>6341942</v>
      </c>
      <c r="J87" t="s">
        <v>25</v>
      </c>
      <c r="K87" s="1">
        <v>44306</v>
      </c>
      <c r="L87">
        <v>86</v>
      </c>
      <c r="M87" s="2" t="str">
        <f>IF(Spotify[[#This Row],[Energie]]&gt;AVERAGE(Spotify[Energie]),"FORTE","FAIBLE")</f>
        <v>FORTE</v>
      </c>
      <c r="N87" s="2">
        <v>0.90800000000000003</v>
      </c>
      <c r="O87" s="2">
        <v>0.81299999999999994</v>
      </c>
      <c r="P87" s="2">
        <v>7.7700000000000005E-2</v>
      </c>
      <c r="Q87" s="2">
        <v>0.30499999999999999</v>
      </c>
      <c r="R87" s="2">
        <v>0.27800000000000002</v>
      </c>
      <c r="S87" s="2">
        <v>0.92400000000000004</v>
      </c>
      <c r="T87" s="2">
        <v>-2.7490000000000001</v>
      </c>
      <c r="U87">
        <v>200785</v>
      </c>
      <c r="V87">
        <f>YEAR(Spotify[[#This Row],[Date de sortie]])</f>
        <v>2021</v>
      </c>
      <c r="W87" s="2" t="str">
        <f>IF(Spotify[[#This Row],[Popularité]]&gt;=70,"FORTE","FAIBLE")</f>
        <v>FORTE</v>
      </c>
      <c r="Z87">
        <v>692</v>
      </c>
      <c r="AA87">
        <v>24</v>
      </c>
      <c r="AB87">
        <v>2</v>
      </c>
      <c r="AC87" s="1">
        <v>44176</v>
      </c>
      <c r="AD87" t="s">
        <v>1233</v>
      </c>
      <c r="AE87" s="3">
        <v>6635109</v>
      </c>
      <c r="AF87" t="s">
        <v>746</v>
      </c>
      <c r="AG87" s="4">
        <v>42227614</v>
      </c>
      <c r="AH87" t="s">
        <v>10</v>
      </c>
      <c r="AI87" s="1">
        <v>44176</v>
      </c>
      <c r="AJ87">
        <v>67</v>
      </c>
      <c r="AK87" s="2">
        <v>0.316</v>
      </c>
      <c r="AL87" s="2">
        <v>0.36099999999999999</v>
      </c>
      <c r="AM87" s="2">
        <v>4.8800000000000003E-2</v>
      </c>
      <c r="AN87" s="2">
        <v>0.878</v>
      </c>
      <c r="AO87" s="2">
        <v>7.9699999999999993E-2</v>
      </c>
      <c r="AP87" s="2">
        <v>0.221</v>
      </c>
      <c r="AQ87" s="2">
        <v>-10.381</v>
      </c>
      <c r="AR87">
        <v>245440</v>
      </c>
    </row>
    <row r="88" spans="1:44" x14ac:dyDescent="0.25">
      <c r="A88">
        <v>97</v>
      </c>
      <c r="B88">
        <v>97</v>
      </c>
      <c r="C88">
        <v>3</v>
      </c>
      <c r="D88" s="1">
        <v>44400</v>
      </c>
      <c r="E88" s="59" t="str" cm="1">
        <f t="array" ref="E8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8" t="s">
        <v>211</v>
      </c>
      <c r="G88" s="3">
        <v>6858466</v>
      </c>
      <c r="H88" t="s">
        <v>18</v>
      </c>
      <c r="I88" s="4">
        <v>8640063</v>
      </c>
      <c r="J88" t="s">
        <v>19</v>
      </c>
      <c r="K88" s="1">
        <v>44372</v>
      </c>
      <c r="L88">
        <v>86</v>
      </c>
      <c r="M88" s="2" t="str">
        <f>IF(Spotify[[#This Row],[Energie]]&gt;AVERAGE(Spotify[Energie]),"FORTE","FAIBLE")</f>
        <v>FORTE</v>
      </c>
      <c r="N88" s="2">
        <v>0.82399999999999995</v>
      </c>
      <c r="O88" s="2">
        <v>0.76400000000000001</v>
      </c>
      <c r="P88" s="2">
        <v>8.5400000000000004E-2</v>
      </c>
      <c r="Q88" s="2">
        <v>8.8800000000000004E-2</v>
      </c>
      <c r="R88" s="2">
        <v>0.11700000000000001</v>
      </c>
      <c r="S88" s="2">
        <v>0.88100000000000001</v>
      </c>
      <c r="T88" s="2">
        <v>-4.1749999999999998</v>
      </c>
      <c r="U88">
        <v>172627</v>
      </c>
      <c r="V88">
        <f>YEAR(Spotify[[#This Row],[Date de sortie]])</f>
        <v>2021</v>
      </c>
      <c r="W88" s="2" t="str">
        <f>IF(Spotify[[#This Row],[Popularité]]&gt;=70,"FORTE","FAIBLE")</f>
        <v>FORTE</v>
      </c>
      <c r="Z88">
        <v>979</v>
      </c>
      <c r="AA88">
        <v>41</v>
      </c>
      <c r="AB88">
        <v>2</v>
      </c>
      <c r="AC88" s="1">
        <v>44036</v>
      </c>
      <c r="AD88" t="s">
        <v>1660</v>
      </c>
      <c r="AE88" s="3">
        <v>5943851</v>
      </c>
      <c r="AF88" t="s">
        <v>746</v>
      </c>
      <c r="AG88" s="4">
        <v>42227614</v>
      </c>
      <c r="AH88" t="s">
        <v>10</v>
      </c>
      <c r="AI88" s="1">
        <v>44036</v>
      </c>
      <c r="AJ88">
        <v>67</v>
      </c>
      <c r="AK88" s="2">
        <v>0.64700000000000002</v>
      </c>
      <c r="AL88" s="2">
        <v>0.27200000000000002</v>
      </c>
      <c r="AM88" s="2">
        <v>9.1600000000000001E-2</v>
      </c>
      <c r="AN88" s="2">
        <v>0.91800000000000004</v>
      </c>
      <c r="AO88" s="2">
        <v>9.1800000000000007E-2</v>
      </c>
      <c r="AP88" s="2">
        <v>0.33900000000000002</v>
      </c>
      <c r="AQ88" s="2">
        <v>-12.906000000000001</v>
      </c>
      <c r="AR88">
        <v>234000</v>
      </c>
    </row>
    <row r="89" spans="1:44" x14ac:dyDescent="0.25">
      <c r="A89">
        <v>102</v>
      </c>
      <c r="B89">
        <v>85</v>
      </c>
      <c r="C89">
        <v>5</v>
      </c>
      <c r="D89" s="1">
        <v>44386</v>
      </c>
      <c r="E89" s="59" t="str" cm="1">
        <f t="array" ref="E8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9" t="s">
        <v>220</v>
      </c>
      <c r="G89" s="3">
        <v>6711375</v>
      </c>
      <c r="H89" t="s">
        <v>221</v>
      </c>
      <c r="I89" s="4">
        <v>3363988</v>
      </c>
      <c r="J89" t="s">
        <v>222</v>
      </c>
      <c r="K89" s="1">
        <v>44351</v>
      </c>
      <c r="L89">
        <v>86</v>
      </c>
      <c r="M89" s="2" t="str">
        <f>IF(Spotify[[#This Row],[Energie]]&gt;AVERAGE(Spotify[Energie]),"FORTE","FAIBLE")</f>
        <v>FAIBLE</v>
      </c>
      <c r="N89" s="2">
        <v>0.38600000000000001</v>
      </c>
      <c r="O89" s="2">
        <v>0.42599999999999999</v>
      </c>
      <c r="P89" s="2">
        <v>3.6299999999999999E-2</v>
      </c>
      <c r="Q89" s="2">
        <v>0.80700000000000005</v>
      </c>
      <c r="R89" s="2">
        <v>0.14000000000000001</v>
      </c>
      <c r="S89" s="2">
        <v>0.26100000000000001</v>
      </c>
      <c r="T89" s="2">
        <v>-6.6420000000000003</v>
      </c>
      <c r="U89">
        <v>203385</v>
      </c>
      <c r="V89">
        <f>YEAR(Spotify[[#This Row],[Date de sortie]])</f>
        <v>2021</v>
      </c>
      <c r="W89" s="2" t="str">
        <f>IF(Spotify[[#This Row],[Popularité]]&gt;=70,"FORTE","FAIBLE")</f>
        <v>FORTE</v>
      </c>
      <c r="Z89">
        <v>134</v>
      </c>
      <c r="AA89">
        <v>76</v>
      </c>
      <c r="AB89">
        <v>16</v>
      </c>
      <c r="AC89" s="1">
        <v>44309</v>
      </c>
      <c r="AD89" t="s">
        <v>284</v>
      </c>
      <c r="AE89" s="3">
        <v>5914661</v>
      </c>
      <c r="AF89" t="s">
        <v>285</v>
      </c>
      <c r="AG89" s="4">
        <v>1838616</v>
      </c>
      <c r="AH89" t="s">
        <v>10</v>
      </c>
      <c r="AI89" s="1">
        <v>41534</v>
      </c>
      <c r="AJ89">
        <v>67</v>
      </c>
      <c r="AK89" s="2">
        <v>0.44500000000000001</v>
      </c>
      <c r="AL89" s="2">
        <v>0.53700000000000003</v>
      </c>
      <c r="AM89" s="2">
        <v>0.04</v>
      </c>
      <c r="AN89" s="2">
        <v>0.69499999999999995</v>
      </c>
      <c r="AO89" s="2">
        <v>9.4100000000000003E-2</v>
      </c>
      <c r="AP89" s="2">
        <v>0.13100000000000001</v>
      </c>
      <c r="AQ89" s="2">
        <v>-8.532</v>
      </c>
      <c r="AR89">
        <v>244360</v>
      </c>
    </row>
    <row r="90" spans="1:44" x14ac:dyDescent="0.25">
      <c r="A90">
        <v>104</v>
      </c>
      <c r="B90">
        <v>88</v>
      </c>
      <c r="C90">
        <v>83</v>
      </c>
      <c r="D90" s="1">
        <v>44008</v>
      </c>
      <c r="E90" s="59" t="str" cm="1">
        <f t="array" ref="E9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90" t="s">
        <v>225</v>
      </c>
      <c r="G90" s="3">
        <v>6699895</v>
      </c>
      <c r="H90" t="s">
        <v>226</v>
      </c>
      <c r="I90" s="4">
        <v>35285425</v>
      </c>
      <c r="J90" t="s">
        <v>227</v>
      </c>
      <c r="K90" s="1">
        <v>42909</v>
      </c>
      <c r="L90">
        <v>86</v>
      </c>
      <c r="M90" s="2" t="str">
        <f>IF(Spotify[[#This Row],[Energie]]&gt;AVERAGE(Spotify[Energie]),"FORTE","FAIBLE")</f>
        <v>FORTE</v>
      </c>
      <c r="N90" s="2">
        <v>0.77600000000000002</v>
      </c>
      <c r="O90" s="2">
        <v>0.78</v>
      </c>
      <c r="P90" s="2">
        <v>0.128</v>
      </c>
      <c r="Q90" s="2">
        <v>6.2199999999999998E-2</v>
      </c>
      <c r="R90" s="2">
        <v>8.1000000000000003E-2</v>
      </c>
      <c r="S90" s="2">
        <v>0.66600000000000004</v>
      </c>
      <c r="T90" s="2">
        <v>-4.3739999999999997</v>
      </c>
      <c r="U90">
        <v>204347</v>
      </c>
      <c r="V90">
        <f>YEAR(Spotify[[#This Row],[Date de sortie]])</f>
        <v>2017</v>
      </c>
      <c r="W90" s="2" t="str">
        <f>IF(Spotify[[#This Row],[Popularité]]&gt;=70,"FORTE","FAIBLE")</f>
        <v>FORTE</v>
      </c>
      <c r="Z90">
        <v>440</v>
      </c>
      <c r="AA90">
        <v>146</v>
      </c>
      <c r="AB90">
        <v>1</v>
      </c>
      <c r="AC90" s="1">
        <v>44295</v>
      </c>
      <c r="AD90" t="s">
        <v>807</v>
      </c>
      <c r="AE90" s="3">
        <v>5889939</v>
      </c>
      <c r="AF90" t="s">
        <v>746</v>
      </c>
      <c r="AG90" s="4">
        <v>42227614</v>
      </c>
      <c r="AH90" t="s">
        <v>10</v>
      </c>
      <c r="AI90" s="1">
        <v>44295</v>
      </c>
      <c r="AJ90">
        <v>67</v>
      </c>
      <c r="AK90" s="2">
        <v>0.58799999999999997</v>
      </c>
      <c r="AL90" s="2">
        <v>0.60799999999999998</v>
      </c>
      <c r="AM90" s="2">
        <v>3.6499999999999998E-2</v>
      </c>
      <c r="AN90" s="2">
        <v>0.22500000000000001</v>
      </c>
      <c r="AO90" s="2">
        <v>9.1999999999999998E-2</v>
      </c>
      <c r="AP90" s="2">
        <v>0.50800000000000001</v>
      </c>
      <c r="AQ90" s="2">
        <v>-7.0620000000000003</v>
      </c>
      <c r="AR90">
        <v>189496</v>
      </c>
    </row>
    <row r="91" spans="1:44" x14ac:dyDescent="0.25">
      <c r="A91">
        <v>108</v>
      </c>
      <c r="B91">
        <v>59</v>
      </c>
      <c r="C91">
        <v>11</v>
      </c>
      <c r="D91" s="1">
        <v>44351</v>
      </c>
      <c r="E91" s="59" t="str" cm="1">
        <f t="array" ref="E9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1" t="s">
        <v>236</v>
      </c>
      <c r="G91" s="3">
        <v>6635076</v>
      </c>
      <c r="H91" t="s">
        <v>237</v>
      </c>
      <c r="I91" s="4">
        <v>8758283</v>
      </c>
      <c r="J91" t="s">
        <v>25</v>
      </c>
      <c r="K91" s="1">
        <v>44301</v>
      </c>
      <c r="L91">
        <v>86</v>
      </c>
      <c r="M91" s="2" t="str">
        <f>IF(Spotify[[#This Row],[Energie]]&gt;AVERAGE(Spotify[Energie]),"FORTE","FAIBLE")</f>
        <v>FORTE</v>
      </c>
      <c r="N91" s="2">
        <v>0.78600000000000003</v>
      </c>
      <c r="O91" s="2">
        <v>0.89900000000000002</v>
      </c>
      <c r="P91" s="2">
        <v>0.127</v>
      </c>
      <c r="Q91" s="2">
        <v>0.192</v>
      </c>
      <c r="R91" s="2">
        <v>0.29899999999999999</v>
      </c>
      <c r="S91" s="2">
        <v>0.81299999999999994</v>
      </c>
      <c r="T91" s="2">
        <v>-0.51500000000000001</v>
      </c>
      <c r="U91">
        <v>216510</v>
      </c>
      <c r="V91">
        <f>YEAR(Spotify[[#This Row],[Date de sortie]])</f>
        <v>2021</v>
      </c>
      <c r="W91" s="2" t="str">
        <f>IF(Spotify[[#This Row],[Popularité]]&gt;=70,"FORTE","FAIBLE")</f>
        <v>FORTE</v>
      </c>
      <c r="Z91">
        <v>696</v>
      </c>
      <c r="AA91">
        <v>34</v>
      </c>
      <c r="AB91">
        <v>1</v>
      </c>
      <c r="AC91" s="1">
        <v>44176</v>
      </c>
      <c r="AD91" t="s">
        <v>1238</v>
      </c>
      <c r="AE91" s="3">
        <v>14519547</v>
      </c>
      <c r="AF91" t="s">
        <v>746</v>
      </c>
      <c r="AG91" s="4">
        <v>42227614</v>
      </c>
      <c r="AH91" t="s">
        <v>10</v>
      </c>
      <c r="AI91" s="1">
        <v>44176</v>
      </c>
      <c r="AJ91">
        <v>66</v>
      </c>
      <c r="AK91" s="2">
        <v>0.51500000000000001</v>
      </c>
      <c r="AL91" s="2">
        <v>0.54500000000000004</v>
      </c>
      <c r="AM91" s="2">
        <v>3.5299999999999998E-2</v>
      </c>
      <c r="AN91" s="2">
        <v>0.85499999999999998</v>
      </c>
      <c r="AO91" s="2">
        <v>9.2100000000000001E-2</v>
      </c>
      <c r="AP91" s="2">
        <v>0.53500000000000003</v>
      </c>
      <c r="AQ91" s="2">
        <v>-9.2769999999999992</v>
      </c>
      <c r="AR91">
        <v>260440</v>
      </c>
    </row>
    <row r="92" spans="1:44" x14ac:dyDescent="0.25">
      <c r="A92">
        <v>109</v>
      </c>
      <c r="B92">
        <v>109</v>
      </c>
      <c r="C92">
        <v>3</v>
      </c>
      <c r="D92" s="1">
        <v>44400</v>
      </c>
      <c r="E92" s="59" t="str" cm="1">
        <f t="array" ref="E9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2" t="s">
        <v>238</v>
      </c>
      <c r="G92" s="3">
        <v>6614072</v>
      </c>
      <c r="H92" t="s">
        <v>239</v>
      </c>
      <c r="I92" s="4">
        <v>10356559</v>
      </c>
      <c r="J92" t="s">
        <v>19</v>
      </c>
      <c r="K92" s="1">
        <v>44350</v>
      </c>
      <c r="L92">
        <v>86</v>
      </c>
      <c r="M92" s="2" t="str">
        <f>IF(Spotify[[#This Row],[Energie]]&gt;AVERAGE(Spotify[Energie]),"FORTE","FAIBLE")</f>
        <v>FORTE</v>
      </c>
      <c r="N92" s="2">
        <v>0.93</v>
      </c>
      <c r="O92" s="2">
        <v>0.83699999999999997</v>
      </c>
      <c r="P92" s="2">
        <v>0.187</v>
      </c>
      <c r="Q92" s="2">
        <v>0.25600000000000001</v>
      </c>
      <c r="R92" s="2">
        <v>0.23899999999999999</v>
      </c>
      <c r="S92" s="2">
        <v>0.82099999999999995</v>
      </c>
      <c r="T92" s="2">
        <v>-4.6319999999999997</v>
      </c>
      <c r="U92">
        <v>158532</v>
      </c>
      <c r="V92">
        <f>YEAR(Spotify[[#This Row],[Date de sortie]])</f>
        <v>2021</v>
      </c>
      <c r="W92" s="2" t="str">
        <f>IF(Spotify[[#This Row],[Popularité]]&gt;=70,"FORTE","FAIBLE")</f>
        <v>FORTE</v>
      </c>
      <c r="Z92">
        <v>699</v>
      </c>
      <c r="AA92">
        <v>43</v>
      </c>
      <c r="AB92">
        <v>1</v>
      </c>
      <c r="AC92" s="1">
        <v>44176</v>
      </c>
      <c r="AD92" t="s">
        <v>1241</v>
      </c>
      <c r="AE92" s="3">
        <v>13810722</v>
      </c>
      <c r="AF92" t="s">
        <v>746</v>
      </c>
      <c r="AG92" s="4">
        <v>42227614</v>
      </c>
      <c r="AH92" t="s">
        <v>10</v>
      </c>
      <c r="AI92" s="1">
        <v>44176</v>
      </c>
      <c r="AJ92">
        <v>66</v>
      </c>
      <c r="AK92" s="2">
        <v>0.39</v>
      </c>
      <c r="AL92" s="2">
        <v>0.27</v>
      </c>
      <c r="AM92" s="2">
        <v>3.0800000000000001E-2</v>
      </c>
      <c r="AN92" s="2">
        <v>0.93700000000000006</v>
      </c>
      <c r="AO92" s="2">
        <v>0.111</v>
      </c>
      <c r="AP92" s="2">
        <v>0.32</v>
      </c>
      <c r="AQ92" s="2">
        <v>-10.673</v>
      </c>
      <c r="AR92">
        <v>304107</v>
      </c>
    </row>
    <row r="93" spans="1:44" x14ac:dyDescent="0.25">
      <c r="A93">
        <v>110</v>
      </c>
      <c r="B93">
        <v>110</v>
      </c>
      <c r="C93">
        <v>1</v>
      </c>
      <c r="D93" s="1">
        <v>44400</v>
      </c>
      <c r="E93" s="59" t="str" cm="1">
        <f t="array" ref="E9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3" t="s">
        <v>240</v>
      </c>
      <c r="G93" s="3">
        <v>6584896</v>
      </c>
      <c r="H93" t="s">
        <v>241</v>
      </c>
      <c r="I93" s="4">
        <v>56699</v>
      </c>
      <c r="J93"/>
      <c r="K93" s="1">
        <v>44386</v>
      </c>
      <c r="L93">
        <v>86</v>
      </c>
      <c r="M93" s="2" t="str">
        <f>IF(Spotify[[#This Row],[Energie]]&gt;AVERAGE(Spotify[Energie]),"FORTE","FAIBLE")</f>
        <v>FAIBLE</v>
      </c>
      <c r="N93" s="2">
        <v>0.56999999999999995</v>
      </c>
      <c r="O93" s="2">
        <v>0.45500000000000002</v>
      </c>
      <c r="P93" s="2">
        <v>9.9599999999999994E-2</v>
      </c>
      <c r="Q93" s="2">
        <v>0.441</v>
      </c>
      <c r="R93" s="2">
        <v>6.54E-2</v>
      </c>
      <c r="S93" s="2">
        <v>0.39900000000000002</v>
      </c>
      <c r="T93" s="2">
        <v>-5.7480000000000002</v>
      </c>
      <c r="U93">
        <v>151429</v>
      </c>
      <c r="V93">
        <f>YEAR(Spotify[[#This Row],[Date de sortie]])</f>
        <v>2021</v>
      </c>
      <c r="W93" s="2" t="str">
        <f>IF(Spotify[[#This Row],[Popularité]]&gt;=70,"FORTE","FAIBLE")</f>
        <v>FORTE</v>
      </c>
      <c r="Z93">
        <v>700</v>
      </c>
      <c r="AA93">
        <v>45</v>
      </c>
      <c r="AB93">
        <v>1</v>
      </c>
      <c r="AC93" s="1">
        <v>44176</v>
      </c>
      <c r="AD93" t="s">
        <v>1242</v>
      </c>
      <c r="AE93" s="3">
        <v>13583538</v>
      </c>
      <c r="AF93" t="s">
        <v>746</v>
      </c>
      <c r="AG93" s="4">
        <v>42227614</v>
      </c>
      <c r="AH93" t="s">
        <v>10</v>
      </c>
      <c r="AI93" s="1">
        <v>44176</v>
      </c>
      <c r="AJ93">
        <v>66</v>
      </c>
      <c r="AK93" s="2">
        <v>0.54600000000000004</v>
      </c>
      <c r="AL93" s="2">
        <v>0.73</v>
      </c>
      <c r="AM93" s="2">
        <v>4.1700000000000001E-2</v>
      </c>
      <c r="AN93" s="2">
        <v>0.66</v>
      </c>
      <c r="AO93" s="2">
        <v>9.7199999999999995E-2</v>
      </c>
      <c r="AP93" s="2">
        <v>0.57299999999999995</v>
      </c>
      <c r="AQ93" s="2">
        <v>-7.7039999999999997</v>
      </c>
      <c r="AR93">
        <v>215920</v>
      </c>
    </row>
    <row r="94" spans="1:44" x14ac:dyDescent="0.25">
      <c r="A94">
        <v>111</v>
      </c>
      <c r="B94">
        <v>46</v>
      </c>
      <c r="C94">
        <v>83</v>
      </c>
      <c r="D94" s="1">
        <v>43938</v>
      </c>
      <c r="E94" s="59" t="str" cm="1">
        <f t="array" ref="E9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4" t="s">
        <v>242</v>
      </c>
      <c r="G94" s="3">
        <v>6569547</v>
      </c>
      <c r="H94" t="s">
        <v>114</v>
      </c>
      <c r="I94" s="4">
        <v>47014200</v>
      </c>
      <c r="J94" t="s">
        <v>115</v>
      </c>
      <c r="K94" s="1">
        <v>43209</v>
      </c>
      <c r="L94">
        <v>86</v>
      </c>
      <c r="M94" s="2" t="str">
        <f>IF(Spotify[[#This Row],[Energie]]&gt;AVERAGE(Spotify[Energie]),"FORTE","FAIBLE")</f>
        <v>FAIBLE</v>
      </c>
      <c r="N94" s="2">
        <v>0.35099999999999998</v>
      </c>
      <c r="O94" s="2">
        <v>0.29599999999999999</v>
      </c>
      <c r="P94" s="2">
        <v>3.3300000000000003E-2</v>
      </c>
      <c r="Q94" s="2">
        <v>0.93400000000000005</v>
      </c>
      <c r="R94" s="2">
        <v>9.5000000000000001E-2</v>
      </c>
      <c r="S94" s="2">
        <v>0.12</v>
      </c>
      <c r="T94" s="2">
        <v>-10.109</v>
      </c>
      <c r="U94">
        <v>200186</v>
      </c>
      <c r="V94">
        <f>YEAR(Spotify[[#This Row],[Date de sortie]])</f>
        <v>2018</v>
      </c>
      <c r="W94" s="2" t="str">
        <f>IF(Spotify[[#This Row],[Popularité]]&gt;=70,"FORTE","FAIBLE")</f>
        <v>FORTE</v>
      </c>
      <c r="Z94">
        <v>668</v>
      </c>
      <c r="AA94">
        <v>22</v>
      </c>
      <c r="AB94">
        <v>2</v>
      </c>
      <c r="AC94" s="1">
        <v>44176</v>
      </c>
      <c r="AD94" t="s">
        <v>1190</v>
      </c>
      <c r="AE94" s="3">
        <v>8115520</v>
      </c>
      <c r="AF94" t="s">
        <v>746</v>
      </c>
      <c r="AG94" s="4">
        <v>42227614</v>
      </c>
      <c r="AH94" t="s">
        <v>10</v>
      </c>
      <c r="AI94" s="1">
        <v>44176</v>
      </c>
      <c r="AJ94">
        <v>66</v>
      </c>
      <c r="AK94" s="2">
        <v>0.57499999999999996</v>
      </c>
      <c r="AL94" s="2">
        <v>0.434</v>
      </c>
      <c r="AM94" s="2">
        <v>3.1199999999999999E-2</v>
      </c>
      <c r="AN94" s="2">
        <v>0.73499999999999999</v>
      </c>
      <c r="AO94" s="2">
        <v>0.105</v>
      </c>
      <c r="AP94" s="2">
        <v>0.34799999999999998</v>
      </c>
      <c r="AQ94" s="2">
        <v>-8.1929999999999996</v>
      </c>
      <c r="AR94">
        <v>229840</v>
      </c>
    </row>
    <row r="95" spans="1:44" x14ac:dyDescent="0.25">
      <c r="A95">
        <v>113</v>
      </c>
      <c r="B95">
        <v>113</v>
      </c>
      <c r="C95">
        <v>3</v>
      </c>
      <c r="D95" s="1">
        <v>44400</v>
      </c>
      <c r="E95" s="59" t="str" cm="1">
        <f t="array" ref="E9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5" t="s">
        <v>245</v>
      </c>
      <c r="G95" s="3">
        <v>6539852</v>
      </c>
      <c r="H95" t="s">
        <v>246</v>
      </c>
      <c r="I95" s="4">
        <v>73211</v>
      </c>
      <c r="J95" t="s">
        <v>247</v>
      </c>
      <c r="K95" s="1">
        <v>43609</v>
      </c>
      <c r="L95">
        <v>86</v>
      </c>
      <c r="M95" s="2" t="str">
        <f>IF(Spotify[[#This Row],[Energie]]&gt;AVERAGE(Spotify[Energie]),"FORTE","FAIBLE")</f>
        <v>FAIBLE</v>
      </c>
      <c r="N95" s="2">
        <v>0.66300000000000003</v>
      </c>
      <c r="O95" s="2">
        <v>0.434</v>
      </c>
      <c r="P95" s="2">
        <v>6.4799999999999996E-2</v>
      </c>
      <c r="Q95" s="2">
        <v>0.82799999999999996</v>
      </c>
      <c r="R95" s="2">
        <v>0.249</v>
      </c>
      <c r="S95" s="2">
        <v>0.22500000000000001</v>
      </c>
      <c r="T95" s="2">
        <v>-11.177</v>
      </c>
      <c r="U95">
        <v>171743</v>
      </c>
      <c r="V95">
        <f>YEAR(Spotify[[#This Row],[Date de sortie]])</f>
        <v>2019</v>
      </c>
      <c r="W95" s="2" t="str">
        <f>IF(Spotify[[#This Row],[Popularité]]&gt;=70,"FORTE","FAIBLE")</f>
        <v>FORTE</v>
      </c>
      <c r="Z95">
        <v>432</v>
      </c>
      <c r="AA95">
        <v>80</v>
      </c>
      <c r="AB95">
        <v>1</v>
      </c>
      <c r="AC95" s="1">
        <v>44295</v>
      </c>
      <c r="AD95" t="s">
        <v>799</v>
      </c>
      <c r="AE95" s="3">
        <v>7852063</v>
      </c>
      <c r="AF95" t="s">
        <v>746</v>
      </c>
      <c r="AG95" s="4">
        <v>42227614</v>
      </c>
      <c r="AH95" t="s">
        <v>10</v>
      </c>
      <c r="AI95" s="1">
        <v>44295</v>
      </c>
      <c r="AJ95">
        <v>66</v>
      </c>
      <c r="AK95" s="2">
        <v>0.55900000000000005</v>
      </c>
      <c r="AL95" s="2">
        <v>0.64600000000000002</v>
      </c>
      <c r="AM95" s="2">
        <v>2.7199999999999998E-2</v>
      </c>
      <c r="AN95" s="2">
        <v>0.11600000000000001</v>
      </c>
      <c r="AO95" s="2">
        <v>0.32</v>
      </c>
      <c r="AP95" s="2">
        <v>0.28899999999999998</v>
      </c>
      <c r="AQ95" s="2">
        <v>-4.6100000000000003</v>
      </c>
      <c r="AR95">
        <v>294419</v>
      </c>
    </row>
    <row r="96" spans="1:44" x14ac:dyDescent="0.25">
      <c r="A96">
        <v>114</v>
      </c>
      <c r="B96">
        <v>9</v>
      </c>
      <c r="C96">
        <v>29</v>
      </c>
      <c r="D96" s="1">
        <v>44232</v>
      </c>
      <c r="E96" s="59" t="str" cm="1">
        <f t="array" ref="E9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6" t="s">
        <v>248</v>
      </c>
      <c r="G96" s="3">
        <v>6502302</v>
      </c>
      <c r="H96" t="s">
        <v>18</v>
      </c>
      <c r="I96" s="4">
        <v>8640063</v>
      </c>
      <c r="J96" t="s">
        <v>19</v>
      </c>
      <c r="K96" s="1">
        <v>43776</v>
      </c>
      <c r="L96">
        <v>86</v>
      </c>
      <c r="M96" s="2" t="str">
        <f>IF(Spotify[[#This Row],[Energie]]&gt;AVERAGE(Spotify[Energie]),"FORTE","FAIBLE")</f>
        <v>FAIBLE</v>
      </c>
      <c r="N96" s="2">
        <v>0.749</v>
      </c>
      <c r="O96" s="2">
        <v>0.46300000000000002</v>
      </c>
      <c r="P96" s="2">
        <v>8.4199999999999997E-2</v>
      </c>
      <c r="Q96" s="2">
        <v>0.21</v>
      </c>
      <c r="R96" s="2">
        <v>0.33800000000000002</v>
      </c>
      <c r="S96" s="2">
        <v>0.189</v>
      </c>
      <c r="T96" s="2">
        <v>-8.4329999999999998</v>
      </c>
      <c r="U96">
        <v>226987</v>
      </c>
      <c r="V96">
        <f>YEAR(Spotify[[#This Row],[Date de sortie]])</f>
        <v>2019</v>
      </c>
      <c r="W96" s="2" t="str">
        <f>IF(Spotify[[#This Row],[Popularité]]&gt;=70,"FORTE","FAIBLE")</f>
        <v>FORTE</v>
      </c>
      <c r="Z96">
        <v>435</v>
      </c>
      <c r="AA96">
        <v>93</v>
      </c>
      <c r="AB96">
        <v>1</v>
      </c>
      <c r="AC96" s="1">
        <v>44295</v>
      </c>
      <c r="AD96" t="s">
        <v>802</v>
      </c>
      <c r="AE96" s="3">
        <v>7385864</v>
      </c>
      <c r="AF96" t="s">
        <v>746</v>
      </c>
      <c r="AG96" s="4">
        <v>42227614</v>
      </c>
      <c r="AH96" t="s">
        <v>10</v>
      </c>
      <c r="AI96" s="1">
        <v>44295</v>
      </c>
      <c r="AJ96">
        <v>66</v>
      </c>
      <c r="AK96" s="2">
        <v>0.78800000000000003</v>
      </c>
      <c r="AL96" s="2">
        <v>0.57099999999999995</v>
      </c>
      <c r="AM96" s="2">
        <v>2.9600000000000001E-2</v>
      </c>
      <c r="AN96" s="2">
        <v>0.106</v>
      </c>
      <c r="AO96" s="2">
        <v>9.3399999999999997E-2</v>
      </c>
      <c r="AP96" s="2">
        <v>0.79700000000000004</v>
      </c>
      <c r="AQ96" s="2">
        <v>-6.1349999999999998</v>
      </c>
      <c r="AR96">
        <v>254255</v>
      </c>
    </row>
    <row r="97" spans="1:44" x14ac:dyDescent="0.25">
      <c r="A97">
        <v>120</v>
      </c>
      <c r="B97">
        <v>99</v>
      </c>
      <c r="C97">
        <v>83</v>
      </c>
      <c r="D97" s="1">
        <v>44036</v>
      </c>
      <c r="E97" s="59" t="str" cm="1">
        <f t="array" ref="E9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7" t="s">
        <v>258</v>
      </c>
      <c r="G97" s="3">
        <v>6278765</v>
      </c>
      <c r="H97" t="s">
        <v>12</v>
      </c>
      <c r="I97" s="4">
        <v>83293380</v>
      </c>
      <c r="J97" t="s">
        <v>10</v>
      </c>
      <c r="K97" s="1">
        <v>42797</v>
      </c>
      <c r="L97">
        <v>86</v>
      </c>
      <c r="M97" s="2" t="str">
        <f>IF(Spotify[[#This Row],[Energie]]&gt;AVERAGE(Spotify[Energie]),"FORTE","FAIBLE")</f>
        <v>FAIBLE</v>
      </c>
      <c r="N97" s="2">
        <v>0.59899999999999998</v>
      </c>
      <c r="O97" s="2">
        <v>0.44800000000000001</v>
      </c>
      <c r="P97" s="2">
        <v>2.3199999999999998E-2</v>
      </c>
      <c r="Q97" s="2">
        <v>0.16300000000000001</v>
      </c>
      <c r="R97" s="2">
        <v>0.106</v>
      </c>
      <c r="S97" s="2">
        <v>0.16800000000000001</v>
      </c>
      <c r="T97" s="2">
        <v>-6.3120000000000003</v>
      </c>
      <c r="U97">
        <v>263400</v>
      </c>
      <c r="V97">
        <f>YEAR(Spotify[[#This Row],[Date de sortie]])</f>
        <v>2017</v>
      </c>
      <c r="W97" s="2" t="str">
        <f>IF(Spotify[[#This Row],[Popularité]]&gt;=70,"FORTE","FAIBLE")</f>
        <v>FORTE</v>
      </c>
      <c r="Z97">
        <v>437</v>
      </c>
      <c r="AA97">
        <v>114</v>
      </c>
      <c r="AB97">
        <v>1</v>
      </c>
      <c r="AC97" s="1">
        <v>44295</v>
      </c>
      <c r="AD97" t="s">
        <v>804</v>
      </c>
      <c r="AE97" s="3">
        <v>6566059</v>
      </c>
      <c r="AF97" t="s">
        <v>746</v>
      </c>
      <c r="AG97" s="4">
        <v>42227614</v>
      </c>
      <c r="AH97" t="s">
        <v>10</v>
      </c>
      <c r="AI97" s="1">
        <v>44295</v>
      </c>
      <c r="AJ97">
        <v>66</v>
      </c>
      <c r="AK97" s="2">
        <v>0.59799999999999998</v>
      </c>
      <c r="AL97" s="2">
        <v>0.82099999999999995</v>
      </c>
      <c r="AM97" s="2">
        <v>4.4699999999999997E-2</v>
      </c>
      <c r="AN97" s="2">
        <v>2.3099999999999999E-2</v>
      </c>
      <c r="AO97" s="2">
        <v>0.14299999999999999</v>
      </c>
      <c r="AP97" s="2">
        <v>0.67300000000000004</v>
      </c>
      <c r="AQ97" s="2">
        <v>-4.4329999999999998</v>
      </c>
      <c r="AR97">
        <v>225328</v>
      </c>
    </row>
    <row r="98" spans="1:44" x14ac:dyDescent="0.25">
      <c r="A98">
        <v>122</v>
      </c>
      <c r="B98">
        <v>2</v>
      </c>
      <c r="C98">
        <v>35</v>
      </c>
      <c r="D98" s="1">
        <v>44162</v>
      </c>
      <c r="E98" s="59" t="str" cm="1">
        <f t="array" ref="E9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8" t="s">
        <v>261</v>
      </c>
      <c r="G98" s="3">
        <v>6242863</v>
      </c>
      <c r="H98" t="s">
        <v>262</v>
      </c>
      <c r="I98" s="4">
        <v>36142273</v>
      </c>
      <c r="J98" t="s">
        <v>25</v>
      </c>
      <c r="K98" s="1">
        <v>44162</v>
      </c>
      <c r="L98">
        <v>86</v>
      </c>
      <c r="M98" s="2" t="str">
        <f>IF(Spotify[[#This Row],[Energie]]&gt;AVERAGE(Spotify[Energie]),"FORTE","FAIBLE")</f>
        <v>FAIBLE</v>
      </c>
      <c r="N98" s="2">
        <v>0.85599999999999998</v>
      </c>
      <c r="O98" s="2">
        <v>0.61799999999999999</v>
      </c>
      <c r="P98" s="2">
        <v>0.28599999999999998</v>
      </c>
      <c r="Q98" s="2">
        <v>3.0300000000000001E-2</v>
      </c>
      <c r="R98" s="2">
        <v>8.6599999999999996E-2</v>
      </c>
      <c r="S98" s="2">
        <v>0.39100000000000001</v>
      </c>
      <c r="T98" s="2">
        <v>-4.8920000000000003</v>
      </c>
      <c r="U98">
        <v>203201</v>
      </c>
      <c r="V98">
        <f>YEAR(Spotify[[#This Row],[Date de sortie]])</f>
        <v>2020</v>
      </c>
      <c r="W98" s="2" t="str">
        <f>IF(Spotify[[#This Row],[Popularité]]&gt;=70,"FORTE","FAIBLE")</f>
        <v>FORTE</v>
      </c>
      <c r="Z98">
        <v>978</v>
      </c>
      <c r="AA98">
        <v>33</v>
      </c>
      <c r="AB98">
        <v>2</v>
      </c>
      <c r="AC98" s="1">
        <v>44036</v>
      </c>
      <c r="AD98" t="s">
        <v>1659</v>
      </c>
      <c r="AE98" s="3">
        <v>6085522</v>
      </c>
      <c r="AF98" t="s">
        <v>746</v>
      </c>
      <c r="AG98" s="4">
        <v>42227614</v>
      </c>
      <c r="AH98" t="s">
        <v>10</v>
      </c>
      <c r="AI98" s="1">
        <v>44036</v>
      </c>
      <c r="AJ98">
        <v>66</v>
      </c>
      <c r="AK98" s="2">
        <v>0.35399999999999998</v>
      </c>
      <c r="AL98" s="2">
        <v>0.26700000000000002</v>
      </c>
      <c r="AM98" s="2">
        <v>2.81E-2</v>
      </c>
      <c r="AN98" s="2">
        <v>0.73099999999999998</v>
      </c>
      <c r="AO98" s="2">
        <v>8.5800000000000001E-2</v>
      </c>
      <c r="AP98" s="2">
        <v>0.113</v>
      </c>
      <c r="AQ98" s="2">
        <v>-13.69</v>
      </c>
      <c r="AR98">
        <v>289749</v>
      </c>
    </row>
    <row r="99" spans="1:44" x14ac:dyDescent="0.25">
      <c r="A99">
        <v>123</v>
      </c>
      <c r="B99">
        <v>1</v>
      </c>
      <c r="C99">
        <v>67</v>
      </c>
      <c r="D99" s="1">
        <v>44029</v>
      </c>
      <c r="E99" s="59" t="str" cm="1">
        <f t="array" ref="E9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99" t="s">
        <v>263</v>
      </c>
      <c r="G99" s="3">
        <v>6180056</v>
      </c>
      <c r="H99" t="s">
        <v>264</v>
      </c>
      <c r="I99" s="4">
        <v>7593046</v>
      </c>
      <c r="J99" t="s">
        <v>265</v>
      </c>
      <c r="K99" s="1">
        <v>43938</v>
      </c>
      <c r="L99">
        <v>86</v>
      </c>
      <c r="M99" s="2" t="str">
        <f>IF(Spotify[[#This Row],[Energie]]&gt;AVERAGE(Spotify[Energie]),"FORTE","FAIBLE")</f>
        <v>FORTE</v>
      </c>
      <c r="N99" s="2">
        <v>0.746</v>
      </c>
      <c r="O99" s="2">
        <v>0.69</v>
      </c>
      <c r="P99" s="2">
        <v>0.16400000000000001</v>
      </c>
      <c r="Q99" s="2">
        <v>0.247</v>
      </c>
      <c r="R99" s="2">
        <v>0.10100000000000001</v>
      </c>
      <c r="S99" s="2">
        <v>0.497</v>
      </c>
      <c r="T99" s="2">
        <v>-7.9560000000000004</v>
      </c>
      <c r="U99">
        <v>181733</v>
      </c>
      <c r="V99">
        <f>YEAR(Spotify[[#This Row],[Date de sortie]])</f>
        <v>2020</v>
      </c>
      <c r="W99" s="2" t="str">
        <f>IF(Spotify[[#This Row],[Popularité]]&gt;=70,"FORTE","FAIBLE")</f>
        <v>FORTE</v>
      </c>
      <c r="Z99">
        <v>984</v>
      </c>
      <c r="AA99">
        <v>47</v>
      </c>
      <c r="AB99">
        <v>2</v>
      </c>
      <c r="AC99" s="1">
        <v>44036</v>
      </c>
      <c r="AD99" t="s">
        <v>1666</v>
      </c>
      <c r="AE99" s="3">
        <v>5375944</v>
      </c>
      <c r="AF99" t="s">
        <v>746</v>
      </c>
      <c r="AG99" s="4">
        <v>42227614</v>
      </c>
      <c r="AH99" t="s">
        <v>10</v>
      </c>
      <c r="AI99" s="1">
        <v>44036</v>
      </c>
      <c r="AJ99">
        <v>66</v>
      </c>
      <c r="AK99" s="2">
        <v>0.66200000000000003</v>
      </c>
      <c r="AL99" s="2">
        <v>0.18099999999999999</v>
      </c>
      <c r="AM99" s="2">
        <v>4.1500000000000002E-2</v>
      </c>
      <c r="AN99" s="2">
        <v>0.96599999999999997</v>
      </c>
      <c r="AO99" s="2">
        <v>0.13300000000000001</v>
      </c>
      <c r="AP99" s="2">
        <v>0.42899999999999999</v>
      </c>
      <c r="AQ99" s="2">
        <v>-15.065</v>
      </c>
      <c r="AR99">
        <v>220043</v>
      </c>
    </row>
    <row r="100" spans="1:44" x14ac:dyDescent="0.25">
      <c r="A100">
        <v>124</v>
      </c>
      <c r="B100">
        <v>12</v>
      </c>
      <c r="C100">
        <v>53</v>
      </c>
      <c r="D100" s="1">
        <v>44078</v>
      </c>
      <c r="E100" s="59" t="str" cm="1">
        <f t="array" ref="E10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0" t="s">
        <v>266</v>
      </c>
      <c r="G100" s="3">
        <v>6164795</v>
      </c>
      <c r="H100" t="s">
        <v>267</v>
      </c>
      <c r="I100" s="4">
        <v>3794081</v>
      </c>
      <c r="J100" t="s">
        <v>222</v>
      </c>
      <c r="K100" s="1">
        <v>43910</v>
      </c>
      <c r="L100">
        <v>86</v>
      </c>
      <c r="M100" s="2" t="str">
        <f>IF(Spotify[[#This Row],[Energie]]&gt;AVERAGE(Spotify[Energie]),"FORTE","FAIBLE")</f>
        <v>FAIBLE</v>
      </c>
      <c r="N100" s="2">
        <v>0.35699999999999998</v>
      </c>
      <c r="O100" s="2">
        <v>0.42499999999999999</v>
      </c>
      <c r="P100" s="2">
        <v>3.3300000000000003E-2</v>
      </c>
      <c r="Q100" s="2">
        <v>0.58399999999999996</v>
      </c>
      <c r="R100" s="2">
        <v>0.32200000000000001</v>
      </c>
      <c r="S100" s="2">
        <v>0.27</v>
      </c>
      <c r="T100" s="2">
        <v>-7.3010000000000002</v>
      </c>
      <c r="U100">
        <v>198040</v>
      </c>
      <c r="V100">
        <f>YEAR(Spotify[[#This Row],[Date de sortie]])</f>
        <v>2020</v>
      </c>
      <c r="W100" s="2" t="str">
        <f>IF(Spotify[[#This Row],[Popularité]]&gt;=70,"FORTE","FAIBLE")</f>
        <v>FORTE</v>
      </c>
      <c r="Z100">
        <v>1083</v>
      </c>
      <c r="AA100">
        <v>94</v>
      </c>
      <c r="AB100">
        <v>18</v>
      </c>
      <c r="AC100" s="1">
        <v>43826</v>
      </c>
      <c r="AD100" t="s">
        <v>1800</v>
      </c>
      <c r="AE100" s="3">
        <v>4318772</v>
      </c>
      <c r="AF100" t="s">
        <v>130</v>
      </c>
      <c r="AG100" s="4">
        <v>32279979</v>
      </c>
      <c r="AH100" t="s">
        <v>10</v>
      </c>
      <c r="AI100" s="1">
        <v>43266</v>
      </c>
      <c r="AJ100">
        <v>66</v>
      </c>
      <c r="AK100" s="2">
        <v>0.85099999999999998</v>
      </c>
      <c r="AL100" s="2">
        <v>0.54100000000000004</v>
      </c>
      <c r="AM100" s="2">
        <v>5.0500000000000003E-2</v>
      </c>
      <c r="AN100" s="2">
        <v>0.56799999999999995</v>
      </c>
      <c r="AO100" s="2">
        <v>0.13</v>
      </c>
      <c r="AP100" s="2">
        <v>0.44800000000000001</v>
      </c>
      <c r="AQ100" s="2">
        <v>-6.8250000000000002</v>
      </c>
      <c r="AR100">
        <v>235545</v>
      </c>
    </row>
    <row r="101" spans="1:44" x14ac:dyDescent="0.25">
      <c r="A101">
        <v>125</v>
      </c>
      <c r="B101">
        <v>13</v>
      </c>
      <c r="C101">
        <v>55</v>
      </c>
      <c r="D101" s="1">
        <v>44120</v>
      </c>
      <c r="E101" s="59" t="str" cm="1">
        <f t="array" ref="E10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1" t="s">
        <v>268</v>
      </c>
      <c r="G101" s="3">
        <v>6152121</v>
      </c>
      <c r="H101" t="s">
        <v>269</v>
      </c>
      <c r="I101" s="4">
        <v>1647262</v>
      </c>
      <c r="J101" t="s">
        <v>222</v>
      </c>
      <c r="K101" s="1">
        <v>43938</v>
      </c>
      <c r="L101">
        <v>86</v>
      </c>
      <c r="M101" s="2" t="str">
        <f>IF(Spotify[[#This Row],[Energie]]&gt;AVERAGE(Spotify[Energie]),"FORTE","FAIBLE")</f>
        <v>FAIBLE</v>
      </c>
      <c r="N101" s="2">
        <v>0.66700000000000004</v>
      </c>
      <c r="O101" s="2">
        <v>0.373</v>
      </c>
      <c r="P101" s="2">
        <v>0.05</v>
      </c>
      <c r="Q101" s="2">
        <v>0.78500000000000003</v>
      </c>
      <c r="R101" s="2">
        <v>9.06E-2</v>
      </c>
      <c r="S101" s="2">
        <v>8.2299999999999998E-2</v>
      </c>
      <c r="T101" s="2">
        <v>-9.3889999999999993</v>
      </c>
      <c r="U101">
        <v>169266</v>
      </c>
      <c r="V101">
        <f>YEAR(Spotify[[#This Row],[Date de sortie]])</f>
        <v>2020</v>
      </c>
      <c r="W101" s="2" t="str">
        <f>IF(Spotify[[#This Row],[Popularité]]&gt;=70,"FORTE","FAIBLE")</f>
        <v>FORTE</v>
      </c>
      <c r="Z101">
        <v>695</v>
      </c>
      <c r="AA101">
        <v>28</v>
      </c>
      <c r="AB101">
        <v>1</v>
      </c>
      <c r="AC101" s="1">
        <v>44176</v>
      </c>
      <c r="AD101" t="s">
        <v>1237</v>
      </c>
      <c r="AE101" s="3">
        <v>16213589</v>
      </c>
      <c r="AF101" t="s">
        <v>746</v>
      </c>
      <c r="AG101" s="4">
        <v>42227614</v>
      </c>
      <c r="AH101" t="s">
        <v>10</v>
      </c>
      <c r="AI101" s="1">
        <v>44176</v>
      </c>
      <c r="AJ101">
        <v>65</v>
      </c>
      <c r="AK101" s="2">
        <v>0.55900000000000005</v>
      </c>
      <c r="AL101" s="2">
        <v>0.33400000000000002</v>
      </c>
      <c r="AM101" s="2">
        <v>3.7600000000000001E-2</v>
      </c>
      <c r="AN101" s="2">
        <v>0.87</v>
      </c>
      <c r="AO101" s="2">
        <v>0.114</v>
      </c>
      <c r="AP101" s="2">
        <v>0.21099999999999999</v>
      </c>
      <c r="AQ101" s="2">
        <v>-10.733000000000001</v>
      </c>
      <c r="AR101">
        <v>315147</v>
      </c>
    </row>
    <row r="102" spans="1:44" x14ac:dyDescent="0.25">
      <c r="A102">
        <v>129</v>
      </c>
      <c r="B102">
        <v>11</v>
      </c>
      <c r="C102">
        <v>10</v>
      </c>
      <c r="D102" s="1">
        <v>44337</v>
      </c>
      <c r="E102" s="59" t="str" cm="1">
        <f t="array" ref="E10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2" t="s">
        <v>278</v>
      </c>
      <c r="G102" s="3">
        <v>6040918</v>
      </c>
      <c r="H102" t="s">
        <v>9</v>
      </c>
      <c r="I102" s="4">
        <v>6266514</v>
      </c>
      <c r="J102" t="s">
        <v>10</v>
      </c>
      <c r="K102" s="1">
        <v>44337</v>
      </c>
      <c r="L102">
        <v>86</v>
      </c>
      <c r="M102" s="2" t="str">
        <f>IF(Spotify[[#This Row],[Energie]]&gt;AVERAGE(Spotify[Energie]),"FORTE","FAIBLE")</f>
        <v>FAIBLE</v>
      </c>
      <c r="N102" s="2">
        <v>0.63800000000000001</v>
      </c>
      <c r="O102" s="2">
        <v>0.25900000000000001</v>
      </c>
      <c r="P102" s="2">
        <v>8.9800000000000005E-2</v>
      </c>
      <c r="Q102" s="2">
        <v>0.753</v>
      </c>
      <c r="R102" s="2">
        <v>0.219</v>
      </c>
      <c r="S102" s="2">
        <v>0.26900000000000002</v>
      </c>
      <c r="T102" s="2">
        <v>-10.706</v>
      </c>
      <c r="U102">
        <v>202827</v>
      </c>
      <c r="V102">
        <f>YEAR(Spotify[[#This Row],[Date de sortie]])</f>
        <v>2021</v>
      </c>
      <c r="W102" s="2" t="str">
        <f>IF(Spotify[[#This Row],[Popularité]]&gt;=70,"FORTE","FAIBLE")</f>
        <v>FORTE</v>
      </c>
      <c r="Z102">
        <v>434</v>
      </c>
      <c r="AA102">
        <v>51</v>
      </c>
      <c r="AB102">
        <v>3</v>
      </c>
      <c r="AC102" s="1">
        <v>44281</v>
      </c>
      <c r="AD102" t="s">
        <v>801</v>
      </c>
      <c r="AE102" s="3">
        <v>7712896</v>
      </c>
      <c r="AF102" t="s">
        <v>746</v>
      </c>
      <c r="AG102" s="4">
        <v>42227614</v>
      </c>
      <c r="AH102" t="s">
        <v>10</v>
      </c>
      <c r="AI102" s="1">
        <v>44281</v>
      </c>
      <c r="AJ102">
        <v>65</v>
      </c>
      <c r="AK102" s="2">
        <v>0.58899999999999997</v>
      </c>
      <c r="AL102" s="2">
        <v>0.496</v>
      </c>
      <c r="AM102" s="2">
        <v>3.7699999999999997E-2</v>
      </c>
      <c r="AN102" s="2">
        <v>0.81799999999999995</v>
      </c>
      <c r="AO102" s="2">
        <v>0.10100000000000001</v>
      </c>
      <c r="AP102" s="2">
        <v>0.44</v>
      </c>
      <c r="AQ102" s="2">
        <v>-7.6059999999999999</v>
      </c>
      <c r="AR102">
        <v>220839</v>
      </c>
    </row>
    <row r="103" spans="1:44" x14ac:dyDescent="0.25">
      <c r="A103">
        <v>24</v>
      </c>
      <c r="B103">
        <v>24</v>
      </c>
      <c r="C103">
        <v>31</v>
      </c>
      <c r="D103" s="1">
        <v>44400</v>
      </c>
      <c r="E103" s="59" t="str" cm="1">
        <f t="array" ref="E10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3" t="s">
        <v>51</v>
      </c>
      <c r="G103" s="3">
        <v>15089184</v>
      </c>
      <c r="H103" t="s">
        <v>52</v>
      </c>
      <c r="I103" s="4">
        <v>1890510</v>
      </c>
      <c r="J103" t="s">
        <v>53</v>
      </c>
      <c r="K103" s="1">
        <v>44050</v>
      </c>
      <c r="L103">
        <v>85</v>
      </c>
      <c r="M103" s="2" t="str">
        <f>IF(Spotify[[#This Row],[Energie]]&gt;AVERAGE(Spotify[Energie]),"FORTE","FAIBLE")</f>
        <v>FAIBLE</v>
      </c>
      <c r="N103" s="2">
        <v>0.76100000000000001</v>
      </c>
      <c r="O103" s="2">
        <v>0.52500000000000002</v>
      </c>
      <c r="P103" s="2">
        <v>9.4399999999999998E-2</v>
      </c>
      <c r="Q103" s="2">
        <v>0.44</v>
      </c>
      <c r="R103" s="2">
        <v>9.2100000000000001E-2</v>
      </c>
      <c r="S103" s="2">
        <v>0.53100000000000003</v>
      </c>
      <c r="T103" s="2">
        <v>-6.9</v>
      </c>
      <c r="U103">
        <v>238805</v>
      </c>
      <c r="V103">
        <f>YEAR(Spotify[[#This Row],[Date de sortie]])</f>
        <v>2020</v>
      </c>
      <c r="W103" s="2" t="str">
        <f>IF(Spotify[[#This Row],[Popularité]]&gt;=70,"FORTE","FAIBLE")</f>
        <v>FORTE</v>
      </c>
      <c r="Z103">
        <v>436</v>
      </c>
      <c r="AA103">
        <v>102</v>
      </c>
      <c r="AB103">
        <v>1</v>
      </c>
      <c r="AC103" s="1">
        <v>44295</v>
      </c>
      <c r="AD103" t="s">
        <v>803</v>
      </c>
      <c r="AE103" s="3">
        <v>7039222</v>
      </c>
      <c r="AF103" t="s">
        <v>746</v>
      </c>
      <c r="AG103" s="4">
        <v>42227614</v>
      </c>
      <c r="AH103" t="s">
        <v>10</v>
      </c>
      <c r="AI103" s="1">
        <v>44295</v>
      </c>
      <c r="AJ103">
        <v>65</v>
      </c>
      <c r="AK103" s="2">
        <v>0.42299999999999999</v>
      </c>
      <c r="AL103" s="2">
        <v>0.51700000000000002</v>
      </c>
      <c r="AM103" s="2">
        <v>4.8599999999999997E-2</v>
      </c>
      <c r="AN103" s="2">
        <v>0.36899999999999999</v>
      </c>
      <c r="AO103" s="2">
        <v>0.17699999999999999</v>
      </c>
      <c r="AP103" s="2">
        <v>0.36599999999999999</v>
      </c>
      <c r="AQ103" s="2">
        <v>-7.3769999999999998</v>
      </c>
      <c r="AR103">
        <v>234516</v>
      </c>
    </row>
    <row r="104" spans="1:44" x14ac:dyDescent="0.25">
      <c r="A104">
        <v>72</v>
      </c>
      <c r="B104">
        <v>72</v>
      </c>
      <c r="C104">
        <v>2</v>
      </c>
      <c r="D104" s="1">
        <v>44400</v>
      </c>
      <c r="E104" s="59" t="str" cm="1">
        <f t="array" ref="E10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4" t="s">
        <v>156</v>
      </c>
      <c r="G104" s="3">
        <v>8133401</v>
      </c>
      <c r="H104" t="s">
        <v>157</v>
      </c>
      <c r="I104" s="4">
        <v>408696</v>
      </c>
      <c r="J104" t="s">
        <v>158</v>
      </c>
      <c r="K104" s="1">
        <v>44349</v>
      </c>
      <c r="L104">
        <v>85</v>
      </c>
      <c r="M104" s="2" t="str">
        <f>IF(Spotify[[#This Row],[Energie]]&gt;AVERAGE(Spotify[Energie]),"FORTE","FAIBLE")</f>
        <v>FAIBLE</v>
      </c>
      <c r="N104" s="2">
        <v>0.82899999999999996</v>
      </c>
      <c r="O104" s="2">
        <v>0.51200000000000001</v>
      </c>
      <c r="P104" s="2">
        <v>0.187</v>
      </c>
      <c r="Q104" s="2">
        <v>0.49199999999999999</v>
      </c>
      <c r="R104" s="2">
        <v>0.12</v>
      </c>
      <c r="S104" s="2">
        <v>0.63800000000000001</v>
      </c>
      <c r="T104" s="2">
        <v>-5.8650000000000002</v>
      </c>
      <c r="U104">
        <v>123987</v>
      </c>
      <c r="V104">
        <f>YEAR(Spotify[[#This Row],[Date de sortie]])</f>
        <v>2021</v>
      </c>
      <c r="W104" s="2" t="str">
        <f>IF(Spotify[[#This Row],[Popularité]]&gt;=70,"FORTE","FAIBLE")</f>
        <v>FORTE</v>
      </c>
      <c r="Z104">
        <v>445</v>
      </c>
      <c r="AA104">
        <v>192</v>
      </c>
      <c r="AB104">
        <v>1</v>
      </c>
      <c r="AC104" s="1">
        <v>44295</v>
      </c>
      <c r="AD104" t="s">
        <v>814</v>
      </c>
      <c r="AE104" s="3">
        <v>5197564</v>
      </c>
      <c r="AF104" t="s">
        <v>746</v>
      </c>
      <c r="AG104" s="4">
        <v>42227614</v>
      </c>
      <c r="AH104" t="s">
        <v>10</v>
      </c>
      <c r="AI104" s="1">
        <v>44295</v>
      </c>
      <c r="AJ104">
        <v>65</v>
      </c>
      <c r="AK104" s="2">
        <v>0.56299999999999994</v>
      </c>
      <c r="AL104" s="2">
        <v>0.47299999999999998</v>
      </c>
      <c r="AM104" s="2">
        <v>5.0299999999999997E-2</v>
      </c>
      <c r="AN104" s="2">
        <v>0.51400000000000001</v>
      </c>
      <c r="AO104" s="2">
        <v>0.109</v>
      </c>
      <c r="AP104" s="2">
        <v>0.40500000000000003</v>
      </c>
      <c r="AQ104" s="2">
        <v>-11.548</v>
      </c>
      <c r="AR104">
        <v>208609</v>
      </c>
    </row>
    <row r="105" spans="1:44" x14ac:dyDescent="0.25">
      <c r="A105">
        <v>98</v>
      </c>
      <c r="B105">
        <v>60</v>
      </c>
      <c r="C105">
        <v>8</v>
      </c>
      <c r="D105" s="1">
        <v>44365</v>
      </c>
      <c r="E105" s="59" t="str" cm="1">
        <f t="array" ref="E10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5" t="s">
        <v>212</v>
      </c>
      <c r="G105" s="3">
        <v>6853994</v>
      </c>
      <c r="H105" t="s">
        <v>213</v>
      </c>
      <c r="I105" s="4">
        <v>1521837</v>
      </c>
      <c r="J105" t="s">
        <v>214</v>
      </c>
      <c r="K105" s="1">
        <v>44313</v>
      </c>
      <c r="L105">
        <v>85</v>
      </c>
      <c r="M105" s="2" t="str">
        <f>IF(Spotify[[#This Row],[Energie]]&gt;AVERAGE(Spotify[Energie]),"FORTE","FAIBLE")</f>
        <v>FORTE</v>
      </c>
      <c r="N105" s="2">
        <v>0.39</v>
      </c>
      <c r="O105" s="2">
        <v>0.83</v>
      </c>
      <c r="P105" s="2">
        <v>5.6300000000000003E-2</v>
      </c>
      <c r="Q105" s="2">
        <v>2.0999999999999999E-3</v>
      </c>
      <c r="R105" s="2">
        <v>0.156</v>
      </c>
      <c r="S105" s="2">
        <v>0.191</v>
      </c>
      <c r="T105" s="2">
        <v>-5.2009999999999996</v>
      </c>
      <c r="U105">
        <v>168030</v>
      </c>
      <c r="V105">
        <f>YEAR(Spotify[[#This Row],[Date de sortie]])</f>
        <v>2021</v>
      </c>
      <c r="W105" s="2" t="str">
        <f>IF(Spotify[[#This Row],[Popularité]]&gt;=70,"FORTE","FAIBLE")</f>
        <v>FORTE</v>
      </c>
      <c r="Z105">
        <v>697</v>
      </c>
      <c r="AA105">
        <v>38</v>
      </c>
      <c r="AB105">
        <v>1</v>
      </c>
      <c r="AC105" s="1">
        <v>44176</v>
      </c>
      <c r="AD105" t="s">
        <v>1239</v>
      </c>
      <c r="AE105" s="3">
        <v>14392788</v>
      </c>
      <c r="AF105" t="s">
        <v>746</v>
      </c>
      <c r="AG105" s="4">
        <v>42227614</v>
      </c>
      <c r="AH105" t="s">
        <v>10</v>
      </c>
      <c r="AI105" s="1">
        <v>44176</v>
      </c>
      <c r="AJ105">
        <v>64</v>
      </c>
      <c r="AK105" s="2">
        <v>0.60499999999999998</v>
      </c>
      <c r="AL105" s="2">
        <v>0.48799999999999999</v>
      </c>
      <c r="AM105" s="2">
        <v>2.64E-2</v>
      </c>
      <c r="AN105" s="2">
        <v>0.69599999999999995</v>
      </c>
      <c r="AO105" s="2">
        <v>0.129</v>
      </c>
      <c r="AP105" s="2">
        <v>0.35399999999999998</v>
      </c>
      <c r="AQ105" s="2">
        <v>-8.3219999999999992</v>
      </c>
      <c r="AR105">
        <v>225880</v>
      </c>
    </row>
    <row r="106" spans="1:44" x14ac:dyDescent="0.25">
      <c r="A106">
        <v>103</v>
      </c>
      <c r="B106">
        <v>103</v>
      </c>
      <c r="C106">
        <v>5</v>
      </c>
      <c r="D106" s="1">
        <v>44400</v>
      </c>
      <c r="E106" s="59" t="str" cm="1">
        <f t="array" ref="E10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6" t="s">
        <v>223</v>
      </c>
      <c r="G106" s="3">
        <v>6709106</v>
      </c>
      <c r="H106" t="s">
        <v>224</v>
      </c>
      <c r="I106" s="4">
        <v>16074</v>
      </c>
      <c r="J106"/>
      <c r="K106" s="1">
        <v>44363</v>
      </c>
      <c r="L106">
        <v>85</v>
      </c>
      <c r="M106" s="2" t="str">
        <f>IF(Spotify[[#This Row],[Energie]]&gt;AVERAGE(Spotify[Energie]),"FORTE","FAIBLE")</f>
        <v>FORTE</v>
      </c>
      <c r="N106" s="2">
        <v>0.76900000000000002</v>
      </c>
      <c r="O106" s="2">
        <v>0.81200000000000006</v>
      </c>
      <c r="P106" s="2">
        <v>8.2500000000000004E-2</v>
      </c>
      <c r="Q106" s="2">
        <v>0.28100000000000003</v>
      </c>
      <c r="R106" s="2">
        <v>7.8100000000000003E-2</v>
      </c>
      <c r="S106" s="2">
        <v>0.92600000000000005</v>
      </c>
      <c r="T106" s="2">
        <v>-2.0880000000000001</v>
      </c>
      <c r="U106">
        <v>280274</v>
      </c>
      <c r="V106">
        <f>YEAR(Spotify[[#This Row],[Date de sortie]])</f>
        <v>2021</v>
      </c>
      <c r="W106" s="2" t="str">
        <f>IF(Spotify[[#This Row],[Popularité]]&gt;=70,"FORTE","FAIBLE")</f>
        <v>FORTE</v>
      </c>
      <c r="Z106">
        <v>698</v>
      </c>
      <c r="AA106">
        <v>39</v>
      </c>
      <c r="AB106">
        <v>1</v>
      </c>
      <c r="AC106" s="1">
        <v>44176</v>
      </c>
      <c r="AD106" t="s">
        <v>1240</v>
      </c>
      <c r="AE106" s="3">
        <v>14385703</v>
      </c>
      <c r="AF106" t="s">
        <v>746</v>
      </c>
      <c r="AG106" s="4">
        <v>42227614</v>
      </c>
      <c r="AH106" t="s">
        <v>10</v>
      </c>
      <c r="AI106" s="1">
        <v>44176</v>
      </c>
      <c r="AJ106">
        <v>64</v>
      </c>
      <c r="AK106" s="2">
        <v>0.53700000000000003</v>
      </c>
      <c r="AL106" s="2">
        <v>0.53700000000000003</v>
      </c>
      <c r="AM106" s="2">
        <v>6.1699999999999998E-2</v>
      </c>
      <c r="AN106" s="2">
        <v>0.81899999999999995</v>
      </c>
      <c r="AO106" s="2">
        <v>0.14199999999999999</v>
      </c>
      <c r="AP106" s="2">
        <v>0.29199999999999998</v>
      </c>
      <c r="AQ106" s="2">
        <v>-11.266</v>
      </c>
      <c r="AR106">
        <v>275320</v>
      </c>
    </row>
    <row r="107" spans="1:44" x14ac:dyDescent="0.25">
      <c r="A107">
        <v>115</v>
      </c>
      <c r="B107">
        <v>80</v>
      </c>
      <c r="C107">
        <v>8</v>
      </c>
      <c r="D107" s="1">
        <v>44351</v>
      </c>
      <c r="E107" s="59" t="str" cm="1">
        <f t="array" ref="E10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7" t="s">
        <v>249</v>
      </c>
      <c r="G107" s="3">
        <v>6488622</v>
      </c>
      <c r="H107" t="s">
        <v>250</v>
      </c>
      <c r="I107" s="4">
        <v>21942793</v>
      </c>
      <c r="J107" t="s">
        <v>19</v>
      </c>
      <c r="K107" s="1">
        <v>44351</v>
      </c>
      <c r="L107">
        <v>85</v>
      </c>
      <c r="M107" s="2" t="str">
        <f>IF(Spotify[[#This Row],[Energie]]&gt;AVERAGE(Spotify[Energie]),"FORTE","FAIBLE")</f>
        <v>FORTE</v>
      </c>
      <c r="N107" s="2">
        <v>0.73299999999999998</v>
      </c>
      <c r="O107" s="2">
        <v>0.96</v>
      </c>
      <c r="P107" s="2">
        <v>2.9499999999999998E-2</v>
      </c>
      <c r="Q107" s="2">
        <v>5.1400000000000001E-2</v>
      </c>
      <c r="R107" s="2">
        <v>0.28699999999999998</v>
      </c>
      <c r="S107" s="2">
        <v>0.81100000000000005</v>
      </c>
      <c r="T107" s="2">
        <v>-3.597</v>
      </c>
      <c r="U107">
        <v>189672</v>
      </c>
      <c r="V107">
        <f>YEAR(Spotify[[#This Row],[Date de sortie]])</f>
        <v>2021</v>
      </c>
      <c r="W107" s="2" t="str">
        <f>IF(Spotify[[#This Row],[Popularité]]&gt;=70,"FORTE","FAIBLE")</f>
        <v>FORTE</v>
      </c>
      <c r="Z107">
        <v>701</v>
      </c>
      <c r="AA107">
        <v>53</v>
      </c>
      <c r="AB107">
        <v>1</v>
      </c>
      <c r="AC107" s="1">
        <v>44176</v>
      </c>
      <c r="AD107" t="s">
        <v>1243</v>
      </c>
      <c r="AE107" s="3">
        <v>12782098</v>
      </c>
      <c r="AF107" t="s">
        <v>746</v>
      </c>
      <c r="AG107" s="4">
        <v>42227614</v>
      </c>
      <c r="AH107" t="s">
        <v>10</v>
      </c>
      <c r="AI107" s="1">
        <v>44176</v>
      </c>
      <c r="AJ107">
        <v>64</v>
      </c>
      <c r="AK107" s="2">
        <v>0.60399999999999998</v>
      </c>
      <c r="AL107" s="2">
        <v>0.51700000000000002</v>
      </c>
      <c r="AM107" s="2">
        <v>3.4700000000000002E-2</v>
      </c>
      <c r="AN107" s="2">
        <v>0.76800000000000002</v>
      </c>
      <c r="AO107" s="2">
        <v>0.123</v>
      </c>
      <c r="AP107" s="2">
        <v>0.51100000000000001</v>
      </c>
      <c r="AQ107" s="2">
        <v>-9.0139999999999993</v>
      </c>
      <c r="AR107">
        <v>275040</v>
      </c>
    </row>
    <row r="108" spans="1:44" x14ac:dyDescent="0.25">
      <c r="A108">
        <v>116</v>
      </c>
      <c r="B108">
        <v>116</v>
      </c>
      <c r="C108">
        <v>3</v>
      </c>
      <c r="D108" s="1">
        <v>44400</v>
      </c>
      <c r="E108" s="59" t="str" cm="1">
        <f t="array" ref="E10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8" t="s">
        <v>251</v>
      </c>
      <c r="G108" s="3">
        <v>6469500</v>
      </c>
      <c r="H108" t="s">
        <v>252</v>
      </c>
      <c r="I108" s="4">
        <v>5420471</v>
      </c>
      <c r="J108" t="s">
        <v>253</v>
      </c>
      <c r="K108" s="1">
        <v>44364</v>
      </c>
      <c r="L108">
        <v>85</v>
      </c>
      <c r="M108" s="2" t="str">
        <f>IF(Spotify[[#This Row],[Energie]]&gt;AVERAGE(Spotify[Energie]),"FORTE","FAIBLE")</f>
        <v>FORTE</v>
      </c>
      <c r="N108" s="2">
        <v>0.52600000000000002</v>
      </c>
      <c r="O108" s="2">
        <v>0.73099999999999998</v>
      </c>
      <c r="P108" s="2">
        <v>8.8700000000000001E-2</v>
      </c>
      <c r="Q108" s="2">
        <v>0.18</v>
      </c>
      <c r="R108" s="2">
        <v>8.9099999999999999E-2</v>
      </c>
      <c r="S108" s="2">
        <v>0.47599999999999998</v>
      </c>
      <c r="T108" s="2">
        <v>-4.6619999999999999</v>
      </c>
      <c r="U108">
        <v>193221</v>
      </c>
      <c r="V108">
        <f>YEAR(Spotify[[#This Row],[Date de sortie]])</f>
        <v>2021</v>
      </c>
      <c r="W108" s="2" t="str">
        <f>IF(Spotify[[#This Row],[Popularité]]&gt;=70,"FORTE","FAIBLE")</f>
        <v>FORTE</v>
      </c>
      <c r="Z108">
        <v>702</v>
      </c>
      <c r="AA108">
        <v>57</v>
      </c>
      <c r="AB108">
        <v>1</v>
      </c>
      <c r="AC108" s="1">
        <v>44176</v>
      </c>
      <c r="AD108" t="s">
        <v>1244</v>
      </c>
      <c r="AE108" s="3">
        <v>12234761</v>
      </c>
      <c r="AF108" t="s">
        <v>746</v>
      </c>
      <c r="AG108" s="4">
        <v>42227614</v>
      </c>
      <c r="AH108" t="s">
        <v>10</v>
      </c>
      <c r="AI108" s="1">
        <v>44176</v>
      </c>
      <c r="AJ108">
        <v>64</v>
      </c>
      <c r="AK108" s="2">
        <v>0.53500000000000003</v>
      </c>
      <c r="AL108" s="2">
        <v>0.56100000000000005</v>
      </c>
      <c r="AM108" s="2">
        <v>4.8399999999999999E-2</v>
      </c>
      <c r="AN108" s="2">
        <v>0.876</v>
      </c>
      <c r="AO108" s="2">
        <v>0.115</v>
      </c>
      <c r="AP108" s="2">
        <v>0.28699999999999998</v>
      </c>
      <c r="AQ108" s="2">
        <v>-11.609</v>
      </c>
      <c r="AR108">
        <v>257773</v>
      </c>
    </row>
    <row r="109" spans="1:44" x14ac:dyDescent="0.25">
      <c r="A109">
        <v>117</v>
      </c>
      <c r="B109">
        <v>80</v>
      </c>
      <c r="C109">
        <v>80</v>
      </c>
      <c r="D109" s="1">
        <v>43826</v>
      </c>
      <c r="E109" s="59" t="str" cm="1">
        <f t="array" ref="E10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9" t="s">
        <v>254</v>
      </c>
      <c r="G109" s="3">
        <v>6452492</v>
      </c>
      <c r="H109" t="s">
        <v>12</v>
      </c>
      <c r="I109" s="4">
        <v>83293380</v>
      </c>
      <c r="J109" t="s">
        <v>10</v>
      </c>
      <c r="K109" s="1">
        <v>42797</v>
      </c>
      <c r="L109">
        <v>85</v>
      </c>
      <c r="M109" s="2" t="str">
        <f>IF(Spotify[[#This Row],[Energie]]&gt;AVERAGE(Spotify[Energie]),"FORTE","FAIBLE")</f>
        <v>FORTE</v>
      </c>
      <c r="N109" s="2">
        <v>0.82499999999999996</v>
      </c>
      <c r="O109" s="2">
        <v>0.65200000000000002</v>
      </c>
      <c r="P109" s="2">
        <v>8.0199999999999994E-2</v>
      </c>
      <c r="Q109" s="2">
        <v>0.58099999999999996</v>
      </c>
      <c r="R109" s="2">
        <v>9.3100000000000002E-2</v>
      </c>
      <c r="S109" s="2">
        <v>0.93100000000000005</v>
      </c>
      <c r="T109" s="2">
        <v>-3.1829999999999998</v>
      </c>
      <c r="U109">
        <v>233713</v>
      </c>
      <c r="V109">
        <f>YEAR(Spotify[[#This Row],[Date de sortie]])</f>
        <v>2017</v>
      </c>
      <c r="W109" s="2" t="str">
        <f>IF(Spotify[[#This Row],[Popularité]]&gt;=70,"FORTE","FAIBLE")</f>
        <v>FORTE</v>
      </c>
      <c r="Z109">
        <v>438</v>
      </c>
      <c r="AA109">
        <v>119</v>
      </c>
      <c r="AB109">
        <v>1</v>
      </c>
      <c r="AC109" s="1">
        <v>44295</v>
      </c>
      <c r="AD109" t="s">
        <v>805</v>
      </c>
      <c r="AE109" s="3">
        <v>6508683</v>
      </c>
      <c r="AF109" t="s">
        <v>746</v>
      </c>
      <c r="AG109" s="4">
        <v>42227614</v>
      </c>
      <c r="AH109" t="s">
        <v>10</v>
      </c>
      <c r="AI109" s="1">
        <v>44295</v>
      </c>
      <c r="AJ109">
        <v>64</v>
      </c>
      <c r="AK109" s="2">
        <v>0.50600000000000001</v>
      </c>
      <c r="AL109" s="2">
        <v>0.626</v>
      </c>
      <c r="AM109" s="2">
        <v>2.87E-2</v>
      </c>
      <c r="AN109" s="2">
        <v>0.156</v>
      </c>
      <c r="AO109" s="2">
        <v>0.22800000000000001</v>
      </c>
      <c r="AP109" s="2">
        <v>0.32100000000000001</v>
      </c>
      <c r="AQ109" s="2">
        <v>-6.0659999999999998</v>
      </c>
      <c r="AR109">
        <v>263377</v>
      </c>
    </row>
    <row r="110" spans="1:44" x14ac:dyDescent="0.25">
      <c r="A110">
        <v>121</v>
      </c>
      <c r="B110">
        <v>80</v>
      </c>
      <c r="C110">
        <v>5</v>
      </c>
      <c r="D110" s="1">
        <v>44379</v>
      </c>
      <c r="E110" s="59" t="str" cm="1">
        <f t="array" ref="E11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0" t="s">
        <v>259</v>
      </c>
      <c r="G110" s="3">
        <v>6244011</v>
      </c>
      <c r="H110" t="s">
        <v>260</v>
      </c>
      <c r="I110" s="4">
        <v>282045</v>
      </c>
      <c r="J110" t="s">
        <v>88</v>
      </c>
      <c r="K110" s="1">
        <v>44368</v>
      </c>
      <c r="L110">
        <v>85</v>
      </c>
      <c r="M110" s="2" t="str">
        <f>IF(Spotify[[#This Row],[Energie]]&gt;AVERAGE(Spotify[Energie]),"FORTE","FAIBLE")</f>
        <v>FORTE</v>
      </c>
      <c r="N110" s="2">
        <v>0.81799999999999995</v>
      </c>
      <c r="O110" s="2">
        <v>0.81200000000000006</v>
      </c>
      <c r="P110" s="2">
        <v>4.7500000000000001E-2</v>
      </c>
      <c r="Q110" s="2">
        <v>0.112</v>
      </c>
      <c r="R110" s="2">
        <v>0.23400000000000001</v>
      </c>
      <c r="S110" s="2">
        <v>0.84399999999999997</v>
      </c>
      <c r="T110" s="2">
        <v>-4.4249999999999998</v>
      </c>
      <c r="U110">
        <v>231708</v>
      </c>
      <c r="V110">
        <f>YEAR(Spotify[[#This Row],[Date de sortie]])</f>
        <v>2021</v>
      </c>
      <c r="W110" s="2" t="str">
        <f>IF(Spotify[[#This Row],[Popularité]]&gt;=70,"FORTE","FAIBLE")</f>
        <v>FORTE</v>
      </c>
      <c r="Z110">
        <v>442</v>
      </c>
      <c r="AA110">
        <v>148</v>
      </c>
      <c r="AB110">
        <v>1</v>
      </c>
      <c r="AC110" s="1">
        <v>44295</v>
      </c>
      <c r="AD110" t="s">
        <v>809</v>
      </c>
      <c r="AE110" s="3">
        <v>5860405</v>
      </c>
      <c r="AF110" t="s">
        <v>746</v>
      </c>
      <c r="AG110" s="4">
        <v>42227614</v>
      </c>
      <c r="AH110" t="s">
        <v>10</v>
      </c>
      <c r="AI110" s="1">
        <v>44295</v>
      </c>
      <c r="AJ110">
        <v>64</v>
      </c>
      <c r="AK110" s="2">
        <v>0.50600000000000001</v>
      </c>
      <c r="AL110" s="2">
        <v>0.44400000000000001</v>
      </c>
      <c r="AM110" s="2">
        <v>2.8500000000000001E-2</v>
      </c>
      <c r="AN110" s="2">
        <v>5.3800000000000001E-2</v>
      </c>
      <c r="AO110" s="2">
        <v>0.123</v>
      </c>
      <c r="AP110" s="2">
        <v>0.24099999999999999</v>
      </c>
      <c r="AQ110" s="2">
        <v>-4.99</v>
      </c>
      <c r="AR110">
        <v>261843</v>
      </c>
    </row>
    <row r="111" spans="1:44" x14ac:dyDescent="0.25">
      <c r="A111">
        <v>126</v>
      </c>
      <c r="B111">
        <v>126</v>
      </c>
      <c r="C111">
        <v>18</v>
      </c>
      <c r="D111" s="1">
        <v>44400</v>
      </c>
      <c r="E111" s="59" t="str" cm="1">
        <f t="array" ref="E11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1" t="s">
        <v>270</v>
      </c>
      <c r="G111" s="3">
        <v>6136340</v>
      </c>
      <c r="H111" t="s">
        <v>271</v>
      </c>
      <c r="I111" s="4">
        <v>20270895</v>
      </c>
      <c r="J111" t="s">
        <v>19</v>
      </c>
      <c r="K111" s="1">
        <v>41640</v>
      </c>
      <c r="L111">
        <v>85</v>
      </c>
      <c r="M111" s="2" t="str">
        <f>IF(Spotify[[#This Row],[Energie]]&gt;AVERAGE(Spotify[Energie]),"FORTE","FAIBLE")</f>
        <v>FORTE</v>
      </c>
      <c r="N111" s="2">
        <v>0.52700000000000002</v>
      </c>
      <c r="O111" s="2">
        <v>0.83499999999999996</v>
      </c>
      <c r="P111" s="2">
        <v>4.3299999999999998E-2</v>
      </c>
      <c r="Q111" s="2">
        <v>1.66E-2</v>
      </c>
      <c r="R111" s="2">
        <v>0.249</v>
      </c>
      <c r="S111" s="2">
        <v>0.65400000000000003</v>
      </c>
      <c r="T111" s="2">
        <v>-5.298</v>
      </c>
      <c r="U111">
        <v>176658</v>
      </c>
      <c r="V111">
        <f>YEAR(Spotify[[#This Row],[Date de sortie]])</f>
        <v>2014</v>
      </c>
      <c r="W111" s="2" t="str">
        <f>IF(Spotify[[#This Row],[Popularité]]&gt;=70,"FORTE","FAIBLE")</f>
        <v>FORTE</v>
      </c>
      <c r="Z111">
        <v>446</v>
      </c>
      <c r="AA111">
        <v>195</v>
      </c>
      <c r="AB111">
        <v>1</v>
      </c>
      <c r="AC111" s="1">
        <v>44295</v>
      </c>
      <c r="AD111" t="s">
        <v>815</v>
      </c>
      <c r="AE111" s="3">
        <v>5189423</v>
      </c>
      <c r="AF111" t="s">
        <v>746</v>
      </c>
      <c r="AG111" s="4">
        <v>42227614</v>
      </c>
      <c r="AH111" t="s">
        <v>10</v>
      </c>
      <c r="AI111" s="1">
        <v>44295</v>
      </c>
      <c r="AJ111">
        <v>64</v>
      </c>
      <c r="AK111" s="2">
        <v>0.60899999999999999</v>
      </c>
      <c r="AL111" s="2">
        <v>0.373</v>
      </c>
      <c r="AM111" s="2">
        <v>2.63E-2</v>
      </c>
      <c r="AN111" s="2">
        <v>0.84899999999999998</v>
      </c>
      <c r="AO111" s="2">
        <v>7.7899999999999997E-2</v>
      </c>
      <c r="AP111" s="2">
        <v>0.13</v>
      </c>
      <c r="AQ111" s="2">
        <v>-8.8190000000000008</v>
      </c>
      <c r="AR111">
        <v>244237</v>
      </c>
    </row>
    <row r="112" spans="1:44" x14ac:dyDescent="0.25">
      <c r="A112">
        <v>130</v>
      </c>
      <c r="B112">
        <v>99</v>
      </c>
      <c r="C112">
        <v>42</v>
      </c>
      <c r="D112" s="1">
        <v>44232</v>
      </c>
      <c r="E112" s="59" t="str" cm="1">
        <f t="array" ref="E11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112" t="s">
        <v>279</v>
      </c>
      <c r="G112" s="3">
        <v>6014443</v>
      </c>
      <c r="H112" t="s">
        <v>147</v>
      </c>
      <c r="I112" s="4">
        <v>6662605</v>
      </c>
      <c r="J112" t="s">
        <v>148</v>
      </c>
      <c r="K112" s="1">
        <v>42307</v>
      </c>
      <c r="L112">
        <v>85</v>
      </c>
      <c r="M112" s="2" t="str">
        <f>IF(Spotify[[#This Row],[Energie]]&gt;AVERAGE(Spotify[Energie]),"FORTE","FAIBLE")</f>
        <v>FAIBLE</v>
      </c>
      <c r="N112" s="2">
        <v>0.58799999999999997</v>
      </c>
      <c r="O112" s="2">
        <v>0.52100000000000002</v>
      </c>
      <c r="P112" s="2">
        <v>3.2899999999999999E-2</v>
      </c>
      <c r="Q112" s="2">
        <v>6.7799999999999999E-2</v>
      </c>
      <c r="R112" s="2">
        <v>0.123</v>
      </c>
      <c r="S112" s="2">
        <v>0.33700000000000002</v>
      </c>
      <c r="T112" s="2">
        <v>-9.4610000000000003</v>
      </c>
      <c r="U112">
        <v>260173</v>
      </c>
      <c r="V112">
        <f>YEAR(Spotify[[#This Row],[Date de sortie]])</f>
        <v>2015</v>
      </c>
      <c r="W112" s="2" t="str">
        <f>IF(Spotify[[#This Row],[Popularité]]&gt;=70,"FORTE","FAIBLE")</f>
        <v>FORTE</v>
      </c>
      <c r="Z112">
        <v>441</v>
      </c>
      <c r="AA112">
        <v>147</v>
      </c>
      <c r="AB112">
        <v>1</v>
      </c>
      <c r="AC112" s="1">
        <v>44295</v>
      </c>
      <c r="AD112" t="s">
        <v>808</v>
      </c>
      <c r="AE112" s="3">
        <v>5885151</v>
      </c>
      <c r="AF112" t="s">
        <v>746</v>
      </c>
      <c r="AG112" s="4">
        <v>42227614</v>
      </c>
      <c r="AH112" t="s">
        <v>10</v>
      </c>
      <c r="AI112" s="1">
        <v>44295</v>
      </c>
      <c r="AJ112">
        <v>63</v>
      </c>
      <c r="AK112" s="2">
        <v>0.57799999999999996</v>
      </c>
      <c r="AL112" s="2">
        <v>0.90900000000000003</v>
      </c>
      <c r="AM112" s="2">
        <v>6.2799999999999995E-2</v>
      </c>
      <c r="AN112" s="2">
        <v>2.2200000000000001E-2</v>
      </c>
      <c r="AO112" s="2">
        <v>0.33300000000000002</v>
      </c>
      <c r="AP112" s="2">
        <v>0.54100000000000004</v>
      </c>
      <c r="AQ112" s="2">
        <v>-3.669</v>
      </c>
      <c r="AR112">
        <v>200576</v>
      </c>
    </row>
    <row r="113" spans="1:44" x14ac:dyDescent="0.25">
      <c r="A113">
        <v>132</v>
      </c>
      <c r="B113">
        <v>19</v>
      </c>
      <c r="C113">
        <v>12</v>
      </c>
      <c r="D113" s="1">
        <v>44323</v>
      </c>
      <c r="E113" s="59" t="str" cm="1">
        <f t="array" ref="E11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13" t="s">
        <v>281</v>
      </c>
      <c r="G113" s="3">
        <v>5952490</v>
      </c>
      <c r="H113" t="s">
        <v>282</v>
      </c>
      <c r="I113" s="4">
        <v>6430522</v>
      </c>
      <c r="J113" t="s">
        <v>235</v>
      </c>
      <c r="K113" s="1">
        <v>44323</v>
      </c>
      <c r="L113">
        <v>85</v>
      </c>
      <c r="M113" s="2" t="str">
        <f>IF(Spotify[[#This Row],[Energie]]&gt;AVERAGE(Spotify[Energie]),"FORTE","FAIBLE")</f>
        <v>FORTE</v>
      </c>
      <c r="N113" s="2">
        <v>0.58399999999999996</v>
      </c>
      <c r="O113" s="2">
        <v>0.85899999999999999</v>
      </c>
      <c r="P113" s="2">
        <v>0.121</v>
      </c>
      <c r="Q113" s="2">
        <v>1.44E-2</v>
      </c>
      <c r="R113" s="2">
        <v>0.84699999999999998</v>
      </c>
      <c r="S113" s="2">
        <v>0.36899999999999999</v>
      </c>
      <c r="T113" s="2">
        <v>-5.6159999999999997</v>
      </c>
      <c r="U113">
        <v>236883</v>
      </c>
      <c r="V113">
        <f>YEAR(Spotify[[#This Row],[Date de sortie]])</f>
        <v>2021</v>
      </c>
      <c r="W113" s="2" t="str">
        <f>IF(Spotify[[#This Row],[Popularité]]&gt;=70,"FORTE","FAIBLE")</f>
        <v>FORTE</v>
      </c>
      <c r="Z113">
        <v>1426</v>
      </c>
      <c r="AA113">
        <v>61</v>
      </c>
      <c r="AB113">
        <v>3</v>
      </c>
      <c r="AC113" s="1">
        <v>43861</v>
      </c>
      <c r="AD113" t="s">
        <v>2270</v>
      </c>
      <c r="AE113" s="3">
        <v>5111068</v>
      </c>
      <c r="AF113" t="s">
        <v>746</v>
      </c>
      <c r="AG113" s="4">
        <v>42227614</v>
      </c>
      <c r="AH113" t="s">
        <v>10</v>
      </c>
      <c r="AI113" s="1">
        <v>43861</v>
      </c>
      <c r="AJ113">
        <v>63</v>
      </c>
      <c r="AK113" s="2">
        <v>0.56000000000000005</v>
      </c>
      <c r="AL113" s="2">
        <v>0.78</v>
      </c>
      <c r="AM113" s="2">
        <v>5.1700000000000003E-2</v>
      </c>
      <c r="AN113" s="2">
        <v>2.4399999999999999E-3</v>
      </c>
      <c r="AO113" s="2">
        <v>7.1400000000000005E-2</v>
      </c>
      <c r="AP113" s="2">
        <v>0.60199999999999998</v>
      </c>
      <c r="AQ113" s="2">
        <v>-4.8949999999999996</v>
      </c>
      <c r="AR113">
        <v>157507</v>
      </c>
    </row>
    <row r="114" spans="1:44" x14ac:dyDescent="0.25">
      <c r="A114">
        <v>133</v>
      </c>
      <c r="B114">
        <v>4</v>
      </c>
      <c r="C114">
        <v>83</v>
      </c>
      <c r="D114" s="1">
        <v>43826</v>
      </c>
      <c r="E114" s="59" t="str" cm="1">
        <f t="array" ref="E11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4" t="s">
        <v>283</v>
      </c>
      <c r="G114" s="3">
        <v>5928329</v>
      </c>
      <c r="H114" t="s">
        <v>130</v>
      </c>
      <c r="I114" s="4">
        <v>32262679</v>
      </c>
      <c r="J114" t="s">
        <v>10</v>
      </c>
      <c r="K114" s="1">
        <v>44358</v>
      </c>
      <c r="L114">
        <v>85</v>
      </c>
      <c r="M114" s="2" t="str">
        <f>IF(Spotify[[#This Row],[Energie]]&gt;AVERAGE(Spotify[Energie]),"FORTE","FAIBLE")</f>
        <v>FAIBLE</v>
      </c>
      <c r="N114" s="2">
        <v>0.77500000000000002</v>
      </c>
      <c r="O114" s="2">
        <v>0.32700000000000001</v>
      </c>
      <c r="P114" s="2">
        <v>5.57E-2</v>
      </c>
      <c r="Q114" s="2">
        <v>0.84099999999999997</v>
      </c>
      <c r="R114" s="2">
        <v>8.2100000000000006E-2</v>
      </c>
      <c r="S114" s="2">
        <v>0.59499999999999997</v>
      </c>
      <c r="T114" s="2">
        <v>-7.2409999999999997</v>
      </c>
      <c r="U114">
        <v>189486</v>
      </c>
      <c r="V114">
        <f>YEAR(Spotify[[#This Row],[Date de sortie]])</f>
        <v>2021</v>
      </c>
      <c r="W114" s="2" t="str">
        <f>IF(Spotify[[#This Row],[Popularité]]&gt;=70,"FORTE","FAIBLE")</f>
        <v>FORTE</v>
      </c>
      <c r="Z114">
        <v>703</v>
      </c>
      <c r="AA114">
        <v>70</v>
      </c>
      <c r="AB114">
        <v>1</v>
      </c>
      <c r="AC114" s="1">
        <v>44176</v>
      </c>
      <c r="AD114" t="s">
        <v>1245</v>
      </c>
      <c r="AE114" s="3">
        <v>11245393</v>
      </c>
      <c r="AF114" t="s">
        <v>746</v>
      </c>
      <c r="AG114" s="4">
        <v>42227614</v>
      </c>
      <c r="AH114" t="s">
        <v>10</v>
      </c>
      <c r="AI114" s="1">
        <v>44176</v>
      </c>
      <c r="AJ114">
        <v>62</v>
      </c>
      <c r="AK114" s="2">
        <v>0.68899999999999995</v>
      </c>
      <c r="AL114" s="2">
        <v>0.70399999999999996</v>
      </c>
      <c r="AM114" s="2">
        <v>0.245</v>
      </c>
      <c r="AN114" s="2">
        <v>0.83499999999999996</v>
      </c>
      <c r="AO114" s="2">
        <v>0.13400000000000001</v>
      </c>
      <c r="AP114" s="2">
        <v>0.92</v>
      </c>
      <c r="AQ114" s="2">
        <v>-10.813000000000001</v>
      </c>
      <c r="AR114">
        <v>180653</v>
      </c>
    </row>
    <row r="115" spans="1:44" x14ac:dyDescent="0.25">
      <c r="A115">
        <v>135</v>
      </c>
      <c r="B115">
        <v>135</v>
      </c>
      <c r="C115">
        <v>4</v>
      </c>
      <c r="D115" s="1">
        <v>44400</v>
      </c>
      <c r="E115" s="59" t="str" cm="1">
        <f t="array" ref="E11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5" t="s">
        <v>286</v>
      </c>
      <c r="G115" s="3">
        <v>5912784</v>
      </c>
      <c r="H115" t="s">
        <v>287</v>
      </c>
      <c r="I115" s="4">
        <v>64288</v>
      </c>
      <c r="J115" t="s">
        <v>288</v>
      </c>
      <c r="K115" s="1">
        <v>44316</v>
      </c>
      <c r="L115">
        <v>85</v>
      </c>
      <c r="M115" s="2" t="str">
        <f>IF(Spotify[[#This Row],[Energie]]&gt;AVERAGE(Spotify[Energie]),"FORTE","FAIBLE")</f>
        <v>FAIBLE</v>
      </c>
      <c r="N115" s="2">
        <v>0.55800000000000005</v>
      </c>
      <c r="O115" s="2">
        <v>0.45400000000000001</v>
      </c>
      <c r="P115" s="2">
        <v>5.5100000000000003E-2</v>
      </c>
      <c r="Q115" s="2">
        <v>0.499</v>
      </c>
      <c r="R115" s="2">
        <v>0.14599999999999999</v>
      </c>
      <c r="S115" s="2">
        <v>0.42399999999999999</v>
      </c>
      <c r="T115" s="2">
        <v>-5.335</v>
      </c>
      <c r="U115">
        <v>158594</v>
      </c>
      <c r="V115">
        <f>YEAR(Spotify[[#This Row],[Date de sortie]])</f>
        <v>2021</v>
      </c>
      <c r="W115" s="2" t="str">
        <f>IF(Spotify[[#This Row],[Popularité]]&gt;=70,"FORTE","FAIBLE")</f>
        <v>FORTE</v>
      </c>
      <c r="Z115">
        <v>689</v>
      </c>
      <c r="AA115">
        <v>181</v>
      </c>
      <c r="AB115">
        <v>1</v>
      </c>
      <c r="AC115" s="1">
        <v>44183</v>
      </c>
      <c r="AD115" t="s">
        <v>1228</v>
      </c>
      <c r="AE115" s="3">
        <v>6657404</v>
      </c>
      <c r="AF115" t="s">
        <v>746</v>
      </c>
      <c r="AG115" s="4">
        <v>42227614</v>
      </c>
      <c r="AH115" t="s">
        <v>10</v>
      </c>
      <c r="AI115" s="1">
        <v>43805</v>
      </c>
      <c r="AJ115">
        <v>52</v>
      </c>
      <c r="AK115" s="2">
        <v>0.59799999999999998</v>
      </c>
      <c r="AL115" s="2">
        <v>0.68</v>
      </c>
      <c r="AM115" s="2">
        <v>3.3099999999999997E-2</v>
      </c>
      <c r="AN115" s="2">
        <v>0.06</v>
      </c>
      <c r="AO115" s="2">
        <v>0.32400000000000001</v>
      </c>
      <c r="AP115" s="2">
        <v>0.437</v>
      </c>
      <c r="AQ115" s="2">
        <v>-4.5049999999999999</v>
      </c>
      <c r="AR115">
        <v>228027</v>
      </c>
    </row>
    <row r="116" spans="1:44" x14ac:dyDescent="0.25">
      <c r="A116">
        <v>138</v>
      </c>
      <c r="B116">
        <v>138</v>
      </c>
      <c r="C116">
        <v>4</v>
      </c>
      <c r="D116" s="1">
        <v>44400</v>
      </c>
      <c r="E116" s="59" t="str" cm="1">
        <f t="array" ref="E11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6" t="s">
        <v>294</v>
      </c>
      <c r="G116" s="3">
        <v>5847975</v>
      </c>
      <c r="H116" t="s">
        <v>295</v>
      </c>
      <c r="I116" s="4">
        <v>12969190</v>
      </c>
      <c r="J116" t="s">
        <v>253</v>
      </c>
      <c r="K116" s="1">
        <v>44366</v>
      </c>
      <c r="L116">
        <v>85</v>
      </c>
      <c r="M116" s="2" t="str">
        <f>IF(Spotify[[#This Row],[Energie]]&gt;AVERAGE(Spotify[Energie]),"FORTE","FAIBLE")</f>
        <v>FORTE</v>
      </c>
      <c r="N116" s="2">
        <v>0.77400000000000002</v>
      </c>
      <c r="O116" s="2">
        <v>0.73199999999999998</v>
      </c>
      <c r="P116" s="2">
        <v>3.0800000000000001E-2</v>
      </c>
      <c r="Q116" s="2">
        <v>0.108</v>
      </c>
      <c r="R116" s="2">
        <v>0.24299999999999999</v>
      </c>
      <c r="S116" s="2">
        <v>0.73399999999999999</v>
      </c>
      <c r="T116" s="2">
        <v>-4.2270000000000003</v>
      </c>
      <c r="U116">
        <v>192725</v>
      </c>
      <c r="V116">
        <f>YEAR(Spotify[[#This Row],[Date de sortie]])</f>
        <v>2021</v>
      </c>
      <c r="W116" s="2" t="str">
        <f>IF(Spotify[[#This Row],[Popularité]]&gt;=70,"FORTE","FAIBLE")</f>
        <v>FORTE</v>
      </c>
    </row>
    <row r="117" spans="1:44" x14ac:dyDescent="0.25">
      <c r="A117">
        <v>143</v>
      </c>
      <c r="B117">
        <v>5</v>
      </c>
      <c r="C117">
        <v>32</v>
      </c>
      <c r="D117" s="1">
        <v>44232</v>
      </c>
      <c r="E117" s="59" t="str" cm="1">
        <f t="array" ref="E11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17" t="s">
        <v>304</v>
      </c>
      <c r="G117" s="3">
        <v>5734402</v>
      </c>
      <c r="H117" t="s">
        <v>305</v>
      </c>
      <c r="I117" s="4">
        <v>6150675</v>
      </c>
      <c r="J117" t="s">
        <v>306</v>
      </c>
      <c r="K117" s="1">
        <v>44175</v>
      </c>
      <c r="L117">
        <v>85</v>
      </c>
      <c r="M117" s="2" t="str">
        <f>IF(Spotify[[#This Row],[Energie]]&gt;AVERAGE(Spotify[Energie]),"FORTE","FAIBLE")</f>
        <v>FAIBLE</v>
      </c>
      <c r="N117" s="2">
        <v>0.71299999999999997</v>
      </c>
      <c r="O117" s="2">
        <v>0.61699999999999999</v>
      </c>
      <c r="P117" s="2">
        <v>8.8700000000000001E-2</v>
      </c>
      <c r="Q117" s="2">
        <v>0.122</v>
      </c>
      <c r="R117" s="2">
        <v>9.6199999999999994E-2</v>
      </c>
      <c r="S117" s="2">
        <v>0.68200000000000005</v>
      </c>
      <c r="T117" s="2">
        <v>-4.6369999999999996</v>
      </c>
      <c r="U117">
        <v>232853</v>
      </c>
      <c r="V117">
        <f>YEAR(Spotify[[#This Row],[Date de sortie]])</f>
        <v>2020</v>
      </c>
      <c r="W117" s="2" t="str">
        <f>IF(Spotify[[#This Row],[Popularité]]&gt;=70,"FORTE","FAIBLE")</f>
        <v>FORTE</v>
      </c>
    </row>
    <row r="118" spans="1:44" x14ac:dyDescent="0.25">
      <c r="A118">
        <v>144</v>
      </c>
      <c r="B118">
        <v>25</v>
      </c>
      <c r="C118">
        <v>39</v>
      </c>
      <c r="D118" s="1">
        <v>44232</v>
      </c>
      <c r="E118" s="59" t="str" cm="1">
        <f t="array" ref="E11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8" t="s">
        <v>307</v>
      </c>
      <c r="G118" s="3">
        <v>5693848</v>
      </c>
      <c r="H118" t="s">
        <v>308</v>
      </c>
      <c r="I118" s="4">
        <v>441674</v>
      </c>
      <c r="J118" t="s">
        <v>19</v>
      </c>
      <c r="K118" s="1">
        <v>44134</v>
      </c>
      <c r="L118">
        <v>85</v>
      </c>
      <c r="M118" s="2" t="str">
        <f>IF(Spotify[[#This Row],[Energie]]&gt;AVERAGE(Spotify[Energie]),"FORTE","FAIBLE")</f>
        <v>FAIBLE</v>
      </c>
      <c r="N118" s="2">
        <v>0.63200000000000001</v>
      </c>
      <c r="O118" s="2">
        <v>0.59499999999999997</v>
      </c>
      <c r="P118" s="2">
        <v>4.0099999999999997E-2</v>
      </c>
      <c r="Q118" s="2">
        <v>6.8900000000000003E-2</v>
      </c>
      <c r="R118" s="2">
        <v>0.20899999999999999</v>
      </c>
      <c r="S118" s="2">
        <v>0.435</v>
      </c>
      <c r="T118" s="2">
        <v>-7.6440000000000001</v>
      </c>
      <c r="U118">
        <v>167903</v>
      </c>
      <c r="V118">
        <f>YEAR(Spotify[[#This Row],[Date de sortie]])</f>
        <v>2020</v>
      </c>
      <c r="W118" s="2" t="str">
        <f>IF(Spotify[[#This Row],[Popularité]]&gt;=70,"FORTE","FAIBLE")</f>
        <v>FORTE</v>
      </c>
    </row>
    <row r="119" spans="1:44" x14ac:dyDescent="0.25">
      <c r="A119">
        <v>146</v>
      </c>
      <c r="B119">
        <v>90</v>
      </c>
      <c r="C119">
        <v>18</v>
      </c>
      <c r="D119" s="1">
        <v>44344</v>
      </c>
      <c r="E119" s="59" t="str" cm="1">
        <f t="array" ref="E11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9" t="s">
        <v>311</v>
      </c>
      <c r="G119" s="3">
        <v>5690260</v>
      </c>
      <c r="H119" t="s">
        <v>312</v>
      </c>
      <c r="I119" s="4">
        <v>432581</v>
      </c>
      <c r="J119" t="s">
        <v>313</v>
      </c>
      <c r="K119" s="1">
        <v>44204</v>
      </c>
      <c r="L119">
        <v>85</v>
      </c>
      <c r="M119" s="2" t="str">
        <f>IF(Spotify[[#This Row],[Energie]]&gt;AVERAGE(Spotify[Energie]),"FORTE","FAIBLE")</f>
        <v>FORTE</v>
      </c>
      <c r="N119" s="2">
        <v>0.73399999999999999</v>
      </c>
      <c r="O119" s="2">
        <v>0.85499999999999998</v>
      </c>
      <c r="P119" s="2">
        <v>0.13500000000000001</v>
      </c>
      <c r="Q119" s="2">
        <v>8.2100000000000006E-2</v>
      </c>
      <c r="R119" s="2">
        <v>9.01E-2</v>
      </c>
      <c r="S119" s="2">
        <v>0.54</v>
      </c>
      <c r="T119" s="2">
        <v>-4.5780000000000003</v>
      </c>
      <c r="U119">
        <v>139563</v>
      </c>
      <c r="V119">
        <f>YEAR(Spotify[[#This Row],[Date de sortie]])</f>
        <v>2021</v>
      </c>
      <c r="W119" s="2" t="str">
        <f>IF(Spotify[[#This Row],[Popularité]]&gt;=70,"FORTE","FAIBLE")</f>
        <v>FORTE</v>
      </c>
    </row>
    <row r="120" spans="1:44" x14ac:dyDescent="0.25">
      <c r="A120">
        <v>149</v>
      </c>
      <c r="B120">
        <v>110</v>
      </c>
      <c r="C120">
        <v>9</v>
      </c>
      <c r="D120" s="1">
        <v>44344</v>
      </c>
      <c r="E120" s="59" t="str" cm="1">
        <f t="array" ref="E12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20" t="s">
        <v>318</v>
      </c>
      <c r="G120" s="3">
        <v>5668576</v>
      </c>
      <c r="H120" t="s">
        <v>319</v>
      </c>
      <c r="I120" s="4">
        <v>159647</v>
      </c>
      <c r="J120" t="s">
        <v>320</v>
      </c>
      <c r="K120" s="1">
        <v>44344</v>
      </c>
      <c r="L120">
        <v>85</v>
      </c>
      <c r="M120" s="2" t="str">
        <f>IF(Spotify[[#This Row],[Energie]]&gt;AVERAGE(Spotify[Energie]),"FORTE","FAIBLE")</f>
        <v>FORTE</v>
      </c>
      <c r="N120" s="2">
        <v>0.67200000000000004</v>
      </c>
      <c r="O120" s="2">
        <v>0.71699999999999997</v>
      </c>
      <c r="P120" s="2">
        <v>0.22600000000000001</v>
      </c>
      <c r="Q120" s="2">
        <v>0.10299999999999999</v>
      </c>
      <c r="R120" s="2">
        <v>0.39800000000000002</v>
      </c>
      <c r="S120" s="2">
        <v>0.47299999999999998</v>
      </c>
      <c r="T120" s="2">
        <v>-7.476</v>
      </c>
      <c r="U120">
        <v>180380</v>
      </c>
      <c r="V120">
        <f>YEAR(Spotify[[#This Row],[Date de sortie]])</f>
        <v>2021</v>
      </c>
      <c r="W120" s="2" t="str">
        <f>IF(Spotify[[#This Row],[Popularité]]&gt;=70,"FORTE","FAIBLE")</f>
        <v>FORTE</v>
      </c>
    </row>
    <row r="121" spans="1:44" x14ac:dyDescent="0.25">
      <c r="A121">
        <v>152</v>
      </c>
      <c r="B121">
        <v>121</v>
      </c>
      <c r="C121">
        <v>32</v>
      </c>
      <c r="D121" s="1">
        <v>44323</v>
      </c>
      <c r="E121" s="59" t="str" cm="1">
        <f t="array" ref="E12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21" t="s">
        <v>324</v>
      </c>
      <c r="G121" s="3">
        <v>5628703</v>
      </c>
      <c r="H121" t="s">
        <v>325</v>
      </c>
      <c r="I121" s="4">
        <v>31151294</v>
      </c>
      <c r="J121" t="s">
        <v>326</v>
      </c>
      <c r="K121" s="1">
        <v>36717</v>
      </c>
      <c r="L121">
        <v>85</v>
      </c>
      <c r="M121" s="2" t="str">
        <f>IF(Spotify[[#This Row],[Energie]]&gt;AVERAGE(Spotify[Energie]),"FORTE","FAIBLE")</f>
        <v>FORTE</v>
      </c>
      <c r="N121" s="2">
        <v>0.42899999999999999</v>
      </c>
      <c r="O121" s="2">
        <v>0.66100000000000003</v>
      </c>
      <c r="P121" s="2">
        <v>2.81E-2</v>
      </c>
      <c r="Q121" s="2">
        <v>2.3900000000000002E-3</v>
      </c>
      <c r="R121" s="2">
        <v>0.23400000000000001</v>
      </c>
      <c r="S121" s="2">
        <v>0.28499999999999998</v>
      </c>
      <c r="T121" s="2">
        <v>-7.2270000000000003</v>
      </c>
      <c r="U121">
        <v>266773</v>
      </c>
      <c r="V121">
        <f>YEAR(Spotify[[#This Row],[Date de sortie]])</f>
        <v>2000</v>
      </c>
      <c r="W121" s="2" t="str">
        <f>IF(Spotify[[#This Row],[Popularité]]&gt;=70,"FORTE","FAIBLE")</f>
        <v>FORTE</v>
      </c>
    </row>
    <row r="122" spans="1:44" x14ac:dyDescent="0.25">
      <c r="A122">
        <v>158</v>
      </c>
      <c r="B122">
        <v>6</v>
      </c>
      <c r="C122">
        <v>47</v>
      </c>
      <c r="D122" s="1">
        <v>44141</v>
      </c>
      <c r="E122" s="59" t="str" cm="1">
        <f t="array" ref="E12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22" t="s">
        <v>337</v>
      </c>
      <c r="G122" s="3">
        <v>5570735</v>
      </c>
      <c r="H122" t="s">
        <v>338</v>
      </c>
      <c r="I122" s="4">
        <v>6837946</v>
      </c>
      <c r="J122" t="s">
        <v>158</v>
      </c>
      <c r="K122" s="1">
        <v>44015</v>
      </c>
      <c r="L122">
        <v>85</v>
      </c>
      <c r="M122" s="2" t="str">
        <f>IF(Spotify[[#This Row],[Energie]]&gt;AVERAGE(Spotify[Energie]),"FORTE","FAIBLE")</f>
        <v>FAIBLE</v>
      </c>
      <c r="N122" s="2">
        <v>0.70899999999999996</v>
      </c>
      <c r="O122" s="2">
        <v>0.54800000000000004</v>
      </c>
      <c r="P122" s="2">
        <v>0.35299999999999998</v>
      </c>
      <c r="Q122" s="2">
        <v>0.65</v>
      </c>
      <c r="R122" s="2">
        <v>0.13300000000000001</v>
      </c>
      <c r="S122" s="2">
        <v>0.54300000000000004</v>
      </c>
      <c r="T122" s="2">
        <v>-8.4930000000000003</v>
      </c>
      <c r="U122">
        <v>160000</v>
      </c>
      <c r="V122">
        <f>YEAR(Spotify[[#This Row],[Date de sortie]])</f>
        <v>2020</v>
      </c>
      <c r="W122" s="2" t="str">
        <f>IF(Spotify[[#This Row],[Popularité]]&gt;=70,"FORTE","FAIBLE")</f>
        <v>FORTE</v>
      </c>
    </row>
    <row r="123" spans="1:44" x14ac:dyDescent="0.25">
      <c r="A123">
        <v>162</v>
      </c>
      <c r="B123">
        <v>31</v>
      </c>
      <c r="C123">
        <v>83</v>
      </c>
      <c r="D123" s="1">
        <v>43826</v>
      </c>
      <c r="E123" s="59" t="str" cm="1">
        <f t="array" ref="E12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23" t="s">
        <v>344</v>
      </c>
      <c r="G123" s="3">
        <v>5477563</v>
      </c>
      <c r="H123" t="s">
        <v>345</v>
      </c>
      <c r="I123" s="4">
        <v>19085118</v>
      </c>
      <c r="J123" t="s">
        <v>79</v>
      </c>
      <c r="K123" s="1">
        <v>43444</v>
      </c>
      <c r="L123">
        <v>85</v>
      </c>
      <c r="M123" s="2" t="str">
        <f>IF(Spotify[[#This Row],[Energie]]&gt;AVERAGE(Spotify[Energie]),"FORTE","FAIBLE")</f>
        <v>FAIBLE</v>
      </c>
      <c r="N123" s="2">
        <v>0.51100000000000001</v>
      </c>
      <c r="O123" s="2">
        <v>0.56599999999999995</v>
      </c>
      <c r="P123" s="2">
        <v>0.2</v>
      </c>
      <c r="Q123" s="2">
        <v>0.34899999999999998</v>
      </c>
      <c r="R123" s="2">
        <v>0.34</v>
      </c>
      <c r="S123" s="2">
        <v>0.218</v>
      </c>
      <c r="T123" s="2">
        <v>-7.23</v>
      </c>
      <c r="U123">
        <v>239836</v>
      </c>
      <c r="V123">
        <f>YEAR(Spotify[[#This Row],[Date de sortie]])</f>
        <v>2018</v>
      </c>
      <c r="W123" s="2" t="str">
        <f>IF(Spotify[[#This Row],[Popularité]]&gt;=70,"FORTE","FAIBLE")</f>
        <v>FORTE</v>
      </c>
    </row>
    <row r="124" spans="1:44" x14ac:dyDescent="0.25">
      <c r="A124">
        <v>163</v>
      </c>
      <c r="B124">
        <v>4</v>
      </c>
      <c r="C124">
        <v>24</v>
      </c>
      <c r="D124" s="1">
        <v>44239</v>
      </c>
      <c r="E124" s="59" t="str" cm="1">
        <f t="array" ref="E12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24" t="s">
        <v>346</v>
      </c>
      <c r="G124" s="3">
        <v>5467753</v>
      </c>
      <c r="H124" t="s">
        <v>347</v>
      </c>
      <c r="I124" s="4">
        <v>3553442</v>
      </c>
      <c r="J124" t="s">
        <v>158</v>
      </c>
      <c r="K124" s="1">
        <v>44288</v>
      </c>
      <c r="L124">
        <v>85</v>
      </c>
      <c r="M124" s="2" t="str">
        <f>IF(Spotify[[#This Row],[Energie]]&gt;AVERAGE(Spotify[Energie]),"FORTE","FAIBLE")</f>
        <v>FAIBLE</v>
      </c>
      <c r="N124" s="2">
        <v>0.90700000000000003</v>
      </c>
      <c r="O124" s="2">
        <v>0.39300000000000002</v>
      </c>
      <c r="P124" s="2">
        <v>5.3900000000000003E-2</v>
      </c>
      <c r="Q124" s="2">
        <v>0.45100000000000001</v>
      </c>
      <c r="R124" s="2">
        <v>0.13500000000000001</v>
      </c>
      <c r="S124" s="2">
        <v>0.20200000000000001</v>
      </c>
      <c r="T124" s="2">
        <v>-7.6360000000000001</v>
      </c>
      <c r="U124">
        <v>205458</v>
      </c>
      <c r="V124">
        <f>YEAR(Spotify[[#This Row],[Date de sortie]])</f>
        <v>2021</v>
      </c>
      <c r="W124" s="2" t="str">
        <f>IF(Spotify[[#This Row],[Popularité]]&gt;=70,"FORTE","FAIBLE")</f>
        <v>FORTE</v>
      </c>
    </row>
    <row r="125" spans="1:44" x14ac:dyDescent="0.25">
      <c r="A125">
        <v>168</v>
      </c>
      <c r="B125">
        <v>13</v>
      </c>
      <c r="C125">
        <v>10</v>
      </c>
      <c r="D125" s="1">
        <v>44337</v>
      </c>
      <c r="E125" s="59" t="str" cm="1">
        <f t="array" ref="E12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5" t="s">
        <v>353</v>
      </c>
      <c r="G125" s="3">
        <v>5420003</v>
      </c>
      <c r="H125" t="s">
        <v>9</v>
      </c>
      <c r="I125" s="4">
        <v>6266514</v>
      </c>
      <c r="J125" t="s">
        <v>10</v>
      </c>
      <c r="K125" s="1">
        <v>44337</v>
      </c>
      <c r="L125">
        <v>85</v>
      </c>
      <c r="M125" s="2" t="str">
        <f>IF(Spotify[[#This Row],[Energie]]&gt;AVERAGE(Spotify[Energie]),"FORTE","FAIBLE")</f>
        <v>FAIBLE</v>
      </c>
      <c r="N125" s="2">
        <v>0.47299999999999998</v>
      </c>
      <c r="O125" s="2">
        <v>0.20300000000000001</v>
      </c>
      <c r="P125" s="2">
        <v>0.10199999999999999</v>
      </c>
      <c r="Q125" s="2">
        <v>0.94099999999999995</v>
      </c>
      <c r="R125" s="2">
        <v>0.126</v>
      </c>
      <c r="S125" s="2">
        <v>0.41899999999999998</v>
      </c>
      <c r="T125" s="2">
        <v>-12.627000000000001</v>
      </c>
      <c r="U125">
        <v>163587</v>
      </c>
      <c r="V125">
        <f>YEAR(Spotify[[#This Row],[Date de sortie]])</f>
        <v>2021</v>
      </c>
      <c r="W125" s="2" t="str">
        <f>IF(Spotify[[#This Row],[Popularité]]&gt;=70,"FORTE","FAIBLE")</f>
        <v>FORTE</v>
      </c>
    </row>
    <row r="126" spans="1:44" x14ac:dyDescent="0.25">
      <c r="A126">
        <v>213</v>
      </c>
      <c r="B126">
        <v>13</v>
      </c>
      <c r="C126">
        <v>15</v>
      </c>
      <c r="D126" s="1">
        <v>44323</v>
      </c>
      <c r="E126" s="59" t="str" cm="1">
        <f t="array" ref="E12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26" t="s">
        <v>434</v>
      </c>
      <c r="G126" s="3">
        <v>5288927</v>
      </c>
      <c r="H126" t="s">
        <v>435</v>
      </c>
      <c r="I126" s="4">
        <v>2123734</v>
      </c>
      <c r="J126" t="s">
        <v>25</v>
      </c>
      <c r="K126" s="1">
        <v>44224</v>
      </c>
      <c r="L126">
        <v>85</v>
      </c>
      <c r="M126" s="2" t="str">
        <f>IF(Spotify[[#This Row],[Energie]]&gt;AVERAGE(Spotify[Energie]),"FORTE","FAIBLE")</f>
        <v>FAIBLE</v>
      </c>
      <c r="N126" s="2">
        <v>0.83</v>
      </c>
      <c r="O126" s="2">
        <v>0.51700000000000002</v>
      </c>
      <c r="P126" s="2">
        <v>0.33300000000000002</v>
      </c>
      <c r="Q126" s="2">
        <v>0.39900000000000002</v>
      </c>
      <c r="R126" s="2">
        <v>9.1600000000000001E-2</v>
      </c>
      <c r="S126" s="2">
        <v>0.61599999999999999</v>
      </c>
      <c r="T126" s="2">
        <v>-6.4160000000000004</v>
      </c>
      <c r="U126">
        <v>182496</v>
      </c>
      <c r="V126">
        <f>YEAR(Spotify[[#This Row],[Date de sortie]])</f>
        <v>2021</v>
      </c>
      <c r="W126" s="2" t="str">
        <f>IF(Spotify[[#This Row],[Popularité]]&gt;=70,"FORTE","FAIBLE")</f>
        <v>FORTE</v>
      </c>
    </row>
    <row r="127" spans="1:44" x14ac:dyDescent="0.25">
      <c r="A127">
        <v>177</v>
      </c>
      <c r="B127">
        <v>4</v>
      </c>
      <c r="C127">
        <v>76</v>
      </c>
      <c r="D127" s="1">
        <v>44001</v>
      </c>
      <c r="E127" s="59" t="str" cm="1">
        <f t="array" ref="E12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27" t="s">
        <v>369</v>
      </c>
      <c r="G127" s="3">
        <v>5238547</v>
      </c>
      <c r="H127" t="s">
        <v>370</v>
      </c>
      <c r="I127" s="4">
        <v>924083</v>
      </c>
      <c r="J127" t="s">
        <v>371</v>
      </c>
      <c r="K127" s="1">
        <v>43869</v>
      </c>
      <c r="L127">
        <v>85</v>
      </c>
      <c r="M127" s="2" t="str">
        <f>IF(Spotify[[#This Row],[Energie]]&gt;AVERAGE(Spotify[Energie]),"FORTE","FAIBLE")</f>
        <v>FAIBLE</v>
      </c>
      <c r="N127" s="2">
        <v>0.72599999999999998</v>
      </c>
      <c r="O127" s="2">
        <v>0.43099999999999999</v>
      </c>
      <c r="P127" s="2">
        <v>0.13500000000000001</v>
      </c>
      <c r="Q127" s="2">
        <v>0.73099999999999998</v>
      </c>
      <c r="R127" s="2">
        <v>0.69599999999999995</v>
      </c>
      <c r="S127" s="2">
        <v>0.34799999999999998</v>
      </c>
      <c r="T127" s="2">
        <v>-8.7650000000000006</v>
      </c>
      <c r="U127">
        <v>173333</v>
      </c>
      <c r="V127">
        <f>YEAR(Spotify[[#This Row],[Date de sortie]])</f>
        <v>2020</v>
      </c>
      <c r="W127" s="2" t="str">
        <f>IF(Spotify[[#This Row],[Popularité]]&gt;=70,"FORTE","FAIBLE")</f>
        <v>FORTE</v>
      </c>
    </row>
    <row r="128" spans="1:44" x14ac:dyDescent="0.25">
      <c r="A128">
        <v>184</v>
      </c>
      <c r="B128">
        <v>184</v>
      </c>
      <c r="C128">
        <v>1</v>
      </c>
      <c r="D128" s="1">
        <v>44400</v>
      </c>
      <c r="E128" s="59" t="str" cm="1">
        <f t="array" ref="E12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8" t="s">
        <v>383</v>
      </c>
      <c r="G128" s="3">
        <v>5104206</v>
      </c>
      <c r="H128" t="s">
        <v>21</v>
      </c>
      <c r="I128" s="4">
        <v>6080597</v>
      </c>
      <c r="J128" t="s">
        <v>22</v>
      </c>
      <c r="K128" s="1">
        <v>44372</v>
      </c>
      <c r="L128">
        <v>85</v>
      </c>
      <c r="M128" s="2" t="str">
        <f>IF(Spotify[[#This Row],[Energie]]&gt;AVERAGE(Spotify[Energie]),"FORTE","FAIBLE")</f>
        <v>FAIBLE</v>
      </c>
      <c r="N128" s="2">
        <v>0.76500000000000001</v>
      </c>
      <c r="O128" s="2">
        <v>0.625</v>
      </c>
      <c r="P128" s="2">
        <v>5.4800000000000001E-2</v>
      </c>
      <c r="Q128" s="2">
        <v>0.58399999999999996</v>
      </c>
      <c r="R128" s="2">
        <v>0.112</v>
      </c>
      <c r="S128" s="2">
        <v>0.26200000000000001</v>
      </c>
      <c r="T128" s="2">
        <v>-3.5990000000000002</v>
      </c>
      <c r="U128">
        <v>164706</v>
      </c>
      <c r="V128">
        <f>YEAR(Spotify[[#This Row],[Date de sortie]])</f>
        <v>2021</v>
      </c>
      <c r="W128" s="2" t="str">
        <f>IF(Spotify[[#This Row],[Popularité]]&gt;=70,"FORTE","FAIBLE")</f>
        <v>FORTE</v>
      </c>
    </row>
    <row r="129" spans="1:23" x14ac:dyDescent="0.25">
      <c r="A129">
        <v>186</v>
      </c>
      <c r="B129">
        <v>80</v>
      </c>
      <c r="C129">
        <v>41</v>
      </c>
      <c r="D129" s="1">
        <v>44309</v>
      </c>
      <c r="E129" s="59" t="str" cm="1">
        <f t="array" ref="E12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29" t="s">
        <v>387</v>
      </c>
      <c r="G129" s="3">
        <v>5098609</v>
      </c>
      <c r="H129" t="s">
        <v>78</v>
      </c>
      <c r="I129" s="4">
        <v>4840346</v>
      </c>
      <c r="J129" t="s">
        <v>79</v>
      </c>
      <c r="K129" s="1">
        <v>43966</v>
      </c>
      <c r="L129">
        <v>85</v>
      </c>
      <c r="M129" s="2" t="str">
        <f>IF(Spotify[[#This Row],[Energie]]&gt;AVERAGE(Spotify[Energie]),"FORTE","FAIBLE")</f>
        <v>FAIBLE</v>
      </c>
      <c r="N129" s="2">
        <v>0.83199999999999996</v>
      </c>
      <c r="O129" s="2">
        <v>0.53400000000000003</v>
      </c>
      <c r="P129" s="2">
        <v>0.253</v>
      </c>
      <c r="Q129" s="2">
        <v>0.34499999999999997</v>
      </c>
      <c r="R129" s="2">
        <v>0.16500000000000001</v>
      </c>
      <c r="S129" s="2">
        <v>0.11600000000000001</v>
      </c>
      <c r="T129" s="2">
        <v>-7.8129999999999997</v>
      </c>
      <c r="U129">
        <v>132833</v>
      </c>
      <c r="V129">
        <f>YEAR(Spotify[[#This Row],[Date de sortie]])</f>
        <v>2020</v>
      </c>
      <c r="W129" s="2" t="str">
        <f>IF(Spotify[[#This Row],[Popularité]]&gt;=70,"FORTE","FAIBLE")</f>
        <v>FORTE</v>
      </c>
    </row>
    <row r="130" spans="1:23" x14ac:dyDescent="0.25">
      <c r="A130">
        <v>193</v>
      </c>
      <c r="B130">
        <v>41</v>
      </c>
      <c r="C130">
        <v>81</v>
      </c>
      <c r="D130" s="1">
        <v>43826</v>
      </c>
      <c r="E130" s="59" t="str" cm="1">
        <f t="array" ref="E13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30" t="s">
        <v>397</v>
      </c>
      <c r="G130" s="3">
        <v>5002227</v>
      </c>
      <c r="H130" t="s">
        <v>202</v>
      </c>
      <c r="I130" s="4">
        <v>67158068</v>
      </c>
      <c r="J130" t="s">
        <v>19</v>
      </c>
      <c r="K130" s="1">
        <v>43504</v>
      </c>
      <c r="L130">
        <v>85</v>
      </c>
      <c r="M130" s="2" t="str">
        <f>IF(Spotify[[#This Row],[Energie]]&gt;AVERAGE(Spotify[Energie]),"FORTE","FAIBLE")</f>
        <v>FAIBLE</v>
      </c>
      <c r="N130" s="2">
        <v>0.77800000000000002</v>
      </c>
      <c r="O130" s="2">
        <v>0.317</v>
      </c>
      <c r="P130" s="2">
        <v>0.33400000000000002</v>
      </c>
      <c r="Q130" s="2">
        <v>0.59199999999999997</v>
      </c>
      <c r="R130" s="2">
        <v>8.8099999999999998E-2</v>
      </c>
      <c r="S130" s="2">
        <v>0.32700000000000001</v>
      </c>
      <c r="T130" s="2">
        <v>-10.731999999999999</v>
      </c>
      <c r="U130">
        <v>178627</v>
      </c>
      <c r="V130">
        <f>YEAR(Spotify[[#This Row],[Date de sortie]])</f>
        <v>2019</v>
      </c>
      <c r="W130" s="2" t="str">
        <f>IF(Spotify[[#This Row],[Popularité]]&gt;=70,"FORTE","FAIBLE")</f>
        <v>FORTE</v>
      </c>
    </row>
    <row r="131" spans="1:23" x14ac:dyDescent="0.25">
      <c r="A131">
        <v>53</v>
      </c>
      <c r="B131">
        <v>19</v>
      </c>
      <c r="C131">
        <v>3</v>
      </c>
      <c r="D131" s="1">
        <v>44386</v>
      </c>
      <c r="E131" s="59" t="str" cm="1">
        <f t="array" ref="E13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31" t="s">
        <v>113</v>
      </c>
      <c r="G131" s="3">
        <v>9635619</v>
      </c>
      <c r="H131" t="s">
        <v>114</v>
      </c>
      <c r="I131" s="4">
        <v>47014200</v>
      </c>
      <c r="J131" t="s">
        <v>115</v>
      </c>
      <c r="K131" s="1">
        <v>44407</v>
      </c>
      <c r="L131">
        <v>84</v>
      </c>
      <c r="M131" s="2" t="str">
        <f>IF(Spotify[[#This Row],[Energie]]&gt;AVERAGE(Spotify[Energie]),"FORTE","FAIBLE")</f>
        <v>FAIBLE</v>
      </c>
      <c r="N131" s="2">
        <v>0.76500000000000001</v>
      </c>
      <c r="O131" s="2">
        <v>0.373</v>
      </c>
      <c r="P131" s="2">
        <v>7.1300000000000002E-2</v>
      </c>
      <c r="Q131" s="2">
        <v>0.34100000000000003</v>
      </c>
      <c r="R131" s="2">
        <v>0.112</v>
      </c>
      <c r="S131" s="2">
        <v>0.55400000000000005</v>
      </c>
      <c r="T131" s="2">
        <v>-9.9209999999999994</v>
      </c>
      <c r="U131">
        <v>195777</v>
      </c>
      <c r="V131">
        <f>YEAR(Spotify[[#This Row],[Date de sortie]])</f>
        <v>2021</v>
      </c>
      <c r="W131" s="2" t="str">
        <f>IF(Spotify[[#This Row],[Popularité]]&gt;=70,"FORTE","FAIBLE")</f>
        <v>FORTE</v>
      </c>
    </row>
    <row r="132" spans="1:23" x14ac:dyDescent="0.25">
      <c r="A132">
        <v>83</v>
      </c>
      <c r="B132">
        <v>83</v>
      </c>
      <c r="C132">
        <v>2</v>
      </c>
      <c r="D132" s="1">
        <v>44400</v>
      </c>
      <c r="E132" s="59" t="str" cm="1">
        <f t="array" ref="E13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32" t="s">
        <v>180</v>
      </c>
      <c r="G132" s="3">
        <v>7516291</v>
      </c>
      <c r="H132" t="s">
        <v>181</v>
      </c>
      <c r="I132" s="4">
        <v>1042079</v>
      </c>
      <c r="J132" t="s">
        <v>182</v>
      </c>
      <c r="K132" s="1">
        <v>44357</v>
      </c>
      <c r="L132">
        <v>84</v>
      </c>
      <c r="M132" s="2" t="str">
        <f>IF(Spotify[[#This Row],[Energie]]&gt;AVERAGE(Spotify[Energie]),"FORTE","FAIBLE")</f>
        <v>FORTE</v>
      </c>
      <c r="N132" s="2">
        <v>0.69399999999999995</v>
      </c>
      <c r="O132" s="2">
        <v>0.94799999999999995</v>
      </c>
      <c r="P132" s="2">
        <v>3.61E-2</v>
      </c>
      <c r="Q132" s="2">
        <v>9.3600000000000003E-3</v>
      </c>
      <c r="R132" s="2">
        <v>0.13900000000000001</v>
      </c>
      <c r="S132" s="2">
        <v>0.70499999999999996</v>
      </c>
      <c r="T132" s="2">
        <v>-5.3070000000000004</v>
      </c>
      <c r="U132">
        <v>58149</v>
      </c>
      <c r="V132">
        <f>YEAR(Spotify[[#This Row],[Date de sortie]])</f>
        <v>2021</v>
      </c>
      <c r="W132" s="2" t="str">
        <f>IF(Spotify[[#This Row],[Popularité]]&gt;=70,"FORTE","FAIBLE")</f>
        <v>FORTE</v>
      </c>
    </row>
    <row r="133" spans="1:23" x14ac:dyDescent="0.25">
      <c r="A133">
        <v>90</v>
      </c>
      <c r="B133">
        <v>23</v>
      </c>
      <c r="C133">
        <v>25</v>
      </c>
      <c r="D133" s="1">
        <v>44288</v>
      </c>
      <c r="E133" s="59" t="str" cm="1">
        <f t="array" ref="E13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33" t="s">
        <v>196</v>
      </c>
      <c r="G133" s="3">
        <v>7353795</v>
      </c>
      <c r="H133" t="s">
        <v>197</v>
      </c>
      <c r="I133" s="4">
        <v>287361</v>
      </c>
      <c r="J133" t="s">
        <v>198</v>
      </c>
      <c r="K133" s="1">
        <v>43531</v>
      </c>
      <c r="L133">
        <v>84</v>
      </c>
      <c r="M133" s="2" t="str">
        <f>IF(Spotify[[#This Row],[Energie]]&gt;AVERAGE(Spotify[Energie]),"FORTE","FAIBLE")</f>
        <v>FAIBLE</v>
      </c>
      <c r="N133" s="2">
        <v>0.45</v>
      </c>
      <c r="O133" s="2">
        <v>0.32900000000000001</v>
      </c>
      <c r="P133" s="2">
        <v>4.41E-2</v>
      </c>
      <c r="Q133" s="2">
        <v>0.81799999999999995</v>
      </c>
      <c r="R133" s="2">
        <v>0.13500000000000001</v>
      </c>
      <c r="S133" s="2">
        <v>0.26600000000000001</v>
      </c>
      <c r="T133" s="2">
        <v>-12.603</v>
      </c>
      <c r="U133">
        <v>183624</v>
      </c>
      <c r="V133">
        <f>YEAR(Spotify[[#This Row],[Date de sortie]])</f>
        <v>2019</v>
      </c>
      <c r="W133" s="2" t="str">
        <f>IF(Spotify[[#This Row],[Popularité]]&gt;=70,"FORTE","FAIBLE")</f>
        <v>FORTE</v>
      </c>
    </row>
    <row r="134" spans="1:23" x14ac:dyDescent="0.25">
      <c r="A134">
        <v>223</v>
      </c>
      <c r="B134">
        <v>4</v>
      </c>
      <c r="C134">
        <v>29</v>
      </c>
      <c r="D134" s="1">
        <v>44155</v>
      </c>
      <c r="E134" s="59" t="str" cm="1">
        <f t="array" ref="E13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34" t="s">
        <v>451</v>
      </c>
      <c r="G134" s="3">
        <v>6142975</v>
      </c>
      <c r="H134" t="s">
        <v>32</v>
      </c>
      <c r="I134" s="4">
        <v>37106176</v>
      </c>
      <c r="J134" t="s">
        <v>33</v>
      </c>
      <c r="K134" s="1">
        <v>44155</v>
      </c>
      <c r="L134">
        <v>84</v>
      </c>
      <c r="M134" s="2" t="str">
        <f>IF(Spotify[[#This Row],[Energie]]&gt;AVERAGE(Spotify[Energie]),"FORTE","FAIBLE")</f>
        <v>FORTE</v>
      </c>
      <c r="N134" s="2">
        <v>0.56599999999999995</v>
      </c>
      <c r="O134" s="2">
        <v>0.71599999999999997</v>
      </c>
      <c r="P134" s="2">
        <v>4.24E-2</v>
      </c>
      <c r="Q134" s="2">
        <v>6.9100000000000003E-3</v>
      </c>
      <c r="R134" s="2">
        <v>0.37</v>
      </c>
      <c r="S134" s="2">
        <v>0.45</v>
      </c>
      <c r="T134" s="2">
        <v>-5.7329999999999997</v>
      </c>
      <c r="U134">
        <v>207481</v>
      </c>
      <c r="V134">
        <f>YEAR(Spotify[[#This Row],[Date de sortie]])</f>
        <v>2020</v>
      </c>
      <c r="W134" s="2" t="str">
        <f>IF(Spotify[[#This Row],[Popularité]]&gt;=70,"FORTE","FAIBLE")</f>
        <v>FORTE</v>
      </c>
    </row>
    <row r="135" spans="1:23" x14ac:dyDescent="0.25">
      <c r="A135">
        <v>131</v>
      </c>
      <c r="B135">
        <v>131</v>
      </c>
      <c r="C135">
        <v>3</v>
      </c>
      <c r="D135" s="1">
        <v>44400</v>
      </c>
      <c r="E135" s="59" t="str" cm="1">
        <f t="array" ref="E13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35" t="s">
        <v>280</v>
      </c>
      <c r="G135" s="3">
        <v>6012839</v>
      </c>
      <c r="H135" t="s">
        <v>126</v>
      </c>
      <c r="I135" s="4">
        <v>409173</v>
      </c>
      <c r="J135"/>
      <c r="K135" s="1">
        <v>44348</v>
      </c>
      <c r="L135">
        <v>84</v>
      </c>
      <c r="M135" s="2" t="str">
        <f>IF(Spotify[[#This Row],[Energie]]&gt;AVERAGE(Spotify[Energie]),"FORTE","FAIBLE")</f>
        <v>FORTE</v>
      </c>
      <c r="N135" s="2">
        <v>0.68200000000000005</v>
      </c>
      <c r="O135" s="2">
        <v>0.873</v>
      </c>
      <c r="P135" s="2">
        <v>4.4900000000000002E-2</v>
      </c>
      <c r="Q135" s="2">
        <v>0.40200000000000002</v>
      </c>
      <c r="R135" s="2">
        <v>9.4600000000000004E-2</v>
      </c>
      <c r="S135" s="2">
        <v>0.96399999999999997</v>
      </c>
      <c r="T135" s="2">
        <v>-4.1630000000000003</v>
      </c>
      <c r="U135">
        <v>147072</v>
      </c>
      <c r="V135">
        <f>YEAR(Spotify[[#This Row],[Date de sortie]])</f>
        <v>2021</v>
      </c>
      <c r="W135" s="2" t="str">
        <f>IF(Spotify[[#This Row],[Popularité]]&gt;=70,"FORTE","FAIBLE")</f>
        <v>FORTE</v>
      </c>
    </row>
    <row r="136" spans="1:23" x14ac:dyDescent="0.25">
      <c r="A136">
        <v>377</v>
      </c>
      <c r="B136">
        <v>61</v>
      </c>
      <c r="C136">
        <v>17</v>
      </c>
      <c r="D136" s="1">
        <v>44169</v>
      </c>
      <c r="E136" s="59" t="str" cm="1">
        <f t="array" ref="E13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36" t="s">
        <v>707</v>
      </c>
      <c r="G136" s="3">
        <v>5831357</v>
      </c>
      <c r="H136" t="s">
        <v>708</v>
      </c>
      <c r="I136" s="4">
        <v>323203</v>
      </c>
      <c r="J136" t="s">
        <v>432</v>
      </c>
      <c r="K136" s="1">
        <v>44308</v>
      </c>
      <c r="L136">
        <v>84</v>
      </c>
      <c r="M136" s="2" t="str">
        <f>IF(Spotify[[#This Row],[Energie]]&gt;AVERAGE(Spotify[Energie]),"FORTE","FAIBLE")</f>
        <v>FORTE</v>
      </c>
      <c r="N136" s="2">
        <v>0.88300000000000001</v>
      </c>
      <c r="O136" s="2">
        <v>0.67400000000000004</v>
      </c>
      <c r="P136" s="2">
        <v>0.35699999999999998</v>
      </c>
      <c r="Q136" s="2">
        <v>0.21</v>
      </c>
      <c r="R136" s="2">
        <v>6.7799999999999999E-2</v>
      </c>
      <c r="S136" s="2">
        <v>0.73</v>
      </c>
      <c r="T136" s="2">
        <v>-8.0429999999999993</v>
      </c>
      <c r="U136">
        <v>278085</v>
      </c>
      <c r="V136">
        <f>YEAR(Spotify[[#This Row],[Date de sortie]])</f>
        <v>2021</v>
      </c>
      <c r="W136" s="2" t="str">
        <f>IF(Spotify[[#This Row],[Popularité]]&gt;=70,"FORTE","FAIBLE")</f>
        <v>FORTE</v>
      </c>
    </row>
    <row r="137" spans="1:23" x14ac:dyDescent="0.25">
      <c r="A137">
        <v>209</v>
      </c>
      <c r="B137">
        <v>22</v>
      </c>
      <c r="C137">
        <v>4</v>
      </c>
      <c r="D137" s="1">
        <v>44372</v>
      </c>
      <c r="E137" s="59" t="str" cm="1">
        <f t="array" ref="E13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7" t="s">
        <v>424</v>
      </c>
      <c r="G137" s="3">
        <v>5696113</v>
      </c>
      <c r="H137" t="s">
        <v>425</v>
      </c>
      <c r="I137" s="4">
        <v>6777818</v>
      </c>
      <c r="J137" t="s">
        <v>426</v>
      </c>
      <c r="K137" s="1">
        <v>44372</v>
      </c>
      <c r="L137">
        <v>84</v>
      </c>
      <c r="M137" s="2" t="str">
        <f>IF(Spotify[[#This Row],[Energie]]&gt;AVERAGE(Spotify[Energie]),"FORTE","FAIBLE")</f>
        <v>FORTE</v>
      </c>
      <c r="N137" s="2">
        <v>0.49299999999999999</v>
      </c>
      <c r="O137" s="2">
        <v>0.65300000000000002</v>
      </c>
      <c r="P137" s="2">
        <v>4.6600000000000003E-2</v>
      </c>
      <c r="Q137" s="2">
        <v>0.26900000000000002</v>
      </c>
      <c r="R137" s="2">
        <v>0.51100000000000001</v>
      </c>
      <c r="S137" s="2">
        <v>0.85199999999999998</v>
      </c>
      <c r="T137" s="2">
        <v>-5.6660000000000004</v>
      </c>
      <c r="U137">
        <v>121573</v>
      </c>
      <c r="V137">
        <f>YEAR(Spotify[[#This Row],[Date de sortie]])</f>
        <v>2021</v>
      </c>
      <c r="W137" s="2" t="str">
        <f>IF(Spotify[[#This Row],[Popularité]]&gt;=70,"FORTE","FAIBLE")</f>
        <v>FORTE</v>
      </c>
    </row>
    <row r="138" spans="1:23" x14ac:dyDescent="0.25">
      <c r="A138">
        <v>150</v>
      </c>
      <c r="B138">
        <v>103</v>
      </c>
      <c r="C138">
        <v>5</v>
      </c>
      <c r="D138" s="1">
        <v>44379</v>
      </c>
      <c r="E138" s="59" t="str" cm="1">
        <f t="array" ref="E13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38" t="s">
        <v>321</v>
      </c>
      <c r="G138" s="3">
        <v>5652272</v>
      </c>
      <c r="H138" t="s">
        <v>322</v>
      </c>
      <c r="I138" s="4">
        <v>15889</v>
      </c>
      <c r="J138"/>
      <c r="K138" s="1">
        <v>44315</v>
      </c>
      <c r="L138">
        <v>84</v>
      </c>
      <c r="M138" s="2" t="str">
        <f>IF(Spotify[[#This Row],[Energie]]&gt;AVERAGE(Spotify[Energie]),"FORTE","FAIBLE")</f>
        <v>FORTE</v>
      </c>
      <c r="N138" s="2">
        <v>0.63100000000000001</v>
      </c>
      <c r="O138" s="2">
        <v>0.86099999999999999</v>
      </c>
      <c r="P138" s="2">
        <v>4.24E-2</v>
      </c>
      <c r="Q138" s="2">
        <v>0.42699999999999999</v>
      </c>
      <c r="R138" s="2">
        <v>0.215</v>
      </c>
      <c r="S138" s="2">
        <v>0.82199999999999995</v>
      </c>
      <c r="T138" s="2">
        <v>-1.891</v>
      </c>
      <c r="U138">
        <v>173038</v>
      </c>
      <c r="V138">
        <f>YEAR(Spotify[[#This Row],[Date de sortie]])</f>
        <v>2021</v>
      </c>
      <c r="W138" s="2" t="str">
        <f>IF(Spotify[[#This Row],[Popularité]]&gt;=70,"FORTE","FAIBLE")</f>
        <v>FORTE</v>
      </c>
    </row>
    <row r="139" spans="1:23" x14ac:dyDescent="0.25">
      <c r="A139">
        <v>210</v>
      </c>
      <c r="B139">
        <v>105</v>
      </c>
      <c r="C139">
        <v>4</v>
      </c>
      <c r="D139" s="1">
        <v>44372</v>
      </c>
      <c r="E139" s="59" t="str" cm="1">
        <f t="array" ref="E13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39" t="s">
        <v>427</v>
      </c>
      <c r="G139" s="3">
        <v>5627519</v>
      </c>
      <c r="H139" t="s">
        <v>428</v>
      </c>
      <c r="I139" s="4">
        <v>208554</v>
      </c>
      <c r="J139" t="s">
        <v>429</v>
      </c>
      <c r="K139" s="1">
        <v>44371</v>
      </c>
      <c r="L139">
        <v>84</v>
      </c>
      <c r="M139" s="2" t="str">
        <f>IF(Spotify[[#This Row],[Energie]]&gt;AVERAGE(Spotify[Energie]),"FORTE","FAIBLE")</f>
        <v>FAIBLE</v>
      </c>
      <c r="N139" s="2">
        <v>0.78700000000000003</v>
      </c>
      <c r="O139" s="2">
        <v>0.53100000000000003</v>
      </c>
      <c r="P139" s="2">
        <v>0.10100000000000001</v>
      </c>
      <c r="Q139" s="2">
        <v>0.13200000000000001</v>
      </c>
      <c r="R139" s="2">
        <v>0.112</v>
      </c>
      <c r="S139" s="2">
        <v>0.72099999999999997</v>
      </c>
      <c r="T139" s="2">
        <v>-10.569000000000001</v>
      </c>
      <c r="U139">
        <v>138533</v>
      </c>
      <c r="V139">
        <f>YEAR(Spotify[[#This Row],[Date de sortie]])</f>
        <v>2021</v>
      </c>
      <c r="W139" s="2" t="str">
        <f>IF(Spotify[[#This Row],[Popularité]]&gt;=70,"FORTE","FAIBLE")</f>
        <v>FORTE</v>
      </c>
    </row>
    <row r="140" spans="1:23" x14ac:dyDescent="0.25">
      <c r="A140">
        <v>155</v>
      </c>
      <c r="B140">
        <v>142</v>
      </c>
      <c r="C140">
        <v>23</v>
      </c>
      <c r="D140" s="1">
        <v>44344</v>
      </c>
      <c r="E140" s="59" t="str" cm="1">
        <f t="array" ref="E14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0" t="s">
        <v>331</v>
      </c>
      <c r="G140" s="3">
        <v>5607285</v>
      </c>
      <c r="H140" t="s">
        <v>271</v>
      </c>
      <c r="I140" s="4">
        <v>20270895</v>
      </c>
      <c r="J140" t="s">
        <v>19</v>
      </c>
      <c r="K140" s="1">
        <v>41275</v>
      </c>
      <c r="L140">
        <v>84</v>
      </c>
      <c r="M140" s="2" t="str">
        <f>IF(Spotify[[#This Row],[Energie]]&gt;AVERAGE(Spotify[Energie]),"FORTE","FAIBLE")</f>
        <v>FORTE</v>
      </c>
      <c r="N140" s="2">
        <v>0.53200000000000003</v>
      </c>
      <c r="O140" s="2">
        <v>0.78300000000000003</v>
      </c>
      <c r="P140" s="2">
        <v>5.2299999999999999E-2</v>
      </c>
      <c r="Q140" s="2">
        <v>3.8E-3</v>
      </c>
      <c r="R140" s="2">
        <v>0.161</v>
      </c>
      <c r="S140" s="2">
        <v>0.64300000000000002</v>
      </c>
      <c r="T140" s="2">
        <v>-5.6970000000000001</v>
      </c>
      <c r="U140">
        <v>247427</v>
      </c>
      <c r="V140">
        <f>YEAR(Spotify[[#This Row],[Date de sortie]])</f>
        <v>2013</v>
      </c>
      <c r="W140" s="2" t="str">
        <f>IF(Spotify[[#This Row],[Popularité]]&gt;=70,"FORTE","FAIBLE")</f>
        <v>FORTE</v>
      </c>
    </row>
    <row r="141" spans="1:23" x14ac:dyDescent="0.25">
      <c r="A141">
        <v>225</v>
      </c>
      <c r="B141">
        <v>17</v>
      </c>
      <c r="C141">
        <v>24</v>
      </c>
      <c r="D141" s="1">
        <v>44232</v>
      </c>
      <c r="E141" s="59" t="str" cm="1">
        <f t="array" ref="E14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1" t="s">
        <v>453</v>
      </c>
      <c r="G141" s="3">
        <v>5588217</v>
      </c>
      <c r="H141" t="s">
        <v>454</v>
      </c>
      <c r="I141" s="4">
        <v>28909504</v>
      </c>
      <c r="J141" t="s">
        <v>19</v>
      </c>
      <c r="K141" s="1">
        <v>44267</v>
      </c>
      <c r="L141">
        <v>84</v>
      </c>
      <c r="M141" s="2" t="str">
        <f>IF(Spotify[[#This Row],[Energie]]&gt;AVERAGE(Spotify[Energie]),"FORTE","FAIBLE")</f>
        <v>FAIBLE</v>
      </c>
      <c r="N141" s="2">
        <v>0.82299999999999995</v>
      </c>
      <c r="O141" s="2">
        <v>0.54400000000000004</v>
      </c>
      <c r="P141" s="2">
        <v>7.1499999999999994E-2</v>
      </c>
      <c r="Q141" s="2">
        <v>2.1499999999999998E-2</v>
      </c>
      <c r="R141" s="2">
        <v>9.6600000000000005E-2</v>
      </c>
      <c r="S141" s="2">
        <v>0.66400000000000003</v>
      </c>
      <c r="T141" s="2">
        <v>-7.1319999999999997</v>
      </c>
      <c r="U141">
        <v>186088</v>
      </c>
      <c r="V141">
        <f>YEAR(Spotify[[#This Row],[Date de sortie]])</f>
        <v>2021</v>
      </c>
      <c r="W141" s="2" t="str">
        <f>IF(Spotify[[#This Row],[Popularité]]&gt;=70,"FORTE","FAIBLE")</f>
        <v>FORTE</v>
      </c>
    </row>
    <row r="142" spans="1:23" x14ac:dyDescent="0.25">
      <c r="A142">
        <v>160</v>
      </c>
      <c r="B142">
        <v>121</v>
      </c>
      <c r="C142">
        <v>5</v>
      </c>
      <c r="D142" s="1">
        <v>44386</v>
      </c>
      <c r="E142" s="59" t="str" cm="1">
        <f t="array" ref="E14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42" t="s">
        <v>342</v>
      </c>
      <c r="G142" s="3">
        <v>5493760</v>
      </c>
      <c r="H142" t="s">
        <v>264</v>
      </c>
      <c r="I142" s="4">
        <v>7593046</v>
      </c>
      <c r="J142" t="s">
        <v>265</v>
      </c>
      <c r="K142" s="1">
        <v>44372</v>
      </c>
      <c r="L142">
        <v>84</v>
      </c>
      <c r="M142" s="2" t="str">
        <f>IF(Spotify[[#This Row],[Energie]]&gt;AVERAGE(Spotify[Energie]),"FORTE","FAIBLE")</f>
        <v>FORTE</v>
      </c>
      <c r="N142" s="2">
        <v>0.93300000000000005</v>
      </c>
      <c r="O142" s="2">
        <v>0.65600000000000003</v>
      </c>
      <c r="P142" s="2">
        <v>0.32200000000000001</v>
      </c>
      <c r="Q142" s="2">
        <v>0.129</v>
      </c>
      <c r="R142" s="2">
        <v>0.161</v>
      </c>
      <c r="S142" s="2">
        <v>0.93400000000000005</v>
      </c>
      <c r="T142" s="2">
        <v>-5.85</v>
      </c>
      <c r="U142">
        <v>159083</v>
      </c>
      <c r="V142">
        <f>YEAR(Spotify[[#This Row],[Date de sortie]])</f>
        <v>2021</v>
      </c>
      <c r="W142" s="2" t="str">
        <f>IF(Spotify[[#This Row],[Popularité]]&gt;=70,"FORTE","FAIBLE")</f>
        <v>FORTE</v>
      </c>
    </row>
    <row r="143" spans="1:23" x14ac:dyDescent="0.25">
      <c r="A143">
        <v>161</v>
      </c>
      <c r="B143">
        <v>120</v>
      </c>
      <c r="C143">
        <v>5</v>
      </c>
      <c r="D143" s="1">
        <v>44365</v>
      </c>
      <c r="E143" s="59" t="str" cm="1">
        <f t="array" ref="E14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43" t="s">
        <v>343</v>
      </c>
      <c r="G143" s="3">
        <v>5478055</v>
      </c>
      <c r="H143" t="s">
        <v>264</v>
      </c>
      <c r="I143" s="4">
        <v>7593046</v>
      </c>
      <c r="J143" t="s">
        <v>265</v>
      </c>
      <c r="K143" s="1">
        <v>44365</v>
      </c>
      <c r="L143">
        <v>84</v>
      </c>
      <c r="M143" s="2" t="str">
        <f>IF(Spotify[[#This Row],[Energie]]&gt;AVERAGE(Spotify[Energie]),"FORTE","FAIBLE")</f>
        <v>FORTE</v>
      </c>
      <c r="N143" s="2">
        <v>0.90200000000000002</v>
      </c>
      <c r="O143" s="2">
        <v>0.66900000000000004</v>
      </c>
      <c r="P143" s="2">
        <v>0.45700000000000002</v>
      </c>
      <c r="Q143" s="2">
        <v>0.161</v>
      </c>
      <c r="R143" s="2">
        <v>7.2800000000000004E-2</v>
      </c>
      <c r="S143" s="2">
        <v>0.628</v>
      </c>
      <c r="T143" s="2">
        <v>-5.0490000000000004</v>
      </c>
      <c r="U143">
        <v>112547</v>
      </c>
      <c r="V143">
        <f>YEAR(Spotify[[#This Row],[Date de sortie]])</f>
        <v>2021</v>
      </c>
      <c r="W143" s="2" t="str">
        <f>IF(Spotify[[#This Row],[Popularité]]&gt;=70,"FORTE","FAIBLE")</f>
        <v>FORTE</v>
      </c>
    </row>
    <row r="144" spans="1:23" x14ac:dyDescent="0.25">
      <c r="A144">
        <v>227</v>
      </c>
      <c r="B144">
        <v>22</v>
      </c>
      <c r="C144">
        <v>8</v>
      </c>
      <c r="D144" s="1">
        <v>44337</v>
      </c>
      <c r="E144" s="59" t="str" cm="1">
        <f t="array" ref="E14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4" t="s">
        <v>457</v>
      </c>
      <c r="G144" s="3">
        <v>5435614</v>
      </c>
      <c r="H144" t="s">
        <v>9</v>
      </c>
      <c r="I144" s="4">
        <v>6266514</v>
      </c>
      <c r="J144" t="s">
        <v>10</v>
      </c>
      <c r="K144" s="1">
        <v>44337</v>
      </c>
      <c r="L144">
        <v>84</v>
      </c>
      <c r="M144" s="2" t="str">
        <f>IF(Spotify[[#This Row],[Energie]]&gt;AVERAGE(Spotify[Energie]),"FORTE","FAIBLE")</f>
        <v>FAIBLE</v>
      </c>
      <c r="N144" s="2">
        <v>0.443</v>
      </c>
      <c r="O144" s="2">
        <v>0.29799999999999999</v>
      </c>
      <c r="P144" s="2">
        <v>6.4399999999999999E-2</v>
      </c>
      <c r="Q144" s="2">
        <v>0.38800000000000001</v>
      </c>
      <c r="R144" s="2">
        <v>0.10299999999999999</v>
      </c>
      <c r="S144" s="2">
        <v>0.17199999999999999</v>
      </c>
      <c r="T144" s="2">
        <v>-12.180999999999999</v>
      </c>
      <c r="U144">
        <v>209560</v>
      </c>
      <c r="V144">
        <f>YEAR(Spotify[[#This Row],[Date de sortie]])</f>
        <v>2021</v>
      </c>
      <c r="W144" s="2" t="str">
        <f>IF(Spotify[[#This Row],[Popularité]]&gt;=70,"FORTE","FAIBLE")</f>
        <v>FORTE</v>
      </c>
    </row>
    <row r="145" spans="1:23" x14ac:dyDescent="0.25">
      <c r="A145">
        <v>167</v>
      </c>
      <c r="B145">
        <v>7</v>
      </c>
      <c r="C145">
        <v>56</v>
      </c>
      <c r="D145" s="1">
        <v>44106</v>
      </c>
      <c r="E145" s="59" t="str" cm="1">
        <f t="array" ref="E14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5" t="s">
        <v>352</v>
      </c>
      <c r="G145" s="3">
        <v>5431375</v>
      </c>
      <c r="H145" t="s">
        <v>338</v>
      </c>
      <c r="I145" s="4">
        <v>6837946</v>
      </c>
      <c r="J145" t="s">
        <v>158</v>
      </c>
      <c r="K145" s="1">
        <v>44015</v>
      </c>
      <c r="L145">
        <v>84</v>
      </c>
      <c r="M145" s="2" t="str">
        <f>IF(Spotify[[#This Row],[Energie]]&gt;AVERAGE(Spotify[Energie]),"FORTE","FAIBLE")</f>
        <v>FAIBLE</v>
      </c>
      <c r="N145" s="2">
        <v>0.82299999999999995</v>
      </c>
      <c r="O145" s="2">
        <v>0.58599999999999997</v>
      </c>
      <c r="P145" s="2">
        <v>0.2</v>
      </c>
      <c r="Q145" s="2">
        <v>0.114</v>
      </c>
      <c r="R145" s="2">
        <v>0.193</v>
      </c>
      <c r="S145" s="2">
        <v>0.34699999999999998</v>
      </c>
      <c r="T145" s="2">
        <v>-6.6059999999999999</v>
      </c>
      <c r="U145">
        <v>190476</v>
      </c>
      <c r="V145">
        <f>YEAR(Spotify[[#This Row],[Date de sortie]])</f>
        <v>2020</v>
      </c>
      <c r="W145" s="2" t="str">
        <f>IF(Spotify[[#This Row],[Popularité]]&gt;=70,"FORTE","FAIBLE")</f>
        <v>FORTE</v>
      </c>
    </row>
    <row r="146" spans="1:23" x14ac:dyDescent="0.25">
      <c r="A146">
        <v>169</v>
      </c>
      <c r="B146">
        <v>1</v>
      </c>
      <c r="C146">
        <v>51</v>
      </c>
      <c r="D146" s="1">
        <v>44085</v>
      </c>
      <c r="E146" s="59" t="str" cm="1">
        <f t="array" ref="E14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6" t="s">
        <v>354</v>
      </c>
      <c r="G146" s="3">
        <v>5386268</v>
      </c>
      <c r="H146" t="s">
        <v>297</v>
      </c>
      <c r="I146" s="4">
        <v>17353707</v>
      </c>
      <c r="J146" t="s">
        <v>19</v>
      </c>
      <c r="K146" s="1">
        <v>44050</v>
      </c>
      <c r="L146">
        <v>84</v>
      </c>
      <c r="M146" s="2" t="str">
        <f>IF(Spotify[[#This Row],[Energie]]&gt;AVERAGE(Spotify[Energie]),"FORTE","FAIBLE")</f>
        <v>FAIBLE</v>
      </c>
      <c r="N146" s="2">
        <v>0.93500000000000005</v>
      </c>
      <c r="O146" s="2">
        <v>0.45400000000000001</v>
      </c>
      <c r="P146" s="2">
        <v>0.375</v>
      </c>
      <c r="Q146" s="2">
        <v>1.9400000000000001E-2</v>
      </c>
      <c r="R146" s="2">
        <v>8.2400000000000001E-2</v>
      </c>
      <c r="S146" s="2">
        <v>0.35699999999999998</v>
      </c>
      <c r="T146" s="2">
        <v>-7.5090000000000003</v>
      </c>
      <c r="U146">
        <v>187541</v>
      </c>
      <c r="V146">
        <f>YEAR(Spotify[[#This Row],[Date de sortie]])</f>
        <v>2020</v>
      </c>
      <c r="W146" s="2" t="str">
        <f>IF(Spotify[[#This Row],[Popularité]]&gt;=70,"FORTE","FAIBLE")</f>
        <v>FORTE</v>
      </c>
    </row>
    <row r="147" spans="1:23" x14ac:dyDescent="0.25">
      <c r="A147">
        <v>211</v>
      </c>
      <c r="B147">
        <v>17</v>
      </c>
      <c r="C147">
        <v>12</v>
      </c>
      <c r="D147" s="1">
        <v>44323</v>
      </c>
      <c r="E147" s="59" t="str" cm="1">
        <f t="array" ref="E14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47" t="s">
        <v>430</v>
      </c>
      <c r="G147" s="3">
        <v>5383125</v>
      </c>
      <c r="H147" t="s">
        <v>431</v>
      </c>
      <c r="I147" s="4">
        <v>323203</v>
      </c>
      <c r="J147" t="s">
        <v>432</v>
      </c>
      <c r="K147" s="1">
        <v>44308</v>
      </c>
      <c r="L147">
        <v>84</v>
      </c>
      <c r="M147" s="2" t="str">
        <f>IF(Spotify[[#This Row],[Energie]]&gt;AVERAGE(Spotify[Energie]),"FORTE","FAIBLE")</f>
        <v>FORTE</v>
      </c>
      <c r="N147" s="2">
        <v>0.88300000000000001</v>
      </c>
      <c r="O147" s="2">
        <v>0.67400000000000004</v>
      </c>
      <c r="P147" s="2">
        <v>0.35699999999999998</v>
      </c>
      <c r="Q147" s="2">
        <v>0.21</v>
      </c>
      <c r="R147" s="2">
        <v>6.7799999999999999E-2</v>
      </c>
      <c r="S147" s="2">
        <v>0.73</v>
      </c>
      <c r="T147" s="2">
        <v>-8.0429999999999993</v>
      </c>
      <c r="U147">
        <v>278085</v>
      </c>
      <c r="V147">
        <f>YEAR(Spotify[[#This Row],[Date de sortie]])</f>
        <v>2021</v>
      </c>
      <c r="W147" s="2" t="str">
        <f>IF(Spotify[[#This Row],[Popularité]]&gt;=70,"FORTE","FAIBLE")</f>
        <v>FORTE</v>
      </c>
    </row>
    <row r="148" spans="1:23" x14ac:dyDescent="0.25">
      <c r="A148">
        <v>172</v>
      </c>
      <c r="B148">
        <v>20</v>
      </c>
      <c r="C148">
        <v>44</v>
      </c>
      <c r="D148" s="1">
        <v>44113</v>
      </c>
      <c r="E148" s="59" t="str" cm="1">
        <f t="array" ref="E14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148" t="s">
        <v>361</v>
      </c>
      <c r="G148" s="3">
        <v>5378971</v>
      </c>
      <c r="H148" t="s">
        <v>362</v>
      </c>
      <c r="I148" s="4">
        <v>6930669</v>
      </c>
      <c r="J148" t="s">
        <v>360</v>
      </c>
      <c r="K148" s="1">
        <v>28160</v>
      </c>
      <c r="L148">
        <v>84</v>
      </c>
      <c r="M148" s="2" t="str">
        <f>IF(Spotify[[#This Row],[Energie]]&gt;AVERAGE(Spotify[Energie]),"FORTE","FAIBLE")</f>
        <v>FAIBLE</v>
      </c>
      <c r="N148" s="2">
        <v>0.82799999999999996</v>
      </c>
      <c r="O148" s="2">
        <v>0.49199999999999999</v>
      </c>
      <c r="P148" s="2">
        <v>2.76E-2</v>
      </c>
      <c r="Q148" s="2">
        <v>6.4399999999999999E-2</v>
      </c>
      <c r="R148" s="2">
        <v>0.128</v>
      </c>
      <c r="S148" s="2">
        <v>0.78900000000000003</v>
      </c>
      <c r="T148" s="2">
        <v>-9.7439999999999998</v>
      </c>
      <c r="U148">
        <v>257800</v>
      </c>
      <c r="V148">
        <f>YEAR(Spotify[[#This Row],[Date de sortie]])</f>
        <v>1977</v>
      </c>
      <c r="W148" s="2" t="str">
        <f>IF(Spotify[[#This Row],[Popularité]]&gt;=70,"FORTE","FAIBLE")</f>
        <v>FORTE</v>
      </c>
    </row>
    <row r="149" spans="1:23" x14ac:dyDescent="0.25">
      <c r="A149">
        <v>173</v>
      </c>
      <c r="B149">
        <v>94</v>
      </c>
      <c r="C149">
        <v>82</v>
      </c>
      <c r="D149" s="1">
        <v>44239</v>
      </c>
      <c r="E149" s="59" t="str" cm="1">
        <f t="array" ref="E14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9" t="s">
        <v>363</v>
      </c>
      <c r="G149" s="3">
        <v>5375426</v>
      </c>
      <c r="H149" t="s">
        <v>364</v>
      </c>
      <c r="I149" s="4">
        <v>8441598</v>
      </c>
      <c r="J149" t="s">
        <v>10</v>
      </c>
      <c r="K149" s="1">
        <v>42671</v>
      </c>
      <c r="L149">
        <v>84</v>
      </c>
      <c r="M149" s="2" t="str">
        <f>IF(Spotify[[#This Row],[Energie]]&gt;AVERAGE(Spotify[Energie]),"FORTE","FAIBLE")</f>
        <v>FAIBLE</v>
      </c>
      <c r="N149" s="2">
        <v>0.35799999999999998</v>
      </c>
      <c r="O149" s="2">
        <v>0.55700000000000005</v>
      </c>
      <c r="P149" s="2">
        <v>5.8999999999999997E-2</v>
      </c>
      <c r="Q149" s="2">
        <v>0.69499999999999995</v>
      </c>
      <c r="R149" s="2">
        <v>9.0200000000000002E-2</v>
      </c>
      <c r="S149" s="2">
        <v>0.49399999999999999</v>
      </c>
      <c r="T149" s="2">
        <v>-7.3979999999999997</v>
      </c>
      <c r="U149">
        <v>211467</v>
      </c>
      <c r="V149">
        <f>YEAR(Spotify[[#This Row],[Date de sortie]])</f>
        <v>2016</v>
      </c>
      <c r="W149" s="2" t="str">
        <f>IF(Spotify[[#This Row],[Popularité]]&gt;=70,"FORTE","FAIBLE")</f>
        <v>FORTE</v>
      </c>
    </row>
    <row r="150" spans="1:23" x14ac:dyDescent="0.25">
      <c r="A150">
        <v>215</v>
      </c>
      <c r="B150">
        <v>20</v>
      </c>
      <c r="C150">
        <v>82</v>
      </c>
      <c r="D150" s="1">
        <v>43833</v>
      </c>
      <c r="E150" s="59" t="str" cm="1">
        <f t="array" ref="E15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50" t="s">
        <v>439</v>
      </c>
      <c r="G150" s="3">
        <v>5235088</v>
      </c>
      <c r="H150" t="s">
        <v>440</v>
      </c>
      <c r="I150" s="4">
        <v>152226</v>
      </c>
      <c r="J150" t="s">
        <v>19</v>
      </c>
      <c r="K150" s="1">
        <v>43672</v>
      </c>
      <c r="L150">
        <v>84</v>
      </c>
      <c r="M150" s="2" t="str">
        <f>IF(Spotify[[#This Row],[Energie]]&gt;AVERAGE(Spotify[Energie]),"FORTE","FAIBLE")</f>
        <v>FORTE</v>
      </c>
      <c r="N150" s="2">
        <v>0.88</v>
      </c>
      <c r="O150" s="2">
        <v>0.751</v>
      </c>
      <c r="P150" s="2">
        <v>8.7400000000000005E-2</v>
      </c>
      <c r="Q150" s="2">
        <v>0.17699999999999999</v>
      </c>
      <c r="R150" s="2">
        <v>0.106</v>
      </c>
      <c r="S150" s="2">
        <v>0.88400000000000001</v>
      </c>
      <c r="T150" s="2">
        <v>-4.258</v>
      </c>
      <c r="U150">
        <v>157606</v>
      </c>
      <c r="V150">
        <f>YEAR(Spotify[[#This Row],[Date de sortie]])</f>
        <v>2019</v>
      </c>
      <c r="W150" s="2" t="str">
        <f>IF(Spotify[[#This Row],[Popularité]]&gt;=70,"FORTE","FAIBLE")</f>
        <v>FORTE</v>
      </c>
    </row>
    <row r="151" spans="1:23" x14ac:dyDescent="0.25">
      <c r="A151">
        <v>281</v>
      </c>
      <c r="B151">
        <v>96</v>
      </c>
      <c r="C151">
        <v>77</v>
      </c>
      <c r="D151" s="1">
        <v>44008</v>
      </c>
      <c r="E151" s="59" t="str" cm="1">
        <f t="array" ref="E15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51" t="s">
        <v>555</v>
      </c>
      <c r="G151" s="3">
        <v>5220422</v>
      </c>
      <c r="H151" t="s">
        <v>556</v>
      </c>
      <c r="I151" s="4">
        <v>29539807</v>
      </c>
      <c r="J151" t="s">
        <v>557</v>
      </c>
      <c r="K151" s="1">
        <v>42972</v>
      </c>
      <c r="L151">
        <v>84</v>
      </c>
      <c r="M151" s="2" t="str">
        <f>IF(Spotify[[#This Row],[Energie]]&gt;AVERAGE(Spotify[Energie]),"FORTE","FAIBLE")</f>
        <v>FAIBLE</v>
      </c>
      <c r="N151" s="2">
        <v>0.872</v>
      </c>
      <c r="O151" s="2">
        <v>0.39100000000000001</v>
      </c>
      <c r="P151" s="2">
        <v>0.24199999999999999</v>
      </c>
      <c r="Q151" s="2">
        <v>0.46899999999999997</v>
      </c>
      <c r="R151" s="2">
        <v>0.29699999999999999</v>
      </c>
      <c r="S151" s="2">
        <v>0.437</v>
      </c>
      <c r="T151" s="2">
        <v>-9.1440000000000001</v>
      </c>
      <c r="U151">
        <v>119133</v>
      </c>
      <c r="V151">
        <f>YEAR(Spotify[[#This Row],[Date de sortie]])</f>
        <v>2017</v>
      </c>
      <c r="W151" s="2" t="str">
        <f>IF(Spotify[[#This Row],[Popularité]]&gt;=70,"FORTE","FAIBLE")</f>
        <v>FORTE</v>
      </c>
    </row>
    <row r="152" spans="1:23" x14ac:dyDescent="0.25">
      <c r="A152">
        <v>180</v>
      </c>
      <c r="B152">
        <v>149</v>
      </c>
      <c r="C152">
        <v>14</v>
      </c>
      <c r="D152" s="1">
        <v>44344</v>
      </c>
      <c r="E152" s="59" t="str" cm="1">
        <f t="array" ref="E15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52" t="s">
        <v>375</v>
      </c>
      <c r="G152" s="3">
        <v>5178490</v>
      </c>
      <c r="H152" t="s">
        <v>376</v>
      </c>
      <c r="I152" s="4">
        <v>56308172</v>
      </c>
      <c r="J152" t="s">
        <v>155</v>
      </c>
      <c r="K152" s="1">
        <v>42496</v>
      </c>
      <c r="L152">
        <v>84</v>
      </c>
      <c r="M152" s="2" t="str">
        <f>IF(Spotify[[#This Row],[Energie]]&gt;AVERAGE(Spotify[Energie]),"FORTE","FAIBLE")</f>
        <v>FAIBLE</v>
      </c>
      <c r="N152" s="2">
        <v>0.79200000000000004</v>
      </c>
      <c r="O152" s="2">
        <v>0.625</v>
      </c>
      <c r="P152" s="2">
        <v>5.3600000000000002E-2</v>
      </c>
      <c r="Q152" s="2">
        <v>7.7600000000000004E-3</v>
      </c>
      <c r="R152" s="2">
        <v>0.32900000000000001</v>
      </c>
      <c r="S152" s="2">
        <v>0.37</v>
      </c>
      <c r="T152" s="2">
        <v>-5.609</v>
      </c>
      <c r="U152">
        <v>173987</v>
      </c>
      <c r="V152">
        <f>YEAR(Spotify[[#This Row],[Date de sortie]])</f>
        <v>2016</v>
      </c>
      <c r="W152" s="2" t="str">
        <f>IF(Spotify[[#This Row],[Popularité]]&gt;=70,"FORTE","FAIBLE")</f>
        <v>FORTE</v>
      </c>
    </row>
    <row r="153" spans="1:23" x14ac:dyDescent="0.25">
      <c r="A153">
        <v>181</v>
      </c>
      <c r="B153">
        <v>15</v>
      </c>
      <c r="C153">
        <v>83</v>
      </c>
      <c r="D153" s="1">
        <v>43826</v>
      </c>
      <c r="E153" s="59" t="str" cm="1">
        <f t="array" ref="E15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53" t="s">
        <v>377</v>
      </c>
      <c r="G153" s="3">
        <v>5166847</v>
      </c>
      <c r="H153" t="s">
        <v>74</v>
      </c>
      <c r="I153" s="4">
        <v>16112621</v>
      </c>
      <c r="J153" t="s">
        <v>10</v>
      </c>
      <c r="K153" s="1">
        <v>43812</v>
      </c>
      <c r="L153">
        <v>84</v>
      </c>
      <c r="M153" s="2" t="str">
        <f>IF(Spotify[[#This Row],[Energie]]&gt;AVERAGE(Spotify[Energie]),"FORTE","FAIBLE")</f>
        <v>FORTE</v>
      </c>
      <c r="N153" s="2">
        <v>0.67600000000000005</v>
      </c>
      <c r="O153" s="2">
        <v>0.77100000000000002</v>
      </c>
      <c r="P153" s="2">
        <v>4.8300000000000003E-2</v>
      </c>
      <c r="Q153" s="2">
        <v>2.3699999999999999E-2</v>
      </c>
      <c r="R153" s="2">
        <v>0.10199999999999999</v>
      </c>
      <c r="S153" s="2">
        <v>0.56899999999999995</v>
      </c>
      <c r="T153" s="2">
        <v>-3.6749999999999998</v>
      </c>
      <c r="U153">
        <v>207133</v>
      </c>
      <c r="V153">
        <f>YEAR(Spotify[[#This Row],[Date de sortie]])</f>
        <v>2019</v>
      </c>
      <c r="W153" s="2" t="str">
        <f>IF(Spotify[[#This Row],[Popularité]]&gt;=70,"FORTE","FAIBLE")</f>
        <v>FORTE</v>
      </c>
    </row>
    <row r="154" spans="1:23" x14ac:dyDescent="0.25">
      <c r="A154">
        <v>283</v>
      </c>
      <c r="B154">
        <v>1</v>
      </c>
      <c r="C154">
        <v>78</v>
      </c>
      <c r="D154" s="1">
        <v>43868</v>
      </c>
      <c r="E154" s="59" t="str" cm="1">
        <f t="array" ref="E15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54" t="s">
        <v>559</v>
      </c>
      <c r="G154" s="3">
        <v>5145099</v>
      </c>
      <c r="H154" t="s">
        <v>409</v>
      </c>
      <c r="I154" s="4">
        <v>6603627</v>
      </c>
      <c r="J154" t="s">
        <v>235</v>
      </c>
      <c r="K154" s="1">
        <v>43805</v>
      </c>
      <c r="L154">
        <v>84</v>
      </c>
      <c r="M154" s="2" t="str">
        <f>IF(Spotify[[#This Row],[Energie]]&gt;AVERAGE(Spotify[Energie]),"FORTE","FAIBLE")</f>
        <v>FAIBLE</v>
      </c>
      <c r="N154" s="2">
        <v>0.89600000000000002</v>
      </c>
      <c r="O154" s="2">
        <v>0.58599999999999997</v>
      </c>
      <c r="P154" s="2">
        <v>5.5899999999999998E-2</v>
      </c>
      <c r="Q154" s="2">
        <v>0.104</v>
      </c>
      <c r="R154" s="2">
        <v>0.79</v>
      </c>
      <c r="S154" s="2">
        <v>0.64200000000000002</v>
      </c>
      <c r="T154" s="2">
        <v>-6.6870000000000003</v>
      </c>
      <c r="U154">
        <v>196653</v>
      </c>
      <c r="V154">
        <f>YEAR(Spotify[[#This Row],[Date de sortie]])</f>
        <v>2019</v>
      </c>
      <c r="W154" s="2" t="str">
        <f>IF(Spotify[[#This Row],[Popularité]]&gt;=70,"FORTE","FAIBLE")</f>
        <v>FORTE</v>
      </c>
    </row>
    <row r="155" spans="1:23" x14ac:dyDescent="0.25">
      <c r="A155">
        <v>219</v>
      </c>
      <c r="B155">
        <v>79</v>
      </c>
      <c r="C155">
        <v>11</v>
      </c>
      <c r="D155" s="1">
        <v>44344</v>
      </c>
      <c r="E155" s="59" t="str" cm="1">
        <f t="array" ref="E15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5" t="s">
        <v>446</v>
      </c>
      <c r="G155" s="3">
        <v>5116589</v>
      </c>
      <c r="H155" t="s">
        <v>447</v>
      </c>
      <c r="I155" s="4">
        <v>2586114</v>
      </c>
      <c r="J155" t="s">
        <v>407</v>
      </c>
      <c r="K155" s="1">
        <v>44295</v>
      </c>
      <c r="L155">
        <v>84</v>
      </c>
      <c r="M155" s="2" t="str">
        <f>IF(Spotify[[#This Row],[Energie]]&gt;AVERAGE(Spotify[Energie]),"FORTE","FAIBLE")</f>
        <v>FAIBLE</v>
      </c>
      <c r="N155" s="2">
        <v>0.60099999999999998</v>
      </c>
      <c r="O155" s="2">
        <v>0.36</v>
      </c>
      <c r="P155" s="2">
        <v>8.77E-2</v>
      </c>
      <c r="Q155" s="2">
        <v>0.58599999999999997</v>
      </c>
      <c r="R155" s="2">
        <v>8.8200000000000001E-2</v>
      </c>
      <c r="S155" s="2">
        <v>0.33500000000000002</v>
      </c>
      <c r="T155" s="2">
        <v>-7.7910000000000004</v>
      </c>
      <c r="U155">
        <v>276480</v>
      </c>
      <c r="V155">
        <f>YEAR(Spotify[[#This Row],[Date de sortie]])</f>
        <v>2021</v>
      </c>
      <c r="W155" s="2" t="str">
        <f>IF(Spotify[[#This Row],[Popularité]]&gt;=70,"FORTE","FAIBLE")</f>
        <v>FORTE</v>
      </c>
    </row>
    <row r="156" spans="1:23" x14ac:dyDescent="0.25">
      <c r="A156">
        <v>220</v>
      </c>
      <c r="B156">
        <v>122</v>
      </c>
      <c r="C156">
        <v>5</v>
      </c>
      <c r="D156" s="1">
        <v>44330</v>
      </c>
      <c r="E156" s="59" t="str" cm="1">
        <f t="array" ref="E15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56" t="s">
        <v>448</v>
      </c>
      <c r="G156" s="3">
        <v>5110475</v>
      </c>
      <c r="H156" t="s">
        <v>229</v>
      </c>
      <c r="I156" s="4">
        <v>411579</v>
      </c>
      <c r="J156" t="s">
        <v>230</v>
      </c>
      <c r="K156" s="1">
        <v>44329</v>
      </c>
      <c r="L156">
        <v>84</v>
      </c>
      <c r="M156" s="2" t="str">
        <f>IF(Spotify[[#This Row],[Energie]]&gt;AVERAGE(Spotify[Energie]),"FORTE","FAIBLE")</f>
        <v>FORTE</v>
      </c>
      <c r="N156" s="2">
        <v>0.79200000000000004</v>
      </c>
      <c r="O156" s="2">
        <v>0.70699999999999996</v>
      </c>
      <c r="P156" s="2">
        <v>6.2300000000000001E-2</v>
      </c>
      <c r="Q156" s="2">
        <v>0.11600000000000001</v>
      </c>
      <c r="R156" s="2">
        <v>0.12</v>
      </c>
      <c r="S156" s="2">
        <v>0.40799999999999997</v>
      </c>
      <c r="T156" s="2">
        <v>-5.218</v>
      </c>
      <c r="U156">
        <v>224042</v>
      </c>
      <c r="V156">
        <f>YEAR(Spotify[[#This Row],[Date de sortie]])</f>
        <v>2021</v>
      </c>
      <c r="W156" s="2" t="str">
        <f>IF(Spotify[[#This Row],[Popularité]]&gt;=70,"FORTE","FAIBLE")</f>
        <v>FORTE</v>
      </c>
    </row>
    <row r="157" spans="1:23" x14ac:dyDescent="0.25">
      <c r="A157">
        <v>185</v>
      </c>
      <c r="B157">
        <v>110</v>
      </c>
      <c r="C157">
        <v>78</v>
      </c>
      <c r="D157" s="1">
        <v>44239</v>
      </c>
      <c r="E157" s="59" t="str" cm="1">
        <f t="array" ref="E15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7" t="s">
        <v>384</v>
      </c>
      <c r="G157" s="3">
        <v>5103014</v>
      </c>
      <c r="H157" t="s">
        <v>385</v>
      </c>
      <c r="I157" s="4">
        <v>5799137</v>
      </c>
      <c r="J157" t="s">
        <v>386</v>
      </c>
      <c r="K157" s="1">
        <v>41516</v>
      </c>
      <c r="L157">
        <v>84</v>
      </c>
      <c r="M157" s="2" t="str">
        <f>IF(Spotify[[#This Row],[Energie]]&gt;AVERAGE(Spotify[Energie]),"FORTE","FAIBLE")</f>
        <v>FAIBLE</v>
      </c>
      <c r="N157" s="2">
        <v>0.42199999999999999</v>
      </c>
      <c r="O157" s="2">
        <v>0.26400000000000001</v>
      </c>
      <c r="P157" s="2">
        <v>3.2199999999999999E-2</v>
      </c>
      <c r="Q157" s="2">
        <v>0.92200000000000004</v>
      </c>
      <c r="R157" s="2">
        <v>0.13200000000000001</v>
      </c>
      <c r="S157" s="2">
        <v>0.33100000000000002</v>
      </c>
      <c r="T157" s="2">
        <v>-7.0640000000000001</v>
      </c>
      <c r="U157">
        <v>269560</v>
      </c>
      <c r="V157">
        <f>YEAR(Spotify[[#This Row],[Date de sortie]])</f>
        <v>2013</v>
      </c>
      <c r="W157" s="2" t="str">
        <f>IF(Spotify[[#This Row],[Popularité]]&gt;=70,"FORTE","FAIBLE")</f>
        <v>FORTE</v>
      </c>
    </row>
    <row r="158" spans="1:23" x14ac:dyDescent="0.25">
      <c r="A158">
        <v>221</v>
      </c>
      <c r="B158">
        <v>75</v>
      </c>
      <c r="C158">
        <v>19</v>
      </c>
      <c r="D158" s="1">
        <v>44267</v>
      </c>
      <c r="E158" s="59" t="str" cm="1">
        <f t="array" ref="E15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158" t="s">
        <v>449</v>
      </c>
      <c r="G158" s="3">
        <v>5097187</v>
      </c>
      <c r="H158" t="s">
        <v>226</v>
      </c>
      <c r="I158" s="4">
        <v>35285425</v>
      </c>
      <c r="J158" t="s">
        <v>227</v>
      </c>
      <c r="K158" s="1">
        <v>44267</v>
      </c>
      <c r="L158">
        <v>84</v>
      </c>
      <c r="M158" s="2" t="str">
        <f>IF(Spotify[[#This Row],[Energie]]&gt;AVERAGE(Spotify[Energie]),"FORTE","FAIBLE")</f>
        <v>FORTE</v>
      </c>
      <c r="N158" s="2">
        <v>0.54200000000000004</v>
      </c>
      <c r="O158" s="2">
        <v>0.73199999999999998</v>
      </c>
      <c r="P158" s="2">
        <v>5.21E-2</v>
      </c>
      <c r="Q158" s="2">
        <v>2.0899999999999998E-3</v>
      </c>
      <c r="R158" s="2">
        <v>0.496</v>
      </c>
      <c r="S158" s="2">
        <v>0.48899999999999999</v>
      </c>
      <c r="T158" s="2">
        <v>-5.9560000000000004</v>
      </c>
      <c r="U158">
        <v>175644</v>
      </c>
      <c r="V158">
        <f>YEAR(Spotify[[#This Row],[Date de sortie]])</f>
        <v>2021</v>
      </c>
      <c r="W158" s="2" t="str">
        <f>IF(Spotify[[#This Row],[Popularité]]&gt;=70,"FORTE","FAIBLE")</f>
        <v>FORTE</v>
      </c>
    </row>
    <row r="159" spans="1:23" x14ac:dyDescent="0.25">
      <c r="A159">
        <v>455</v>
      </c>
      <c r="B159">
        <v>2</v>
      </c>
      <c r="C159">
        <v>48</v>
      </c>
      <c r="D159" s="1">
        <v>43959</v>
      </c>
      <c r="E159" s="59" t="str" cm="1">
        <f t="array" ref="E15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59" t="s">
        <v>828</v>
      </c>
      <c r="G159" s="3">
        <v>5094660</v>
      </c>
      <c r="H159" t="s">
        <v>202</v>
      </c>
      <c r="I159" s="4">
        <v>67208170</v>
      </c>
      <c r="J159" t="s">
        <v>19</v>
      </c>
      <c r="K159" s="1">
        <v>43959</v>
      </c>
      <c r="L159">
        <v>84</v>
      </c>
      <c r="M159" s="2" t="str">
        <f>IF(Spotify[[#This Row],[Energie]]&gt;AVERAGE(Spotify[Energie]),"FORTE","FAIBLE")</f>
        <v>FAIBLE</v>
      </c>
      <c r="N159" s="2">
        <v>0.59699999999999998</v>
      </c>
      <c r="O159" s="2">
        <v>0.45</v>
      </c>
      <c r="P159" s="2">
        <v>4.1799999999999997E-2</v>
      </c>
      <c r="Q159" s="2">
        <v>0.223</v>
      </c>
      <c r="R159" s="2">
        <v>0.38200000000000001</v>
      </c>
      <c r="S159" s="2">
        <v>0.53700000000000003</v>
      </c>
      <c r="T159" s="2">
        <v>-6.6580000000000004</v>
      </c>
      <c r="U159">
        <v>228482</v>
      </c>
      <c r="V159">
        <f>YEAR(Spotify[[#This Row],[Date de sortie]])</f>
        <v>2020</v>
      </c>
      <c r="W159" s="2" t="str">
        <f>IF(Spotify[[#This Row],[Popularité]]&gt;=70,"FORTE","FAIBLE")</f>
        <v>FORTE</v>
      </c>
    </row>
    <row r="160" spans="1:23" x14ac:dyDescent="0.25">
      <c r="A160">
        <v>498</v>
      </c>
      <c r="B160">
        <v>157</v>
      </c>
      <c r="C160">
        <v>9</v>
      </c>
      <c r="D160" s="1">
        <v>44225</v>
      </c>
      <c r="E160" s="59" t="str" cm="1">
        <f t="array" ref="E16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60" t="s">
        <v>904</v>
      </c>
      <c r="G160" s="3">
        <v>5085527</v>
      </c>
      <c r="H160" t="s">
        <v>556</v>
      </c>
      <c r="I160" s="4">
        <v>29566516</v>
      </c>
      <c r="J160" t="s">
        <v>557</v>
      </c>
      <c r="K160" s="1">
        <v>43175</v>
      </c>
      <c r="L160">
        <v>84</v>
      </c>
      <c r="M160" s="2" t="str">
        <f>IF(Spotify[[#This Row],[Energie]]&gt;AVERAGE(Spotify[Energie]),"FORTE","FAIBLE")</f>
        <v>FAIBLE</v>
      </c>
      <c r="N160" s="2">
        <v>0.59199999999999997</v>
      </c>
      <c r="O160" s="2">
        <v>0.45700000000000002</v>
      </c>
      <c r="P160" s="2">
        <v>6.0299999999999999E-2</v>
      </c>
      <c r="Q160" s="2">
        <v>0.66100000000000003</v>
      </c>
      <c r="R160" s="2">
        <v>0.14599999999999999</v>
      </c>
      <c r="S160" s="2">
        <v>0.22500000000000001</v>
      </c>
      <c r="T160" s="2">
        <v>-6.0810000000000004</v>
      </c>
      <c r="U160">
        <v>110886</v>
      </c>
      <c r="V160">
        <f>YEAR(Spotify[[#This Row],[Date de sortie]])</f>
        <v>2018</v>
      </c>
      <c r="W160" s="2" t="str">
        <f>IF(Spotify[[#This Row],[Popularité]]&gt;=70,"FORTE","FAIBLE")</f>
        <v>FORTE</v>
      </c>
    </row>
    <row r="161" spans="1:23" x14ac:dyDescent="0.25">
      <c r="A161">
        <v>499</v>
      </c>
      <c r="B161">
        <v>149</v>
      </c>
      <c r="C161">
        <v>46</v>
      </c>
      <c r="D161" s="1">
        <v>44008</v>
      </c>
      <c r="E161" s="59" t="str" cm="1">
        <f t="array" ref="E16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61" t="s">
        <v>905</v>
      </c>
      <c r="G161" s="3">
        <v>5084635</v>
      </c>
      <c r="H161" t="s">
        <v>906</v>
      </c>
      <c r="I161" s="4">
        <v>5064200</v>
      </c>
      <c r="J161" t="s">
        <v>907</v>
      </c>
      <c r="K161" s="1">
        <v>42202</v>
      </c>
      <c r="L161">
        <v>84</v>
      </c>
      <c r="M161" s="2" t="str">
        <f>IF(Spotify[[#This Row],[Energie]]&gt;AVERAGE(Spotify[Energie]),"FORTE","FAIBLE")</f>
        <v>FORTE</v>
      </c>
      <c r="N161" s="2">
        <v>0.64</v>
      </c>
      <c r="O161" s="2">
        <v>0.74</v>
      </c>
      <c r="P161" s="2">
        <v>2.8400000000000002E-2</v>
      </c>
      <c r="Q161" s="2">
        <v>1.15E-2</v>
      </c>
      <c r="R161" s="2">
        <v>0.16700000000000001</v>
      </c>
      <c r="S161" s="2">
        <v>0.78500000000000003</v>
      </c>
      <c r="T161" s="2">
        <v>-4.0830000000000002</v>
      </c>
      <c r="U161">
        <v>216320</v>
      </c>
      <c r="V161">
        <f>YEAR(Spotify[[#This Row],[Date de sortie]])</f>
        <v>2015</v>
      </c>
      <c r="W161" s="2" t="str">
        <f>IF(Spotify[[#This Row],[Popularité]]&gt;=70,"FORTE","FAIBLE")</f>
        <v>FORTE</v>
      </c>
    </row>
    <row r="162" spans="1:23" x14ac:dyDescent="0.25">
      <c r="A162">
        <v>189</v>
      </c>
      <c r="B162">
        <v>52</v>
      </c>
      <c r="C162">
        <v>22</v>
      </c>
      <c r="D162" s="1">
        <v>44232</v>
      </c>
      <c r="E162" s="59" t="str" cm="1">
        <f t="array" ref="E16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62" t="s">
        <v>391</v>
      </c>
      <c r="G162" s="3">
        <v>5068864</v>
      </c>
      <c r="H162" t="s">
        <v>41</v>
      </c>
      <c r="I162" s="4">
        <v>35305637</v>
      </c>
      <c r="J162" t="s">
        <v>42</v>
      </c>
      <c r="K162" s="1">
        <v>42244</v>
      </c>
      <c r="L162">
        <v>84</v>
      </c>
      <c r="M162" s="2" t="str">
        <f>IF(Spotify[[#This Row],[Energie]]&gt;AVERAGE(Spotify[Energie]),"FORTE","FAIBLE")</f>
        <v>FAIBLE</v>
      </c>
      <c r="N162" s="2">
        <v>0.58499999999999996</v>
      </c>
      <c r="O162" s="2">
        <v>0.56399999999999995</v>
      </c>
      <c r="P162" s="2">
        <v>5.1499999999999997E-2</v>
      </c>
      <c r="Q162" s="2">
        <v>6.7100000000000007E-2</v>
      </c>
      <c r="R162" s="2">
        <v>0.13500000000000001</v>
      </c>
      <c r="S162" s="2">
        <v>0.13700000000000001</v>
      </c>
      <c r="T162" s="2">
        <v>-7.0629999999999997</v>
      </c>
      <c r="U162">
        <v>242253</v>
      </c>
      <c r="V162">
        <f>YEAR(Spotify[[#This Row],[Date de sortie]])</f>
        <v>2015</v>
      </c>
      <c r="W162" s="2" t="str">
        <f>IF(Spotify[[#This Row],[Popularité]]&gt;=70,"FORTE","FAIBLE")</f>
        <v>FORTE</v>
      </c>
    </row>
    <row r="163" spans="1:23" x14ac:dyDescent="0.25">
      <c r="A163">
        <v>190</v>
      </c>
      <c r="B163">
        <v>5</v>
      </c>
      <c r="C163">
        <v>31</v>
      </c>
      <c r="D163" s="1">
        <v>44218</v>
      </c>
      <c r="E163" s="59" t="str" cm="1">
        <f t="array" ref="E16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63" t="s">
        <v>392</v>
      </c>
      <c r="G163" s="3">
        <v>5065132</v>
      </c>
      <c r="H163" t="s">
        <v>393</v>
      </c>
      <c r="I163" s="4">
        <v>5881963</v>
      </c>
      <c r="J163" t="s">
        <v>10</v>
      </c>
      <c r="K163" s="1">
        <v>44190</v>
      </c>
      <c r="L163">
        <v>84</v>
      </c>
      <c r="M163" s="2" t="str">
        <f>IF(Spotify[[#This Row],[Energie]]&gt;AVERAGE(Spotify[Energie]),"FORTE","FAIBLE")</f>
        <v>FORTE</v>
      </c>
      <c r="N163" s="2">
        <v>0.436</v>
      </c>
      <c r="O163" s="2">
        <v>0.65500000000000003</v>
      </c>
      <c r="P163" s="2">
        <v>5.8299999999999998E-2</v>
      </c>
      <c r="Q163" s="2">
        <v>0.499</v>
      </c>
      <c r="R163" s="2">
        <v>0.68799999999999994</v>
      </c>
      <c r="S163" s="2">
        <v>0.41199999999999998</v>
      </c>
      <c r="T163" s="2">
        <v>-8.3699999999999992</v>
      </c>
      <c r="U163">
        <v>279204</v>
      </c>
      <c r="V163">
        <f>YEAR(Spotify[[#This Row],[Date de sortie]])</f>
        <v>2020</v>
      </c>
      <c r="W163" s="2" t="str">
        <f>IF(Spotify[[#This Row],[Popularité]]&gt;=70,"FORTE","FAIBLE")</f>
        <v>FORTE</v>
      </c>
    </row>
    <row r="164" spans="1:23" x14ac:dyDescent="0.25">
      <c r="A164">
        <v>414</v>
      </c>
      <c r="B164">
        <v>101</v>
      </c>
      <c r="C164">
        <v>68</v>
      </c>
      <c r="D164" s="1">
        <v>44008</v>
      </c>
      <c r="E164" s="59" t="str" cm="1">
        <f t="array" ref="E16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64" t="s">
        <v>773</v>
      </c>
      <c r="G164" s="3">
        <v>5051338</v>
      </c>
      <c r="H164" t="s">
        <v>556</v>
      </c>
      <c r="I164" s="4">
        <v>29566516</v>
      </c>
      <c r="J164" t="s">
        <v>557</v>
      </c>
      <c r="K164" s="1">
        <v>43175</v>
      </c>
      <c r="L164">
        <v>84</v>
      </c>
      <c r="M164" s="2" t="str">
        <f>IF(Spotify[[#This Row],[Energie]]&gt;AVERAGE(Spotify[Energie]),"FORTE","FAIBLE")</f>
        <v>FAIBLE</v>
      </c>
      <c r="N164" s="2">
        <v>0.74</v>
      </c>
      <c r="O164" s="2">
        <v>0.61299999999999999</v>
      </c>
      <c r="P164" s="2">
        <v>0.14499999999999999</v>
      </c>
      <c r="Q164" s="2">
        <v>0.25800000000000001</v>
      </c>
      <c r="R164" s="2">
        <v>0.123</v>
      </c>
      <c r="S164" s="2">
        <v>0.47299999999999998</v>
      </c>
      <c r="T164" s="2">
        <v>-4.88</v>
      </c>
      <c r="U164">
        <v>166606</v>
      </c>
      <c r="V164">
        <f>YEAR(Spotify[[#This Row],[Date de sortie]])</f>
        <v>2018</v>
      </c>
      <c r="W164" s="2" t="str">
        <f>IF(Spotify[[#This Row],[Popularité]]&gt;=70,"FORTE","FAIBLE")</f>
        <v>FORTE</v>
      </c>
    </row>
    <row r="165" spans="1:23" x14ac:dyDescent="0.25">
      <c r="A165">
        <v>234</v>
      </c>
      <c r="B165">
        <v>95</v>
      </c>
      <c r="C165">
        <v>13</v>
      </c>
      <c r="D165" s="1">
        <v>44344</v>
      </c>
      <c r="E165" s="59" t="str" cm="1">
        <f t="array" ref="E16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65" t="s">
        <v>471</v>
      </c>
      <c r="G165" s="3">
        <v>5036030</v>
      </c>
      <c r="H165" t="s">
        <v>472</v>
      </c>
      <c r="I165" s="4">
        <v>26769304</v>
      </c>
      <c r="J165" t="s">
        <v>25</v>
      </c>
      <c r="K165" s="1">
        <v>44260</v>
      </c>
      <c r="L165">
        <v>84</v>
      </c>
      <c r="M165" s="2" t="str">
        <f>IF(Spotify[[#This Row],[Energie]]&gt;AVERAGE(Spotify[Energie]),"FORTE","FAIBLE")</f>
        <v>FORTE</v>
      </c>
      <c r="N165" s="2">
        <v>0.80700000000000005</v>
      </c>
      <c r="O165" s="2">
        <v>0.71199999999999997</v>
      </c>
      <c r="P165" s="2">
        <v>0.1</v>
      </c>
      <c r="Q165" s="2">
        <v>0.53200000000000003</v>
      </c>
      <c r="R165" s="2">
        <v>0.16300000000000001</v>
      </c>
      <c r="S165" s="2">
        <v>0.79200000000000004</v>
      </c>
      <c r="T165" s="2">
        <v>-5.7569999999999997</v>
      </c>
      <c r="U165">
        <v>241659</v>
      </c>
      <c r="V165">
        <f>YEAR(Spotify[[#This Row],[Date de sortie]])</f>
        <v>2021</v>
      </c>
      <c r="W165" s="2" t="str">
        <f>IF(Spotify[[#This Row],[Popularité]]&gt;=70,"FORTE","FAIBLE")</f>
        <v>FORTE</v>
      </c>
    </row>
    <row r="166" spans="1:23" x14ac:dyDescent="0.25">
      <c r="A166">
        <v>194</v>
      </c>
      <c r="B166">
        <v>194</v>
      </c>
      <c r="C166">
        <v>1</v>
      </c>
      <c r="D166" s="1">
        <v>44400</v>
      </c>
      <c r="E166" s="59" t="str" cm="1">
        <f t="array" ref="E16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66" t="s">
        <v>398</v>
      </c>
      <c r="G166" s="3">
        <v>4992405</v>
      </c>
      <c r="H166" t="s">
        <v>399</v>
      </c>
      <c r="I166" s="4">
        <v>167628</v>
      </c>
      <c r="J166"/>
      <c r="K166" s="1">
        <v>44169</v>
      </c>
      <c r="L166">
        <v>84</v>
      </c>
      <c r="M166" s="2" t="str">
        <f>IF(Spotify[[#This Row],[Energie]]&gt;AVERAGE(Spotify[Energie]),"FORTE","FAIBLE")</f>
        <v>FORTE</v>
      </c>
      <c r="N166" s="2">
        <v>0.57099999999999995</v>
      </c>
      <c r="O166" s="2">
        <v>0.76700000000000002</v>
      </c>
      <c r="P166" s="2">
        <v>0.28699999999999998</v>
      </c>
      <c r="Q166" s="2">
        <v>0.33600000000000002</v>
      </c>
      <c r="R166" s="2">
        <v>8.09E-2</v>
      </c>
      <c r="S166" s="2">
        <v>0.60499999999999998</v>
      </c>
      <c r="T166" s="2">
        <v>-5.16</v>
      </c>
      <c r="U166">
        <v>161684</v>
      </c>
      <c r="V166">
        <f>YEAR(Spotify[[#This Row],[Date de sortie]])</f>
        <v>2020</v>
      </c>
      <c r="W166" s="2" t="str">
        <f>IF(Spotify[[#This Row],[Popularité]]&gt;=70,"FORTE","FAIBLE")</f>
        <v>FORTE</v>
      </c>
    </row>
    <row r="167" spans="1:23" x14ac:dyDescent="0.25">
      <c r="A167">
        <v>195</v>
      </c>
      <c r="B167">
        <v>149</v>
      </c>
      <c r="C167">
        <v>5</v>
      </c>
      <c r="D167" s="1">
        <v>44386</v>
      </c>
      <c r="E167" s="59" t="str" cm="1">
        <f t="array" ref="E16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67" t="s">
        <v>400</v>
      </c>
      <c r="G167" s="3">
        <v>4978559</v>
      </c>
      <c r="H167" t="s">
        <v>401</v>
      </c>
      <c r="I167" s="4">
        <v>130627</v>
      </c>
      <c r="J167" t="s">
        <v>402</v>
      </c>
      <c r="K167" s="1">
        <v>44252</v>
      </c>
      <c r="L167">
        <v>84</v>
      </c>
      <c r="M167" s="2" t="str">
        <f>IF(Spotify[[#This Row],[Energie]]&gt;AVERAGE(Spotify[Energie]),"FORTE","FAIBLE")</f>
        <v>FAIBLE</v>
      </c>
      <c r="N167" s="2">
        <v>0.52500000000000002</v>
      </c>
      <c r="O167" s="2">
        <v>0.44800000000000001</v>
      </c>
      <c r="P167" s="2">
        <v>4.4299999999999999E-2</v>
      </c>
      <c r="Q167" s="2">
        <v>0.14000000000000001</v>
      </c>
      <c r="R167" s="2">
        <v>9.2200000000000004E-2</v>
      </c>
      <c r="S167" s="2">
        <v>0.52700000000000002</v>
      </c>
      <c r="T167" s="2">
        <v>-4.0750000000000002</v>
      </c>
      <c r="U167">
        <v>140308</v>
      </c>
      <c r="V167">
        <f>YEAR(Spotify[[#This Row],[Date de sortie]])</f>
        <v>2021</v>
      </c>
      <c r="W167" s="2" t="str">
        <f>IF(Spotify[[#This Row],[Popularité]]&gt;=70,"FORTE","FAIBLE")</f>
        <v>FORTE</v>
      </c>
    </row>
    <row r="168" spans="1:23" x14ac:dyDescent="0.25">
      <c r="A168">
        <v>196</v>
      </c>
      <c r="B168">
        <v>8</v>
      </c>
      <c r="C168">
        <v>71</v>
      </c>
      <c r="D168" s="1">
        <v>44057</v>
      </c>
      <c r="E168" s="59" t="str" cm="1">
        <f t="array" ref="E16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68" t="s">
        <v>403</v>
      </c>
      <c r="G168" s="3">
        <v>4977498</v>
      </c>
      <c r="H168" t="s">
        <v>404</v>
      </c>
      <c r="I168" s="4">
        <v>151832</v>
      </c>
      <c r="J168" t="s">
        <v>19</v>
      </c>
      <c r="K168" s="1">
        <v>43818</v>
      </c>
      <c r="L168">
        <v>84</v>
      </c>
      <c r="M168" s="2" t="str">
        <f>IF(Spotify[[#This Row],[Energie]]&gt;AVERAGE(Spotify[Energie]),"FORTE","FAIBLE")</f>
        <v>FORTE</v>
      </c>
      <c r="N168" s="2">
        <v>0.78900000000000003</v>
      </c>
      <c r="O168" s="2">
        <v>0.72</v>
      </c>
      <c r="P168" s="2">
        <v>0.218</v>
      </c>
      <c r="Q168" s="2">
        <v>0.223</v>
      </c>
      <c r="R168" s="2">
        <v>0.129</v>
      </c>
      <c r="S168" s="2">
        <v>0.66400000000000003</v>
      </c>
      <c r="T168" s="2">
        <v>-5.6520000000000001</v>
      </c>
      <c r="U168">
        <v>166794</v>
      </c>
      <c r="V168">
        <f>YEAR(Spotify[[#This Row],[Date de sortie]])</f>
        <v>2019</v>
      </c>
      <c r="W168" s="2" t="str">
        <f>IF(Spotify[[#This Row],[Popularité]]&gt;=70,"FORTE","FAIBLE")</f>
        <v>FORTE</v>
      </c>
    </row>
    <row r="169" spans="1:23" x14ac:dyDescent="0.25">
      <c r="A169">
        <v>289</v>
      </c>
      <c r="B169">
        <v>17</v>
      </c>
      <c r="C169">
        <v>78</v>
      </c>
      <c r="D169" s="1">
        <v>43945</v>
      </c>
      <c r="E169" s="59" t="str" cm="1">
        <f t="array" ref="E16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69" t="s">
        <v>569</v>
      </c>
      <c r="G169" s="3">
        <v>4975720</v>
      </c>
      <c r="H169" t="s">
        <v>310</v>
      </c>
      <c r="I169" s="4">
        <v>17719446</v>
      </c>
      <c r="J169" t="s">
        <v>186</v>
      </c>
      <c r="K169" s="1">
        <v>43742</v>
      </c>
      <c r="L169">
        <v>84</v>
      </c>
      <c r="M169" s="2" t="str">
        <f>IF(Spotify[[#This Row],[Energie]]&gt;AVERAGE(Spotify[Energie]),"FORTE","FAIBLE")</f>
        <v>FAIBLE</v>
      </c>
      <c r="N169" s="2">
        <v>0.59799999999999998</v>
      </c>
      <c r="O169" s="2">
        <v>0.42699999999999999</v>
      </c>
      <c r="P169" s="2">
        <v>3.1699999999999999E-2</v>
      </c>
      <c r="Q169" s="2">
        <v>5.4600000000000003E-2</v>
      </c>
      <c r="R169" s="2">
        <v>0.21</v>
      </c>
      <c r="S169" s="2">
        <v>6.0499999999999998E-2</v>
      </c>
      <c r="T169" s="2">
        <v>-8.7639999999999993</v>
      </c>
      <c r="U169">
        <v>175721</v>
      </c>
      <c r="V169">
        <f>YEAR(Spotify[[#This Row],[Date de sortie]])</f>
        <v>2019</v>
      </c>
      <c r="W169" s="2" t="str">
        <f>IF(Spotify[[#This Row],[Popularité]]&gt;=70,"FORTE","FAIBLE")</f>
        <v>FORTE</v>
      </c>
    </row>
    <row r="170" spans="1:23" x14ac:dyDescent="0.25">
      <c r="A170">
        <v>463</v>
      </c>
      <c r="B170">
        <v>188</v>
      </c>
      <c r="C170">
        <v>3</v>
      </c>
      <c r="D170" s="1">
        <v>44253</v>
      </c>
      <c r="E170" s="59" t="str" cm="1">
        <f t="array" ref="E17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70" t="s">
        <v>844</v>
      </c>
      <c r="G170" s="3">
        <v>4969662</v>
      </c>
      <c r="H170" t="s">
        <v>845</v>
      </c>
      <c r="I170" s="4">
        <v>1560784</v>
      </c>
      <c r="J170" t="s">
        <v>846</v>
      </c>
      <c r="K170" s="1">
        <v>31199</v>
      </c>
      <c r="L170">
        <v>84</v>
      </c>
      <c r="M170" s="2" t="str">
        <f>IF(Spotify[[#This Row],[Energie]]&gt;AVERAGE(Spotify[Energie]),"FORTE","FAIBLE")</f>
        <v>FORTE</v>
      </c>
      <c r="N170" s="2">
        <v>0.57299999999999995</v>
      </c>
      <c r="O170" s="2">
        <v>0.90200000000000002</v>
      </c>
      <c r="P170" s="2">
        <v>5.3999999999999999E-2</v>
      </c>
      <c r="Q170" s="2">
        <v>1.7999999999999999E-2</v>
      </c>
      <c r="R170" s="2">
        <v>9.2799999999999994E-2</v>
      </c>
      <c r="S170" s="2">
        <v>0.876</v>
      </c>
      <c r="T170" s="2">
        <v>-7.6379999999999999</v>
      </c>
      <c r="U170">
        <v>225280</v>
      </c>
      <c r="V170">
        <f>YEAR(Spotify[[#This Row],[Date de sortie]])</f>
        <v>1985</v>
      </c>
      <c r="W170" s="2" t="str">
        <f>IF(Spotify[[#This Row],[Popularité]]&gt;=70,"FORTE","FAIBLE")</f>
        <v>FORTE</v>
      </c>
    </row>
    <row r="171" spans="1:23" x14ac:dyDescent="0.25">
      <c r="A171">
        <v>198</v>
      </c>
      <c r="B171">
        <v>58</v>
      </c>
      <c r="C171">
        <v>8</v>
      </c>
      <c r="D171" s="1">
        <v>44351</v>
      </c>
      <c r="E171" s="59" t="str" cm="1">
        <f t="array" ref="E17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71" t="s">
        <v>408</v>
      </c>
      <c r="G171" s="3">
        <v>4954899</v>
      </c>
      <c r="H171" t="s">
        <v>409</v>
      </c>
      <c r="I171" s="4">
        <v>6603627</v>
      </c>
      <c r="J171" t="s">
        <v>235</v>
      </c>
      <c r="K171" s="1">
        <v>44351</v>
      </c>
      <c r="L171">
        <v>84</v>
      </c>
      <c r="M171" s="2" t="str">
        <f>IF(Spotify[[#This Row],[Energie]]&gt;AVERAGE(Spotify[Energie]),"FORTE","FAIBLE")</f>
        <v>FAIBLE</v>
      </c>
      <c r="N171" s="2">
        <v>0.64300000000000002</v>
      </c>
      <c r="O171" s="2">
        <v>0.40300000000000002</v>
      </c>
      <c r="P171" s="2">
        <v>0.41</v>
      </c>
      <c r="Q171" s="2">
        <v>0.34300000000000003</v>
      </c>
      <c r="R171" s="2">
        <v>0.13800000000000001</v>
      </c>
      <c r="S171" s="2">
        <v>0.111</v>
      </c>
      <c r="T171" s="2">
        <v>-11.254</v>
      </c>
      <c r="U171">
        <v>174682</v>
      </c>
      <c r="V171">
        <f>YEAR(Spotify[[#This Row],[Date de sortie]])</f>
        <v>2021</v>
      </c>
      <c r="W171" s="2" t="str">
        <f>IF(Spotify[[#This Row],[Popularité]]&gt;=70,"FORTE","FAIBLE")</f>
        <v>FORTE</v>
      </c>
    </row>
    <row r="172" spans="1:23" x14ac:dyDescent="0.25">
      <c r="A172">
        <v>236</v>
      </c>
      <c r="B172">
        <v>141</v>
      </c>
      <c r="C172">
        <v>32</v>
      </c>
      <c r="D172" s="1">
        <v>43826</v>
      </c>
      <c r="E172" s="59" t="str" cm="1">
        <f t="array" ref="E17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72" t="s">
        <v>474</v>
      </c>
      <c r="G172" s="3">
        <v>4954679</v>
      </c>
      <c r="H172" t="s">
        <v>475</v>
      </c>
      <c r="I172" s="4">
        <v>18191658</v>
      </c>
      <c r="J172" t="s">
        <v>19</v>
      </c>
      <c r="K172" s="1">
        <v>42580</v>
      </c>
      <c r="L172">
        <v>84</v>
      </c>
      <c r="M172" s="2" t="str">
        <f>IF(Spotify[[#This Row],[Energie]]&gt;AVERAGE(Spotify[Energie]),"FORTE","FAIBLE")</f>
        <v>FAIBLE</v>
      </c>
      <c r="N172" s="2">
        <v>0.748</v>
      </c>
      <c r="O172" s="2">
        <v>0.52400000000000002</v>
      </c>
      <c r="P172" s="2">
        <v>3.3799999999999997E-2</v>
      </c>
      <c r="Q172" s="2">
        <v>0.41399999999999998</v>
      </c>
      <c r="R172" s="2">
        <v>0.111</v>
      </c>
      <c r="S172" s="2">
        <v>0.66100000000000003</v>
      </c>
      <c r="T172" s="2">
        <v>-5.5990000000000002</v>
      </c>
      <c r="U172">
        <v>244960</v>
      </c>
      <c r="V172">
        <f>YEAR(Spotify[[#This Row],[Date de sortie]])</f>
        <v>2016</v>
      </c>
      <c r="W172" s="2" t="str">
        <f>IF(Spotify[[#This Row],[Popularité]]&gt;=70,"FORTE","FAIBLE")</f>
        <v>FORTE</v>
      </c>
    </row>
    <row r="173" spans="1:23" x14ac:dyDescent="0.25">
      <c r="A173">
        <v>200</v>
      </c>
      <c r="B173">
        <v>172</v>
      </c>
      <c r="C173">
        <v>12</v>
      </c>
      <c r="D173" s="1">
        <v>44344</v>
      </c>
      <c r="E173" s="59" t="str" cm="1">
        <f t="array" ref="E17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73" t="s">
        <v>411</v>
      </c>
      <c r="G173" s="3">
        <v>4948965</v>
      </c>
      <c r="H173" t="s">
        <v>412</v>
      </c>
      <c r="I173" s="4">
        <v>46785561</v>
      </c>
      <c r="J173" t="s">
        <v>413</v>
      </c>
      <c r="K173" s="1">
        <v>36669</v>
      </c>
      <c r="L173">
        <v>84</v>
      </c>
      <c r="M173" s="2" t="str">
        <f>IF(Spotify[[#This Row],[Energie]]&gt;AVERAGE(Spotify[Energie]),"FORTE","FAIBLE")</f>
        <v>FORTE</v>
      </c>
      <c r="N173" s="2">
        <v>0.94899999999999995</v>
      </c>
      <c r="O173" s="2">
        <v>0.66100000000000003</v>
      </c>
      <c r="P173" s="2">
        <v>5.7200000000000001E-2</v>
      </c>
      <c r="Q173" s="2">
        <v>3.0200000000000001E-2</v>
      </c>
      <c r="R173" s="2">
        <v>4.5400000000000003E-2</v>
      </c>
      <c r="S173" s="2">
        <v>0.76</v>
      </c>
      <c r="T173" s="2">
        <v>-4.2439999999999998</v>
      </c>
      <c r="U173">
        <v>284200</v>
      </c>
      <c r="V173">
        <f>YEAR(Spotify[[#This Row],[Date de sortie]])</f>
        <v>2000</v>
      </c>
      <c r="W173" s="2" t="str">
        <f>IF(Spotify[[#This Row],[Popularité]]&gt;=70,"FORTE","FAIBLE")</f>
        <v>FORTE</v>
      </c>
    </row>
    <row r="174" spans="1:23" x14ac:dyDescent="0.25">
      <c r="A174">
        <v>255</v>
      </c>
      <c r="B174">
        <v>117</v>
      </c>
      <c r="C174">
        <v>27</v>
      </c>
      <c r="D174" s="1">
        <v>44232</v>
      </c>
      <c r="E174" s="59" t="str" cm="1">
        <f t="array" ref="E17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174" t="s">
        <v>513</v>
      </c>
      <c r="G174" s="3">
        <v>4938586</v>
      </c>
      <c r="H174" t="s">
        <v>514</v>
      </c>
      <c r="I174" s="4">
        <v>12369079</v>
      </c>
      <c r="J174" t="s">
        <v>515</v>
      </c>
      <c r="K174" s="1">
        <v>41526</v>
      </c>
      <c r="L174">
        <v>84</v>
      </c>
      <c r="M174" s="2" t="str">
        <f>IF(Spotify[[#This Row],[Energie]]&gt;AVERAGE(Spotify[Energie]),"FORTE","FAIBLE")</f>
        <v>FAIBLE</v>
      </c>
      <c r="N174" s="2">
        <v>0.54800000000000004</v>
      </c>
      <c r="O174" s="2">
        <v>0.53200000000000003</v>
      </c>
      <c r="P174" s="2">
        <v>3.2300000000000002E-2</v>
      </c>
      <c r="Q174" s="2">
        <v>0.186</v>
      </c>
      <c r="R174" s="2">
        <v>0.217</v>
      </c>
      <c r="S174" s="2">
        <v>0.40500000000000003</v>
      </c>
      <c r="T174" s="2">
        <v>-7.5960000000000001</v>
      </c>
      <c r="U174">
        <v>272394</v>
      </c>
      <c r="V174">
        <f>YEAR(Spotify[[#This Row],[Date de sortie]])</f>
        <v>2013</v>
      </c>
      <c r="W174" s="2" t="str">
        <f>IF(Spotify[[#This Row],[Popularité]]&gt;=70,"FORTE","FAIBLE")</f>
        <v>FORTE</v>
      </c>
    </row>
    <row r="175" spans="1:23" x14ac:dyDescent="0.25">
      <c r="A175">
        <v>295</v>
      </c>
      <c r="B175">
        <v>119</v>
      </c>
      <c r="C175">
        <v>6</v>
      </c>
      <c r="D175" s="1">
        <v>44330</v>
      </c>
      <c r="E175" s="59" t="str" cm="1">
        <f t="array" ref="E17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75" t="s">
        <v>580</v>
      </c>
      <c r="G175" s="3">
        <v>4904401</v>
      </c>
      <c r="H175" t="s">
        <v>552</v>
      </c>
      <c r="I175" s="4">
        <v>14097410</v>
      </c>
      <c r="J175" t="s">
        <v>553</v>
      </c>
      <c r="K175" s="1">
        <v>41982</v>
      </c>
      <c r="L175">
        <v>84</v>
      </c>
      <c r="M175" s="2" t="str">
        <f>IF(Spotify[[#This Row],[Energie]]&gt;AVERAGE(Spotify[Energie]),"FORTE","FAIBLE")</f>
        <v>FAIBLE</v>
      </c>
      <c r="N175" s="2">
        <v>0.69199999999999995</v>
      </c>
      <c r="O175" s="2">
        <v>0.52100000000000002</v>
      </c>
      <c r="P175" s="2">
        <v>0.33</v>
      </c>
      <c r="Q175" s="2">
        <v>0.30099999999999999</v>
      </c>
      <c r="R175" s="2">
        <v>5.6500000000000002E-2</v>
      </c>
      <c r="S175" s="2">
        <v>0.46300000000000002</v>
      </c>
      <c r="T175" s="2">
        <v>-8.4649999999999999</v>
      </c>
      <c r="U175">
        <v>292987</v>
      </c>
      <c r="V175">
        <f>YEAR(Spotify[[#This Row],[Date de sortie]])</f>
        <v>2014</v>
      </c>
      <c r="W175" s="2" t="str">
        <f>IF(Spotify[[#This Row],[Popularité]]&gt;=70,"FORTE","FAIBLE")</f>
        <v>FORTE</v>
      </c>
    </row>
    <row r="176" spans="1:23" x14ac:dyDescent="0.25">
      <c r="A176">
        <v>296</v>
      </c>
      <c r="B176">
        <v>7</v>
      </c>
      <c r="C176">
        <v>74</v>
      </c>
      <c r="D176" s="1">
        <v>43945</v>
      </c>
      <c r="E176" s="59" t="str" cm="1">
        <f t="array" ref="E17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76" t="s">
        <v>581</v>
      </c>
      <c r="G176" s="3">
        <v>4898977</v>
      </c>
      <c r="H176" t="s">
        <v>310</v>
      </c>
      <c r="I176" s="4">
        <v>17719446</v>
      </c>
      <c r="J176" t="s">
        <v>186</v>
      </c>
      <c r="K176" s="1">
        <v>43315</v>
      </c>
      <c r="L176">
        <v>84</v>
      </c>
      <c r="M176" s="2" t="str">
        <f>IF(Spotify[[#This Row],[Energie]]&gt;AVERAGE(Spotify[Energie]),"FORTE","FAIBLE")</f>
        <v>FORTE</v>
      </c>
      <c r="N176" s="2">
        <v>0.83399999999999996</v>
      </c>
      <c r="O176" s="2">
        <v>0.73</v>
      </c>
      <c r="P176" s="2">
        <v>0.222</v>
      </c>
      <c r="Q176" s="2">
        <v>5.13E-3</v>
      </c>
      <c r="R176" s="2">
        <v>0.124</v>
      </c>
      <c r="S176" s="2">
        <v>0.44600000000000001</v>
      </c>
      <c r="T176" s="2">
        <v>-3.714</v>
      </c>
      <c r="U176">
        <v>312820</v>
      </c>
      <c r="V176">
        <f>YEAR(Spotify[[#This Row],[Date de sortie]])</f>
        <v>2018</v>
      </c>
      <c r="W176" s="2" t="str">
        <f>IF(Spotify[[#This Row],[Popularité]]&gt;=70,"FORTE","FAIBLE")</f>
        <v>FORTE</v>
      </c>
    </row>
    <row r="177" spans="1:23" x14ac:dyDescent="0.25">
      <c r="A177">
        <v>57</v>
      </c>
      <c r="B177">
        <v>57</v>
      </c>
      <c r="C177">
        <v>5</v>
      </c>
      <c r="D177" s="1">
        <v>44400</v>
      </c>
      <c r="E177" s="59" t="str" cm="1">
        <f t="array" ref="E17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77" t="s">
        <v>125</v>
      </c>
      <c r="G177" s="3">
        <v>9206366</v>
      </c>
      <c r="H177" t="s">
        <v>126</v>
      </c>
      <c r="I177" s="4">
        <v>409173</v>
      </c>
      <c r="J177"/>
      <c r="K177" s="1">
        <v>44348</v>
      </c>
      <c r="L177">
        <v>83</v>
      </c>
      <c r="M177" s="2" t="str">
        <f>IF(Spotify[[#This Row],[Energie]]&gt;AVERAGE(Spotify[Energie]),"FORTE","FAIBLE")</f>
        <v>FORTE</v>
      </c>
      <c r="N177" s="2">
        <v>0.66800000000000004</v>
      </c>
      <c r="O177" s="2">
        <v>0.88700000000000001</v>
      </c>
      <c r="P177" s="2">
        <v>5.6399999999999999E-2</v>
      </c>
      <c r="Q177" s="2">
        <v>0.36899999999999999</v>
      </c>
      <c r="R177" s="2">
        <v>0.25700000000000001</v>
      </c>
      <c r="S177" s="2">
        <v>0.90700000000000003</v>
      </c>
      <c r="T177" s="2">
        <v>-4.4039999999999999</v>
      </c>
      <c r="U177">
        <v>157176</v>
      </c>
      <c r="V177">
        <f>YEAR(Spotify[[#This Row],[Date de sortie]])</f>
        <v>2021</v>
      </c>
      <c r="W177" s="2" t="str">
        <f>IF(Spotify[[#This Row],[Popularité]]&gt;=70,"FORTE","FAIBLE")</f>
        <v>FORTE</v>
      </c>
    </row>
    <row r="178" spans="1:23" x14ac:dyDescent="0.25">
      <c r="A178">
        <v>71</v>
      </c>
      <c r="B178">
        <v>71</v>
      </c>
      <c r="C178">
        <v>1</v>
      </c>
      <c r="D178" s="1">
        <v>44400</v>
      </c>
      <c r="E178" s="59" t="str" cm="1">
        <f t="array" ref="E17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78" t="s">
        <v>153</v>
      </c>
      <c r="G178" s="3">
        <v>8269753</v>
      </c>
      <c r="H178" t="s">
        <v>154</v>
      </c>
      <c r="I178" s="4">
        <v>26131</v>
      </c>
      <c r="J178" t="s">
        <v>155</v>
      </c>
      <c r="K178" s="1">
        <v>44400</v>
      </c>
      <c r="L178">
        <v>83</v>
      </c>
      <c r="M178" s="2" t="str">
        <f>IF(Spotify[[#This Row],[Energie]]&gt;AVERAGE(Spotify[Energie]),"FORTE","FAIBLE")</f>
        <v>FAIBLE</v>
      </c>
      <c r="N178" s="2">
        <v>0.83299999999999996</v>
      </c>
      <c r="O178" s="2">
        <v>0.498</v>
      </c>
      <c r="P178" s="2">
        <v>0.11700000000000001</v>
      </c>
      <c r="Q178" s="2">
        <v>4.9299999999999997E-2</v>
      </c>
      <c r="R178" s="2">
        <v>0.11899999999999999</v>
      </c>
      <c r="S178" s="2">
        <v>0.25900000000000001</v>
      </c>
      <c r="T178" s="2">
        <v>-5.1959999999999997</v>
      </c>
      <c r="U178">
        <v>153406</v>
      </c>
      <c r="V178">
        <f>YEAR(Spotify[[#This Row],[Date de sortie]])</f>
        <v>2021</v>
      </c>
      <c r="W178" s="2" t="str">
        <f>IF(Spotify[[#This Row],[Popularité]]&gt;=70,"FORTE","FAIBLE")</f>
        <v>FORTE</v>
      </c>
    </row>
    <row r="179" spans="1:23" x14ac:dyDescent="0.25">
      <c r="A179">
        <v>80</v>
      </c>
      <c r="B179">
        <v>1</v>
      </c>
      <c r="C179">
        <v>83</v>
      </c>
      <c r="D179" s="1">
        <v>43875</v>
      </c>
      <c r="E179" s="59" t="str" cm="1">
        <f t="array" ref="E17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79" t="s">
        <v>174</v>
      </c>
      <c r="G179" s="3">
        <v>7687058</v>
      </c>
      <c r="H179" t="s">
        <v>175</v>
      </c>
      <c r="I179" s="4">
        <v>2819593</v>
      </c>
      <c r="J179" t="s">
        <v>176</v>
      </c>
      <c r="K179" s="1">
        <v>43755</v>
      </c>
      <c r="L179">
        <v>83</v>
      </c>
      <c r="M179" s="2" t="str">
        <f>IF(Spotify[[#This Row],[Energie]]&gt;AVERAGE(Spotify[Energie]),"FORTE","FAIBLE")</f>
        <v>FAIBLE</v>
      </c>
      <c r="N179" s="2">
        <v>0.82399999999999995</v>
      </c>
      <c r="O179" s="2">
        <v>0.58799999999999997</v>
      </c>
      <c r="P179" s="2">
        <v>9.2399999999999996E-2</v>
      </c>
      <c r="Q179" s="2">
        <v>0.69199999999999995</v>
      </c>
      <c r="R179" s="2">
        <v>0.14899999999999999</v>
      </c>
      <c r="S179" s="2">
        <v>0.51300000000000001</v>
      </c>
      <c r="T179" s="2">
        <v>-6.4</v>
      </c>
      <c r="U179">
        <v>209438</v>
      </c>
      <c r="V179">
        <f>YEAR(Spotify[[#This Row],[Date de sortie]])</f>
        <v>2019</v>
      </c>
      <c r="W179" s="2" t="str">
        <f>IF(Spotify[[#This Row],[Popularité]]&gt;=70,"FORTE","FAIBLE")</f>
        <v>FORTE</v>
      </c>
    </row>
    <row r="180" spans="1:23" x14ac:dyDescent="0.25">
      <c r="A180">
        <v>100</v>
      </c>
      <c r="B180">
        <v>22</v>
      </c>
      <c r="C180">
        <v>83</v>
      </c>
      <c r="D180" s="1">
        <v>43868</v>
      </c>
      <c r="E180" s="59" t="str" cm="1">
        <f t="array" ref="E18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80" t="s">
        <v>218</v>
      </c>
      <c r="G180" s="3">
        <v>6813800</v>
      </c>
      <c r="H180" t="s">
        <v>152</v>
      </c>
      <c r="I180" s="4">
        <v>8384096</v>
      </c>
      <c r="J180" t="s">
        <v>10</v>
      </c>
      <c r="K180" s="1">
        <v>43791</v>
      </c>
      <c r="L180">
        <v>83</v>
      </c>
      <c r="M180" s="2" t="str">
        <f>IF(Spotify[[#This Row],[Energie]]&gt;AVERAGE(Spotify[Energie]),"FORTE","FAIBLE")</f>
        <v>FAIBLE</v>
      </c>
      <c r="N180" s="2">
        <v>0.45900000000000002</v>
      </c>
      <c r="O180" s="2">
        <v>0.57499999999999996</v>
      </c>
      <c r="P180" s="2">
        <v>5.7299999999999997E-2</v>
      </c>
      <c r="Q180" s="2">
        <v>0.60399999999999998</v>
      </c>
      <c r="R180" s="2">
        <v>8.8499999999999995E-2</v>
      </c>
      <c r="S180" s="2">
        <v>0.183</v>
      </c>
      <c r="T180" s="2">
        <v>-4.8579999999999997</v>
      </c>
      <c r="U180">
        <v>215107</v>
      </c>
      <c r="V180">
        <f>YEAR(Spotify[[#This Row],[Date de sortie]])</f>
        <v>2019</v>
      </c>
      <c r="W180" s="2" t="str">
        <f>IF(Spotify[[#This Row],[Popularité]]&gt;=70,"FORTE","FAIBLE")</f>
        <v>FORTE</v>
      </c>
    </row>
    <row r="181" spans="1:23" x14ac:dyDescent="0.25">
      <c r="A181">
        <v>106</v>
      </c>
      <c r="B181">
        <v>45</v>
      </c>
      <c r="C181">
        <v>19</v>
      </c>
      <c r="D181" s="1">
        <v>44316</v>
      </c>
      <c r="E181" s="59" t="str" cm="1">
        <f t="array" ref="E18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81" t="s">
        <v>231</v>
      </c>
      <c r="G181" s="3">
        <v>6660319</v>
      </c>
      <c r="H181" t="s">
        <v>232</v>
      </c>
      <c r="I181" s="4">
        <v>32574754</v>
      </c>
      <c r="J181" t="s">
        <v>19</v>
      </c>
      <c r="K181" s="1">
        <v>40456</v>
      </c>
      <c r="L181">
        <v>83</v>
      </c>
      <c r="M181" s="2" t="str">
        <f>IF(Spotify[[#This Row],[Energie]]&gt;AVERAGE(Spotify[Energie]),"FORTE","FAIBLE")</f>
        <v>FAIBLE</v>
      </c>
      <c r="N181" s="2">
        <v>0.52300000000000002</v>
      </c>
      <c r="O181" s="2">
        <v>0.60599999999999998</v>
      </c>
      <c r="P181" s="2">
        <v>3.0099999999999998E-2</v>
      </c>
      <c r="Q181" s="2">
        <v>0.51200000000000001</v>
      </c>
      <c r="R181" s="2">
        <v>0.106</v>
      </c>
      <c r="S181" s="2">
        <v>6.5000000000000002E-2</v>
      </c>
      <c r="T181" s="2">
        <v>-4.7539999999999996</v>
      </c>
      <c r="U181">
        <v>217867</v>
      </c>
      <c r="V181">
        <f>YEAR(Spotify[[#This Row],[Date de sortie]])</f>
        <v>2010</v>
      </c>
      <c r="W181" s="2" t="str">
        <f>IF(Spotify[[#This Row],[Popularité]]&gt;=70,"FORTE","FAIBLE")</f>
        <v>FORTE</v>
      </c>
    </row>
    <row r="182" spans="1:23" x14ac:dyDescent="0.25">
      <c r="A182">
        <v>222</v>
      </c>
      <c r="B182">
        <v>22</v>
      </c>
      <c r="C182">
        <v>22</v>
      </c>
      <c r="D182" s="1">
        <v>44239</v>
      </c>
      <c r="E182" s="59" t="str" cm="1">
        <f t="array" ref="E18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82" t="s">
        <v>450</v>
      </c>
      <c r="G182" s="3">
        <v>6318660</v>
      </c>
      <c r="H182" t="s">
        <v>28</v>
      </c>
      <c r="I182" s="4">
        <v>27142474</v>
      </c>
      <c r="J182" t="s">
        <v>19</v>
      </c>
      <c r="K182" s="1">
        <v>44238</v>
      </c>
      <c r="L182">
        <v>83</v>
      </c>
      <c r="M182" s="2" t="str">
        <f>IF(Spotify[[#This Row],[Energie]]&gt;AVERAGE(Spotify[Energie]),"FORTE","FAIBLE")</f>
        <v>FAIBLE</v>
      </c>
      <c r="N182" s="2">
        <v>0.72199999999999998</v>
      </c>
      <c r="O182" s="2">
        <v>0.58799999999999997</v>
      </c>
      <c r="P182" s="2">
        <v>5.4399999999999997E-2</v>
      </c>
      <c r="Q182" s="2">
        <v>3.1899999999999998E-2</v>
      </c>
      <c r="R182" s="2">
        <v>0.183</v>
      </c>
      <c r="S182" s="2">
        <v>0.59</v>
      </c>
      <c r="T182" s="2">
        <v>-5.9320000000000004</v>
      </c>
      <c r="U182">
        <v>165507</v>
      </c>
      <c r="V182">
        <f>YEAR(Spotify[[#This Row],[Date de sortie]])</f>
        <v>2021</v>
      </c>
      <c r="W182" s="2" t="str">
        <f>IF(Spotify[[#This Row],[Popularité]]&gt;=70,"FORTE","FAIBLE")</f>
        <v>FORTE</v>
      </c>
    </row>
    <row r="183" spans="1:23" x14ac:dyDescent="0.25">
      <c r="A183">
        <v>276</v>
      </c>
      <c r="B183">
        <v>17</v>
      </c>
      <c r="C183">
        <v>30</v>
      </c>
      <c r="D183" s="1">
        <v>44225</v>
      </c>
      <c r="E183" s="59" t="str" cm="1">
        <f t="array" ref="E18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83" t="s">
        <v>544</v>
      </c>
      <c r="G183" s="3">
        <v>6308369</v>
      </c>
      <c r="H183" t="s">
        <v>545</v>
      </c>
      <c r="I183" s="4">
        <v>278679</v>
      </c>
      <c r="J183" t="s">
        <v>48</v>
      </c>
      <c r="K183" s="1">
        <v>44043</v>
      </c>
      <c r="L183">
        <v>83</v>
      </c>
      <c r="M183" s="2" t="str">
        <f>IF(Spotify[[#This Row],[Energie]]&gt;AVERAGE(Spotify[Energie]),"FORTE","FAIBLE")</f>
        <v>FORTE</v>
      </c>
      <c r="N183" s="2">
        <v>0.72499999999999998</v>
      </c>
      <c r="O183" s="2">
        <v>0.75600000000000001</v>
      </c>
      <c r="P183" s="2">
        <v>5.7200000000000001E-2</v>
      </c>
      <c r="Q183" s="2">
        <v>0.36199999999999999</v>
      </c>
      <c r="R183" s="2">
        <v>0.10299999999999999</v>
      </c>
      <c r="S183" s="2">
        <v>0.82799999999999996</v>
      </c>
      <c r="T183" s="2">
        <v>-5.0129999999999999</v>
      </c>
      <c r="U183">
        <v>186133</v>
      </c>
      <c r="V183">
        <f>YEAR(Spotify[[#This Row],[Date de sortie]])</f>
        <v>2020</v>
      </c>
      <c r="W183" s="2" t="str">
        <f>IF(Spotify[[#This Row],[Popularité]]&gt;=70,"FORTE","FAIBLE")</f>
        <v>FORTE</v>
      </c>
    </row>
    <row r="184" spans="1:23" x14ac:dyDescent="0.25">
      <c r="A184">
        <v>139</v>
      </c>
      <c r="B184">
        <v>14</v>
      </c>
      <c r="C184">
        <v>25</v>
      </c>
      <c r="D184" s="1">
        <v>44281</v>
      </c>
      <c r="E184" s="59" t="str" cm="1">
        <f t="array" ref="E18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84" t="s">
        <v>296</v>
      </c>
      <c r="G184" s="3">
        <v>5845156</v>
      </c>
      <c r="H184" t="s">
        <v>297</v>
      </c>
      <c r="I184" s="4">
        <v>17353707</v>
      </c>
      <c r="J184" t="s">
        <v>19</v>
      </c>
      <c r="K184" s="1">
        <v>44232</v>
      </c>
      <c r="L184">
        <v>83</v>
      </c>
      <c r="M184" s="2" t="str">
        <f>IF(Spotify[[#This Row],[Energie]]&gt;AVERAGE(Spotify[Energie]),"FORTE","FAIBLE")</f>
        <v>FORTE</v>
      </c>
      <c r="N184" s="2">
        <v>0.86799999999999999</v>
      </c>
      <c r="O184" s="2">
        <v>0.79500000000000004</v>
      </c>
      <c r="P184" s="2">
        <v>0.26900000000000002</v>
      </c>
      <c r="Q184" s="2">
        <v>1.1999999999999999E-3</v>
      </c>
      <c r="R184" s="2">
        <v>4.6100000000000002E-2</v>
      </c>
      <c r="S184" s="2">
        <v>0.81899999999999995</v>
      </c>
      <c r="T184" s="2">
        <v>-6.0439999999999996</v>
      </c>
      <c r="U184">
        <v>156945</v>
      </c>
      <c r="V184">
        <f>YEAR(Spotify[[#This Row],[Date de sortie]])</f>
        <v>2021</v>
      </c>
      <c r="W184" s="2" t="str">
        <f>IF(Spotify[[#This Row],[Popularité]]&gt;=70,"FORTE","FAIBLE")</f>
        <v>FORTE</v>
      </c>
    </row>
    <row r="185" spans="1:23" x14ac:dyDescent="0.25">
      <c r="A185">
        <v>147</v>
      </c>
      <c r="B185">
        <v>100</v>
      </c>
      <c r="C185">
        <v>2</v>
      </c>
      <c r="D185" s="1">
        <v>44393</v>
      </c>
      <c r="E185" s="59" t="str" cm="1">
        <f t="array" ref="E18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85" t="s">
        <v>314</v>
      </c>
      <c r="G185" s="3">
        <v>5682062</v>
      </c>
      <c r="H185" t="s">
        <v>315</v>
      </c>
      <c r="I185" s="4">
        <v>10561047</v>
      </c>
      <c r="J185" t="s">
        <v>72</v>
      </c>
      <c r="K185" s="1">
        <v>44391</v>
      </c>
      <c r="L185">
        <v>83</v>
      </c>
      <c r="M185" s="2" t="str">
        <f>IF(Spotify[[#This Row],[Energie]]&gt;AVERAGE(Spotify[Energie]),"FORTE","FAIBLE")</f>
        <v>FORTE</v>
      </c>
      <c r="N185" s="2">
        <v>0.871</v>
      </c>
      <c r="O185" s="2">
        <v>0.81499999999999995</v>
      </c>
      <c r="P185" s="2">
        <v>4.7699999999999999E-2</v>
      </c>
      <c r="Q185" s="2">
        <v>0.127</v>
      </c>
      <c r="R185" s="2">
        <v>9.4E-2</v>
      </c>
      <c r="S185" s="2">
        <v>0.82299999999999995</v>
      </c>
      <c r="T185" s="2">
        <v>-4.4390000000000001</v>
      </c>
      <c r="U185">
        <v>176575</v>
      </c>
      <c r="V185">
        <f>YEAR(Spotify[[#This Row],[Date de sortie]])</f>
        <v>2021</v>
      </c>
      <c r="W185" s="2" t="str">
        <f>IF(Spotify[[#This Row],[Popularité]]&gt;=70,"FORTE","FAIBLE")</f>
        <v>FORTE</v>
      </c>
    </row>
    <row r="186" spans="1:23" x14ac:dyDescent="0.25">
      <c r="A186">
        <v>148</v>
      </c>
      <c r="B186">
        <v>59</v>
      </c>
      <c r="C186">
        <v>83</v>
      </c>
      <c r="D186" s="1">
        <v>43833</v>
      </c>
      <c r="E186" s="59" t="str" cm="1">
        <f t="array" ref="E18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86" t="s">
        <v>316</v>
      </c>
      <c r="G186" s="3">
        <v>5672480</v>
      </c>
      <c r="H186" t="s">
        <v>317</v>
      </c>
      <c r="I186" s="4">
        <v>18572085</v>
      </c>
      <c r="J186" t="s">
        <v>19</v>
      </c>
      <c r="K186" s="1">
        <v>43378</v>
      </c>
      <c r="L186">
        <v>83</v>
      </c>
      <c r="M186" s="2" t="str">
        <f>IF(Spotify[[#This Row],[Energie]]&gt;AVERAGE(Spotify[Energie]),"FORTE","FAIBLE")</f>
        <v>FAIBLE</v>
      </c>
      <c r="N186" s="2">
        <v>0.57199999999999995</v>
      </c>
      <c r="O186" s="2">
        <v>0.38500000000000001</v>
      </c>
      <c r="P186" s="2">
        <v>3.0800000000000001E-2</v>
      </c>
      <c r="Q186" s="2">
        <v>0.371</v>
      </c>
      <c r="R186" s="2">
        <v>0.23100000000000001</v>
      </c>
      <c r="S186" s="2">
        <v>0.32300000000000001</v>
      </c>
      <c r="T186" s="2">
        <v>-6.3620000000000001</v>
      </c>
      <c r="U186">
        <v>215733</v>
      </c>
      <c r="V186">
        <f>YEAR(Spotify[[#This Row],[Date de sortie]])</f>
        <v>2018</v>
      </c>
      <c r="W186" s="2" t="str">
        <f>IF(Spotify[[#This Row],[Popularité]]&gt;=70,"FORTE","FAIBLE")</f>
        <v>FORTE</v>
      </c>
    </row>
    <row r="187" spans="1:23" x14ac:dyDescent="0.25">
      <c r="A187">
        <v>153</v>
      </c>
      <c r="B187">
        <v>153</v>
      </c>
      <c r="C187">
        <v>1</v>
      </c>
      <c r="D187" s="1">
        <v>44400</v>
      </c>
      <c r="E187" s="59" t="str" cm="1">
        <f t="array" ref="E18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87" t="s">
        <v>327</v>
      </c>
      <c r="G187" s="3">
        <v>5627257</v>
      </c>
      <c r="H187" t="s">
        <v>328</v>
      </c>
      <c r="I187" s="4">
        <v>205590</v>
      </c>
      <c r="J187"/>
      <c r="K187" s="1">
        <v>44390</v>
      </c>
      <c r="L187">
        <v>83</v>
      </c>
      <c r="M187" s="2" t="str">
        <f>IF(Spotify[[#This Row],[Energie]]&gt;AVERAGE(Spotify[Energie]),"FORTE","FAIBLE")</f>
        <v>FAIBLE</v>
      </c>
      <c r="N187" s="2">
        <v>0.84299999999999997</v>
      </c>
      <c r="O187" s="2">
        <v>0.53400000000000003</v>
      </c>
      <c r="P187" s="2">
        <v>0.14199999999999999</v>
      </c>
      <c r="Q187" s="2">
        <v>0.46700000000000003</v>
      </c>
      <c r="R187" s="2">
        <v>9.8400000000000001E-2</v>
      </c>
      <c r="S187" s="2">
        <v>0.52800000000000002</v>
      </c>
      <c r="T187" s="2">
        <v>-6.6580000000000004</v>
      </c>
      <c r="U187">
        <v>173053</v>
      </c>
      <c r="V187">
        <f>YEAR(Spotify[[#This Row],[Date de sortie]])</f>
        <v>2021</v>
      </c>
      <c r="W187" s="2" t="str">
        <f>IF(Spotify[[#This Row],[Popularité]]&gt;=70,"FORTE","FAIBLE")</f>
        <v>FORTE</v>
      </c>
    </row>
    <row r="188" spans="1:23" x14ac:dyDescent="0.25">
      <c r="A188">
        <v>156</v>
      </c>
      <c r="B188">
        <v>128</v>
      </c>
      <c r="C188">
        <v>7</v>
      </c>
      <c r="D188" s="1">
        <v>44386</v>
      </c>
      <c r="E188" s="59" t="str" cm="1">
        <f t="array" ref="E18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88" t="s">
        <v>332</v>
      </c>
      <c r="G188" s="3">
        <v>5594505</v>
      </c>
      <c r="H188" t="s">
        <v>333</v>
      </c>
      <c r="I188" s="4">
        <v>77034</v>
      </c>
      <c r="J188" t="s">
        <v>334</v>
      </c>
      <c r="K188" s="1">
        <v>44253</v>
      </c>
      <c r="L188">
        <v>83</v>
      </c>
      <c r="M188" s="2" t="str">
        <f>IF(Spotify[[#This Row],[Energie]]&gt;AVERAGE(Spotify[Energie]),"FORTE","FAIBLE")</f>
        <v>FORTE</v>
      </c>
      <c r="N188" s="2">
        <v>0.65</v>
      </c>
      <c r="O188" s="2">
        <v>0.79200000000000004</v>
      </c>
      <c r="P188" s="2">
        <v>3.9300000000000002E-2</v>
      </c>
      <c r="Q188" s="2">
        <v>0.60699999999999998</v>
      </c>
      <c r="R188" s="2">
        <v>0.92</v>
      </c>
      <c r="S188" s="2">
        <v>0.872</v>
      </c>
      <c r="T188" s="2">
        <v>-3.8250000000000002</v>
      </c>
      <c r="U188">
        <v>225672</v>
      </c>
      <c r="V188">
        <f>YEAR(Spotify[[#This Row],[Date de sortie]])</f>
        <v>2021</v>
      </c>
      <c r="W188" s="2" t="str">
        <f>IF(Spotify[[#This Row],[Popularité]]&gt;=70,"FORTE","FAIBLE")</f>
        <v>FORTE</v>
      </c>
    </row>
    <row r="189" spans="1:23" x14ac:dyDescent="0.25">
      <c r="A189">
        <v>304</v>
      </c>
      <c r="B189">
        <v>59</v>
      </c>
      <c r="C189">
        <v>18</v>
      </c>
      <c r="D189" s="1">
        <v>44288</v>
      </c>
      <c r="E189" s="59" t="str" cm="1">
        <f t="array" ref="E18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89" t="s">
        <v>591</v>
      </c>
      <c r="G189" s="3">
        <v>5470147</v>
      </c>
      <c r="H189" t="s">
        <v>592</v>
      </c>
      <c r="I189" s="4">
        <v>3911473</v>
      </c>
      <c r="J189" t="s">
        <v>19</v>
      </c>
      <c r="K189" s="1">
        <v>44092</v>
      </c>
      <c r="L189">
        <v>83</v>
      </c>
      <c r="M189" s="2" t="str">
        <f>IF(Spotify[[#This Row],[Energie]]&gt;AVERAGE(Spotify[Energie]),"FORTE","FAIBLE")</f>
        <v>FORTE</v>
      </c>
      <c r="N189" s="2">
        <v>0.61399999999999999</v>
      </c>
      <c r="O189" s="2">
        <v>0.93400000000000005</v>
      </c>
      <c r="P189" s="2">
        <v>7.0000000000000007E-2</v>
      </c>
      <c r="Q189" s="2">
        <v>6.9699999999999998E-2</v>
      </c>
      <c r="R189" s="2">
        <v>0.121</v>
      </c>
      <c r="S189" s="2">
        <v>0.436</v>
      </c>
      <c r="T189" s="2">
        <v>-3.7090000000000001</v>
      </c>
      <c r="U189">
        <v>174760</v>
      </c>
      <c r="V189">
        <f>YEAR(Spotify[[#This Row],[Date de sortie]])</f>
        <v>2020</v>
      </c>
      <c r="W189" s="2" t="str">
        <f>IF(Spotify[[#This Row],[Popularité]]&gt;=70,"FORTE","FAIBLE")</f>
        <v>FORTE</v>
      </c>
    </row>
    <row r="190" spans="1:23" x14ac:dyDescent="0.25">
      <c r="A190">
        <v>166</v>
      </c>
      <c r="B190">
        <v>59</v>
      </c>
      <c r="C190">
        <v>18</v>
      </c>
      <c r="D190" s="1">
        <v>44323</v>
      </c>
      <c r="E190" s="59" t="str" cm="1">
        <f t="array" ref="E19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90" t="s">
        <v>350</v>
      </c>
      <c r="G190" s="3">
        <v>5434073</v>
      </c>
      <c r="H190" t="s">
        <v>351</v>
      </c>
      <c r="I190" s="4">
        <v>11477164</v>
      </c>
      <c r="J190" t="s">
        <v>19</v>
      </c>
      <c r="K190" s="1">
        <v>44239</v>
      </c>
      <c r="L190">
        <v>83</v>
      </c>
      <c r="M190" s="2" t="str">
        <f>IF(Spotify[[#This Row],[Energie]]&gt;AVERAGE(Spotify[Energie]),"FORTE","FAIBLE")</f>
        <v>FAIBLE</v>
      </c>
      <c r="N190" s="2">
        <v>0.47599999999999998</v>
      </c>
      <c r="O190" s="2">
        <v>0.59399999999999997</v>
      </c>
      <c r="P190" s="2">
        <v>0.13500000000000001</v>
      </c>
      <c r="Q190" s="2">
        <v>5.9900000000000002E-2</v>
      </c>
      <c r="R190" s="2">
        <v>7.85E-2</v>
      </c>
      <c r="S190" s="2">
        <v>0.314</v>
      </c>
      <c r="T190" s="2">
        <v>-6.8789999999999996</v>
      </c>
      <c r="U190">
        <v>141050</v>
      </c>
      <c r="V190">
        <f>YEAR(Spotify[[#This Row],[Date de sortie]])</f>
        <v>2021</v>
      </c>
      <c r="W190" s="2" t="str">
        <f>IF(Spotify[[#This Row],[Popularité]]&gt;=70,"FORTE","FAIBLE")</f>
        <v>FORTE</v>
      </c>
    </row>
    <row r="191" spans="1:23" x14ac:dyDescent="0.25">
      <c r="A191">
        <v>171</v>
      </c>
      <c r="B191">
        <v>144</v>
      </c>
      <c r="C191">
        <v>27</v>
      </c>
      <c r="D191" s="1">
        <v>44288</v>
      </c>
      <c r="E191" s="59" t="str" cm="1">
        <f t="array" ref="E19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191" t="s">
        <v>358</v>
      </c>
      <c r="G191" s="3">
        <v>5379704</v>
      </c>
      <c r="H191" t="s">
        <v>359</v>
      </c>
      <c r="I191" s="4">
        <v>4339245</v>
      </c>
      <c r="J191" t="s">
        <v>360</v>
      </c>
      <c r="K191" s="1">
        <v>30484</v>
      </c>
      <c r="L191">
        <v>83</v>
      </c>
      <c r="M191" s="2" t="str">
        <f>IF(Spotify[[#This Row],[Energie]]&gt;AVERAGE(Spotify[Energie]),"FORTE","FAIBLE")</f>
        <v>FAIBLE</v>
      </c>
      <c r="N191" s="2">
        <v>0.82</v>
      </c>
      <c r="O191" s="2">
        <v>0.45200000000000001</v>
      </c>
      <c r="P191" s="2">
        <v>3.4799999999999998E-2</v>
      </c>
      <c r="Q191" s="2">
        <v>0.54300000000000004</v>
      </c>
      <c r="R191" s="2">
        <v>7.1400000000000005E-2</v>
      </c>
      <c r="S191" s="2">
        <v>0.74</v>
      </c>
      <c r="T191" s="2">
        <v>-9.7959999999999994</v>
      </c>
      <c r="U191">
        <v>253920</v>
      </c>
      <c r="V191">
        <f>YEAR(Spotify[[#This Row],[Date de sortie]])</f>
        <v>1983</v>
      </c>
      <c r="W191" s="2" t="str">
        <f>IF(Spotify[[#This Row],[Popularité]]&gt;=70,"FORTE","FAIBLE")</f>
        <v>FORTE</v>
      </c>
    </row>
    <row r="192" spans="1:23" x14ac:dyDescent="0.25">
      <c r="A192">
        <v>330</v>
      </c>
      <c r="B192">
        <v>108</v>
      </c>
      <c r="C192">
        <v>51</v>
      </c>
      <c r="D192" s="1">
        <v>44225</v>
      </c>
      <c r="E192" s="59" t="str" cm="1">
        <f t="array" ref="E19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92" t="s">
        <v>631</v>
      </c>
      <c r="G192" s="3">
        <v>5372180</v>
      </c>
      <c r="H192" t="s">
        <v>345</v>
      </c>
      <c r="I192" s="4">
        <v>19085118</v>
      </c>
      <c r="J192" t="s">
        <v>79</v>
      </c>
      <c r="K192" s="1">
        <v>43444</v>
      </c>
      <c r="L192">
        <v>83</v>
      </c>
      <c r="M192" s="2" t="str">
        <f>IF(Spotify[[#This Row],[Energie]]&gt;AVERAGE(Spotify[Energie]),"FORTE","FAIBLE")</f>
        <v>FAIBLE</v>
      </c>
      <c r="N192" s="2">
        <v>0.67100000000000004</v>
      </c>
      <c r="O192" s="2">
        <v>0.52900000000000003</v>
      </c>
      <c r="P192" s="2">
        <v>0.307</v>
      </c>
      <c r="Q192" s="2">
        <v>7.6899999999999996E-2</v>
      </c>
      <c r="R192" s="2">
        <v>8.5599999999999996E-2</v>
      </c>
      <c r="S192" s="2">
        <v>0.20300000000000001</v>
      </c>
      <c r="T192" s="2">
        <v>-7.226</v>
      </c>
      <c r="U192">
        <v>165820</v>
      </c>
      <c r="V192">
        <f>YEAR(Spotify[[#This Row],[Date de sortie]])</f>
        <v>2018</v>
      </c>
      <c r="W192" s="2" t="str">
        <f>IF(Spotify[[#This Row],[Popularité]]&gt;=70,"FORTE","FAIBLE")</f>
        <v>FORTE</v>
      </c>
    </row>
    <row r="193" spans="1:23" x14ac:dyDescent="0.25">
      <c r="A193">
        <v>243</v>
      </c>
      <c r="B193">
        <v>101</v>
      </c>
      <c r="C193">
        <v>3</v>
      </c>
      <c r="D193" s="1">
        <v>44316</v>
      </c>
      <c r="E193" s="59" t="str" cm="1">
        <f t="array" ref="E19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93" t="s">
        <v>488</v>
      </c>
      <c r="G193" s="3">
        <v>5321544</v>
      </c>
      <c r="H193" t="s">
        <v>489</v>
      </c>
      <c r="I193" s="4">
        <v>6278835</v>
      </c>
      <c r="J193" t="s">
        <v>426</v>
      </c>
      <c r="K193" s="1">
        <v>44316</v>
      </c>
      <c r="L193">
        <v>83</v>
      </c>
      <c r="M193" s="2" t="str">
        <f>IF(Spotify[[#This Row],[Energie]]&gt;AVERAGE(Spotify[Energie]),"FORTE","FAIBLE")</f>
        <v>FORTE</v>
      </c>
      <c r="N193" s="2">
        <v>0.47699999999999998</v>
      </c>
      <c r="O193" s="2">
        <v>0.72699999999999998</v>
      </c>
      <c r="P193" s="2">
        <v>0.28599999999999998</v>
      </c>
      <c r="Q193" s="2">
        <v>8.6600000000000002E-4</v>
      </c>
      <c r="R193" s="2">
        <v>0.108</v>
      </c>
      <c r="S193" s="2">
        <v>0.22700000000000001</v>
      </c>
      <c r="T193" s="2">
        <v>-4.0529999999999999</v>
      </c>
      <c r="U193">
        <v>236524</v>
      </c>
      <c r="V193">
        <f>YEAR(Spotify[[#This Row],[Date de sortie]])</f>
        <v>2021</v>
      </c>
      <c r="W193" s="2" t="str">
        <f>IF(Spotify[[#This Row],[Popularité]]&gt;=70,"FORTE","FAIBLE")</f>
        <v>FORTE</v>
      </c>
    </row>
    <row r="194" spans="1:23" x14ac:dyDescent="0.25">
      <c r="A194">
        <v>477</v>
      </c>
      <c r="B194">
        <v>64</v>
      </c>
      <c r="C194">
        <v>12</v>
      </c>
      <c r="D194" s="1">
        <v>44232</v>
      </c>
      <c r="E194" s="59" t="str" cm="1">
        <f t="array" ref="E19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94" t="s">
        <v>869</v>
      </c>
      <c r="G194" s="3">
        <v>5302285</v>
      </c>
      <c r="H194" t="s">
        <v>870</v>
      </c>
      <c r="I194" s="4">
        <v>35340069</v>
      </c>
      <c r="J194" t="s">
        <v>42</v>
      </c>
      <c r="K194" s="1">
        <v>42699</v>
      </c>
      <c r="L194">
        <v>83</v>
      </c>
      <c r="M194" s="2" t="str">
        <f>IF(Spotify[[#This Row],[Energie]]&gt;AVERAGE(Spotify[Energie]),"FORTE","FAIBLE")</f>
        <v>FAIBLE</v>
      </c>
      <c r="N194" s="2">
        <v>0.67900000000000005</v>
      </c>
      <c r="O194" s="2">
        <v>0.58699999999999997</v>
      </c>
      <c r="P194" s="2">
        <v>0.27600000000000002</v>
      </c>
      <c r="Q194" s="2">
        <v>0.14099999999999999</v>
      </c>
      <c r="R194" s="2">
        <v>0.13700000000000001</v>
      </c>
      <c r="S194" s="2">
        <v>0.48599999999999999</v>
      </c>
      <c r="T194" s="2">
        <v>-7.0149999999999997</v>
      </c>
      <c r="U194">
        <v>230453</v>
      </c>
      <c r="V194">
        <f>YEAR(Spotify[[#This Row],[Date de sortie]])</f>
        <v>2016</v>
      </c>
      <c r="W194" s="2" t="str">
        <f>IF(Spotify[[#This Row],[Popularité]]&gt;=70,"FORTE","FAIBLE")</f>
        <v>FORTE</v>
      </c>
    </row>
    <row r="195" spans="1:23" x14ac:dyDescent="0.25">
      <c r="A195">
        <v>324</v>
      </c>
      <c r="B195">
        <v>47</v>
      </c>
      <c r="C195">
        <v>32</v>
      </c>
      <c r="D195" s="1">
        <v>44148</v>
      </c>
      <c r="E195" s="59" t="str" cm="1">
        <f t="array" ref="E19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95" t="s">
        <v>621</v>
      </c>
      <c r="G195" s="3">
        <v>5298893</v>
      </c>
      <c r="H195" t="s">
        <v>74</v>
      </c>
      <c r="I195" s="4">
        <v>16112621</v>
      </c>
      <c r="J195" t="s">
        <v>10</v>
      </c>
      <c r="K195" s="1">
        <v>43812</v>
      </c>
      <c r="L195">
        <v>83</v>
      </c>
      <c r="M195" s="2" t="str">
        <f>IF(Spotify[[#This Row],[Energie]]&gt;AVERAGE(Spotify[Energie]),"FORTE","FAIBLE")</f>
        <v>FORTE</v>
      </c>
      <c r="N195" s="2">
        <v>0.44800000000000001</v>
      </c>
      <c r="O195" s="2">
        <v>0.83799999999999997</v>
      </c>
      <c r="P195" s="2">
        <v>5.57E-2</v>
      </c>
      <c r="Q195" s="2">
        <v>0.21</v>
      </c>
      <c r="R195" s="2">
        <v>0.13100000000000001</v>
      </c>
      <c r="S195" s="2">
        <v>0.254</v>
      </c>
      <c r="T195" s="2">
        <v>-5.2569999999999997</v>
      </c>
      <c r="U195">
        <v>208907</v>
      </c>
      <c r="V195">
        <f>YEAR(Spotify[[#This Row],[Date de sortie]])</f>
        <v>2019</v>
      </c>
      <c r="W195" s="2" t="str">
        <f>IF(Spotify[[#This Row],[Popularité]]&gt;=70,"FORTE","FAIBLE")</f>
        <v>FORTE</v>
      </c>
    </row>
    <row r="196" spans="1:23" x14ac:dyDescent="0.25">
      <c r="A196">
        <v>369</v>
      </c>
      <c r="B196">
        <v>5</v>
      </c>
      <c r="C196">
        <v>142</v>
      </c>
      <c r="D196" s="1">
        <v>43826</v>
      </c>
      <c r="E196" s="59" t="str" cm="1">
        <f t="array" ref="E19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96" t="s">
        <v>695</v>
      </c>
      <c r="G196" s="3">
        <v>5294368</v>
      </c>
      <c r="H196" t="s">
        <v>74</v>
      </c>
      <c r="I196" s="4">
        <v>16112621</v>
      </c>
      <c r="J196" t="s">
        <v>10</v>
      </c>
      <c r="K196" s="1">
        <v>43812</v>
      </c>
      <c r="L196">
        <v>83</v>
      </c>
      <c r="M196" s="2" t="str">
        <f>IF(Spotify[[#This Row],[Energie]]&gt;AVERAGE(Spotify[Energie]),"FORTE","FAIBLE")</f>
        <v>FAIBLE</v>
      </c>
      <c r="N196" s="2">
        <v>0.56699999999999995</v>
      </c>
      <c r="O196" s="2">
        <v>0.26700000000000002</v>
      </c>
      <c r="P196" s="2">
        <v>2.9899999999999999E-2</v>
      </c>
      <c r="Q196" s="2">
        <v>0.83899999999999997</v>
      </c>
      <c r="R196" s="2">
        <v>8.8999999999999996E-2</v>
      </c>
      <c r="S196" s="2">
        <v>5.9200000000000003E-2</v>
      </c>
      <c r="T196" s="2">
        <v>-6.5019999999999998</v>
      </c>
      <c r="U196">
        <v>240133</v>
      </c>
      <c r="V196">
        <f>YEAR(Spotify[[#This Row],[Date de sortie]])</f>
        <v>2019</v>
      </c>
      <c r="W196" s="2" t="str">
        <f>IF(Spotify[[#This Row],[Popularité]]&gt;=70,"FORTE","FAIBLE")</f>
        <v>FORTE</v>
      </c>
    </row>
    <row r="197" spans="1:23" x14ac:dyDescent="0.25">
      <c r="A197">
        <v>381</v>
      </c>
      <c r="B197">
        <v>19</v>
      </c>
      <c r="C197">
        <v>26</v>
      </c>
      <c r="D197" s="1">
        <v>44197</v>
      </c>
      <c r="E197" s="59" t="str" cm="1">
        <f t="array" ref="E19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97" t="s">
        <v>714</v>
      </c>
      <c r="G197" s="3">
        <v>5264232</v>
      </c>
      <c r="H197" t="s">
        <v>14</v>
      </c>
      <c r="I197" s="4">
        <v>5473565</v>
      </c>
      <c r="J197" t="s">
        <v>15</v>
      </c>
      <c r="K197" s="1">
        <v>44148</v>
      </c>
      <c r="L197">
        <v>83</v>
      </c>
      <c r="M197" s="2" t="str">
        <f>IF(Spotify[[#This Row],[Energie]]&gt;AVERAGE(Spotify[Energie]),"FORTE","FAIBLE")</f>
        <v>FAIBLE</v>
      </c>
      <c r="N197" s="2">
        <v>0.81</v>
      </c>
      <c r="O197" s="2">
        <v>0.51100000000000001</v>
      </c>
      <c r="P197" s="2">
        <v>0.16400000000000001</v>
      </c>
      <c r="Q197" s="2">
        <v>0.12</v>
      </c>
      <c r="R197" s="2">
        <v>8.3199999999999996E-2</v>
      </c>
      <c r="S197" s="2">
        <v>0.83699999999999997</v>
      </c>
      <c r="T197" s="2">
        <v>-6.9240000000000004</v>
      </c>
      <c r="U197">
        <v>154998</v>
      </c>
      <c r="V197">
        <f>YEAR(Spotify[[#This Row],[Date de sortie]])</f>
        <v>2020</v>
      </c>
      <c r="W197" s="2" t="str">
        <f>IF(Spotify[[#This Row],[Popularité]]&gt;=70,"FORTE","FAIBLE")</f>
        <v>FORTE</v>
      </c>
    </row>
    <row r="198" spans="1:23" x14ac:dyDescent="0.25">
      <c r="A198">
        <v>244</v>
      </c>
      <c r="B198">
        <v>72</v>
      </c>
      <c r="C198">
        <v>10</v>
      </c>
      <c r="D198" s="1">
        <v>44330</v>
      </c>
      <c r="E198" s="59" t="str" cm="1">
        <f t="array" ref="E19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98" t="s">
        <v>490</v>
      </c>
      <c r="G198" s="3">
        <v>5258628</v>
      </c>
      <c r="H198" t="s">
        <v>491</v>
      </c>
      <c r="I198" s="4">
        <v>17202</v>
      </c>
      <c r="J198"/>
      <c r="K198" s="1">
        <v>44309</v>
      </c>
      <c r="L198">
        <v>83</v>
      </c>
      <c r="M198" s="2" t="str">
        <f>IF(Spotify[[#This Row],[Energie]]&gt;AVERAGE(Spotify[Energie]),"FORTE","FAIBLE")</f>
        <v>FAIBLE</v>
      </c>
      <c r="N198" s="2">
        <v>0.64700000000000002</v>
      </c>
      <c r="O198" s="2">
        <v>0.60799999999999998</v>
      </c>
      <c r="P198" s="2">
        <v>0.42</v>
      </c>
      <c r="Q198" s="2">
        <v>0.13</v>
      </c>
      <c r="R198" s="2">
        <v>5.8400000000000001E-2</v>
      </c>
      <c r="S198" s="2">
        <v>0.47399999999999998</v>
      </c>
      <c r="T198" s="2">
        <v>-6.8310000000000004</v>
      </c>
      <c r="U198">
        <v>175238</v>
      </c>
      <c r="V198">
        <f>YEAR(Spotify[[#This Row],[Date de sortie]])</f>
        <v>2021</v>
      </c>
      <c r="W198" s="2" t="str">
        <f>IF(Spotify[[#This Row],[Popularité]]&gt;=70,"FORTE","FAIBLE")</f>
        <v>FORTE</v>
      </c>
    </row>
    <row r="199" spans="1:23" x14ac:dyDescent="0.25">
      <c r="A199">
        <v>214</v>
      </c>
      <c r="B199">
        <v>175</v>
      </c>
      <c r="C199">
        <v>4</v>
      </c>
      <c r="D199" s="1">
        <v>44379</v>
      </c>
      <c r="E199" s="59" t="str" cm="1">
        <f t="array" ref="E19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99" t="s">
        <v>436</v>
      </c>
      <c r="G199" s="3">
        <v>5242097</v>
      </c>
      <c r="H199" t="s">
        <v>437</v>
      </c>
      <c r="I199" s="4">
        <v>127364</v>
      </c>
      <c r="J199" t="s">
        <v>438</v>
      </c>
      <c r="K199" s="1">
        <v>44364</v>
      </c>
      <c r="L199">
        <v>83</v>
      </c>
      <c r="M199" s="2" t="str">
        <f>IF(Spotify[[#This Row],[Energie]]&gt;AVERAGE(Spotify[Energie]),"FORTE","FAIBLE")</f>
        <v>FORTE</v>
      </c>
      <c r="N199" s="2">
        <v>0.47699999999999998</v>
      </c>
      <c r="O199" s="2">
        <v>0.84399999999999997</v>
      </c>
      <c r="P199" s="2">
        <v>4.58E-2</v>
      </c>
      <c r="Q199" s="2">
        <v>2.7299999999999998E-3</v>
      </c>
      <c r="R199" s="2">
        <v>0.13700000000000001</v>
      </c>
      <c r="S199" s="2">
        <v>0.20300000000000001</v>
      </c>
      <c r="T199" s="2">
        <v>-4.87</v>
      </c>
      <c r="U199">
        <v>220235</v>
      </c>
      <c r="V199">
        <f>YEAR(Spotify[[#This Row],[Date de sortie]])</f>
        <v>2021</v>
      </c>
      <c r="W199" s="2" t="str">
        <f>IF(Spotify[[#This Row],[Popularité]]&gt;=70,"FORTE","FAIBLE")</f>
        <v>FORTE</v>
      </c>
    </row>
    <row r="200" spans="1:23" x14ac:dyDescent="0.25">
      <c r="A200">
        <v>178</v>
      </c>
      <c r="B200">
        <v>100</v>
      </c>
      <c r="C200">
        <v>9</v>
      </c>
      <c r="D200" s="1">
        <v>44337</v>
      </c>
      <c r="E200" s="59" t="str" cm="1">
        <f t="array" ref="E20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00" t="s">
        <v>372</v>
      </c>
      <c r="G200" s="3">
        <v>5235335</v>
      </c>
      <c r="H200" t="s">
        <v>373</v>
      </c>
      <c r="I200" s="4">
        <v>8148393</v>
      </c>
      <c r="J200" t="s">
        <v>19</v>
      </c>
      <c r="K200" s="1">
        <v>44337</v>
      </c>
      <c r="L200">
        <v>83</v>
      </c>
      <c r="M200" s="2" t="str">
        <f>IF(Spotify[[#This Row],[Energie]]&gt;AVERAGE(Spotify[Energie]),"FORTE","FAIBLE")</f>
        <v>FORTE</v>
      </c>
      <c r="N200" s="2">
        <v>0.59499999999999997</v>
      </c>
      <c r="O200" s="2">
        <v>0.75900000000000001</v>
      </c>
      <c r="P200" s="2">
        <v>4.2299999999999997E-2</v>
      </c>
      <c r="Q200" s="2">
        <v>0.14099999999999999</v>
      </c>
      <c r="R200" s="2">
        <v>0.17199999999999999</v>
      </c>
      <c r="S200" s="2">
        <v>0.51500000000000001</v>
      </c>
      <c r="T200" s="2">
        <v>-4.2450000000000001</v>
      </c>
      <c r="U200">
        <v>163733</v>
      </c>
      <c r="V200">
        <f>YEAR(Spotify[[#This Row],[Date de sortie]])</f>
        <v>2021</v>
      </c>
      <c r="W200" s="2" t="str">
        <f>IF(Spotify[[#This Row],[Popularité]]&gt;=70,"FORTE","FAIBLE")</f>
        <v>FORTE</v>
      </c>
    </row>
    <row r="201" spans="1:23" x14ac:dyDescent="0.25">
      <c r="A201">
        <v>273</v>
      </c>
      <c r="B201">
        <v>10</v>
      </c>
      <c r="C201">
        <v>49</v>
      </c>
      <c r="D201" s="1">
        <v>44057</v>
      </c>
      <c r="E201" s="59" t="str" cm="1">
        <f t="array" ref="E20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01" t="s">
        <v>537</v>
      </c>
      <c r="G201" s="3">
        <v>5203364</v>
      </c>
      <c r="H201" t="s">
        <v>538</v>
      </c>
      <c r="I201" s="4">
        <v>29051363</v>
      </c>
      <c r="J201" t="s">
        <v>25</v>
      </c>
      <c r="K201" s="1">
        <v>44036</v>
      </c>
      <c r="L201">
        <v>83</v>
      </c>
      <c r="M201" s="2" t="str">
        <f>IF(Spotify[[#This Row],[Energie]]&gt;AVERAGE(Spotify[Energie]),"FORTE","FAIBLE")</f>
        <v>FORTE</v>
      </c>
      <c r="N201" s="2">
        <v>0.57099999999999995</v>
      </c>
      <c r="O201" s="2">
        <v>0.69299999999999995</v>
      </c>
      <c r="P201" s="2">
        <v>5.45E-2</v>
      </c>
      <c r="Q201" s="2">
        <v>5.3600000000000002E-3</v>
      </c>
      <c r="R201" s="2">
        <v>0.17299999999999999</v>
      </c>
      <c r="S201" s="2">
        <v>0.39300000000000002</v>
      </c>
      <c r="T201" s="2">
        <v>-8.234</v>
      </c>
      <c r="U201">
        <v>232253</v>
      </c>
      <c r="V201">
        <f>YEAR(Spotify[[#This Row],[Date de sortie]])</f>
        <v>2020</v>
      </c>
      <c r="W201" s="2" t="str">
        <f>IF(Spotify[[#This Row],[Popularité]]&gt;=70,"FORTE","FAIBLE")</f>
        <v>FORTE</v>
      </c>
    </row>
    <row r="202" spans="1:23" x14ac:dyDescent="0.25">
      <c r="A202">
        <v>218</v>
      </c>
      <c r="B202">
        <v>71</v>
      </c>
      <c r="C202">
        <v>3</v>
      </c>
      <c r="D202" s="1">
        <v>44379</v>
      </c>
      <c r="E202" s="59" t="str" cm="1">
        <f t="array" ref="E20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202" t="s">
        <v>445</v>
      </c>
      <c r="G202" s="3">
        <v>5150909</v>
      </c>
      <c r="H202" t="s">
        <v>226</v>
      </c>
      <c r="I202" s="4">
        <v>35285425</v>
      </c>
      <c r="J202" t="s">
        <v>227</v>
      </c>
      <c r="K202" s="1">
        <v>44379</v>
      </c>
      <c r="L202">
        <v>83</v>
      </c>
      <c r="M202" s="2" t="str">
        <f>IF(Spotify[[#This Row],[Energie]]&gt;AVERAGE(Spotify[Energie]),"FORTE","FAIBLE")</f>
        <v>FAIBLE</v>
      </c>
      <c r="N202" s="2">
        <v>0.626</v>
      </c>
      <c r="O202" s="2">
        <v>0.56000000000000005</v>
      </c>
      <c r="P202" s="2">
        <v>2.8799999999999999E-2</v>
      </c>
      <c r="Q202" s="2">
        <v>0.14799999999999999</v>
      </c>
      <c r="R202" s="2">
        <v>0.109</v>
      </c>
      <c r="S202" s="2">
        <v>0.22900000000000001</v>
      </c>
      <c r="T202" s="2">
        <v>-5.82</v>
      </c>
      <c r="U202">
        <v>244005</v>
      </c>
      <c r="V202">
        <f>YEAR(Spotify[[#This Row],[Date de sortie]])</f>
        <v>2021</v>
      </c>
      <c r="W202" s="2" t="str">
        <f>IF(Spotify[[#This Row],[Popularité]]&gt;=70,"FORTE","FAIBLE")</f>
        <v>FORTE</v>
      </c>
    </row>
    <row r="203" spans="1:23" x14ac:dyDescent="0.25">
      <c r="A203">
        <v>183</v>
      </c>
      <c r="B203">
        <v>183</v>
      </c>
      <c r="C203">
        <v>1</v>
      </c>
      <c r="D203" s="1">
        <v>44400</v>
      </c>
      <c r="E203" s="59" t="str" cm="1">
        <f t="array" ref="E20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COUNTRY</v>
      </c>
      <c r="F203" t="s">
        <v>380</v>
      </c>
      <c r="G203" s="3">
        <v>5145432</v>
      </c>
      <c r="H203" t="s">
        <v>381</v>
      </c>
      <c r="I203" s="4">
        <v>304995</v>
      </c>
      <c r="J203" t="s">
        <v>382</v>
      </c>
      <c r="K203" s="1">
        <v>44351</v>
      </c>
      <c r="L203">
        <v>83</v>
      </c>
      <c r="M203" s="2" t="str">
        <f>IF(Spotify[[#This Row],[Energie]]&gt;AVERAGE(Spotify[Energie]),"FORTE","FAIBLE")</f>
        <v>FORTE</v>
      </c>
      <c r="N203" s="2">
        <v>0.64900000000000002</v>
      </c>
      <c r="O203" s="2">
        <v>0.76</v>
      </c>
      <c r="P203" s="2">
        <v>5.74E-2</v>
      </c>
      <c r="Q203" s="2">
        <v>0.114</v>
      </c>
      <c r="R203" s="2">
        <v>0.317</v>
      </c>
      <c r="S203" s="2">
        <v>0.84299999999999997</v>
      </c>
      <c r="T203" s="2">
        <v>-6.4870000000000001</v>
      </c>
      <c r="U203">
        <v>161853</v>
      </c>
      <c r="V203">
        <f>YEAR(Spotify[[#This Row],[Date de sortie]])</f>
        <v>2021</v>
      </c>
      <c r="W203" s="2" t="str">
        <f>IF(Spotify[[#This Row],[Popularité]]&gt;=70,"FORTE","FAIBLE")</f>
        <v>FORTE</v>
      </c>
    </row>
    <row r="204" spans="1:23" x14ac:dyDescent="0.25">
      <c r="A204">
        <v>334</v>
      </c>
      <c r="B204">
        <v>4</v>
      </c>
      <c r="C204">
        <v>70</v>
      </c>
      <c r="D204" s="1">
        <v>43847</v>
      </c>
      <c r="E204" s="59" t="str" cm="1">
        <f t="array" ref="E20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204" t="s">
        <v>636</v>
      </c>
      <c r="G204" s="3">
        <v>5143522</v>
      </c>
      <c r="H204" t="s">
        <v>412</v>
      </c>
      <c r="I204" s="4">
        <v>46785561</v>
      </c>
      <c r="J204" t="s">
        <v>413</v>
      </c>
      <c r="K204" s="1">
        <v>43847</v>
      </c>
      <c r="L204">
        <v>83</v>
      </c>
      <c r="M204" s="2" t="str">
        <f>IF(Spotify[[#This Row],[Energie]]&gt;AVERAGE(Spotify[Energie]),"FORTE","FAIBLE")</f>
        <v>FORTE</v>
      </c>
      <c r="N204" s="2">
        <v>0.80800000000000005</v>
      </c>
      <c r="O204" s="2">
        <v>0.745</v>
      </c>
      <c r="P204" s="2">
        <v>0.34200000000000003</v>
      </c>
      <c r="Q204" s="2">
        <v>0.14499999999999999</v>
      </c>
      <c r="R204" s="2">
        <v>0.29199999999999998</v>
      </c>
      <c r="S204" s="2">
        <v>0.82899999999999996</v>
      </c>
      <c r="T204" s="2">
        <v>-5.26</v>
      </c>
      <c r="U204">
        <v>210800</v>
      </c>
      <c r="V204">
        <f>YEAR(Spotify[[#This Row],[Date de sortie]])</f>
        <v>2020</v>
      </c>
      <c r="W204" s="2" t="str">
        <f>IF(Spotify[[#This Row],[Popularité]]&gt;=70,"FORTE","FAIBLE")</f>
        <v>FORTE</v>
      </c>
    </row>
    <row r="205" spans="1:23" x14ac:dyDescent="0.25">
      <c r="A205">
        <v>385</v>
      </c>
      <c r="B205">
        <v>7</v>
      </c>
      <c r="C205">
        <v>44</v>
      </c>
      <c r="D205" s="1">
        <v>44022</v>
      </c>
      <c r="E205" s="59" t="str" cm="1">
        <f t="array" ref="E20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205" t="s">
        <v>722</v>
      </c>
      <c r="G205" s="3">
        <v>5125706</v>
      </c>
      <c r="H205" t="s">
        <v>345</v>
      </c>
      <c r="I205" s="4">
        <v>19085118</v>
      </c>
      <c r="J205" t="s">
        <v>79</v>
      </c>
      <c r="K205" s="1">
        <v>44022</v>
      </c>
      <c r="L205">
        <v>83</v>
      </c>
      <c r="M205" s="2" t="str">
        <f>IF(Spotify[[#This Row],[Energie]]&gt;AVERAGE(Spotify[Energie]),"FORTE","FAIBLE")</f>
        <v>FAIBLE</v>
      </c>
      <c r="N205" s="2">
        <v>0.65</v>
      </c>
      <c r="O205" s="2">
        <v>0.61299999999999999</v>
      </c>
      <c r="P205" s="2">
        <v>0.128</v>
      </c>
      <c r="Q205" s="2">
        <v>3.3600000000000001E-3</v>
      </c>
      <c r="R205" s="2">
        <v>0.26700000000000002</v>
      </c>
      <c r="S205" s="2">
        <v>8.0399999999999999E-2</v>
      </c>
      <c r="T205" s="2">
        <v>-6.13</v>
      </c>
      <c r="U205">
        <v>194621</v>
      </c>
      <c r="V205">
        <f>YEAR(Spotify[[#This Row],[Date de sortie]])</f>
        <v>2020</v>
      </c>
      <c r="W205" s="2" t="str">
        <f>IF(Spotify[[#This Row],[Popularité]]&gt;=70,"FORTE","FAIBLE")</f>
        <v>FORTE</v>
      </c>
    </row>
    <row r="206" spans="1:23" x14ac:dyDescent="0.25">
      <c r="A206">
        <v>284</v>
      </c>
      <c r="B206">
        <v>31</v>
      </c>
      <c r="C206">
        <v>19</v>
      </c>
      <c r="D206" s="1">
        <v>44281</v>
      </c>
      <c r="E206" s="59" t="str" cm="1">
        <f t="array" ref="E20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06" t="s">
        <v>560</v>
      </c>
      <c r="G206" s="3">
        <v>5124606</v>
      </c>
      <c r="H206" t="s">
        <v>561</v>
      </c>
      <c r="I206" s="4">
        <v>140812</v>
      </c>
      <c r="J206"/>
      <c r="K206" s="1">
        <v>44217</v>
      </c>
      <c r="L206">
        <v>83</v>
      </c>
      <c r="M206" s="2" t="str">
        <f>IF(Spotify[[#This Row],[Energie]]&gt;AVERAGE(Spotify[Energie]),"FORTE","FAIBLE")</f>
        <v>FORTE</v>
      </c>
      <c r="N206" s="2">
        <v>0.72199999999999998</v>
      </c>
      <c r="O206" s="2">
        <v>0.89300000000000002</v>
      </c>
      <c r="P206" s="2">
        <v>4.7500000000000001E-2</v>
      </c>
      <c r="Q206" s="2">
        <v>4.41E-2</v>
      </c>
      <c r="R206" s="2">
        <v>6.7299999999999999E-2</v>
      </c>
      <c r="S206" s="2">
        <v>0.439</v>
      </c>
      <c r="T206" s="2">
        <v>-3.2549999999999999</v>
      </c>
      <c r="U206">
        <v>116750</v>
      </c>
      <c r="V206">
        <f>YEAR(Spotify[[#This Row],[Date de sortie]])</f>
        <v>2021</v>
      </c>
      <c r="W206" s="2" t="str">
        <f>IF(Spotify[[#This Row],[Popularité]]&gt;=70,"FORTE","FAIBLE")</f>
        <v>FORTE</v>
      </c>
    </row>
    <row r="207" spans="1:23" x14ac:dyDescent="0.25">
      <c r="A207">
        <v>524</v>
      </c>
      <c r="B207">
        <v>83</v>
      </c>
      <c r="C207">
        <v>53</v>
      </c>
      <c r="D207" s="1">
        <v>43826</v>
      </c>
      <c r="E207" s="59" t="str" cm="1">
        <f t="array" ref="E20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207" t="s">
        <v>951</v>
      </c>
      <c r="G207" s="3">
        <v>5115990</v>
      </c>
      <c r="H207" t="s">
        <v>59</v>
      </c>
      <c r="I207" s="4">
        <v>33663701</v>
      </c>
      <c r="J207" t="s">
        <v>60</v>
      </c>
      <c r="K207" s="1">
        <v>43217</v>
      </c>
      <c r="L207">
        <v>83</v>
      </c>
      <c r="M207" s="2" t="str">
        <f>IF(Spotify[[#This Row],[Energie]]&gt;AVERAGE(Spotify[Energie]),"FORTE","FAIBLE")</f>
        <v>FAIBLE</v>
      </c>
      <c r="N207" s="2">
        <v>0.58499999999999996</v>
      </c>
      <c r="O207" s="2">
        <v>0.52</v>
      </c>
      <c r="P207" s="2">
        <v>7.1199999999999999E-2</v>
      </c>
      <c r="Q207" s="2">
        <v>0.124</v>
      </c>
      <c r="R207" s="2">
        <v>0.13100000000000001</v>
      </c>
      <c r="S207" s="2">
        <v>0.129</v>
      </c>
      <c r="T207" s="2">
        <v>-6.1360000000000001</v>
      </c>
      <c r="U207">
        <v>218147</v>
      </c>
      <c r="V207">
        <f>YEAR(Spotify[[#This Row],[Date de sortie]])</f>
        <v>2018</v>
      </c>
      <c r="W207" s="2" t="str">
        <f>IF(Spotify[[#This Row],[Popularité]]&gt;=70,"FORTE","FAIBLE")</f>
        <v>FORTE</v>
      </c>
    </row>
    <row r="208" spans="1:23" x14ac:dyDescent="0.25">
      <c r="A208">
        <v>812</v>
      </c>
      <c r="B208">
        <v>179</v>
      </c>
      <c r="C208">
        <v>1</v>
      </c>
      <c r="D208" s="1">
        <v>44134</v>
      </c>
      <c r="E208" s="59" t="str" cm="1">
        <f t="array" ref="E20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208" t="s">
        <v>1403</v>
      </c>
      <c r="G208" s="3">
        <v>5096618</v>
      </c>
      <c r="H208" t="s">
        <v>1404</v>
      </c>
      <c r="I208" s="4">
        <v>20110171</v>
      </c>
      <c r="J208" t="s">
        <v>1405</v>
      </c>
      <c r="K208" s="1">
        <v>29063</v>
      </c>
      <c r="L208">
        <v>83</v>
      </c>
      <c r="M208" s="2" t="str">
        <f>IF(Spotify[[#This Row],[Energie]]&gt;AVERAGE(Spotify[Energie]),"FORTE","FAIBLE")</f>
        <v>FORTE</v>
      </c>
      <c r="N208" s="2">
        <v>0.57399999999999995</v>
      </c>
      <c r="O208" s="2">
        <v>0.91300000000000003</v>
      </c>
      <c r="P208" s="2">
        <v>0.13300000000000001</v>
      </c>
      <c r="Q208" s="2">
        <v>6.0999999999999999E-2</v>
      </c>
      <c r="R208" s="2">
        <v>0.156</v>
      </c>
      <c r="S208" s="2">
        <v>0.42299999999999999</v>
      </c>
      <c r="T208" s="2">
        <v>-4.7930000000000001</v>
      </c>
      <c r="U208">
        <v>208400</v>
      </c>
      <c r="V208">
        <f>YEAR(Spotify[[#This Row],[Date de sortie]])</f>
        <v>1979</v>
      </c>
      <c r="W208" s="2" t="str">
        <f>IF(Spotify[[#This Row],[Popularité]]&gt;=70,"FORTE","FAIBLE")</f>
        <v>FORTE</v>
      </c>
    </row>
    <row r="209" spans="1:23" x14ac:dyDescent="0.25">
      <c r="A209">
        <v>187</v>
      </c>
      <c r="B209">
        <v>40</v>
      </c>
      <c r="C209">
        <v>65</v>
      </c>
      <c r="D209" s="1">
        <v>44015</v>
      </c>
      <c r="E209" s="59" t="str" cm="1">
        <f t="array" ref="E20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09" t="s">
        <v>388</v>
      </c>
      <c r="G209" s="3">
        <v>5092354</v>
      </c>
      <c r="H209" t="s">
        <v>338</v>
      </c>
      <c r="I209" s="4">
        <v>6837946</v>
      </c>
      <c r="J209" t="s">
        <v>158</v>
      </c>
      <c r="K209" s="1">
        <v>43672</v>
      </c>
      <c r="L209">
        <v>83</v>
      </c>
      <c r="M209" s="2" t="str">
        <f>IF(Spotify[[#This Row],[Energie]]&gt;AVERAGE(Spotify[Energie]),"FORTE","FAIBLE")</f>
        <v>FORTE</v>
      </c>
      <c r="N209" s="2">
        <v>0.54800000000000004</v>
      </c>
      <c r="O209" s="2">
        <v>0.80500000000000005</v>
      </c>
      <c r="P209" s="2">
        <v>0.35099999999999998</v>
      </c>
      <c r="Q209" s="2">
        <v>0.21199999999999999</v>
      </c>
      <c r="R209" s="2">
        <v>0.40799999999999997</v>
      </c>
      <c r="S209" s="2">
        <v>0.64800000000000002</v>
      </c>
      <c r="T209" s="2">
        <v>-5.7320000000000002</v>
      </c>
      <c r="U209">
        <v>216387</v>
      </c>
      <c r="V209">
        <f>YEAR(Spotify[[#This Row],[Date de sortie]])</f>
        <v>2019</v>
      </c>
      <c r="W209" s="2" t="str">
        <f>IF(Spotify[[#This Row],[Popularité]]&gt;=70,"FORTE","FAIBLE")</f>
        <v>FORTE</v>
      </c>
    </row>
    <row r="210" spans="1:23" x14ac:dyDescent="0.25">
      <c r="A210">
        <v>188</v>
      </c>
      <c r="B210">
        <v>45</v>
      </c>
      <c r="C210">
        <v>29</v>
      </c>
      <c r="D210" s="1">
        <v>44302</v>
      </c>
      <c r="E210" s="59" t="str" cm="1">
        <f t="array" ref="E21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210" t="s">
        <v>389</v>
      </c>
      <c r="G210" s="3">
        <v>5090062</v>
      </c>
      <c r="H210" t="s">
        <v>390</v>
      </c>
      <c r="I210" s="4">
        <v>1254432</v>
      </c>
      <c r="J210" t="s">
        <v>100</v>
      </c>
      <c r="K210" s="1">
        <v>44203</v>
      </c>
      <c r="L210">
        <v>83</v>
      </c>
      <c r="M210" s="2" t="str">
        <f>IF(Spotify[[#This Row],[Energie]]&gt;AVERAGE(Spotify[Energie]),"FORTE","FAIBLE")</f>
        <v>FORTE</v>
      </c>
      <c r="N210" s="2">
        <v>0.84</v>
      </c>
      <c r="O210" s="2">
        <v>0.76600000000000001</v>
      </c>
      <c r="P210" s="2">
        <v>0.13600000000000001</v>
      </c>
      <c r="Q210" s="2">
        <v>3.0200000000000001E-3</v>
      </c>
      <c r="R210" s="2">
        <v>6.8400000000000002E-2</v>
      </c>
      <c r="S210" s="2">
        <v>0.40200000000000002</v>
      </c>
      <c r="T210" s="2">
        <v>-4.12</v>
      </c>
      <c r="U210">
        <v>155884</v>
      </c>
      <c r="V210">
        <f>YEAR(Spotify[[#This Row],[Date de sortie]])</f>
        <v>2021</v>
      </c>
      <c r="W210" s="2" t="str">
        <f>IF(Spotify[[#This Row],[Popularité]]&gt;=70,"FORTE","FAIBLE")</f>
        <v>FORTE</v>
      </c>
    </row>
    <row r="211" spans="1:23" x14ac:dyDescent="0.25">
      <c r="A211">
        <v>285</v>
      </c>
      <c r="B211">
        <v>170</v>
      </c>
      <c r="C211">
        <v>13</v>
      </c>
      <c r="D211" s="1">
        <v>44309</v>
      </c>
      <c r="E211" s="59" t="str" cm="1">
        <f t="array" ref="E21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211" t="s">
        <v>562</v>
      </c>
      <c r="G211" s="3">
        <v>5085147</v>
      </c>
      <c r="H211" t="s">
        <v>563</v>
      </c>
      <c r="I211" s="4">
        <v>2562082</v>
      </c>
      <c r="J211" t="s">
        <v>227</v>
      </c>
      <c r="K211" s="1">
        <v>41191</v>
      </c>
      <c r="L211">
        <v>83</v>
      </c>
      <c r="M211" s="2" t="str">
        <f>IF(Spotify[[#This Row],[Energie]]&gt;AVERAGE(Spotify[Energie]),"FORTE","FAIBLE")</f>
        <v>FORTE</v>
      </c>
      <c r="N211" s="2">
        <v>0.64100000000000001</v>
      </c>
      <c r="O211" s="2">
        <v>0.92200000000000004</v>
      </c>
      <c r="P211" s="2">
        <v>7.8600000000000003E-2</v>
      </c>
      <c r="Q211" s="2">
        <v>2.9100000000000001E-2</v>
      </c>
      <c r="R211" s="2">
        <v>8.6199999999999999E-2</v>
      </c>
      <c r="S211" s="2">
        <v>0.84699999999999998</v>
      </c>
      <c r="T211" s="2">
        <v>-4.4569999999999999</v>
      </c>
      <c r="U211">
        <v>258343</v>
      </c>
      <c r="V211">
        <f>YEAR(Spotify[[#This Row],[Date de sortie]])</f>
        <v>2012</v>
      </c>
      <c r="W211" s="2" t="str">
        <f>IF(Spotify[[#This Row],[Popularité]]&gt;=70,"FORTE","FAIBLE")</f>
        <v>FORTE</v>
      </c>
    </row>
    <row r="212" spans="1:23" x14ac:dyDescent="0.25">
      <c r="A212">
        <v>232</v>
      </c>
      <c r="B212">
        <v>183</v>
      </c>
      <c r="C212">
        <v>4</v>
      </c>
      <c r="D212" s="1">
        <v>44379</v>
      </c>
      <c r="E212" s="59" t="str" cm="1">
        <f t="array" ref="E21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12" t="s">
        <v>467</v>
      </c>
      <c r="G212" s="3">
        <v>5068677</v>
      </c>
      <c r="H212" t="s">
        <v>468</v>
      </c>
      <c r="I212" s="4">
        <v>2166191</v>
      </c>
      <c r="J212" t="s">
        <v>25</v>
      </c>
      <c r="K212" s="1">
        <v>44273</v>
      </c>
      <c r="L212">
        <v>83</v>
      </c>
      <c r="M212" s="2" t="str">
        <f>IF(Spotify[[#This Row],[Energie]]&gt;AVERAGE(Spotify[Energie]),"FORTE","FAIBLE")</f>
        <v>FORTE</v>
      </c>
      <c r="N212" s="2">
        <v>0.76</v>
      </c>
      <c r="O212" s="2">
        <v>0.67400000000000004</v>
      </c>
      <c r="P212" s="2">
        <v>6.3600000000000004E-2</v>
      </c>
      <c r="Q212" s="2">
        <v>0.39600000000000002</v>
      </c>
      <c r="R212" s="2">
        <v>9.7699999999999995E-2</v>
      </c>
      <c r="S212" s="2">
        <v>0.73499999999999999</v>
      </c>
      <c r="T212" s="2">
        <v>-4.0389999999999997</v>
      </c>
      <c r="U212">
        <v>202307</v>
      </c>
      <c r="V212">
        <f>YEAR(Spotify[[#This Row],[Date de sortie]])</f>
        <v>2021</v>
      </c>
      <c r="W212" s="2" t="str">
        <f>IF(Spotify[[#This Row],[Popularité]]&gt;=70,"FORTE","FAIBLE")</f>
        <v>FORTE</v>
      </c>
    </row>
    <row r="213" spans="1:23" x14ac:dyDescent="0.25">
      <c r="A213">
        <v>516</v>
      </c>
      <c r="B213">
        <v>61</v>
      </c>
      <c r="C213">
        <v>26</v>
      </c>
      <c r="D213" s="1">
        <v>44064</v>
      </c>
      <c r="E213" s="59" t="str" cm="1">
        <f t="array" ref="E21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213" t="s">
        <v>939</v>
      </c>
      <c r="G213" s="3">
        <v>5060903</v>
      </c>
      <c r="H213" t="s">
        <v>940</v>
      </c>
      <c r="I213" s="4">
        <v>1027085</v>
      </c>
      <c r="J213" t="s">
        <v>148</v>
      </c>
      <c r="K213" s="1">
        <v>42293</v>
      </c>
      <c r="L213">
        <v>83</v>
      </c>
      <c r="M213" s="2" t="str">
        <f>IF(Spotify[[#This Row],[Energie]]&gt;AVERAGE(Spotify[Energie]),"FORTE","FAIBLE")</f>
        <v>FORTE</v>
      </c>
      <c r="N213" s="2">
        <v>0.61099999999999999</v>
      </c>
      <c r="O213" s="2">
        <v>0.79700000000000004</v>
      </c>
      <c r="P213" s="2">
        <v>5.33E-2</v>
      </c>
      <c r="Q213" s="2">
        <v>5.4299999999999999E-3</v>
      </c>
      <c r="R213" s="2">
        <v>0.26</v>
      </c>
      <c r="S213" s="2">
        <v>0.51800000000000002</v>
      </c>
      <c r="T213" s="2">
        <v>-7.6269999999999998</v>
      </c>
      <c r="U213">
        <v>218107</v>
      </c>
      <c r="V213">
        <f>YEAR(Spotify[[#This Row],[Date de sortie]])</f>
        <v>2015</v>
      </c>
      <c r="W213" s="2" t="str">
        <f>IF(Spotify[[#This Row],[Popularité]]&gt;=70,"FORTE","FAIBLE")</f>
        <v>FORTE</v>
      </c>
    </row>
    <row r="214" spans="1:23" x14ac:dyDescent="0.25">
      <c r="A214">
        <v>287</v>
      </c>
      <c r="B214">
        <v>39</v>
      </c>
      <c r="C214">
        <v>45</v>
      </c>
      <c r="D214" s="1">
        <v>44099</v>
      </c>
      <c r="E214" s="59" t="str" cm="1">
        <f t="array" ref="E21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214" t="s">
        <v>565</v>
      </c>
      <c r="G214" s="3">
        <v>5048079</v>
      </c>
      <c r="H214" t="s">
        <v>566</v>
      </c>
      <c r="I214" s="4">
        <v>3864419</v>
      </c>
      <c r="J214" t="s">
        <v>567</v>
      </c>
      <c r="K214" s="1">
        <v>44099</v>
      </c>
      <c r="L214">
        <v>83</v>
      </c>
      <c r="M214" s="2" t="str">
        <f>IF(Spotify[[#This Row],[Energie]]&gt;AVERAGE(Spotify[Energie]),"FORTE","FAIBLE")</f>
        <v>FORTE</v>
      </c>
      <c r="N214" s="2">
        <v>0.73099999999999998</v>
      </c>
      <c r="O214" s="2">
        <v>0.67500000000000004</v>
      </c>
      <c r="P214" s="2">
        <v>4.3400000000000001E-2</v>
      </c>
      <c r="Q214" s="2">
        <v>4.7299999999999998E-3</v>
      </c>
      <c r="R214" s="2">
        <v>0.14099999999999999</v>
      </c>
      <c r="S214" s="2">
        <v>0.29799999999999999</v>
      </c>
      <c r="T214" s="2">
        <v>-5.1340000000000003</v>
      </c>
      <c r="U214">
        <v>139461</v>
      </c>
      <c r="V214">
        <f>YEAR(Spotify[[#This Row],[Date de sortie]])</f>
        <v>2020</v>
      </c>
      <c r="W214" s="2" t="str">
        <f>IF(Spotify[[#This Row],[Popularité]]&gt;=70,"FORTE","FAIBLE")</f>
        <v>FORTE</v>
      </c>
    </row>
    <row r="215" spans="1:23" x14ac:dyDescent="0.25">
      <c r="A215">
        <v>389</v>
      </c>
      <c r="B215">
        <v>4</v>
      </c>
      <c r="C215">
        <v>44</v>
      </c>
      <c r="D215" s="1">
        <v>44022</v>
      </c>
      <c r="E215" s="59" t="str" cm="1">
        <f t="array" ref="E21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215" t="s">
        <v>729</v>
      </c>
      <c r="G215" s="3">
        <v>5037124</v>
      </c>
      <c r="H215" t="s">
        <v>345</v>
      </c>
      <c r="I215" s="4">
        <v>19085118</v>
      </c>
      <c r="J215" t="s">
        <v>79</v>
      </c>
      <c r="K215" s="1">
        <v>44022</v>
      </c>
      <c r="L215">
        <v>83</v>
      </c>
      <c r="M215" s="2" t="str">
        <f>IF(Spotify[[#This Row],[Energie]]&gt;AVERAGE(Spotify[Energie]),"FORTE","FAIBLE")</f>
        <v>FORTE</v>
      </c>
      <c r="N215" s="2">
        <v>0.625</v>
      </c>
      <c r="O215" s="2">
        <v>0.81399999999999995</v>
      </c>
      <c r="P215" s="2">
        <v>6.5699999999999995E-2</v>
      </c>
      <c r="Q215" s="2">
        <v>1.72E-2</v>
      </c>
      <c r="R215" s="2">
        <v>0.158</v>
      </c>
      <c r="S215" s="2">
        <v>0.53500000000000003</v>
      </c>
      <c r="T215" s="2">
        <v>-5.181</v>
      </c>
      <c r="U215">
        <v>205485</v>
      </c>
      <c r="V215">
        <f>YEAR(Spotify[[#This Row],[Date de sortie]])</f>
        <v>2020</v>
      </c>
      <c r="W215" s="2" t="str">
        <f>IF(Spotify[[#This Row],[Popularité]]&gt;=70,"FORTE","FAIBLE")</f>
        <v>FORTE</v>
      </c>
    </row>
    <row r="216" spans="1:23" x14ac:dyDescent="0.25">
      <c r="A216">
        <v>390</v>
      </c>
      <c r="B216">
        <v>71</v>
      </c>
      <c r="C216">
        <v>72</v>
      </c>
      <c r="D216" s="1">
        <v>44078</v>
      </c>
      <c r="E216" s="59" t="str" cm="1">
        <f t="array" ref="E21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216" t="s">
        <v>730</v>
      </c>
      <c r="G216" s="3">
        <v>5024884</v>
      </c>
      <c r="H216" t="s">
        <v>345</v>
      </c>
      <c r="I216" s="4">
        <v>19085118</v>
      </c>
      <c r="J216" t="s">
        <v>79</v>
      </c>
      <c r="K216" s="1">
        <v>43532</v>
      </c>
      <c r="L216">
        <v>83</v>
      </c>
      <c r="M216" s="2" t="str">
        <f>IF(Spotify[[#This Row],[Energie]]&gt;AVERAGE(Spotify[Energie]),"FORTE","FAIBLE")</f>
        <v>FORTE</v>
      </c>
      <c r="N216" s="2">
        <v>0.68500000000000005</v>
      </c>
      <c r="O216" s="2">
        <v>0.69199999999999995</v>
      </c>
      <c r="P216" s="2">
        <v>4.5699999999999998E-2</v>
      </c>
      <c r="Q216" s="2">
        <v>0.32800000000000001</v>
      </c>
      <c r="R216" s="2">
        <v>0.153</v>
      </c>
      <c r="S216" s="2">
        <v>0.57799999999999996</v>
      </c>
      <c r="T216" s="2">
        <v>-5.1219999999999999</v>
      </c>
      <c r="U216">
        <v>240051</v>
      </c>
      <c r="V216">
        <f>YEAR(Spotify[[#This Row],[Date de sortie]])</f>
        <v>2019</v>
      </c>
      <c r="W216" s="2" t="str">
        <f>IF(Spotify[[#This Row],[Popularité]]&gt;=70,"FORTE","FAIBLE")</f>
        <v>FORTE</v>
      </c>
    </row>
    <row r="217" spans="1:23" x14ac:dyDescent="0.25">
      <c r="A217">
        <v>192</v>
      </c>
      <c r="B217">
        <v>64</v>
      </c>
      <c r="C217">
        <v>3</v>
      </c>
      <c r="D217" s="1">
        <v>44386</v>
      </c>
      <c r="E217" s="59" t="str" cm="1">
        <f t="array" ref="E21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17" t="s">
        <v>396</v>
      </c>
      <c r="G217" s="3">
        <v>5016125</v>
      </c>
      <c r="H217" t="s">
        <v>24</v>
      </c>
      <c r="I217" s="4">
        <v>36142273</v>
      </c>
      <c r="J217" t="s">
        <v>25</v>
      </c>
      <c r="K217" s="1">
        <v>44383</v>
      </c>
      <c r="L217">
        <v>83</v>
      </c>
      <c r="M217" s="2" t="str">
        <f>IF(Spotify[[#This Row],[Energie]]&gt;AVERAGE(Spotify[Energie]),"FORTE","FAIBLE")</f>
        <v>FAIBLE</v>
      </c>
      <c r="N217" s="2">
        <v>0.59199999999999997</v>
      </c>
      <c r="O217" s="2">
        <v>0.49399999999999999</v>
      </c>
      <c r="P217" s="2">
        <v>7.4700000000000003E-2</v>
      </c>
      <c r="Q217" s="2">
        <v>0.23699999999999999</v>
      </c>
      <c r="R217" s="2">
        <v>0.13</v>
      </c>
      <c r="S217" s="2">
        <v>0.23100000000000001</v>
      </c>
      <c r="T217" s="2">
        <v>-10.618</v>
      </c>
      <c r="U217">
        <v>209771</v>
      </c>
      <c r="V217">
        <f>YEAR(Spotify[[#This Row],[Date de sortie]])</f>
        <v>2021</v>
      </c>
      <c r="W217" s="2" t="str">
        <f>IF(Spotify[[#This Row],[Popularité]]&gt;=70,"FORTE","FAIBLE")</f>
        <v>FORTE</v>
      </c>
    </row>
    <row r="218" spans="1:23" x14ac:dyDescent="0.25">
      <c r="A218">
        <v>249</v>
      </c>
      <c r="B218">
        <v>55</v>
      </c>
      <c r="C218">
        <v>17</v>
      </c>
      <c r="D218" s="1">
        <v>44302</v>
      </c>
      <c r="E218" s="59" t="str" cm="1">
        <f t="array" ref="E21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18" t="s">
        <v>501</v>
      </c>
      <c r="G218" s="3">
        <v>5011753</v>
      </c>
      <c r="H218" t="s">
        <v>502</v>
      </c>
      <c r="I218" s="4">
        <v>1097789</v>
      </c>
      <c r="J218" t="s">
        <v>253</v>
      </c>
      <c r="K218" s="1">
        <v>44225</v>
      </c>
      <c r="L218">
        <v>83</v>
      </c>
      <c r="M218" s="2" t="str">
        <f>IF(Spotify[[#This Row],[Energie]]&gt;AVERAGE(Spotify[Energie]),"FORTE","FAIBLE")</f>
        <v>FORTE</v>
      </c>
      <c r="N218" s="2">
        <v>0.60599999999999998</v>
      </c>
      <c r="O218" s="2">
        <v>0.90800000000000003</v>
      </c>
      <c r="P218" s="2">
        <v>5.6500000000000002E-2</v>
      </c>
      <c r="Q218" s="2">
        <v>0.55600000000000005</v>
      </c>
      <c r="R218" s="2">
        <v>0.19</v>
      </c>
      <c r="S218" s="2">
        <v>0.79800000000000004</v>
      </c>
      <c r="T218" s="2">
        <v>-6.2009999999999996</v>
      </c>
      <c r="U218">
        <v>140942</v>
      </c>
      <c r="V218">
        <f>YEAR(Spotify[[#This Row],[Date de sortie]])</f>
        <v>2021</v>
      </c>
      <c r="W218" s="2" t="str">
        <f>IF(Spotify[[#This Row],[Popularité]]&gt;=70,"FORTE","FAIBLE")</f>
        <v>FORTE</v>
      </c>
    </row>
    <row r="219" spans="1:23" x14ac:dyDescent="0.25">
      <c r="A219">
        <v>548</v>
      </c>
      <c r="B219">
        <v>143</v>
      </c>
      <c r="C219">
        <v>42</v>
      </c>
      <c r="D219" s="1">
        <v>44008</v>
      </c>
      <c r="E219" s="59" t="str" cm="1">
        <f t="array" ref="E21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219" t="s">
        <v>987</v>
      </c>
      <c r="G219" s="3">
        <v>5003825</v>
      </c>
      <c r="H219" t="s">
        <v>556</v>
      </c>
      <c r="I219" s="4">
        <v>29566516</v>
      </c>
      <c r="J219" t="s">
        <v>557</v>
      </c>
      <c r="K219" s="1">
        <v>43175</v>
      </c>
      <c r="L219">
        <v>83</v>
      </c>
      <c r="M219" s="2" t="str">
        <f>IF(Spotify[[#This Row],[Energie]]&gt;AVERAGE(Spotify[Energie]),"FORTE","FAIBLE")</f>
        <v>FAIBLE</v>
      </c>
      <c r="N219" s="2">
        <v>0.92100000000000004</v>
      </c>
      <c r="O219" s="2">
        <v>0.53700000000000003</v>
      </c>
      <c r="P219" s="2">
        <v>8.0399999999999999E-2</v>
      </c>
      <c r="Q219" s="2">
        <v>0.55600000000000005</v>
      </c>
      <c r="R219" s="2">
        <v>0.10199999999999999</v>
      </c>
      <c r="S219" s="2">
        <v>0.71099999999999997</v>
      </c>
      <c r="T219" s="2">
        <v>-5.7229999999999999</v>
      </c>
      <c r="U219">
        <v>135090</v>
      </c>
      <c r="V219">
        <f>YEAR(Spotify[[#This Row],[Date de sortie]])</f>
        <v>2018</v>
      </c>
      <c r="W219" s="2" t="str">
        <f>IF(Spotify[[#This Row],[Popularité]]&gt;=70,"FORTE","FAIBLE")</f>
        <v>FORTE</v>
      </c>
    </row>
    <row r="220" spans="1:23" x14ac:dyDescent="0.25">
      <c r="A220">
        <v>416</v>
      </c>
      <c r="B220">
        <v>19</v>
      </c>
      <c r="C220">
        <v>66</v>
      </c>
      <c r="D220" s="1">
        <v>43833</v>
      </c>
      <c r="E220" s="59" t="str" cm="1">
        <f t="array" ref="E22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20" t="s">
        <v>776</v>
      </c>
      <c r="G220" s="3">
        <v>4992396</v>
      </c>
      <c r="H220" t="s">
        <v>777</v>
      </c>
      <c r="I220" s="4">
        <v>4270131</v>
      </c>
      <c r="J220" t="s">
        <v>115</v>
      </c>
      <c r="K220" s="1">
        <v>44064</v>
      </c>
      <c r="L220">
        <v>83</v>
      </c>
      <c r="M220" s="2" t="str">
        <f>IF(Spotify[[#This Row],[Energie]]&gt;AVERAGE(Spotify[Energie]),"FORTE","FAIBLE")</f>
        <v>FAIBLE</v>
      </c>
      <c r="N220" s="2">
        <v>0.78200000000000003</v>
      </c>
      <c r="O220" s="2">
        <v>0.55900000000000005</v>
      </c>
      <c r="P220" s="2">
        <v>7.6700000000000004E-2</v>
      </c>
      <c r="Q220" s="2">
        <v>0.125</v>
      </c>
      <c r="R220" s="2">
        <v>0.38500000000000001</v>
      </c>
      <c r="S220" s="2">
        <v>0.68500000000000005</v>
      </c>
      <c r="T220" s="2">
        <v>-7.1059999999999999</v>
      </c>
      <c r="U220">
        <v>188344</v>
      </c>
      <c r="V220">
        <f>YEAR(Spotify[[#This Row],[Date de sortie]])</f>
        <v>2020</v>
      </c>
      <c r="W220" s="2" t="str">
        <f>IF(Spotify[[#This Row],[Popularité]]&gt;=70,"FORTE","FAIBLE")</f>
        <v>FORTE</v>
      </c>
    </row>
    <row r="221" spans="1:23" x14ac:dyDescent="0.25">
      <c r="A221">
        <v>530</v>
      </c>
      <c r="B221">
        <v>176</v>
      </c>
      <c r="C221">
        <v>9</v>
      </c>
      <c r="D221" s="1">
        <v>44239</v>
      </c>
      <c r="E221" s="59" t="str" cm="1">
        <f t="array" ref="E22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21" t="s">
        <v>960</v>
      </c>
      <c r="G221" s="3">
        <v>4974880</v>
      </c>
      <c r="H221" t="s">
        <v>12</v>
      </c>
      <c r="I221" s="4">
        <v>83337783</v>
      </c>
      <c r="J221" t="s">
        <v>10</v>
      </c>
      <c r="K221" s="1">
        <v>41811</v>
      </c>
      <c r="L221">
        <v>83</v>
      </c>
      <c r="M221" s="2" t="str">
        <f>IF(Spotify[[#This Row],[Energie]]&gt;AVERAGE(Spotify[Energie]),"FORTE","FAIBLE")</f>
        <v>FAIBLE</v>
      </c>
      <c r="N221" s="2">
        <v>0.61399999999999999</v>
      </c>
      <c r="O221" s="2">
        <v>0.379</v>
      </c>
      <c r="P221" s="2">
        <v>4.7600000000000003E-2</v>
      </c>
      <c r="Q221" s="2">
        <v>0.60699999999999998</v>
      </c>
      <c r="R221" s="2">
        <v>9.8599999999999993E-2</v>
      </c>
      <c r="S221" s="2">
        <v>0.20100000000000001</v>
      </c>
      <c r="T221" s="2">
        <v>-10.48</v>
      </c>
      <c r="U221">
        <v>258987</v>
      </c>
      <c r="V221">
        <f>YEAR(Spotify[[#This Row],[Date de sortie]])</f>
        <v>2014</v>
      </c>
      <c r="W221" s="2" t="str">
        <f>IF(Spotify[[#This Row],[Popularité]]&gt;=70,"FORTE","FAIBLE")</f>
        <v>FORTE</v>
      </c>
    </row>
    <row r="222" spans="1:23" x14ac:dyDescent="0.25">
      <c r="A222">
        <v>428</v>
      </c>
      <c r="B222">
        <v>43</v>
      </c>
      <c r="C222">
        <v>29</v>
      </c>
      <c r="D222" s="1">
        <v>43826</v>
      </c>
      <c r="E222" s="59" t="str" cm="1">
        <f t="array" ref="E22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22" t="s">
        <v>792</v>
      </c>
      <c r="G222" s="3">
        <v>4959754</v>
      </c>
      <c r="H222" t="s">
        <v>793</v>
      </c>
      <c r="I222" s="4">
        <v>29051363</v>
      </c>
      <c r="J222" t="s">
        <v>25</v>
      </c>
      <c r="K222" s="1">
        <v>43644</v>
      </c>
      <c r="L222">
        <v>83</v>
      </c>
      <c r="M222" s="2" t="str">
        <f>IF(Spotify[[#This Row],[Energie]]&gt;AVERAGE(Spotify[Energie]),"FORTE","FAIBLE")</f>
        <v>FORTE</v>
      </c>
      <c r="N222" s="2">
        <v>0.754</v>
      </c>
      <c r="O222" s="2">
        <v>0.64600000000000002</v>
      </c>
      <c r="P222" s="2">
        <v>0.317</v>
      </c>
      <c r="Q222" s="2">
        <v>0.152</v>
      </c>
      <c r="R222" s="2">
        <v>0.108</v>
      </c>
      <c r="S222" s="2">
        <v>0.42899999999999999</v>
      </c>
      <c r="T222" s="2">
        <v>-5.7949999999999999</v>
      </c>
      <c r="U222">
        <v>242573</v>
      </c>
      <c r="V222">
        <f>YEAR(Spotify[[#This Row],[Date de sortie]])</f>
        <v>2019</v>
      </c>
      <c r="W222" s="2" t="str">
        <f>IF(Spotify[[#This Row],[Popularité]]&gt;=70,"FORTE","FAIBLE")</f>
        <v>FORTE</v>
      </c>
    </row>
    <row r="223" spans="1:23" x14ac:dyDescent="0.25">
      <c r="A223">
        <v>1464</v>
      </c>
      <c r="B223">
        <v>190</v>
      </c>
      <c r="C223">
        <v>1</v>
      </c>
      <c r="D223" s="1">
        <v>43861</v>
      </c>
      <c r="E223" s="59" t="str" cm="1">
        <f t="array" ref="E22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23" t="s">
        <v>2326</v>
      </c>
      <c r="G223" s="3">
        <v>4918636</v>
      </c>
      <c r="H223" t="s">
        <v>2327</v>
      </c>
      <c r="I223" s="4">
        <v>22136717</v>
      </c>
      <c r="J223" t="s">
        <v>72</v>
      </c>
      <c r="K223" s="1">
        <v>38684</v>
      </c>
      <c r="L223">
        <v>83</v>
      </c>
      <c r="M223" s="2" t="str">
        <f>IF(Spotify[[#This Row],[Energie]]&gt;AVERAGE(Spotify[Energie]),"FORTE","FAIBLE")</f>
        <v>FORTE</v>
      </c>
      <c r="N223" s="2">
        <v>0.77800000000000002</v>
      </c>
      <c r="O223" s="2">
        <v>0.82399999999999995</v>
      </c>
      <c r="P223" s="2">
        <v>7.0699999999999999E-2</v>
      </c>
      <c r="Q223" s="2">
        <v>0.28399999999999997</v>
      </c>
      <c r="R223" s="2">
        <v>0.40500000000000003</v>
      </c>
      <c r="S223" s="2">
        <v>0.75800000000000001</v>
      </c>
      <c r="T223" s="2">
        <v>-5.8920000000000003</v>
      </c>
      <c r="U223">
        <v>218093</v>
      </c>
      <c r="V223">
        <f>YEAR(Spotify[[#This Row],[Date de sortie]])</f>
        <v>2005</v>
      </c>
      <c r="W223" s="2" t="str">
        <f>IF(Spotify[[#This Row],[Popularité]]&gt;=70,"FORTE","FAIBLE")</f>
        <v>FORTE</v>
      </c>
    </row>
    <row r="224" spans="1:23" x14ac:dyDescent="0.25">
      <c r="A224">
        <v>291</v>
      </c>
      <c r="B224">
        <v>2</v>
      </c>
      <c r="C224">
        <v>44</v>
      </c>
      <c r="D224" s="1">
        <v>44057</v>
      </c>
      <c r="E224" s="59" t="str" cm="1">
        <f t="array" ref="E22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224" t="s">
        <v>571</v>
      </c>
      <c r="G224" s="3">
        <v>4916860</v>
      </c>
      <c r="H224" t="s">
        <v>179</v>
      </c>
      <c r="I224" s="4">
        <v>56308172</v>
      </c>
      <c r="J224" t="s">
        <v>155</v>
      </c>
      <c r="K224" s="1">
        <v>44057</v>
      </c>
      <c r="L224">
        <v>83</v>
      </c>
      <c r="M224" s="2" t="str">
        <f>IF(Spotify[[#This Row],[Energie]]&gt;AVERAGE(Spotify[Energie]),"FORTE","FAIBLE")</f>
        <v>FAIBLE</v>
      </c>
      <c r="N224" s="2">
        <v>0.76100000000000001</v>
      </c>
      <c r="O224" s="2">
        <v>0.51800000000000002</v>
      </c>
      <c r="P224" s="2">
        <v>0.13400000000000001</v>
      </c>
      <c r="Q224" s="2">
        <v>0.24399999999999999</v>
      </c>
      <c r="R224" s="2">
        <v>0.107</v>
      </c>
      <c r="S224" s="2">
        <v>0.52200000000000002</v>
      </c>
      <c r="T224" s="2">
        <v>-8.8710000000000004</v>
      </c>
      <c r="U224">
        <v>261493</v>
      </c>
      <c r="V224">
        <f>YEAR(Spotify[[#This Row],[Date de sortie]])</f>
        <v>2020</v>
      </c>
      <c r="W224" s="2" t="str">
        <f>IF(Spotify[[#This Row],[Popularité]]&gt;=70,"FORTE","FAIBLE")</f>
        <v>FORTE</v>
      </c>
    </row>
    <row r="225" spans="1:23" x14ac:dyDescent="0.25">
      <c r="A225">
        <v>419</v>
      </c>
      <c r="B225">
        <v>177</v>
      </c>
      <c r="C225">
        <v>7</v>
      </c>
      <c r="D225" s="1">
        <v>44253</v>
      </c>
      <c r="E225" s="59" t="str" cm="1">
        <f t="array" ref="E22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225" t="s">
        <v>781</v>
      </c>
      <c r="G225" s="3">
        <v>4913147</v>
      </c>
      <c r="H225" t="s">
        <v>651</v>
      </c>
      <c r="I225" s="4">
        <v>20823062</v>
      </c>
      <c r="J225" t="s">
        <v>227</v>
      </c>
      <c r="K225" s="1">
        <v>42139</v>
      </c>
      <c r="L225">
        <v>83</v>
      </c>
      <c r="M225" s="2" t="str">
        <f>IF(Spotify[[#This Row],[Energie]]&gt;AVERAGE(Spotify[Energie]),"FORTE","FAIBLE")</f>
        <v>FORTE</v>
      </c>
      <c r="N225" s="2">
        <v>0.73399999999999999</v>
      </c>
      <c r="O225" s="2">
        <v>0.63700000000000001</v>
      </c>
      <c r="P225" s="2">
        <v>0.14099999999999999</v>
      </c>
      <c r="Q225" s="2">
        <v>4.6199999999999998E-2</v>
      </c>
      <c r="R225" s="2">
        <v>6.0199999999999997E-2</v>
      </c>
      <c r="S225" s="2">
        <v>0.64800000000000002</v>
      </c>
      <c r="T225" s="2">
        <v>-5.6769999999999996</v>
      </c>
      <c r="U225">
        <v>202333</v>
      </c>
      <c r="V225">
        <f>YEAR(Spotify[[#This Row],[Date de sortie]])</f>
        <v>2015</v>
      </c>
      <c r="W225" s="2" t="str">
        <f>IF(Spotify[[#This Row],[Popularité]]&gt;=70,"FORTE","FAIBLE")</f>
        <v>FORTE</v>
      </c>
    </row>
    <row r="226" spans="1:23" x14ac:dyDescent="0.25">
      <c r="A226">
        <v>762</v>
      </c>
      <c r="B226">
        <v>44</v>
      </c>
      <c r="C226">
        <v>44</v>
      </c>
      <c r="D226" s="1">
        <v>43833</v>
      </c>
      <c r="E226" s="59" t="str" cm="1">
        <f t="array" ref="E22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COUNTRY</v>
      </c>
      <c r="F226" t="s">
        <v>1323</v>
      </c>
      <c r="G226" s="3">
        <v>4911749</v>
      </c>
      <c r="H226" t="s">
        <v>1324</v>
      </c>
      <c r="I226" s="4">
        <v>2334615</v>
      </c>
      <c r="J226" t="s">
        <v>382</v>
      </c>
      <c r="K226" s="1">
        <v>43742</v>
      </c>
      <c r="L226">
        <v>83</v>
      </c>
      <c r="M226" s="2" t="str">
        <f>IF(Spotify[[#This Row],[Energie]]&gt;AVERAGE(Spotify[Energie]),"FORTE","FAIBLE")</f>
        <v>FAIBLE</v>
      </c>
      <c r="N226" s="2">
        <v>0.65400000000000003</v>
      </c>
      <c r="O226" s="2">
        <v>0.63</v>
      </c>
      <c r="P226" s="2">
        <v>2.5899999999999999E-2</v>
      </c>
      <c r="Q226" s="2">
        <v>0.153</v>
      </c>
      <c r="R226" s="2">
        <v>0.111</v>
      </c>
      <c r="S226" s="2">
        <v>0.43</v>
      </c>
      <c r="T226" s="2">
        <v>-4.6440000000000001</v>
      </c>
      <c r="U226">
        <v>167693</v>
      </c>
      <c r="V226">
        <f>YEAR(Spotify[[#This Row],[Date de sortie]])</f>
        <v>2019</v>
      </c>
      <c r="W226" s="2" t="str">
        <f>IF(Spotify[[#This Row],[Popularité]]&gt;=70,"FORTE","FAIBLE")</f>
        <v>FORTE</v>
      </c>
    </row>
    <row r="227" spans="1:23" x14ac:dyDescent="0.25">
      <c r="A227">
        <v>294</v>
      </c>
      <c r="B227">
        <v>176</v>
      </c>
      <c r="C227">
        <v>6</v>
      </c>
      <c r="D227" s="1">
        <v>44113</v>
      </c>
      <c r="E227" s="59" t="str" cm="1">
        <f t="array" ref="E22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27" t="s">
        <v>577</v>
      </c>
      <c r="G227" s="3">
        <v>4910070</v>
      </c>
      <c r="H227" t="s">
        <v>578</v>
      </c>
      <c r="I227" s="4">
        <v>19584111</v>
      </c>
      <c r="J227" t="s">
        <v>579</v>
      </c>
      <c r="K227" s="1">
        <v>36823</v>
      </c>
      <c r="L227">
        <v>83</v>
      </c>
      <c r="M227" s="2" t="str">
        <f>IF(Spotify[[#This Row],[Energie]]&gt;AVERAGE(Spotify[Energie]),"FORTE","FAIBLE")</f>
        <v>FORTE</v>
      </c>
      <c r="N227" s="2">
        <v>0.55600000000000005</v>
      </c>
      <c r="O227" s="2">
        <v>0.86399999999999999</v>
      </c>
      <c r="P227" s="2">
        <v>5.8400000000000001E-2</v>
      </c>
      <c r="Q227" s="2">
        <v>9.58E-3</v>
      </c>
      <c r="R227" s="2">
        <v>0.20899999999999999</v>
      </c>
      <c r="S227" s="2">
        <v>0.4</v>
      </c>
      <c r="T227" s="2">
        <v>-5.87</v>
      </c>
      <c r="U227">
        <v>216880</v>
      </c>
      <c r="V227">
        <f>YEAR(Spotify[[#This Row],[Date de sortie]])</f>
        <v>2000</v>
      </c>
      <c r="W227" s="2" t="str">
        <f>IF(Spotify[[#This Row],[Popularité]]&gt;=70,"FORTE","FAIBLE")</f>
        <v>FORTE</v>
      </c>
    </row>
    <row r="228" spans="1:23" x14ac:dyDescent="0.25">
      <c r="A228">
        <v>554</v>
      </c>
      <c r="B228">
        <v>181</v>
      </c>
      <c r="C228">
        <v>7</v>
      </c>
      <c r="D228" s="1">
        <v>44225</v>
      </c>
      <c r="E228" s="59" t="str" cm="1">
        <f t="array" ref="E22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228" t="s">
        <v>995</v>
      </c>
      <c r="G228" s="3">
        <v>4847224</v>
      </c>
      <c r="H228" t="s">
        <v>556</v>
      </c>
      <c r="I228" s="4">
        <v>29566516</v>
      </c>
      <c r="J228" t="s">
        <v>557</v>
      </c>
      <c r="K228" s="1">
        <v>42972</v>
      </c>
      <c r="L228">
        <v>83</v>
      </c>
      <c r="M228" s="2" t="str">
        <f>IF(Spotify[[#This Row],[Energie]]&gt;AVERAGE(Spotify[Energie]),"FORTE","FAIBLE")</f>
        <v>FAIBLE</v>
      </c>
      <c r="N228" s="2">
        <v>0.73399999999999999</v>
      </c>
      <c r="O228" s="2">
        <v>0.56999999999999995</v>
      </c>
      <c r="P228" s="2">
        <v>0.13300000000000001</v>
      </c>
      <c r="Q228" s="2">
        <v>0.84699999999999998</v>
      </c>
      <c r="R228" s="2">
        <v>0.112</v>
      </c>
      <c r="S228" s="2">
        <v>0.68899999999999995</v>
      </c>
      <c r="T228" s="2">
        <v>-7.0659999999999998</v>
      </c>
      <c r="U228">
        <v>95467</v>
      </c>
      <c r="V228">
        <f>YEAR(Spotify[[#This Row],[Date de sortie]])</f>
        <v>2017</v>
      </c>
      <c r="W228" s="2" t="str">
        <f>IF(Spotify[[#This Row],[Popularité]]&gt;=70,"FORTE","FAIBLE")</f>
        <v>FORTE</v>
      </c>
    </row>
    <row r="229" spans="1:23" x14ac:dyDescent="0.25">
      <c r="A229">
        <v>298</v>
      </c>
      <c r="B229">
        <v>84</v>
      </c>
      <c r="C229">
        <v>9</v>
      </c>
      <c r="D229" s="1">
        <v>44309</v>
      </c>
      <c r="E229" s="59" t="str" cm="1">
        <f t="array" ref="E22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29" t="s">
        <v>584</v>
      </c>
      <c r="G229" s="3">
        <v>4846549</v>
      </c>
      <c r="H229" t="s">
        <v>585</v>
      </c>
      <c r="I229" s="4">
        <v>152226</v>
      </c>
      <c r="J229" t="s">
        <v>19</v>
      </c>
      <c r="K229" s="1">
        <v>44302</v>
      </c>
      <c r="L229">
        <v>83</v>
      </c>
      <c r="M229" s="2" t="str">
        <f>IF(Spotify[[#This Row],[Energie]]&gt;AVERAGE(Spotify[Energie]),"FORTE","FAIBLE")</f>
        <v>FORTE</v>
      </c>
      <c r="N229" s="2">
        <v>0.69099999999999995</v>
      </c>
      <c r="O229" s="2">
        <v>0.69499999999999995</v>
      </c>
      <c r="P229" s="2">
        <v>3.6700000000000003E-2</v>
      </c>
      <c r="Q229" s="2">
        <v>5.9200000000000003E-2</v>
      </c>
      <c r="R229" s="2">
        <v>6.4699999999999994E-2</v>
      </c>
      <c r="S229" s="2">
        <v>0.51400000000000001</v>
      </c>
      <c r="T229" s="2">
        <v>-5.6</v>
      </c>
      <c r="U229">
        <v>233386</v>
      </c>
      <c r="V229">
        <f>YEAR(Spotify[[#This Row],[Date de sortie]])</f>
        <v>2021</v>
      </c>
      <c r="W229" s="2" t="str">
        <f>IF(Spotify[[#This Row],[Popularité]]&gt;=70,"FORTE","FAIBLE")</f>
        <v>FORTE</v>
      </c>
    </row>
    <row r="230" spans="1:23" x14ac:dyDescent="0.25">
      <c r="A230">
        <v>1058</v>
      </c>
      <c r="B230">
        <v>181</v>
      </c>
      <c r="C230">
        <v>8</v>
      </c>
      <c r="D230" s="1">
        <v>43826</v>
      </c>
      <c r="E230" s="59" t="str" cm="1">
        <f t="array" ref="E23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230" t="s">
        <v>1766</v>
      </c>
      <c r="G230" s="3">
        <v>4468668</v>
      </c>
      <c r="H230" t="s">
        <v>226</v>
      </c>
      <c r="I230" s="4">
        <v>35299488</v>
      </c>
      <c r="J230" t="s">
        <v>227</v>
      </c>
      <c r="K230" s="1">
        <v>42909</v>
      </c>
      <c r="L230">
        <v>83</v>
      </c>
      <c r="M230" s="2" t="str">
        <f>IF(Spotify[[#This Row],[Energie]]&gt;AVERAGE(Spotify[Energie]),"FORTE","FAIBLE")</f>
        <v>FORTE</v>
      </c>
      <c r="N230" s="2">
        <v>0.60499999999999998</v>
      </c>
      <c r="O230" s="2">
        <v>0.82199999999999995</v>
      </c>
      <c r="P230" s="2">
        <v>4.3799999999999999E-2</v>
      </c>
      <c r="Q230" s="2">
        <v>6.7099999999999998E-3</v>
      </c>
      <c r="R230" s="2">
        <v>0.14699999999999999</v>
      </c>
      <c r="S230" s="2">
        <v>0.28799999999999998</v>
      </c>
      <c r="T230" s="2">
        <v>-4.8330000000000002</v>
      </c>
      <c r="U230">
        <v>187147</v>
      </c>
      <c r="V230">
        <f>YEAR(Spotify[[#This Row],[Date de sortie]])</f>
        <v>2017</v>
      </c>
      <c r="W230" s="2" t="str">
        <f>IF(Spotify[[#This Row],[Popularité]]&gt;=70,"FORTE","FAIBLE")</f>
        <v>FORTE</v>
      </c>
    </row>
    <row r="231" spans="1:23" x14ac:dyDescent="0.25">
      <c r="A231">
        <v>936</v>
      </c>
      <c r="B231">
        <v>43</v>
      </c>
      <c r="C231">
        <v>2</v>
      </c>
      <c r="D231" s="1">
        <v>44064</v>
      </c>
      <c r="E231" s="59" t="str" cm="1">
        <f t="array" ref="E23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31" t="s">
        <v>1599</v>
      </c>
      <c r="G231" s="3">
        <v>11373347</v>
      </c>
      <c r="H231" t="s">
        <v>1600</v>
      </c>
      <c r="I231" s="4">
        <v>412466</v>
      </c>
      <c r="J231" t="s">
        <v>230</v>
      </c>
      <c r="K231" s="1">
        <v>44057</v>
      </c>
      <c r="L231">
        <v>82</v>
      </c>
      <c r="M231" s="2" t="str">
        <f>IF(Spotify[[#This Row],[Energie]]&gt;AVERAGE(Spotify[Energie]),"FORTE","FAIBLE")</f>
        <v>FORTE</v>
      </c>
      <c r="N231" s="2">
        <v>0.79900000000000004</v>
      </c>
      <c r="O231" s="2">
        <v>0.66</v>
      </c>
      <c r="P231" s="2">
        <v>7.9000000000000001E-2</v>
      </c>
      <c r="Q231" s="2">
        <v>0.25600000000000001</v>
      </c>
      <c r="R231" s="2">
        <v>0.111</v>
      </c>
      <c r="S231" s="2">
        <v>0.47099999999999997</v>
      </c>
      <c r="T231" s="2">
        <v>-6.1529999999999996</v>
      </c>
      <c r="U231">
        <v>195429</v>
      </c>
      <c r="V231">
        <f>YEAR(Spotify[[#This Row],[Date de sortie]])</f>
        <v>2020</v>
      </c>
      <c r="W231" s="2" t="str">
        <f>IF(Spotify[[#This Row],[Popularité]]&gt;=70,"FORTE","FAIBLE")</f>
        <v>FORTE</v>
      </c>
    </row>
    <row r="232" spans="1:23" x14ac:dyDescent="0.25">
      <c r="A232">
        <v>364</v>
      </c>
      <c r="B232">
        <v>55</v>
      </c>
      <c r="C232">
        <v>1</v>
      </c>
      <c r="D232" s="1">
        <v>44330</v>
      </c>
      <c r="E232" s="59" t="str" cm="1">
        <f t="array" ref="E23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232" t="s">
        <v>687</v>
      </c>
      <c r="G232" s="3">
        <v>10712648</v>
      </c>
      <c r="H232" t="s">
        <v>552</v>
      </c>
      <c r="I232" s="4">
        <v>14097410</v>
      </c>
      <c r="J232" t="s">
        <v>553</v>
      </c>
      <c r="K232" s="1">
        <v>44330</v>
      </c>
      <c r="L232">
        <v>82</v>
      </c>
      <c r="M232" s="2" t="str">
        <f>IF(Spotify[[#This Row],[Energie]]&gt;AVERAGE(Spotify[Energie]),"FORTE","FAIBLE")</f>
        <v>FAIBLE</v>
      </c>
      <c r="N232" s="2">
        <v>0.59699999999999998</v>
      </c>
      <c r="O232" s="2">
        <v>0.58699999999999997</v>
      </c>
      <c r="P232" s="2">
        <v>0.13700000000000001</v>
      </c>
      <c r="Q232" s="2">
        <v>6.2199999999999998E-2</v>
      </c>
      <c r="R232" s="2">
        <v>0.214</v>
      </c>
      <c r="S232" s="2">
        <v>7.5300000000000006E-2</v>
      </c>
      <c r="T232" s="2">
        <v>-7.0259999999999998</v>
      </c>
      <c r="U232">
        <v>218802</v>
      </c>
      <c r="V232">
        <f>YEAR(Spotify[[#This Row],[Date de sortie]])</f>
        <v>2021</v>
      </c>
      <c r="W232" s="2" t="str">
        <f>IF(Spotify[[#This Row],[Popularité]]&gt;=70,"FORTE","FAIBLE")</f>
        <v>FORTE</v>
      </c>
    </row>
    <row r="233" spans="1:23" x14ac:dyDescent="0.25">
      <c r="A233">
        <v>105</v>
      </c>
      <c r="B233">
        <v>2</v>
      </c>
      <c r="C233">
        <v>48</v>
      </c>
      <c r="D233" s="1">
        <v>44120</v>
      </c>
      <c r="E233" s="59" t="str" cm="1">
        <f t="array" ref="E23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33" t="s">
        <v>228</v>
      </c>
      <c r="G233" s="3">
        <v>6697067</v>
      </c>
      <c r="H233" t="s">
        <v>229</v>
      </c>
      <c r="I233" s="4">
        <v>411579</v>
      </c>
      <c r="J233" t="s">
        <v>230</v>
      </c>
      <c r="K233" s="1">
        <v>44057</v>
      </c>
      <c r="L233">
        <v>82</v>
      </c>
      <c r="M233" s="2" t="str">
        <f>IF(Spotify[[#This Row],[Energie]]&gt;AVERAGE(Spotify[Energie]),"FORTE","FAIBLE")</f>
        <v>FORTE</v>
      </c>
      <c r="N233" s="2">
        <v>0.79900000000000004</v>
      </c>
      <c r="O233" s="2">
        <v>0.66</v>
      </c>
      <c r="P233" s="2">
        <v>7.9000000000000001E-2</v>
      </c>
      <c r="Q233" s="2">
        <v>0.25600000000000001</v>
      </c>
      <c r="R233" s="2">
        <v>0.111</v>
      </c>
      <c r="S233" s="2">
        <v>0.47099999999999997</v>
      </c>
      <c r="T233" s="2">
        <v>-6.1529999999999996</v>
      </c>
      <c r="U233">
        <v>195429</v>
      </c>
      <c r="V233">
        <f>YEAR(Spotify[[#This Row],[Date de sortie]])</f>
        <v>2020</v>
      </c>
      <c r="W233" s="2" t="str">
        <f>IF(Spotify[[#This Row],[Popularité]]&gt;=70,"FORTE","FAIBLE")</f>
        <v>FORTE</v>
      </c>
    </row>
    <row r="234" spans="1:23" x14ac:dyDescent="0.25">
      <c r="A234">
        <v>112</v>
      </c>
      <c r="B234">
        <v>24</v>
      </c>
      <c r="C234">
        <v>83</v>
      </c>
      <c r="D234" s="1">
        <v>43826</v>
      </c>
      <c r="E234" s="59" t="str" cm="1">
        <f t="array" ref="E23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34" t="s">
        <v>243</v>
      </c>
      <c r="G234" s="3">
        <v>6546948</v>
      </c>
      <c r="H234" t="s">
        <v>244</v>
      </c>
      <c r="I234" s="4">
        <v>1250353</v>
      </c>
      <c r="J234"/>
      <c r="K234" s="1">
        <v>43448</v>
      </c>
      <c r="L234">
        <v>82</v>
      </c>
      <c r="M234" s="2" t="str">
        <f>IF(Spotify[[#This Row],[Energie]]&gt;AVERAGE(Spotify[Energie]),"FORTE","FAIBLE")</f>
        <v>FAIBLE</v>
      </c>
      <c r="N234" s="2">
        <v>0.76</v>
      </c>
      <c r="O234" s="2">
        <v>0.47899999999999998</v>
      </c>
      <c r="P234" s="2">
        <v>4.6600000000000003E-2</v>
      </c>
      <c r="Q234" s="2">
        <v>0.55600000000000005</v>
      </c>
      <c r="R234" s="2">
        <v>7.0300000000000001E-2</v>
      </c>
      <c r="S234" s="2">
        <v>0.91300000000000003</v>
      </c>
      <c r="T234" s="2">
        <v>-5.5739999999999998</v>
      </c>
      <c r="U234">
        <v>158040</v>
      </c>
      <c r="V234">
        <f>YEAR(Spotify[[#This Row],[Date de sortie]])</f>
        <v>2018</v>
      </c>
      <c r="W234" s="2" t="str">
        <f>IF(Spotify[[#This Row],[Popularité]]&gt;=70,"FORTE","FAIBLE")</f>
        <v>FORTE</v>
      </c>
    </row>
    <row r="235" spans="1:23" x14ac:dyDescent="0.25">
      <c r="A235">
        <v>118</v>
      </c>
      <c r="B235">
        <v>9</v>
      </c>
      <c r="C235">
        <v>83</v>
      </c>
      <c r="D235" s="1">
        <v>43826</v>
      </c>
      <c r="E235" s="59" t="str" cm="1">
        <f t="array" ref="E23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35" t="s">
        <v>255</v>
      </c>
      <c r="G235" s="3">
        <v>6317487</v>
      </c>
      <c r="H235" t="s">
        <v>256</v>
      </c>
      <c r="I235" s="4">
        <v>33879560</v>
      </c>
      <c r="J235" t="s">
        <v>36</v>
      </c>
      <c r="K235" s="1">
        <v>43637</v>
      </c>
      <c r="L235">
        <v>82</v>
      </c>
      <c r="M235" s="2" t="str">
        <f>IF(Spotify[[#This Row],[Energie]]&gt;AVERAGE(Spotify[Energie]),"FORTE","FAIBLE")</f>
        <v>FAIBLE</v>
      </c>
      <c r="N235" s="2">
        <v>0.75900000000000001</v>
      </c>
      <c r="O235" s="2">
        <v>0.54</v>
      </c>
      <c r="P235" s="2">
        <v>2.87E-2</v>
      </c>
      <c r="Q235" s="2">
        <v>3.6999999999999998E-2</v>
      </c>
      <c r="R235" s="2">
        <v>9.4500000000000001E-2</v>
      </c>
      <c r="S235" s="2">
        <v>0.75</v>
      </c>
      <c r="T235" s="2">
        <v>-6.0389999999999997</v>
      </c>
      <c r="U235">
        <v>190960</v>
      </c>
      <c r="V235">
        <f>YEAR(Spotify[[#This Row],[Date de sortie]])</f>
        <v>2019</v>
      </c>
      <c r="W235" s="2" t="str">
        <f>IF(Spotify[[#This Row],[Popularité]]&gt;=70,"FORTE","FAIBLE")</f>
        <v>FORTE</v>
      </c>
    </row>
    <row r="236" spans="1:23" x14ac:dyDescent="0.25">
      <c r="A236">
        <v>321</v>
      </c>
      <c r="B236">
        <v>72</v>
      </c>
      <c r="C236">
        <v>5</v>
      </c>
      <c r="D236" s="1">
        <v>44323</v>
      </c>
      <c r="E236" s="59" t="str" cm="1">
        <f t="array" ref="E23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236" t="s">
        <v>615</v>
      </c>
      <c r="G236" s="3">
        <v>5552212</v>
      </c>
      <c r="H236" t="s">
        <v>616</v>
      </c>
      <c r="I236" s="4">
        <v>4016497</v>
      </c>
      <c r="J236" t="s">
        <v>235</v>
      </c>
      <c r="K236" s="1">
        <v>44322</v>
      </c>
      <c r="L236">
        <v>82</v>
      </c>
      <c r="M236" s="2" t="str">
        <f>IF(Spotify[[#This Row],[Energie]]&gt;AVERAGE(Spotify[Energie]),"FORTE","FAIBLE")</f>
        <v>FORTE</v>
      </c>
      <c r="N236" s="2">
        <v>0.80700000000000005</v>
      </c>
      <c r="O236" s="2">
        <v>0.65900000000000003</v>
      </c>
      <c r="P236" s="2">
        <v>0.33200000000000002</v>
      </c>
      <c r="Q236" s="2">
        <v>2.24E-2</v>
      </c>
      <c r="R236" s="2">
        <v>0.309</v>
      </c>
      <c r="S236" s="2">
        <v>0.438</v>
      </c>
      <c r="T236" s="2">
        <v>-6.92</v>
      </c>
      <c r="U236">
        <v>168727</v>
      </c>
      <c r="V236">
        <f>YEAR(Spotify[[#This Row],[Date de sortie]])</f>
        <v>2021</v>
      </c>
      <c r="W236" s="2" t="str">
        <f>IF(Spotify[[#This Row],[Popularité]]&gt;=70,"FORTE","FAIBLE")</f>
        <v>FORTE</v>
      </c>
    </row>
    <row r="237" spans="1:23" x14ac:dyDescent="0.25">
      <c r="A237">
        <v>279</v>
      </c>
      <c r="B237">
        <v>11</v>
      </c>
      <c r="C237">
        <v>6</v>
      </c>
      <c r="D237" s="1">
        <v>44330</v>
      </c>
      <c r="E237" s="59" t="str" cm="1">
        <f t="array" ref="E23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237" t="s">
        <v>551</v>
      </c>
      <c r="G237" s="3">
        <v>5430260</v>
      </c>
      <c r="H237" t="s">
        <v>552</v>
      </c>
      <c r="I237" s="4">
        <v>14097410</v>
      </c>
      <c r="J237" t="s">
        <v>553</v>
      </c>
      <c r="K237" s="1">
        <v>44330</v>
      </c>
      <c r="L237">
        <v>82</v>
      </c>
      <c r="M237" s="2" t="str">
        <f>IF(Spotify[[#This Row],[Energie]]&gt;AVERAGE(Spotify[Energie]),"FORTE","FAIBLE")</f>
        <v>FORTE</v>
      </c>
      <c r="N237" s="2">
        <v>0.86099999999999999</v>
      </c>
      <c r="O237" s="2">
        <v>0.65600000000000003</v>
      </c>
      <c r="P237" s="2">
        <v>0.42499999999999999</v>
      </c>
      <c r="Q237" s="2">
        <v>0.104</v>
      </c>
      <c r="R237" s="2">
        <v>9.8599999999999993E-2</v>
      </c>
      <c r="S237" s="2">
        <v>0.33100000000000002</v>
      </c>
      <c r="T237" s="2">
        <v>-7.867</v>
      </c>
      <c r="U237">
        <v>218210</v>
      </c>
      <c r="V237">
        <f>YEAR(Spotify[[#This Row],[Date de sortie]])</f>
        <v>2021</v>
      </c>
      <c r="W237" s="2" t="str">
        <f>IF(Spotify[[#This Row],[Popularité]]&gt;=70,"FORTE","FAIBLE")</f>
        <v>FORTE</v>
      </c>
    </row>
    <row r="238" spans="1:23" x14ac:dyDescent="0.25">
      <c r="A238">
        <v>306</v>
      </c>
      <c r="B238">
        <v>36</v>
      </c>
      <c r="C238">
        <v>26</v>
      </c>
      <c r="D238" s="1">
        <v>44232</v>
      </c>
      <c r="E238" s="59" t="str" cm="1">
        <f t="array" ref="E23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38" t="s">
        <v>594</v>
      </c>
      <c r="G238" s="3">
        <v>5395181</v>
      </c>
      <c r="H238" t="s">
        <v>595</v>
      </c>
      <c r="I238" s="4">
        <v>5963840</v>
      </c>
      <c r="J238" t="s">
        <v>19</v>
      </c>
      <c r="K238" s="1">
        <v>44137</v>
      </c>
      <c r="L238">
        <v>82</v>
      </c>
      <c r="M238" s="2" t="str">
        <f>IF(Spotify[[#This Row],[Energie]]&gt;AVERAGE(Spotify[Energie]),"FORTE","FAIBLE")</f>
        <v>FAIBLE</v>
      </c>
      <c r="N238" s="2">
        <v>0.96499999999999997</v>
      </c>
      <c r="O238" s="2">
        <v>0.48499999999999999</v>
      </c>
      <c r="P238" s="2">
        <v>0.191</v>
      </c>
      <c r="Q238" s="2">
        <v>2.06E-2</v>
      </c>
      <c r="R238" s="2">
        <v>6.5500000000000003E-2</v>
      </c>
      <c r="S238" s="2">
        <v>0.312</v>
      </c>
      <c r="T238" s="2">
        <v>-8.7840000000000007</v>
      </c>
      <c r="U238">
        <v>222523</v>
      </c>
      <c r="V238">
        <f>YEAR(Spotify[[#This Row],[Date de sortie]])</f>
        <v>2020</v>
      </c>
      <c r="W238" s="2" t="str">
        <f>IF(Spotify[[#This Row],[Popularité]]&gt;=70,"FORTE","FAIBLE")</f>
        <v>FORTE</v>
      </c>
    </row>
    <row r="239" spans="1:23" x14ac:dyDescent="0.25">
      <c r="A239">
        <v>322</v>
      </c>
      <c r="B239">
        <v>27</v>
      </c>
      <c r="C239">
        <v>8</v>
      </c>
      <c r="D239" s="1">
        <v>44302</v>
      </c>
      <c r="E239" s="59" t="str" cm="1">
        <f t="array" ref="E23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239" t="s">
        <v>617</v>
      </c>
      <c r="G239" s="3">
        <v>5347781</v>
      </c>
      <c r="H239" t="s">
        <v>618</v>
      </c>
      <c r="I239" s="4">
        <v>61930</v>
      </c>
      <c r="J239" t="s">
        <v>186</v>
      </c>
      <c r="K239" s="1">
        <v>44302</v>
      </c>
      <c r="L239">
        <v>82</v>
      </c>
      <c r="M239" s="2" t="str">
        <f>IF(Spotify[[#This Row],[Energie]]&gt;AVERAGE(Spotify[Energie]),"FORTE","FAIBLE")</f>
        <v>FAIBLE</v>
      </c>
      <c r="N239" s="2">
        <v>0.88700000000000001</v>
      </c>
      <c r="O239" s="2">
        <v>0.48499999999999999</v>
      </c>
      <c r="P239" s="2">
        <v>0.2</v>
      </c>
      <c r="Q239" s="2">
        <v>3.9199999999999999E-2</v>
      </c>
      <c r="R239" s="2">
        <v>0.14099999999999999</v>
      </c>
      <c r="S239" s="2">
        <v>0.32800000000000001</v>
      </c>
      <c r="T239" s="2">
        <v>-9.3580000000000005</v>
      </c>
      <c r="U239">
        <v>215693</v>
      </c>
      <c r="V239">
        <f>YEAR(Spotify[[#This Row],[Date de sortie]])</f>
        <v>2021</v>
      </c>
      <c r="W239" s="2" t="str">
        <f>IF(Spotify[[#This Row],[Popularité]]&gt;=70,"FORTE","FAIBLE")</f>
        <v>FORTE</v>
      </c>
    </row>
    <row r="240" spans="1:23" x14ac:dyDescent="0.25">
      <c r="A240">
        <v>272</v>
      </c>
      <c r="B240">
        <v>138</v>
      </c>
      <c r="C240">
        <v>3</v>
      </c>
      <c r="D240" s="1">
        <v>44365</v>
      </c>
      <c r="E240" s="59" t="str" cm="1">
        <f t="array" ref="E24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40" t="s">
        <v>534</v>
      </c>
      <c r="G240" s="3">
        <v>5341887</v>
      </c>
      <c r="H240" t="s">
        <v>535</v>
      </c>
      <c r="I240" s="4">
        <v>1650683</v>
      </c>
      <c r="J240" t="s">
        <v>536</v>
      </c>
      <c r="K240" s="1">
        <v>44358</v>
      </c>
      <c r="L240">
        <v>82</v>
      </c>
      <c r="M240" s="2" t="str">
        <f>IF(Spotify[[#This Row],[Energie]]&gt;AVERAGE(Spotify[Energie]),"FORTE","FAIBLE")</f>
        <v>FORTE</v>
      </c>
      <c r="N240" s="2">
        <v>0.52700000000000002</v>
      </c>
      <c r="O240" s="2">
        <v>0.76400000000000001</v>
      </c>
      <c r="P240" s="2">
        <v>0.32200000000000001</v>
      </c>
      <c r="Q240" s="2">
        <v>1.6E-2</v>
      </c>
      <c r="R240" s="2">
        <v>2.7300000000000001E-2</v>
      </c>
      <c r="S240" s="2">
        <v>0.82899999999999996</v>
      </c>
      <c r="T240" s="2">
        <v>-4.2969999999999997</v>
      </c>
      <c r="U240">
        <v>175924</v>
      </c>
      <c r="V240">
        <f>YEAR(Spotify[[#This Row],[Date de sortie]])</f>
        <v>2021</v>
      </c>
      <c r="W240" s="2" t="str">
        <f>IF(Spotify[[#This Row],[Popularité]]&gt;=70,"FORTE","FAIBLE")</f>
        <v>FORTE</v>
      </c>
    </row>
    <row r="241" spans="1:23" x14ac:dyDescent="0.25">
      <c r="A241">
        <v>451</v>
      </c>
      <c r="B241">
        <v>88</v>
      </c>
      <c r="C241">
        <v>31</v>
      </c>
      <c r="D241" s="1">
        <v>44225</v>
      </c>
      <c r="E241" s="59" t="str" cm="1">
        <f t="array" ref="E24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41" t="s">
        <v>822</v>
      </c>
      <c r="G241" s="3">
        <v>5323062</v>
      </c>
      <c r="H241" t="s">
        <v>338</v>
      </c>
      <c r="I241" s="4">
        <v>6852509</v>
      </c>
      <c r="J241" t="s">
        <v>158</v>
      </c>
      <c r="K241" s="1">
        <v>44032</v>
      </c>
      <c r="L241">
        <v>82</v>
      </c>
      <c r="M241" s="2" t="str">
        <f>IF(Spotify[[#This Row],[Energie]]&gt;AVERAGE(Spotify[Energie]),"FORTE","FAIBLE")</f>
        <v>FORTE</v>
      </c>
      <c r="N241" s="2">
        <v>0.90500000000000003</v>
      </c>
      <c r="O241" s="2">
        <v>0.64700000000000002</v>
      </c>
      <c r="P241" s="2">
        <v>0.107</v>
      </c>
      <c r="Q241" s="2">
        <v>1.8700000000000001E-2</v>
      </c>
      <c r="R241" s="2">
        <v>0.28199999999999997</v>
      </c>
      <c r="S241" s="2">
        <v>0.36699999999999999</v>
      </c>
      <c r="T241" s="2">
        <v>-5.0650000000000004</v>
      </c>
      <c r="U241">
        <v>190534</v>
      </c>
      <c r="V241">
        <f>YEAR(Spotify[[#This Row],[Date de sortie]])</f>
        <v>2020</v>
      </c>
      <c r="W241" s="2" t="str">
        <f>IF(Spotify[[#This Row],[Popularité]]&gt;=70,"FORTE","FAIBLE")</f>
        <v>FORTE</v>
      </c>
    </row>
    <row r="242" spans="1:23" x14ac:dyDescent="0.25">
      <c r="A242">
        <v>228</v>
      </c>
      <c r="B242">
        <v>169</v>
      </c>
      <c r="C242">
        <v>2</v>
      </c>
      <c r="D242" s="1">
        <v>44379</v>
      </c>
      <c r="E242" s="59" t="str" cm="1">
        <f t="array" ref="E24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42" t="s">
        <v>458</v>
      </c>
      <c r="G242" s="3">
        <v>5269757</v>
      </c>
      <c r="H242" t="s">
        <v>459</v>
      </c>
      <c r="I242" s="4">
        <v>1097789</v>
      </c>
      <c r="J242" t="s">
        <v>253</v>
      </c>
      <c r="K242" s="1">
        <v>44342</v>
      </c>
      <c r="L242">
        <v>82</v>
      </c>
      <c r="M242" s="2" t="str">
        <f>IF(Spotify[[#This Row],[Energie]]&gt;AVERAGE(Spotify[Energie]),"FORTE","FAIBLE")</f>
        <v>FORTE</v>
      </c>
      <c r="N242" s="2">
        <v>0.624</v>
      </c>
      <c r="O242" s="2">
        <v>0.92200000000000004</v>
      </c>
      <c r="P242" s="2">
        <v>4.3900000000000002E-2</v>
      </c>
      <c r="Q242" s="2">
        <v>0.3</v>
      </c>
      <c r="R242" s="2">
        <v>0.112</v>
      </c>
      <c r="S242" s="2">
        <v>0.88400000000000001</v>
      </c>
      <c r="T242" s="2">
        <v>-4.6280000000000001</v>
      </c>
      <c r="U242">
        <v>148228</v>
      </c>
      <c r="V242">
        <f>YEAR(Spotify[[#This Row],[Date de sortie]])</f>
        <v>2021</v>
      </c>
      <c r="W242" s="2" t="str">
        <f>IF(Spotify[[#This Row],[Popularité]]&gt;=70,"FORTE","FAIBLE")</f>
        <v>FORTE</v>
      </c>
    </row>
    <row r="243" spans="1:23" x14ac:dyDescent="0.25">
      <c r="A243">
        <v>332</v>
      </c>
      <c r="B243">
        <v>85</v>
      </c>
      <c r="C243">
        <v>16</v>
      </c>
      <c r="D243" s="1">
        <v>43882</v>
      </c>
      <c r="E243" s="59" t="str" cm="1">
        <f t="array" ref="E24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43" t="s">
        <v>633</v>
      </c>
      <c r="G243" s="3">
        <v>5266625</v>
      </c>
      <c r="H243" t="s">
        <v>32</v>
      </c>
      <c r="I243" s="4">
        <v>37106176</v>
      </c>
      <c r="J243" t="s">
        <v>33</v>
      </c>
      <c r="K243" s="1">
        <v>43567</v>
      </c>
      <c r="L243">
        <v>82</v>
      </c>
      <c r="M243" s="2" t="str">
        <f>IF(Spotify[[#This Row],[Energie]]&gt;AVERAGE(Spotify[Energie]),"FORTE","FAIBLE")</f>
        <v>FORTE</v>
      </c>
      <c r="N243" s="2">
        <v>0.64500000000000002</v>
      </c>
      <c r="O243" s="2">
        <v>0.86199999999999999</v>
      </c>
      <c r="P243" s="2">
        <v>9.6500000000000002E-2</v>
      </c>
      <c r="Q243" s="2">
        <v>9.2299999999999993E-2</v>
      </c>
      <c r="R243" s="2">
        <v>0.192</v>
      </c>
      <c r="S243" s="2">
        <v>0.79800000000000004</v>
      </c>
      <c r="T243" s="2">
        <v>-4.7569999999999997</v>
      </c>
      <c r="U243">
        <v>229773</v>
      </c>
      <c r="V243">
        <f>YEAR(Spotify[[#This Row],[Date de sortie]])</f>
        <v>2019</v>
      </c>
      <c r="W243" s="2" t="str">
        <f>IF(Spotify[[#This Row],[Popularité]]&gt;=70,"FORTE","FAIBLE")</f>
        <v>FORTE</v>
      </c>
    </row>
    <row r="244" spans="1:23" x14ac:dyDescent="0.25">
      <c r="A244">
        <v>229</v>
      </c>
      <c r="B244">
        <v>80</v>
      </c>
      <c r="C244">
        <v>5</v>
      </c>
      <c r="D244" s="1">
        <v>44358</v>
      </c>
      <c r="E244" s="59" t="str" cm="1">
        <f t="array" ref="E24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44" t="s">
        <v>460</v>
      </c>
      <c r="G244" s="3">
        <v>5259503</v>
      </c>
      <c r="H244" t="s">
        <v>461</v>
      </c>
      <c r="I244" s="4">
        <v>9987114</v>
      </c>
      <c r="J244" t="s">
        <v>33</v>
      </c>
      <c r="K244" s="1">
        <v>44358</v>
      </c>
      <c r="L244">
        <v>82</v>
      </c>
      <c r="M244" s="2" t="str">
        <f>IF(Spotify[[#This Row],[Energie]]&gt;AVERAGE(Spotify[Energie]),"FORTE","FAIBLE")</f>
        <v>FORTE</v>
      </c>
      <c r="N244" s="2">
        <v>0.68799999999999994</v>
      </c>
      <c r="O244" s="2">
        <v>0.90900000000000003</v>
      </c>
      <c r="P244" s="2">
        <v>6.2399999999999997E-2</v>
      </c>
      <c r="Q244" s="2">
        <v>4.7399999999999998E-2</v>
      </c>
      <c r="R244" s="2">
        <v>6.7400000000000002E-2</v>
      </c>
      <c r="S244" s="2">
        <v>0.70199999999999996</v>
      </c>
      <c r="T244" s="2">
        <v>-1.992</v>
      </c>
      <c r="U244">
        <v>210573</v>
      </c>
      <c r="V244">
        <f>YEAR(Spotify[[#This Row],[Date de sortie]])</f>
        <v>2021</v>
      </c>
      <c r="W244" s="2" t="str">
        <f>IF(Spotify[[#This Row],[Popularité]]&gt;=70,"FORTE","FAIBLE")</f>
        <v>FORTE</v>
      </c>
    </row>
    <row r="245" spans="1:23" x14ac:dyDescent="0.25">
      <c r="A245">
        <v>280</v>
      </c>
      <c r="B245">
        <v>6</v>
      </c>
      <c r="C245">
        <v>6</v>
      </c>
      <c r="D245" s="1">
        <v>44330</v>
      </c>
      <c r="E245" s="59" t="str" cm="1">
        <f t="array" ref="E24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245" t="s">
        <v>554</v>
      </c>
      <c r="G245" s="3">
        <v>5246577</v>
      </c>
      <c r="H245" t="s">
        <v>552</v>
      </c>
      <c r="I245" s="4">
        <v>14097410</v>
      </c>
      <c r="J245" t="s">
        <v>553</v>
      </c>
      <c r="K245" s="1">
        <v>44330</v>
      </c>
      <c r="L245">
        <v>82</v>
      </c>
      <c r="M245" s="2" t="str">
        <f>IF(Spotify[[#This Row],[Energie]]&gt;AVERAGE(Spotify[Energie]),"FORTE","FAIBLE")</f>
        <v>FAIBLE</v>
      </c>
      <c r="N245" s="2">
        <v>0.59699999999999998</v>
      </c>
      <c r="O245" s="2">
        <v>0.58699999999999997</v>
      </c>
      <c r="P245" s="2">
        <v>0.13700000000000001</v>
      </c>
      <c r="Q245" s="2">
        <v>6.2199999999999998E-2</v>
      </c>
      <c r="R245" s="2">
        <v>0.214</v>
      </c>
      <c r="S245" s="2">
        <v>7.5300000000000006E-2</v>
      </c>
      <c r="T245" s="2">
        <v>-7.0259999999999998</v>
      </c>
      <c r="U245">
        <v>218802</v>
      </c>
      <c r="V245">
        <f>YEAR(Spotify[[#This Row],[Date de sortie]])</f>
        <v>2021</v>
      </c>
      <c r="W245" s="2" t="str">
        <f>IF(Spotify[[#This Row],[Popularité]]&gt;=70,"FORTE","FAIBLE")</f>
        <v>FORTE</v>
      </c>
    </row>
    <row r="246" spans="1:23" x14ac:dyDescent="0.25">
      <c r="A246">
        <v>310</v>
      </c>
      <c r="B246">
        <v>12</v>
      </c>
      <c r="C246">
        <v>29</v>
      </c>
      <c r="D246" s="1">
        <v>44162</v>
      </c>
      <c r="E246" s="59" t="str" cm="1">
        <f t="array" ref="E24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46" t="s">
        <v>599</v>
      </c>
      <c r="G246" s="3">
        <v>5242347</v>
      </c>
      <c r="H246" t="s">
        <v>24</v>
      </c>
      <c r="I246" s="4">
        <v>36142273</v>
      </c>
      <c r="J246" t="s">
        <v>25</v>
      </c>
      <c r="K246" s="1">
        <v>44162</v>
      </c>
      <c r="L246">
        <v>82</v>
      </c>
      <c r="M246" s="2" t="str">
        <f>IF(Spotify[[#This Row],[Energie]]&gt;AVERAGE(Spotify[Energie]),"FORTE","FAIBLE")</f>
        <v>FORTE</v>
      </c>
      <c r="N246" s="2">
        <v>0.81100000000000005</v>
      </c>
      <c r="O246" s="2">
        <v>0.63700000000000001</v>
      </c>
      <c r="P246" s="2">
        <v>5.91E-2</v>
      </c>
      <c r="Q246" s="2">
        <v>0.23400000000000001</v>
      </c>
      <c r="R246" s="2">
        <v>0.11799999999999999</v>
      </c>
      <c r="S246" s="2">
        <v>0.47099999999999997</v>
      </c>
      <c r="T246" s="2">
        <v>-4.835</v>
      </c>
      <c r="U246">
        <v>130014</v>
      </c>
      <c r="V246">
        <f>YEAR(Spotify[[#This Row],[Date de sortie]])</f>
        <v>2020</v>
      </c>
      <c r="W246" s="2" t="str">
        <f>IF(Spotify[[#This Row],[Popularité]]&gt;=70,"FORTE","FAIBLE")</f>
        <v>FORTE</v>
      </c>
    </row>
    <row r="247" spans="1:23" x14ac:dyDescent="0.25">
      <c r="A247">
        <v>495</v>
      </c>
      <c r="B247">
        <v>19</v>
      </c>
      <c r="C247">
        <v>38</v>
      </c>
      <c r="D247" s="1">
        <v>44071</v>
      </c>
      <c r="E247" s="59" t="str" cm="1">
        <f t="array" ref="E24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47" t="s">
        <v>899</v>
      </c>
      <c r="G247" s="3">
        <v>5198514</v>
      </c>
      <c r="H247" t="s">
        <v>900</v>
      </c>
      <c r="I247" s="4">
        <v>1650912</v>
      </c>
      <c r="J247" t="s">
        <v>25</v>
      </c>
      <c r="K247" s="1">
        <v>43994</v>
      </c>
      <c r="L247">
        <v>82</v>
      </c>
      <c r="M247" s="2" t="str">
        <f>IF(Spotify[[#This Row],[Energie]]&gt;AVERAGE(Spotify[Energie]),"FORTE","FAIBLE")</f>
        <v>FORTE</v>
      </c>
      <c r="N247" s="2">
        <v>0.84499999999999997</v>
      </c>
      <c r="O247" s="2">
        <v>0.67700000000000005</v>
      </c>
      <c r="P247" s="2">
        <v>0.13600000000000001</v>
      </c>
      <c r="Q247" s="2">
        <v>0.26900000000000002</v>
      </c>
      <c r="R247" s="2">
        <v>0.108</v>
      </c>
      <c r="S247" s="2">
        <v>0.68</v>
      </c>
      <c r="T247" s="2">
        <v>-4.798</v>
      </c>
      <c r="U247">
        <v>219048</v>
      </c>
      <c r="V247">
        <f>YEAR(Spotify[[#This Row],[Date de sortie]])</f>
        <v>2020</v>
      </c>
      <c r="W247" s="2" t="str">
        <f>IF(Spotify[[#This Row],[Popularité]]&gt;=70,"FORTE","FAIBLE")</f>
        <v>FORTE</v>
      </c>
    </row>
    <row r="248" spans="1:23" x14ac:dyDescent="0.25">
      <c r="A248">
        <v>453</v>
      </c>
      <c r="B248">
        <v>30</v>
      </c>
      <c r="C248">
        <v>37</v>
      </c>
      <c r="D248" s="1">
        <v>44127</v>
      </c>
      <c r="E248" s="59" t="str" cm="1">
        <f t="array" ref="E24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48" t="s">
        <v>825</v>
      </c>
      <c r="G248" s="3">
        <v>5176493</v>
      </c>
      <c r="H248" t="s">
        <v>826</v>
      </c>
      <c r="I248" s="4">
        <v>9778632</v>
      </c>
      <c r="J248" t="s">
        <v>19</v>
      </c>
      <c r="K248" s="1">
        <v>44034</v>
      </c>
      <c r="L248">
        <v>82</v>
      </c>
      <c r="M248" s="2" t="str">
        <f>IF(Spotify[[#This Row],[Energie]]&gt;AVERAGE(Spotify[Energie]),"FORTE","FAIBLE")</f>
        <v>FORTE</v>
      </c>
      <c r="N248" s="2">
        <v>0.78900000000000003</v>
      </c>
      <c r="O248" s="2">
        <v>0.71099999999999997</v>
      </c>
      <c r="P248" s="2">
        <v>4.1000000000000002E-2</v>
      </c>
      <c r="Q248" s="2">
        <v>3.32E-2</v>
      </c>
      <c r="R248" s="2">
        <v>8.7599999999999997E-2</v>
      </c>
      <c r="S248" s="2">
        <v>0.753</v>
      </c>
      <c r="T248" s="2">
        <v>-4.2480000000000002</v>
      </c>
      <c r="U248">
        <v>190306</v>
      </c>
      <c r="V248">
        <f>YEAR(Spotify[[#This Row],[Date de sortie]])</f>
        <v>2020</v>
      </c>
      <c r="W248" s="2" t="str">
        <f>IF(Spotify[[#This Row],[Popularité]]&gt;=70,"FORTE","FAIBLE")</f>
        <v>FORTE</v>
      </c>
    </row>
    <row r="249" spans="1:23" x14ac:dyDescent="0.25">
      <c r="A249">
        <v>375</v>
      </c>
      <c r="B249">
        <v>38</v>
      </c>
      <c r="C249">
        <v>72</v>
      </c>
      <c r="D249" s="1">
        <v>43938</v>
      </c>
      <c r="E249" s="59" t="str" cm="1">
        <f t="array" ref="E24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49" t="s">
        <v>704</v>
      </c>
      <c r="G249" s="3">
        <v>5127736</v>
      </c>
      <c r="H249" t="s">
        <v>705</v>
      </c>
      <c r="I249" s="4">
        <v>280585</v>
      </c>
      <c r="J249" t="s">
        <v>222</v>
      </c>
      <c r="K249" s="1">
        <v>43755</v>
      </c>
      <c r="L249">
        <v>82</v>
      </c>
      <c r="M249" s="2" t="str">
        <f>IF(Spotify[[#This Row],[Energie]]&gt;AVERAGE(Spotify[Energie]),"FORTE","FAIBLE")</f>
        <v>FAIBLE</v>
      </c>
      <c r="N249" s="2">
        <v>0.46400000000000002</v>
      </c>
      <c r="O249" s="2">
        <v>0.47299999999999998</v>
      </c>
      <c r="P249" s="2">
        <v>0.129</v>
      </c>
      <c r="Q249" s="2">
        <v>0.86599999999999999</v>
      </c>
      <c r="R249" s="2">
        <v>0.109</v>
      </c>
      <c r="S249" s="2">
        <v>0.60399999999999998</v>
      </c>
      <c r="T249" s="2">
        <v>-10.086</v>
      </c>
      <c r="U249">
        <v>208687</v>
      </c>
      <c r="V249">
        <f>YEAR(Spotify[[#This Row],[Date de sortie]])</f>
        <v>2019</v>
      </c>
      <c r="W249" s="2" t="str">
        <f>IF(Spotify[[#This Row],[Popularité]]&gt;=70,"FORTE","FAIBLE")</f>
        <v>FORTE</v>
      </c>
    </row>
    <row r="250" spans="1:23" x14ac:dyDescent="0.25">
      <c r="A250">
        <v>523</v>
      </c>
      <c r="B250">
        <v>2</v>
      </c>
      <c r="C250">
        <v>61</v>
      </c>
      <c r="D250" s="1">
        <v>43826</v>
      </c>
      <c r="E250" s="59" t="str" cm="1">
        <f t="array" ref="E25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50" t="s">
        <v>949</v>
      </c>
      <c r="G250" s="3">
        <v>5124742</v>
      </c>
      <c r="H250" t="s">
        <v>950</v>
      </c>
      <c r="I250" s="4">
        <v>621200</v>
      </c>
      <c r="J250" t="s">
        <v>230</v>
      </c>
      <c r="K250" s="1">
        <v>43748</v>
      </c>
      <c r="L250">
        <v>82</v>
      </c>
      <c r="M250" s="2" t="str">
        <f>IF(Spotify[[#This Row],[Energie]]&gt;AVERAGE(Spotify[Energie]),"FORTE","FAIBLE")</f>
        <v>FAIBLE</v>
      </c>
      <c r="N250" s="2">
        <v>0.621</v>
      </c>
      <c r="O250" s="2">
        <v>0.60099999999999998</v>
      </c>
      <c r="P250" s="2">
        <v>0.14799999999999999</v>
      </c>
      <c r="Q250" s="2">
        <v>5.2200000000000003E-2</v>
      </c>
      <c r="R250" s="2">
        <v>0.46</v>
      </c>
      <c r="S250" s="2">
        <v>0.45700000000000002</v>
      </c>
      <c r="T250" s="2">
        <v>-5.6159999999999997</v>
      </c>
      <c r="U250">
        <v>163636</v>
      </c>
      <c r="V250">
        <f>YEAR(Spotify[[#This Row],[Date de sortie]])</f>
        <v>2019</v>
      </c>
      <c r="W250" s="2" t="str">
        <f>IF(Spotify[[#This Row],[Popularité]]&gt;=70,"FORTE","FAIBLE")</f>
        <v>FORTE</v>
      </c>
    </row>
    <row r="251" spans="1:23" x14ac:dyDescent="0.25">
      <c r="A251">
        <v>327</v>
      </c>
      <c r="B251">
        <v>96</v>
      </c>
      <c r="C251">
        <v>10</v>
      </c>
      <c r="D251" s="1">
        <v>44309</v>
      </c>
      <c r="E251" s="59" t="str" cm="1">
        <f t="array" ref="E25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51" t="s">
        <v>625</v>
      </c>
      <c r="G251" s="3">
        <v>5113574</v>
      </c>
      <c r="H251" t="s">
        <v>626</v>
      </c>
      <c r="I251" s="4">
        <v>1246335</v>
      </c>
      <c r="J251" t="s">
        <v>115</v>
      </c>
      <c r="K251" s="1">
        <v>44211</v>
      </c>
      <c r="L251">
        <v>82</v>
      </c>
      <c r="M251" s="2" t="str">
        <f>IF(Spotify[[#This Row],[Energie]]&gt;AVERAGE(Spotify[Energie]),"FORTE","FAIBLE")</f>
        <v>FAIBLE</v>
      </c>
      <c r="N251" s="2">
        <v>0.96399999999999997</v>
      </c>
      <c r="O251" s="2">
        <v>0.39800000000000002</v>
      </c>
      <c r="P251" s="2">
        <v>7.9500000000000001E-2</v>
      </c>
      <c r="Q251" s="2">
        <v>1.5100000000000001E-3</v>
      </c>
      <c r="R251" s="2">
        <v>0.10100000000000001</v>
      </c>
      <c r="S251" s="2">
        <v>0.56299999999999994</v>
      </c>
      <c r="T251" s="2">
        <v>-8.9809999999999999</v>
      </c>
      <c r="U251">
        <v>178405</v>
      </c>
      <c r="V251">
        <f>YEAR(Spotify[[#This Row],[Date de sortie]])</f>
        <v>2021</v>
      </c>
      <c r="W251" s="2" t="str">
        <f>IF(Spotify[[#This Row],[Popularité]]&gt;=70,"FORTE","FAIBLE")</f>
        <v>FORTE</v>
      </c>
    </row>
    <row r="252" spans="1:23" x14ac:dyDescent="0.25">
      <c r="A252">
        <v>274</v>
      </c>
      <c r="B252">
        <v>1</v>
      </c>
      <c r="C252">
        <v>55</v>
      </c>
      <c r="D252" s="1">
        <v>44050</v>
      </c>
      <c r="E252" s="59" t="str" cm="1">
        <f t="array" ref="E25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52" t="s">
        <v>539</v>
      </c>
      <c r="G252" s="3">
        <v>5108950</v>
      </c>
      <c r="H252" t="s">
        <v>540</v>
      </c>
      <c r="I252" s="4">
        <v>100604</v>
      </c>
      <c r="J252" t="s">
        <v>541</v>
      </c>
      <c r="K252" s="1">
        <v>43993</v>
      </c>
      <c r="L252">
        <v>82</v>
      </c>
      <c r="M252" s="2" t="str">
        <f>IF(Spotify[[#This Row],[Energie]]&gt;AVERAGE(Spotify[Energie]),"FORTE","FAIBLE")</f>
        <v>FAIBLE</v>
      </c>
      <c r="N252" s="2">
        <v>0.76700000000000002</v>
      </c>
      <c r="O252" s="2">
        <v>0.48099999999999998</v>
      </c>
      <c r="P252" s="2">
        <v>8.0299999999999996E-2</v>
      </c>
      <c r="Q252" s="2">
        <v>0.23400000000000001</v>
      </c>
      <c r="R252" s="2">
        <v>0.26900000000000002</v>
      </c>
      <c r="S252" s="2">
        <v>0.76100000000000001</v>
      </c>
      <c r="T252" s="2">
        <v>-8.52</v>
      </c>
      <c r="U252">
        <v>171375</v>
      </c>
      <c r="V252">
        <f>YEAR(Spotify[[#This Row],[Date de sortie]])</f>
        <v>2020</v>
      </c>
      <c r="W252" s="2" t="str">
        <f>IF(Spotify[[#This Row],[Popularité]]&gt;=70,"FORTE","FAIBLE")</f>
        <v>FORTE</v>
      </c>
    </row>
    <row r="253" spans="1:23" x14ac:dyDescent="0.25">
      <c r="A253">
        <v>497</v>
      </c>
      <c r="B253">
        <v>6</v>
      </c>
      <c r="C253">
        <v>60</v>
      </c>
      <c r="D253" s="1">
        <v>43903</v>
      </c>
      <c r="E253" s="59" t="str" cm="1">
        <f t="array" ref="E25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53" t="s">
        <v>903</v>
      </c>
      <c r="G253" s="3">
        <v>5103528</v>
      </c>
      <c r="H253" t="s">
        <v>18</v>
      </c>
      <c r="I253" s="4">
        <v>8671649</v>
      </c>
      <c r="J253" t="s">
        <v>19</v>
      </c>
      <c r="K253" s="1">
        <v>43776</v>
      </c>
      <c r="L253">
        <v>82</v>
      </c>
      <c r="M253" s="2" t="str">
        <f>IF(Spotify[[#This Row],[Energie]]&gt;AVERAGE(Spotify[Energie]),"FORTE","FAIBLE")</f>
        <v>FORTE</v>
      </c>
      <c r="N253" s="2">
        <v>0.78700000000000003</v>
      </c>
      <c r="O253" s="2">
        <v>0.67300000000000004</v>
      </c>
      <c r="P253" s="2">
        <v>0.159</v>
      </c>
      <c r="Q253" s="2">
        <v>0.26400000000000001</v>
      </c>
      <c r="R253" s="2">
        <v>9.0399999999999994E-2</v>
      </c>
      <c r="S253" s="2">
        <v>0.77900000000000003</v>
      </c>
      <c r="T253" s="2">
        <v>-4.5830000000000002</v>
      </c>
      <c r="U253">
        <v>237893</v>
      </c>
      <c r="V253">
        <f>YEAR(Spotify[[#This Row],[Date de sortie]])</f>
        <v>2019</v>
      </c>
      <c r="W253" s="2" t="str">
        <f>IF(Spotify[[#This Row],[Popularité]]&gt;=70,"FORTE","FAIBLE")</f>
        <v>FORTE</v>
      </c>
    </row>
    <row r="254" spans="1:23" x14ac:dyDescent="0.25">
      <c r="A254">
        <v>777</v>
      </c>
      <c r="B254">
        <v>157</v>
      </c>
      <c r="C254">
        <v>4</v>
      </c>
      <c r="D254" s="1">
        <v>44134</v>
      </c>
      <c r="E254" s="59" t="str" cm="1">
        <f t="array" ref="E25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54" t="s">
        <v>1351</v>
      </c>
      <c r="G254" s="3">
        <v>5083648</v>
      </c>
      <c r="H254" t="s">
        <v>1352</v>
      </c>
      <c r="I254" s="4">
        <v>2688557</v>
      </c>
      <c r="J254" t="s">
        <v>1353</v>
      </c>
      <c r="K254" s="1">
        <v>38718</v>
      </c>
      <c r="L254">
        <v>82</v>
      </c>
      <c r="M254" s="2" t="str">
        <f>IF(Spotify[[#This Row],[Energie]]&gt;AVERAGE(Spotify[Energie]),"FORTE","FAIBLE")</f>
        <v>FORTE</v>
      </c>
      <c r="N254" s="2">
        <v>0.80800000000000005</v>
      </c>
      <c r="O254" s="2">
        <v>0.97</v>
      </c>
      <c r="P254" s="2">
        <v>5.0599999999999999E-2</v>
      </c>
      <c r="Q254" s="2">
        <v>5.6899999999999999E-2</v>
      </c>
      <c r="R254" s="2">
        <v>0.154</v>
      </c>
      <c r="S254" s="2">
        <v>0.86799999999999999</v>
      </c>
      <c r="T254" s="2">
        <v>-6.0979999999999999</v>
      </c>
      <c r="U254">
        <v>242293</v>
      </c>
      <c r="V254">
        <f>YEAR(Spotify[[#This Row],[Date de sortie]])</f>
        <v>2006</v>
      </c>
      <c r="W254" s="2" t="str">
        <f>IF(Spotify[[#This Row],[Popularité]]&gt;=70,"FORTE","FAIBLE")</f>
        <v>FORTE</v>
      </c>
    </row>
    <row r="255" spans="1:23" x14ac:dyDescent="0.25">
      <c r="A255">
        <v>411</v>
      </c>
      <c r="B255">
        <v>62</v>
      </c>
      <c r="C255">
        <v>28</v>
      </c>
      <c r="D255" s="1">
        <v>44211</v>
      </c>
      <c r="E255" s="59" t="str" cm="1">
        <f t="array" ref="E25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55" t="s">
        <v>769</v>
      </c>
      <c r="G255" s="3">
        <v>5081800</v>
      </c>
      <c r="H255" t="s">
        <v>364</v>
      </c>
      <c r="I255" s="4">
        <v>8446147</v>
      </c>
      <c r="J255" t="s">
        <v>10</v>
      </c>
      <c r="K255" s="1">
        <v>42671</v>
      </c>
      <c r="L255">
        <v>82</v>
      </c>
      <c r="M255" s="2" t="str">
        <f>IF(Spotify[[#This Row],[Energie]]&gt;AVERAGE(Spotify[Energie]),"FORTE","FAIBLE")</f>
        <v>FAIBLE</v>
      </c>
      <c r="N255" s="2">
        <v>0.311</v>
      </c>
      <c r="O255" s="2">
        <v>0.48499999999999999</v>
      </c>
      <c r="P255" s="2">
        <v>3.6499999999999998E-2</v>
      </c>
      <c r="Q255" s="2">
        <v>0.70099999999999996</v>
      </c>
      <c r="R255" s="2">
        <v>7.2599999999999998E-2</v>
      </c>
      <c r="S255" s="2">
        <v>0.22500000000000001</v>
      </c>
      <c r="T255" s="2">
        <v>-5.726</v>
      </c>
      <c r="U255">
        <v>208827</v>
      </c>
      <c r="V255">
        <f>YEAR(Spotify[[#This Row],[Date de sortie]])</f>
        <v>2016</v>
      </c>
      <c r="W255" s="2" t="str">
        <f>IF(Spotify[[#This Row],[Popularité]]&gt;=70,"FORTE","FAIBLE")</f>
        <v>FORTE</v>
      </c>
    </row>
    <row r="256" spans="1:23" x14ac:dyDescent="0.25">
      <c r="A256">
        <v>819</v>
      </c>
      <c r="B256">
        <v>88</v>
      </c>
      <c r="C256">
        <v>27</v>
      </c>
      <c r="D256" s="1">
        <v>43826</v>
      </c>
      <c r="E256" s="59" t="str" cm="1">
        <f t="array" ref="E25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56" t="s">
        <v>1414</v>
      </c>
      <c r="G256" s="3">
        <v>5079328</v>
      </c>
      <c r="H256" t="s">
        <v>202</v>
      </c>
      <c r="I256" s="4">
        <v>67208170</v>
      </c>
      <c r="J256" t="s">
        <v>19</v>
      </c>
      <c r="K256" s="1">
        <v>43504</v>
      </c>
      <c r="L256">
        <v>82</v>
      </c>
      <c r="M256" s="2" t="str">
        <f>IF(Spotify[[#This Row],[Energie]]&gt;AVERAGE(Spotify[Energie]),"FORTE","FAIBLE")</f>
        <v>FORTE</v>
      </c>
      <c r="N256" s="2">
        <v>0.71699999999999997</v>
      </c>
      <c r="O256" s="2">
        <v>0.65300000000000002</v>
      </c>
      <c r="P256" s="2">
        <v>6.5799999999999997E-2</v>
      </c>
      <c r="Q256" s="2">
        <v>0.22900000000000001</v>
      </c>
      <c r="R256" s="2">
        <v>0.10100000000000001</v>
      </c>
      <c r="S256" s="2">
        <v>0.41199999999999998</v>
      </c>
      <c r="T256" s="2">
        <v>-5.6340000000000003</v>
      </c>
      <c r="U256">
        <v>207320</v>
      </c>
      <c r="V256">
        <f>YEAR(Spotify[[#This Row],[Date de sortie]])</f>
        <v>2019</v>
      </c>
      <c r="W256" s="2" t="str">
        <f>IF(Spotify[[#This Row],[Popularité]]&gt;=70,"FORTE","FAIBLE")</f>
        <v>FORTE</v>
      </c>
    </row>
    <row r="257" spans="1:23" x14ac:dyDescent="0.25">
      <c r="A257">
        <v>515</v>
      </c>
      <c r="B257">
        <v>152</v>
      </c>
      <c r="C257">
        <v>23</v>
      </c>
      <c r="D257" s="1">
        <v>44225</v>
      </c>
      <c r="E257" s="59" t="str" cm="1">
        <f t="array" ref="E25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257" t="s">
        <v>937</v>
      </c>
      <c r="G257" s="3">
        <v>5073657</v>
      </c>
      <c r="H257" t="s">
        <v>938</v>
      </c>
      <c r="I257" s="4">
        <v>7535054</v>
      </c>
      <c r="J257" t="s">
        <v>557</v>
      </c>
      <c r="K257" s="1">
        <v>42005</v>
      </c>
      <c r="L257">
        <v>82</v>
      </c>
      <c r="M257" s="2" t="str">
        <f>IF(Spotify[[#This Row],[Energie]]&gt;AVERAGE(Spotify[Energie]),"FORTE","FAIBLE")</f>
        <v>FAIBLE</v>
      </c>
      <c r="N257" s="2">
        <v>0.58499999999999996</v>
      </c>
      <c r="O257" s="2">
        <v>0.47099999999999997</v>
      </c>
      <c r="P257" s="2">
        <v>6.1600000000000002E-2</v>
      </c>
      <c r="Q257" s="2">
        <v>9.6699999999999994E-2</v>
      </c>
      <c r="R257" s="2">
        <v>0.115</v>
      </c>
      <c r="S257" s="2">
        <v>0.32300000000000001</v>
      </c>
      <c r="T257" s="2">
        <v>-9.9339999999999993</v>
      </c>
      <c r="U257">
        <v>142000</v>
      </c>
      <c r="V257">
        <f>YEAR(Spotify[[#This Row],[Date de sortie]])</f>
        <v>2015</v>
      </c>
      <c r="W257" s="2" t="str">
        <f>IF(Spotify[[#This Row],[Popularité]]&gt;=70,"FORTE","FAIBLE")</f>
        <v>FORTE</v>
      </c>
    </row>
    <row r="258" spans="1:23" x14ac:dyDescent="0.25">
      <c r="A258">
        <v>501</v>
      </c>
      <c r="B258">
        <v>12</v>
      </c>
      <c r="C258">
        <v>37</v>
      </c>
      <c r="D258" s="1">
        <v>44071</v>
      </c>
      <c r="E258" s="59" t="str" cm="1">
        <f t="array" ref="E25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58" t="s">
        <v>909</v>
      </c>
      <c r="G258" s="3">
        <v>5068349</v>
      </c>
      <c r="H258" t="s">
        <v>338</v>
      </c>
      <c r="I258" s="4">
        <v>6852509</v>
      </c>
      <c r="J258" t="s">
        <v>158</v>
      </c>
      <c r="K258" s="1">
        <v>44015</v>
      </c>
      <c r="L258">
        <v>82</v>
      </c>
      <c r="M258" s="2" t="str">
        <f>IF(Spotify[[#This Row],[Energie]]&gt;AVERAGE(Spotify[Energie]),"FORTE","FAIBLE")</f>
        <v>FAIBLE</v>
      </c>
      <c r="N258" s="2">
        <v>0.48</v>
      </c>
      <c r="O258" s="2">
        <v>0.60199999999999998</v>
      </c>
      <c r="P258" s="2">
        <v>0.36799999999999999</v>
      </c>
      <c r="Q258" s="2">
        <v>0.48699999999999999</v>
      </c>
      <c r="R258" s="2">
        <v>8.48E-2</v>
      </c>
      <c r="S258" s="2">
        <v>0.26900000000000002</v>
      </c>
      <c r="T258" s="2">
        <v>-6.335</v>
      </c>
      <c r="U258">
        <v>213333</v>
      </c>
      <c r="V258">
        <f>YEAR(Spotify[[#This Row],[Date de sortie]])</f>
        <v>2020</v>
      </c>
      <c r="W258" s="2" t="str">
        <f>IF(Spotify[[#This Row],[Popularité]]&gt;=70,"FORTE","FAIBLE")</f>
        <v>FORTE</v>
      </c>
    </row>
    <row r="259" spans="1:23" x14ac:dyDescent="0.25">
      <c r="A259">
        <v>338</v>
      </c>
      <c r="B259">
        <v>200</v>
      </c>
      <c r="C259">
        <v>1</v>
      </c>
      <c r="D259" s="1">
        <v>44344</v>
      </c>
      <c r="E259" s="59" t="str" cm="1">
        <f t="array" ref="E25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59" t="s">
        <v>642</v>
      </c>
      <c r="G259" s="3">
        <v>5051514</v>
      </c>
      <c r="H259" t="s">
        <v>643</v>
      </c>
      <c r="I259" s="4">
        <v>448447</v>
      </c>
      <c r="J259" t="s">
        <v>407</v>
      </c>
      <c r="K259" s="1">
        <v>44288</v>
      </c>
      <c r="L259">
        <v>82</v>
      </c>
      <c r="M259" s="2" t="str">
        <f>IF(Spotify[[#This Row],[Energie]]&gt;AVERAGE(Spotify[Energie]),"FORTE","FAIBLE")</f>
        <v>FAIBLE</v>
      </c>
      <c r="N259" s="2">
        <v>0.85199999999999998</v>
      </c>
      <c r="O259" s="2">
        <v>0.62</v>
      </c>
      <c r="P259" s="2">
        <v>0.22700000000000001</v>
      </c>
      <c r="Q259" s="2">
        <v>0.35899999999999999</v>
      </c>
      <c r="R259" s="2">
        <v>0.10100000000000001</v>
      </c>
      <c r="S259" s="2">
        <v>0.74399999999999999</v>
      </c>
      <c r="T259" s="2">
        <v>-5.79</v>
      </c>
      <c r="U259">
        <v>155676</v>
      </c>
      <c r="V259">
        <f>YEAR(Spotify[[#This Row],[Date de sortie]])</f>
        <v>2021</v>
      </c>
      <c r="W259" s="2" t="str">
        <f>IF(Spotify[[#This Row],[Popularité]]&gt;=70,"FORTE","FAIBLE")</f>
        <v>FORTE</v>
      </c>
    </row>
    <row r="260" spans="1:23" x14ac:dyDescent="0.25">
      <c r="A260">
        <v>517</v>
      </c>
      <c r="B260">
        <v>112</v>
      </c>
      <c r="C260">
        <v>28</v>
      </c>
      <c r="D260" s="1">
        <v>43910</v>
      </c>
      <c r="E260" s="59" t="str" cm="1">
        <f t="array" ref="E26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60" t="s">
        <v>941</v>
      </c>
      <c r="G260" s="3">
        <v>5044929</v>
      </c>
      <c r="H260" t="s">
        <v>267</v>
      </c>
      <c r="I260" s="4">
        <v>3799104</v>
      </c>
      <c r="J260" t="s">
        <v>222</v>
      </c>
      <c r="K260" s="1">
        <v>43910</v>
      </c>
      <c r="L260">
        <v>82</v>
      </c>
      <c r="M260" s="2" t="str">
        <f>IF(Spotify[[#This Row],[Energie]]&gt;AVERAGE(Spotify[Energie]),"FORTE","FAIBLE")</f>
        <v>FORTE</v>
      </c>
      <c r="N260" s="2">
        <v>0.628</v>
      </c>
      <c r="O260" s="2">
        <v>0.63900000000000001</v>
      </c>
      <c r="P260" s="2">
        <v>4.3499999999999997E-2</v>
      </c>
      <c r="Q260" s="2">
        <v>1.6199999999999999E-3</v>
      </c>
      <c r="R260" s="2">
        <v>0.35399999999999998</v>
      </c>
      <c r="S260" s="2">
        <v>0.49299999999999999</v>
      </c>
      <c r="T260" s="2">
        <v>-5.46</v>
      </c>
      <c r="U260">
        <v>185773</v>
      </c>
      <c r="V260">
        <f>YEAR(Spotify[[#This Row],[Date de sortie]])</f>
        <v>2020</v>
      </c>
      <c r="W260" s="2" t="str">
        <f>IF(Spotify[[#This Row],[Popularité]]&gt;=70,"FORTE","FAIBLE")</f>
        <v>FORTE</v>
      </c>
    </row>
    <row r="261" spans="1:23" x14ac:dyDescent="0.25">
      <c r="A261">
        <v>549</v>
      </c>
      <c r="B261">
        <v>182</v>
      </c>
      <c r="C261">
        <v>6</v>
      </c>
      <c r="D261" s="1">
        <v>44120</v>
      </c>
      <c r="E261" s="59" t="str" cm="1">
        <f t="array" ref="E26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61" t="s">
        <v>988</v>
      </c>
      <c r="G261" s="3">
        <v>4995623</v>
      </c>
      <c r="H261" t="s">
        <v>12</v>
      </c>
      <c r="I261" s="4">
        <v>83337783</v>
      </c>
      <c r="J261" t="s">
        <v>10</v>
      </c>
      <c r="K261" s="1">
        <v>41811</v>
      </c>
      <c r="L261">
        <v>82</v>
      </c>
      <c r="M261" s="2" t="str">
        <f>IF(Spotify[[#This Row],[Energie]]&gt;AVERAGE(Spotify[Energie]),"FORTE","FAIBLE")</f>
        <v>FAIBLE</v>
      </c>
      <c r="N261" s="2">
        <v>0.78100000000000003</v>
      </c>
      <c r="O261" s="2">
        <v>0.44500000000000001</v>
      </c>
      <c r="P261" s="2">
        <v>2.9499999999999998E-2</v>
      </c>
      <c r="Q261" s="2">
        <v>0.47399999999999998</v>
      </c>
      <c r="R261" s="2">
        <v>0.184</v>
      </c>
      <c r="S261" s="2">
        <v>0.59099999999999997</v>
      </c>
      <c r="T261" s="2">
        <v>-6.0609999999999999</v>
      </c>
      <c r="U261">
        <v>281560</v>
      </c>
      <c r="V261">
        <f>YEAR(Spotify[[#This Row],[Date de sortie]])</f>
        <v>2014</v>
      </c>
      <c r="W261" s="2" t="str">
        <f>IF(Spotify[[#This Row],[Popularité]]&gt;=70,"FORTE","FAIBLE")</f>
        <v>FORTE</v>
      </c>
    </row>
    <row r="262" spans="1:23" x14ac:dyDescent="0.25">
      <c r="A262">
        <v>251</v>
      </c>
      <c r="B262">
        <v>136</v>
      </c>
      <c r="C262">
        <v>15</v>
      </c>
      <c r="D262" s="1">
        <v>44288</v>
      </c>
      <c r="E262" s="59" t="str" cm="1">
        <f t="array" ref="E26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62" t="s">
        <v>505</v>
      </c>
      <c r="G262" s="3">
        <v>4992345</v>
      </c>
      <c r="H262" t="s">
        <v>506</v>
      </c>
      <c r="I262" s="4">
        <v>1275345</v>
      </c>
      <c r="J262" t="s">
        <v>19</v>
      </c>
      <c r="K262" s="1">
        <v>40858</v>
      </c>
      <c r="L262">
        <v>82</v>
      </c>
      <c r="M262" s="2" t="str">
        <f>IF(Spotify[[#This Row],[Energie]]&gt;AVERAGE(Spotify[Energie]),"FORTE","FAIBLE")</f>
        <v>FORTE</v>
      </c>
      <c r="N262" s="2">
        <v>0.64600000000000002</v>
      </c>
      <c r="O262" s="2">
        <v>0.79500000000000004</v>
      </c>
      <c r="P262" s="2">
        <v>9.7600000000000006E-2</v>
      </c>
      <c r="Q262" s="2">
        <v>3.1899999999999998E-2</v>
      </c>
      <c r="R262" s="2">
        <v>0.26700000000000002</v>
      </c>
      <c r="S262" s="2">
        <v>0.79600000000000004</v>
      </c>
      <c r="T262" s="2">
        <v>-3.2930000000000001</v>
      </c>
      <c r="U262">
        <v>210960</v>
      </c>
      <c r="V262">
        <f>YEAR(Spotify[[#This Row],[Date de sortie]])</f>
        <v>2011</v>
      </c>
      <c r="W262" s="2" t="str">
        <f>IF(Spotify[[#This Row],[Popularité]]&gt;=70,"FORTE","FAIBLE")</f>
        <v>FORTE</v>
      </c>
    </row>
    <row r="263" spans="1:23" x14ac:dyDescent="0.25">
      <c r="A263">
        <v>426</v>
      </c>
      <c r="B263">
        <v>104</v>
      </c>
      <c r="C263">
        <v>16</v>
      </c>
      <c r="D263" s="1">
        <v>44232</v>
      </c>
      <c r="E263" s="59" t="str" cm="1">
        <f t="array" ref="E26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263" t="s">
        <v>790</v>
      </c>
      <c r="G263" s="3">
        <v>4976405</v>
      </c>
      <c r="H263" t="s">
        <v>514</v>
      </c>
      <c r="I263" s="4">
        <v>12375514</v>
      </c>
      <c r="J263" t="s">
        <v>515</v>
      </c>
      <c r="K263" s="1">
        <v>41526</v>
      </c>
      <c r="L263">
        <v>82</v>
      </c>
      <c r="M263" s="2" t="str">
        <f>IF(Spotify[[#This Row],[Energie]]&gt;AVERAGE(Spotify[Energie]),"FORTE","FAIBLE")</f>
        <v>FAIBLE</v>
      </c>
      <c r="N263" s="2">
        <v>0.69099999999999995</v>
      </c>
      <c r="O263" s="2">
        <v>0.63100000000000001</v>
      </c>
      <c r="P263" s="2">
        <v>3.6799999999999999E-2</v>
      </c>
      <c r="Q263" s="2">
        <v>4.8300000000000003E-2</v>
      </c>
      <c r="R263" s="2">
        <v>0.104</v>
      </c>
      <c r="S263" s="2">
        <v>0.8</v>
      </c>
      <c r="T263" s="2">
        <v>-6.4779999999999998</v>
      </c>
      <c r="U263">
        <v>161124</v>
      </c>
      <c r="V263">
        <f>YEAR(Spotify[[#This Row],[Date de sortie]])</f>
        <v>2013</v>
      </c>
      <c r="W263" s="2" t="str">
        <f>IF(Spotify[[#This Row],[Popularité]]&gt;=70,"FORTE","FAIBLE")</f>
        <v>FORTE</v>
      </c>
    </row>
    <row r="264" spans="1:23" x14ac:dyDescent="0.25">
      <c r="A264">
        <v>235</v>
      </c>
      <c r="B264">
        <v>184</v>
      </c>
      <c r="C264">
        <v>2</v>
      </c>
      <c r="D264" s="1">
        <v>44379</v>
      </c>
      <c r="E264" s="59" t="str" cm="1">
        <f t="array" ref="E26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64" t="s">
        <v>473</v>
      </c>
      <c r="G264" s="3">
        <v>4975786</v>
      </c>
      <c r="H264" t="s">
        <v>21</v>
      </c>
      <c r="I264" s="4">
        <v>6080597</v>
      </c>
      <c r="J264" t="s">
        <v>22</v>
      </c>
      <c r="K264" s="1">
        <v>44372</v>
      </c>
      <c r="L264">
        <v>82</v>
      </c>
      <c r="M264" s="2" t="str">
        <f>IF(Spotify[[#This Row],[Energie]]&gt;AVERAGE(Spotify[Energie]),"FORTE","FAIBLE")</f>
        <v>FORTE</v>
      </c>
      <c r="N264" s="2">
        <v>0.70399999999999996</v>
      </c>
      <c r="O264" s="2">
        <v>0.73899999999999999</v>
      </c>
      <c r="P264" s="2">
        <v>0.112</v>
      </c>
      <c r="Q264" s="2">
        <v>0.32800000000000001</v>
      </c>
      <c r="R264" s="2">
        <v>8.5599999999999996E-2</v>
      </c>
      <c r="S264" s="2">
        <v>0.42499999999999999</v>
      </c>
      <c r="T264" s="2">
        <v>-3.286</v>
      </c>
      <c r="U264">
        <v>208292</v>
      </c>
      <c r="V264">
        <f>YEAR(Spotify[[#This Row],[Date de sortie]])</f>
        <v>2021</v>
      </c>
      <c r="W264" s="2" t="str">
        <f>IF(Spotify[[#This Row],[Popularité]]&gt;=70,"FORTE","FAIBLE")</f>
        <v>FORTE</v>
      </c>
    </row>
    <row r="265" spans="1:23" x14ac:dyDescent="0.25">
      <c r="A265">
        <v>253</v>
      </c>
      <c r="B265">
        <v>81</v>
      </c>
      <c r="C265">
        <v>8</v>
      </c>
      <c r="D265" s="1">
        <v>44337</v>
      </c>
      <c r="E265" s="59" t="str" cm="1">
        <f t="array" ref="E26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65" t="s">
        <v>509</v>
      </c>
      <c r="G265" s="3">
        <v>4973063</v>
      </c>
      <c r="H265" t="s">
        <v>510</v>
      </c>
      <c r="I265" s="4">
        <v>384097</v>
      </c>
      <c r="J265"/>
      <c r="K265" s="1">
        <v>44329</v>
      </c>
      <c r="L265">
        <v>82</v>
      </c>
      <c r="M265" s="2" t="str">
        <f>IF(Spotify[[#This Row],[Energie]]&gt;AVERAGE(Spotify[Energie]),"FORTE","FAIBLE")</f>
        <v>FORTE</v>
      </c>
      <c r="N265" s="2">
        <v>0.73299999999999998</v>
      </c>
      <c r="O265" s="2">
        <v>0.73599999999999999</v>
      </c>
      <c r="P265" s="2">
        <v>0.111</v>
      </c>
      <c r="Q265" s="2">
        <v>2.8000000000000001E-2</v>
      </c>
      <c r="R265" s="2">
        <v>0.13100000000000001</v>
      </c>
      <c r="S265" s="2">
        <v>0.66900000000000004</v>
      </c>
      <c r="T265" s="2">
        <v>-5.1230000000000002</v>
      </c>
      <c r="U265">
        <v>166216</v>
      </c>
      <c r="V265">
        <f>YEAR(Spotify[[#This Row],[Date de sortie]])</f>
        <v>2021</v>
      </c>
      <c r="W265" s="2" t="str">
        <f>IF(Spotify[[#This Row],[Popularité]]&gt;=70,"FORTE","FAIBLE")</f>
        <v>FORTE</v>
      </c>
    </row>
    <row r="266" spans="1:23" x14ac:dyDescent="0.25">
      <c r="A266">
        <v>997</v>
      </c>
      <c r="B266">
        <v>161</v>
      </c>
      <c r="C266">
        <v>2</v>
      </c>
      <c r="D266" s="1">
        <v>44029</v>
      </c>
      <c r="E266" s="59" t="str" cm="1">
        <f t="array" ref="E26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66" t="s">
        <v>1681</v>
      </c>
      <c r="G266" s="3">
        <v>4966428</v>
      </c>
      <c r="H266" t="s">
        <v>1682</v>
      </c>
      <c r="I266" s="4">
        <v>22536304</v>
      </c>
      <c r="J266" t="s">
        <v>1180</v>
      </c>
      <c r="K266" s="1">
        <v>41054</v>
      </c>
      <c r="L266">
        <v>82</v>
      </c>
      <c r="M266" s="2" t="str">
        <f>IF(Spotify[[#This Row],[Energie]]&gt;AVERAGE(Spotify[Energie]),"FORTE","FAIBLE")</f>
        <v>FORTE</v>
      </c>
      <c r="N266" s="2">
        <v>0.72599999999999998</v>
      </c>
      <c r="O266" s="2">
        <v>0.78700000000000003</v>
      </c>
      <c r="P266" s="2">
        <v>7.3700000000000002E-2</v>
      </c>
      <c r="Q266" s="2">
        <v>8.9999999999999993E-3</v>
      </c>
      <c r="R266" s="2">
        <v>5.96E-2</v>
      </c>
      <c r="S266" s="2">
        <v>0.88800000000000001</v>
      </c>
      <c r="T266" s="2">
        <v>-2.4940000000000002</v>
      </c>
      <c r="U266">
        <v>199987</v>
      </c>
      <c r="V266">
        <f>YEAR(Spotify[[#This Row],[Date de sortie]])</f>
        <v>2012</v>
      </c>
      <c r="W266" s="2" t="str">
        <f>IF(Spotify[[#This Row],[Popularité]]&gt;=70,"FORTE","FAIBLE")</f>
        <v>FORTE</v>
      </c>
    </row>
    <row r="267" spans="1:23" x14ac:dyDescent="0.25">
      <c r="A267">
        <v>417</v>
      </c>
      <c r="B267">
        <v>197</v>
      </c>
      <c r="C267">
        <v>1</v>
      </c>
      <c r="D267" s="1">
        <v>44309</v>
      </c>
      <c r="E267" s="59" t="str" cm="1">
        <f t="array" ref="E26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67" t="s">
        <v>778</v>
      </c>
      <c r="G267" s="3">
        <v>4945935</v>
      </c>
      <c r="H267" t="s">
        <v>232</v>
      </c>
      <c r="I267" s="4">
        <v>32603394</v>
      </c>
      <c r="J267" t="s">
        <v>19</v>
      </c>
      <c r="K267" s="1">
        <v>41250</v>
      </c>
      <c r="L267">
        <v>82</v>
      </c>
      <c r="M267" s="2" t="str">
        <f>IF(Spotify[[#This Row],[Energie]]&gt;AVERAGE(Spotify[Energie]),"FORTE","FAIBLE")</f>
        <v>FAIBLE</v>
      </c>
      <c r="N267" s="2">
        <v>0.61199999999999999</v>
      </c>
      <c r="O267" s="2">
        <v>0.28000000000000003</v>
      </c>
      <c r="P267" s="2">
        <v>4.3400000000000001E-2</v>
      </c>
      <c r="Q267" s="2">
        <v>0.93200000000000005</v>
      </c>
      <c r="R267" s="2">
        <v>8.7999999999999995E-2</v>
      </c>
      <c r="S267" s="2">
        <v>0.38700000000000001</v>
      </c>
      <c r="T267" s="2">
        <v>-8.6479999999999997</v>
      </c>
      <c r="U267">
        <v>213827</v>
      </c>
      <c r="V267">
        <f>YEAR(Spotify[[#This Row],[Date de sortie]])</f>
        <v>2012</v>
      </c>
      <c r="W267" s="2" t="str">
        <f>IF(Spotify[[#This Row],[Popularité]]&gt;=70,"FORTE","FAIBLE")</f>
        <v>FORTE</v>
      </c>
    </row>
    <row r="268" spans="1:23" x14ac:dyDescent="0.25">
      <c r="A268">
        <v>292</v>
      </c>
      <c r="B268">
        <v>175</v>
      </c>
      <c r="C268">
        <v>2</v>
      </c>
      <c r="D268" s="1">
        <v>44330</v>
      </c>
      <c r="E268" s="59" t="str" cm="1">
        <f t="array" ref="E26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68" t="s">
        <v>572</v>
      </c>
      <c r="G268" s="3">
        <v>4912036</v>
      </c>
      <c r="H268" t="s">
        <v>573</v>
      </c>
      <c r="I268" s="4">
        <v>14917926</v>
      </c>
      <c r="J268" t="s">
        <v>19</v>
      </c>
      <c r="K268" s="1">
        <v>44329</v>
      </c>
      <c r="L268">
        <v>82</v>
      </c>
      <c r="M268" s="2" t="str">
        <f>IF(Spotify[[#This Row],[Energie]]&gt;AVERAGE(Spotify[Energie]),"FORTE","FAIBLE")</f>
        <v>FORTE</v>
      </c>
      <c r="N268" s="2">
        <v>0.66</v>
      </c>
      <c r="O268" s="2">
        <v>0.73299999999999998</v>
      </c>
      <c r="P268" s="2">
        <v>3.5900000000000001E-2</v>
      </c>
      <c r="Q268" s="2">
        <v>0.248</v>
      </c>
      <c r="R268" s="2">
        <v>0.17</v>
      </c>
      <c r="S268" s="2">
        <v>0.30399999999999999</v>
      </c>
      <c r="T268" s="2">
        <v>-4.6189999999999998</v>
      </c>
      <c r="U268">
        <v>217000</v>
      </c>
      <c r="V268">
        <f>YEAR(Spotify[[#This Row],[Date de sortie]])</f>
        <v>2021</v>
      </c>
      <c r="W268" s="2" t="str">
        <f>IF(Spotify[[#This Row],[Popularité]]&gt;=70,"FORTE","FAIBLE")</f>
        <v>FORTE</v>
      </c>
    </row>
    <row r="269" spans="1:23" x14ac:dyDescent="0.25">
      <c r="A269">
        <v>293</v>
      </c>
      <c r="B269">
        <v>23</v>
      </c>
      <c r="C269">
        <v>19</v>
      </c>
      <c r="D269" s="1">
        <v>44281</v>
      </c>
      <c r="E269" s="59" t="str" cm="1">
        <f t="array" ref="E26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69" t="s">
        <v>574</v>
      </c>
      <c r="G269" s="3">
        <v>4911162</v>
      </c>
      <c r="H269" t="s">
        <v>575</v>
      </c>
      <c r="I269" s="4">
        <v>319192</v>
      </c>
      <c r="J269" t="s">
        <v>576</v>
      </c>
      <c r="K269" s="1">
        <v>44230</v>
      </c>
      <c r="L269">
        <v>82</v>
      </c>
      <c r="M269" s="2" t="str">
        <f>IF(Spotify[[#This Row],[Energie]]&gt;AVERAGE(Spotify[Energie]),"FORTE","FAIBLE")</f>
        <v>FAIBLE</v>
      </c>
      <c r="N269" s="2">
        <v>0.58499999999999996</v>
      </c>
      <c r="O269" s="2">
        <v>0.61099999999999999</v>
      </c>
      <c r="P269" s="2">
        <v>0.28799999999999998</v>
      </c>
      <c r="Q269" s="2">
        <v>0.39</v>
      </c>
      <c r="R269" s="2">
        <v>0.64900000000000002</v>
      </c>
      <c r="S269" s="2">
        <v>0.96199999999999997</v>
      </c>
      <c r="T269" s="2">
        <v>-4.1319999999999997</v>
      </c>
      <c r="U269">
        <v>218107</v>
      </c>
      <c r="V269">
        <f>YEAR(Spotify[[#This Row],[Date de sortie]])</f>
        <v>2021</v>
      </c>
      <c r="W269" s="2" t="str">
        <f>IF(Spotify[[#This Row],[Popularité]]&gt;=70,"FORTE","FAIBLE")</f>
        <v>FORTE</v>
      </c>
    </row>
    <row r="270" spans="1:23" x14ac:dyDescent="0.25">
      <c r="A270">
        <v>1188</v>
      </c>
      <c r="B270">
        <v>52</v>
      </c>
      <c r="C270">
        <v>11</v>
      </c>
      <c r="D270" s="1">
        <v>43889</v>
      </c>
      <c r="E270" s="59" t="str" cm="1">
        <f t="array" ref="E27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70" t="s">
        <v>1955</v>
      </c>
      <c r="G270" s="3">
        <v>4909499</v>
      </c>
      <c r="H270" t="s">
        <v>24</v>
      </c>
      <c r="I270" s="4">
        <v>36177712</v>
      </c>
      <c r="J270" t="s">
        <v>25</v>
      </c>
      <c r="K270" s="1">
        <v>43890</v>
      </c>
      <c r="L270">
        <v>82</v>
      </c>
      <c r="M270" s="2" t="str">
        <f>IF(Spotify[[#This Row],[Energie]]&gt;AVERAGE(Spotify[Energie]),"FORTE","FAIBLE")</f>
        <v>FORTE</v>
      </c>
      <c r="N270" s="2">
        <v>0.86</v>
      </c>
      <c r="O270" s="2">
        <v>0.79100000000000004</v>
      </c>
      <c r="P270" s="2">
        <v>5.6800000000000003E-2</v>
      </c>
      <c r="Q270" s="2">
        <v>0.16900000000000001</v>
      </c>
      <c r="R270" s="2">
        <v>0.106</v>
      </c>
      <c r="S270" s="2">
        <v>0.88700000000000001</v>
      </c>
      <c r="T270" s="2">
        <v>-4.7839999999999998</v>
      </c>
      <c r="U270">
        <v>175918</v>
      </c>
      <c r="V270">
        <f>YEAR(Spotify[[#This Row],[Date de sortie]])</f>
        <v>2020</v>
      </c>
      <c r="W270" s="2" t="str">
        <f>IF(Spotify[[#This Row],[Popularité]]&gt;=70,"FORTE","FAIBLE")</f>
        <v>FORTE</v>
      </c>
    </row>
    <row r="271" spans="1:23" x14ac:dyDescent="0.25">
      <c r="A271">
        <v>782</v>
      </c>
      <c r="B271">
        <v>102</v>
      </c>
      <c r="C271">
        <v>46</v>
      </c>
      <c r="D271" s="1">
        <v>43924</v>
      </c>
      <c r="E271" s="59" t="str" cm="1">
        <f t="array" ref="E27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271" t="s">
        <v>1361</v>
      </c>
      <c r="G271" s="3">
        <v>4872409</v>
      </c>
      <c r="H271" t="s">
        <v>1362</v>
      </c>
      <c r="I271" s="4">
        <v>661863</v>
      </c>
      <c r="J271" t="s">
        <v>371</v>
      </c>
      <c r="K271" s="1">
        <v>43381</v>
      </c>
      <c r="L271">
        <v>82</v>
      </c>
      <c r="M271" s="2" t="str">
        <f>IF(Spotify[[#This Row],[Energie]]&gt;AVERAGE(Spotify[Energie]),"FORTE","FAIBLE")</f>
        <v>FAIBLE</v>
      </c>
      <c r="N271" s="2">
        <v>0.498</v>
      </c>
      <c r="O271" s="2">
        <v>0.23499999999999999</v>
      </c>
      <c r="P271" s="2">
        <v>0.188</v>
      </c>
      <c r="Q271" s="2">
        <v>0.72</v>
      </c>
      <c r="R271" s="2">
        <v>0.14399999999999999</v>
      </c>
      <c r="S271" s="2">
        <v>8.9499999999999996E-2</v>
      </c>
      <c r="T271" s="2">
        <v>-16.541</v>
      </c>
      <c r="U271">
        <v>179080</v>
      </c>
      <c r="V271">
        <f>YEAR(Spotify[[#This Row],[Date de sortie]])</f>
        <v>2018</v>
      </c>
      <c r="W271" s="2" t="str">
        <f>IF(Spotify[[#This Row],[Popularité]]&gt;=70,"FORTE","FAIBLE")</f>
        <v>FORTE</v>
      </c>
    </row>
    <row r="272" spans="1:23" x14ac:dyDescent="0.25">
      <c r="A272">
        <v>297</v>
      </c>
      <c r="B272">
        <v>161</v>
      </c>
      <c r="C272">
        <v>41</v>
      </c>
      <c r="D272" s="1">
        <v>44008</v>
      </c>
      <c r="E272" s="59" t="str" cm="1">
        <f t="array" ref="E27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72" t="s">
        <v>582</v>
      </c>
      <c r="G272" s="3">
        <v>4862683</v>
      </c>
      <c r="H272" t="s">
        <v>583</v>
      </c>
      <c r="I272" s="4">
        <v>18191658</v>
      </c>
      <c r="J272" t="s">
        <v>19</v>
      </c>
      <c r="K272" s="1">
        <v>42832</v>
      </c>
      <c r="L272">
        <v>82</v>
      </c>
      <c r="M272" s="2" t="str">
        <f>IF(Spotify[[#This Row],[Energie]]&gt;AVERAGE(Spotify[Energie]),"FORTE","FAIBLE")</f>
        <v>FORTE</v>
      </c>
      <c r="N272" s="2">
        <v>0.61699999999999999</v>
      </c>
      <c r="O272" s="2">
        <v>0.63500000000000001</v>
      </c>
      <c r="P272" s="2">
        <v>3.1699999999999999E-2</v>
      </c>
      <c r="Q272" s="2">
        <v>4.9799999999999997E-2</v>
      </c>
      <c r="R272" s="2">
        <v>0.16400000000000001</v>
      </c>
      <c r="S272" s="2">
        <v>0.44600000000000001</v>
      </c>
      <c r="T272" s="2">
        <v>-6.7690000000000001</v>
      </c>
      <c r="U272">
        <v>247160</v>
      </c>
      <c r="V272">
        <f>YEAR(Spotify[[#This Row],[Date de sortie]])</f>
        <v>2017</v>
      </c>
      <c r="W272" s="2" t="str">
        <f>IF(Spotify[[#This Row],[Popularité]]&gt;=70,"FORTE","FAIBLE")</f>
        <v>FORTE</v>
      </c>
    </row>
    <row r="273" spans="1:23" x14ac:dyDescent="0.25">
      <c r="A273">
        <v>592</v>
      </c>
      <c r="B273">
        <v>41</v>
      </c>
      <c r="C273">
        <v>39</v>
      </c>
      <c r="D273" s="1">
        <v>44008</v>
      </c>
      <c r="E273" s="59" t="str" cm="1">
        <f t="array" ref="E27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73" t="s">
        <v>1058</v>
      </c>
      <c r="G273" s="3">
        <v>4855690</v>
      </c>
      <c r="H273" t="s">
        <v>592</v>
      </c>
      <c r="I273" s="4">
        <v>3916979</v>
      </c>
      <c r="J273" t="s">
        <v>19</v>
      </c>
      <c r="K273" s="1">
        <v>44092</v>
      </c>
      <c r="L273">
        <v>82</v>
      </c>
      <c r="M273" s="2" t="str">
        <f>IF(Spotify[[#This Row],[Energie]]&gt;AVERAGE(Spotify[Energie]),"FORTE","FAIBLE")</f>
        <v>FORTE</v>
      </c>
      <c r="N273" s="2">
        <v>0.63700000000000001</v>
      </c>
      <c r="O273" s="2">
        <v>0.69</v>
      </c>
      <c r="P273" s="2">
        <v>4.0500000000000001E-2</v>
      </c>
      <c r="Q273" s="2">
        <v>7.8600000000000007E-3</v>
      </c>
      <c r="R273" s="2">
        <v>0.124</v>
      </c>
      <c r="S273" s="2">
        <v>0.45700000000000002</v>
      </c>
      <c r="T273" s="2">
        <v>-4.0570000000000004</v>
      </c>
      <c r="U273">
        <v>162399</v>
      </c>
      <c r="V273">
        <f>YEAR(Spotify[[#This Row],[Date de sortie]])</f>
        <v>2020</v>
      </c>
      <c r="W273" s="2" t="str">
        <f>IF(Spotify[[#This Row],[Popularité]]&gt;=70,"FORTE","FAIBLE")</f>
        <v>FORTE</v>
      </c>
    </row>
    <row r="274" spans="1:23" x14ac:dyDescent="0.25">
      <c r="A274">
        <v>786</v>
      </c>
      <c r="B274">
        <v>156</v>
      </c>
      <c r="C274">
        <v>15</v>
      </c>
      <c r="D274" s="1">
        <v>43868</v>
      </c>
      <c r="E274" s="59" t="str" cm="1">
        <f t="array" ref="E27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74" t="s">
        <v>1369</v>
      </c>
      <c r="G274" s="3">
        <v>4732343</v>
      </c>
      <c r="H274" t="s">
        <v>1370</v>
      </c>
      <c r="I274" s="4">
        <v>4759367</v>
      </c>
      <c r="J274" t="s">
        <v>761</v>
      </c>
      <c r="K274" s="1">
        <v>43399</v>
      </c>
      <c r="L274">
        <v>82</v>
      </c>
      <c r="M274" s="2" t="str">
        <f>IF(Spotify[[#This Row],[Energie]]&gt;AVERAGE(Spotify[Energie]),"FORTE","FAIBLE")</f>
        <v>FAIBLE</v>
      </c>
      <c r="N274" s="2">
        <v>0.51500000000000001</v>
      </c>
      <c r="O274" s="2">
        <v>0.47899999999999998</v>
      </c>
      <c r="P274" s="2">
        <v>2.6100000000000002E-2</v>
      </c>
      <c r="Q274" s="2">
        <v>0.54400000000000004</v>
      </c>
      <c r="R274" s="2">
        <v>0.191</v>
      </c>
      <c r="S274" s="2">
        <v>0.28399999999999997</v>
      </c>
      <c r="T274" s="2">
        <v>-7.4580000000000002</v>
      </c>
      <c r="U274">
        <v>209274</v>
      </c>
      <c r="V274">
        <f>YEAR(Spotify[[#This Row],[Date de sortie]])</f>
        <v>2018</v>
      </c>
      <c r="W274" s="2" t="str">
        <f>IF(Spotify[[#This Row],[Popularité]]&gt;=70,"FORTE","FAIBLE")</f>
        <v>FORTE</v>
      </c>
    </row>
    <row r="275" spans="1:23" x14ac:dyDescent="0.25">
      <c r="A275">
        <v>612</v>
      </c>
      <c r="B275">
        <v>66</v>
      </c>
      <c r="C275">
        <v>46</v>
      </c>
      <c r="D275" s="1">
        <v>43826</v>
      </c>
      <c r="E275" s="59" t="str" cm="1">
        <f t="array" ref="E27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75" t="s">
        <v>1085</v>
      </c>
      <c r="G275" s="3">
        <v>4655272</v>
      </c>
      <c r="H275" t="s">
        <v>1086</v>
      </c>
      <c r="I275" s="4">
        <v>31552500</v>
      </c>
      <c r="J275" t="s">
        <v>121</v>
      </c>
      <c r="K275" s="1">
        <v>43329</v>
      </c>
      <c r="L275">
        <v>82</v>
      </c>
      <c r="M275" s="2" t="str">
        <f>IF(Spotify[[#This Row],[Energie]]&gt;AVERAGE(Spotify[Energie]),"FORTE","FAIBLE")</f>
        <v>FORTE</v>
      </c>
      <c r="N275" s="2">
        <v>0.68700000000000006</v>
      </c>
      <c r="O275" s="2">
        <v>0.79200000000000004</v>
      </c>
      <c r="P275" s="2">
        <v>4.5199999999999997E-2</v>
      </c>
      <c r="Q275" s="2">
        <v>0.191</v>
      </c>
      <c r="R275" s="2">
        <v>0.16700000000000001</v>
      </c>
      <c r="S275" s="2">
        <v>0.67100000000000004</v>
      </c>
      <c r="T275" s="2">
        <v>-2.7490000000000001</v>
      </c>
      <c r="U275">
        <v>214290</v>
      </c>
      <c r="V275">
        <f>YEAR(Spotify[[#This Row],[Date de sortie]])</f>
        <v>2018</v>
      </c>
      <c r="W275" s="2" t="str">
        <f>IF(Spotify[[#This Row],[Popularité]]&gt;=70,"FORTE","FAIBLE")</f>
        <v>FORTE</v>
      </c>
    </row>
    <row r="276" spans="1:23" x14ac:dyDescent="0.25">
      <c r="A276">
        <v>929</v>
      </c>
      <c r="B276">
        <v>27</v>
      </c>
      <c r="C276">
        <v>36</v>
      </c>
      <c r="D276" s="1">
        <v>43826</v>
      </c>
      <c r="E276" s="59" t="str" cm="1">
        <f t="array" ref="E27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276" t="s">
        <v>1587</v>
      </c>
      <c r="G276" s="3">
        <v>4597001</v>
      </c>
      <c r="H276" t="s">
        <v>1588</v>
      </c>
      <c r="I276" s="4">
        <v>437907</v>
      </c>
      <c r="J276" t="s">
        <v>186</v>
      </c>
      <c r="K276" s="1">
        <v>43826</v>
      </c>
      <c r="L276">
        <v>82</v>
      </c>
      <c r="M276" s="2" t="str">
        <f>IF(Spotify[[#This Row],[Energie]]&gt;AVERAGE(Spotify[Energie]),"FORTE","FAIBLE")</f>
        <v>FAIBLE</v>
      </c>
      <c r="N276" s="2">
        <v>0.80200000000000005</v>
      </c>
      <c r="O276" s="2">
        <v>0.59099999999999997</v>
      </c>
      <c r="P276" s="2">
        <v>0.22500000000000001</v>
      </c>
      <c r="Q276" s="2">
        <v>1.04E-2</v>
      </c>
      <c r="R276" s="2">
        <v>0.19600000000000001</v>
      </c>
      <c r="S276" s="2">
        <v>0.309</v>
      </c>
      <c r="T276" s="2">
        <v>-4.8949999999999996</v>
      </c>
      <c r="U276">
        <v>157712</v>
      </c>
      <c r="V276">
        <f>YEAR(Spotify[[#This Row],[Date de sortie]])</f>
        <v>2019</v>
      </c>
      <c r="W276" s="2" t="str">
        <f>IF(Spotify[[#This Row],[Popularité]]&gt;=70,"FORTE","FAIBLE")</f>
        <v>FORTE</v>
      </c>
    </row>
    <row r="277" spans="1:23" x14ac:dyDescent="0.25">
      <c r="A277">
        <v>1213</v>
      </c>
      <c r="B277">
        <v>130</v>
      </c>
      <c r="C277">
        <v>11</v>
      </c>
      <c r="D277" s="1">
        <v>43826</v>
      </c>
      <c r="E277" s="59" t="str" cm="1">
        <f t="array" ref="E27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277" t="s">
        <v>1985</v>
      </c>
      <c r="G277" s="3">
        <v>4565400</v>
      </c>
      <c r="H277" t="s">
        <v>179</v>
      </c>
      <c r="I277" s="4">
        <v>56327031</v>
      </c>
      <c r="J277" t="s">
        <v>155</v>
      </c>
      <c r="K277" s="1">
        <v>43280</v>
      </c>
      <c r="L277">
        <v>82</v>
      </c>
      <c r="M277" s="2" t="str">
        <f>IF(Spotify[[#This Row],[Energie]]&gt;AVERAGE(Spotify[Energie]),"FORTE","FAIBLE")</f>
        <v>FAIBLE</v>
      </c>
      <c r="N277" s="2">
        <v>0.754</v>
      </c>
      <c r="O277" s="2">
        <v>0.44900000000000001</v>
      </c>
      <c r="P277" s="2">
        <v>0.109</v>
      </c>
      <c r="Q277" s="2">
        <v>3.32E-2</v>
      </c>
      <c r="R277" s="2">
        <v>0.55200000000000005</v>
      </c>
      <c r="S277" s="2">
        <v>0.35699999999999998</v>
      </c>
      <c r="T277" s="2">
        <v>-9.2110000000000003</v>
      </c>
      <c r="U277">
        <v>198973</v>
      </c>
      <c r="V277">
        <f>YEAR(Spotify[[#This Row],[Date de sortie]])</f>
        <v>2018</v>
      </c>
      <c r="W277" s="2" t="str">
        <f>IF(Spotify[[#This Row],[Popularité]]&gt;=70,"FORTE","FAIBLE")</f>
        <v>FORTE</v>
      </c>
    </row>
    <row r="278" spans="1:23" x14ac:dyDescent="0.25">
      <c r="A278">
        <v>617</v>
      </c>
      <c r="B278">
        <v>27</v>
      </c>
      <c r="C278">
        <v>45</v>
      </c>
      <c r="D278" s="1">
        <v>43868</v>
      </c>
      <c r="E278" s="59" t="str" cm="1">
        <f t="array" ref="E27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78" t="s">
        <v>1093</v>
      </c>
      <c r="G278" s="3">
        <v>4516053</v>
      </c>
      <c r="H278" t="s">
        <v>1094</v>
      </c>
      <c r="I278" s="4">
        <v>441714</v>
      </c>
      <c r="J278" t="s">
        <v>19</v>
      </c>
      <c r="K278" s="1">
        <v>43749</v>
      </c>
      <c r="L278">
        <v>82</v>
      </c>
      <c r="M278" s="2" t="str">
        <f>IF(Spotify[[#This Row],[Energie]]&gt;AVERAGE(Spotify[Energie]),"FORTE","FAIBLE")</f>
        <v>FAIBLE</v>
      </c>
      <c r="N278" s="2">
        <v>0.59799999999999998</v>
      </c>
      <c r="O278" s="2">
        <v>0.52600000000000002</v>
      </c>
      <c r="P278" s="2">
        <v>4.1500000000000002E-2</v>
      </c>
      <c r="Q278" s="2">
        <v>0.129</v>
      </c>
      <c r="R278" s="2">
        <v>0.14000000000000001</v>
      </c>
      <c r="S278" s="2">
        <v>0.52900000000000003</v>
      </c>
      <c r="T278" s="2">
        <v>-8.6590000000000007</v>
      </c>
      <c r="U278">
        <v>168387</v>
      </c>
      <c r="V278">
        <f>YEAR(Spotify[[#This Row],[Date de sortie]])</f>
        <v>2019</v>
      </c>
      <c r="W278" s="2" t="str">
        <f>IF(Spotify[[#This Row],[Popularité]]&gt;=70,"FORTE","FAIBLE")</f>
        <v>FORTE</v>
      </c>
    </row>
    <row r="279" spans="1:23" x14ac:dyDescent="0.25">
      <c r="A279">
        <v>1072</v>
      </c>
      <c r="B279">
        <v>147</v>
      </c>
      <c r="C279">
        <v>27</v>
      </c>
      <c r="D279" s="1">
        <v>43833</v>
      </c>
      <c r="E279" s="59" t="str" cm="1">
        <f t="array" ref="E27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79" t="s">
        <v>1785</v>
      </c>
      <c r="G279" s="3">
        <v>4430642</v>
      </c>
      <c r="H279" t="s">
        <v>1786</v>
      </c>
      <c r="I279" s="4">
        <v>4442273</v>
      </c>
      <c r="J279" t="s">
        <v>19</v>
      </c>
      <c r="K279" s="1">
        <v>43251</v>
      </c>
      <c r="L279">
        <v>82</v>
      </c>
      <c r="M279" s="2" t="str">
        <f>IF(Spotify[[#This Row],[Energie]]&gt;AVERAGE(Spotify[Energie]),"FORTE","FAIBLE")</f>
        <v>FAIBLE</v>
      </c>
      <c r="N279" s="2">
        <v>0.752</v>
      </c>
      <c r="O279" s="2">
        <v>0.505</v>
      </c>
      <c r="P279" s="2">
        <v>0.253</v>
      </c>
      <c r="Q279" s="2">
        <v>0.53500000000000003</v>
      </c>
      <c r="R279" s="2">
        <v>0.104</v>
      </c>
      <c r="S279" s="2">
        <v>0.41899999999999998</v>
      </c>
      <c r="T279" s="2">
        <v>-7.6210000000000004</v>
      </c>
      <c r="U279">
        <v>197437</v>
      </c>
      <c r="V279">
        <f>YEAR(Spotify[[#This Row],[Date de sortie]])</f>
        <v>2018</v>
      </c>
      <c r="W279" s="2" t="str">
        <f>IF(Spotify[[#This Row],[Popularité]]&gt;=70,"FORTE","FAIBLE")</f>
        <v>FORTE</v>
      </c>
    </row>
    <row r="280" spans="1:23" x14ac:dyDescent="0.25">
      <c r="A280">
        <v>1112</v>
      </c>
      <c r="B280">
        <v>161</v>
      </c>
      <c r="C280">
        <v>19</v>
      </c>
      <c r="D280" s="1">
        <v>43833</v>
      </c>
      <c r="E280" s="59" t="str" cm="1">
        <f t="array" ref="E28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80" t="s">
        <v>1846</v>
      </c>
      <c r="G280" s="3">
        <v>4393932</v>
      </c>
      <c r="H280" t="s">
        <v>1847</v>
      </c>
      <c r="I280" s="4">
        <v>2808285</v>
      </c>
      <c r="J280" t="s">
        <v>222</v>
      </c>
      <c r="K280" s="1">
        <v>43420</v>
      </c>
      <c r="L280">
        <v>82</v>
      </c>
      <c r="M280" s="2" t="str">
        <f>IF(Spotify[[#This Row],[Energie]]&gt;AVERAGE(Spotify[Energie]),"FORTE","FAIBLE")</f>
        <v>FAIBLE</v>
      </c>
      <c r="N280" s="2">
        <v>0.65200000000000002</v>
      </c>
      <c r="O280" s="2">
        <v>0.55700000000000005</v>
      </c>
      <c r="P280" s="2">
        <v>3.1800000000000002E-2</v>
      </c>
      <c r="Q280" s="2">
        <v>0.74</v>
      </c>
      <c r="R280" s="2">
        <v>0.124</v>
      </c>
      <c r="S280" s="2">
        <v>0.48299999999999998</v>
      </c>
      <c r="T280" s="2">
        <v>-5.7140000000000004</v>
      </c>
      <c r="U280">
        <v>169354</v>
      </c>
      <c r="V280">
        <f>YEAR(Spotify[[#This Row],[Date de sortie]])</f>
        <v>2018</v>
      </c>
      <c r="W280" s="2" t="str">
        <f>IF(Spotify[[#This Row],[Popularité]]&gt;=70,"FORTE","FAIBLE")</f>
        <v>FORTE</v>
      </c>
    </row>
    <row r="281" spans="1:23" x14ac:dyDescent="0.25">
      <c r="A281">
        <v>1125</v>
      </c>
      <c r="B281">
        <v>137</v>
      </c>
      <c r="C281">
        <v>10</v>
      </c>
      <c r="D281" s="1">
        <v>43896</v>
      </c>
      <c r="E281" s="59" t="str" cm="1">
        <f t="array" ref="E28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281" t="s">
        <v>1866</v>
      </c>
      <c r="G281" s="3">
        <v>4314080</v>
      </c>
      <c r="H281" t="s">
        <v>1780</v>
      </c>
      <c r="I281" s="4">
        <v>11821805</v>
      </c>
      <c r="J281" t="s">
        <v>235</v>
      </c>
      <c r="K281" s="1">
        <v>42972</v>
      </c>
      <c r="L281">
        <v>82</v>
      </c>
      <c r="M281" s="2" t="str">
        <f>IF(Spotify[[#This Row],[Energie]]&gt;AVERAGE(Spotify[Energie]),"FORTE","FAIBLE")</f>
        <v>FORTE</v>
      </c>
      <c r="N281" s="2">
        <v>0.73199999999999998</v>
      </c>
      <c r="O281" s="2">
        <v>0.75</v>
      </c>
      <c r="P281" s="2">
        <v>0.23100000000000001</v>
      </c>
      <c r="Q281" s="2">
        <v>2.64E-3</v>
      </c>
      <c r="R281" s="2">
        <v>0.109</v>
      </c>
      <c r="S281" s="2">
        <v>0.40100000000000002</v>
      </c>
      <c r="T281" s="2">
        <v>-6.3659999999999997</v>
      </c>
      <c r="U281">
        <v>182707</v>
      </c>
      <c r="V281">
        <f>YEAR(Spotify[[#This Row],[Date de sortie]])</f>
        <v>2017</v>
      </c>
      <c r="W281" s="2" t="str">
        <f>IF(Spotify[[#This Row],[Popularité]]&gt;=70,"FORTE","FAIBLE")</f>
        <v>FORTE</v>
      </c>
    </row>
    <row r="282" spans="1:23" x14ac:dyDescent="0.25">
      <c r="A282">
        <v>316</v>
      </c>
      <c r="B282">
        <v>97</v>
      </c>
      <c r="C282">
        <v>1</v>
      </c>
      <c r="D282" s="1">
        <v>44351</v>
      </c>
      <c r="E282" s="59" t="str" cm="1">
        <f t="array" ref="E28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282" t="s">
        <v>608</v>
      </c>
      <c r="G282" s="3">
        <v>7324233</v>
      </c>
      <c r="H282" t="s">
        <v>609</v>
      </c>
      <c r="I282" s="4">
        <v>7805880</v>
      </c>
      <c r="J282" t="s">
        <v>531</v>
      </c>
      <c r="K282" s="1">
        <v>44351</v>
      </c>
      <c r="L282">
        <v>81</v>
      </c>
      <c r="M282" s="2" t="str">
        <f>IF(Spotify[[#This Row],[Energie]]&gt;AVERAGE(Spotify[Energie]),"FORTE","FAIBLE")</f>
        <v>FORTE</v>
      </c>
      <c r="N282" s="2">
        <v>0.59599999999999997</v>
      </c>
      <c r="O282" s="2">
        <v>0.65</v>
      </c>
      <c r="P282" s="2">
        <v>0.33700000000000002</v>
      </c>
      <c r="Q282" s="2">
        <v>0.13800000000000001</v>
      </c>
      <c r="R282" s="2">
        <v>0.14000000000000001</v>
      </c>
      <c r="S282" s="2">
        <v>0.188</v>
      </c>
      <c r="T282" s="2">
        <v>-5.1669999999999998</v>
      </c>
      <c r="U282">
        <v>257428</v>
      </c>
      <c r="V282">
        <f>YEAR(Spotify[[#This Row],[Date de sortie]])</f>
        <v>2021</v>
      </c>
      <c r="W282" s="2" t="str">
        <f>IF(Spotify[[#This Row],[Popularité]]&gt;=70,"FORTE","FAIBLE")</f>
        <v>FORTE</v>
      </c>
    </row>
    <row r="283" spans="1:23" x14ac:dyDescent="0.25">
      <c r="A283">
        <v>341</v>
      </c>
      <c r="B283">
        <v>25</v>
      </c>
      <c r="C283">
        <v>5</v>
      </c>
      <c r="D283" s="1">
        <v>44288</v>
      </c>
      <c r="E283" s="59" t="str" cm="1">
        <f t="array" ref="E28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83" t="s">
        <v>646</v>
      </c>
      <c r="G283" s="3">
        <v>7198095</v>
      </c>
      <c r="H283" t="s">
        <v>32</v>
      </c>
      <c r="I283" s="4">
        <v>37106176</v>
      </c>
      <c r="J283" t="s">
        <v>33</v>
      </c>
      <c r="K283" s="1">
        <v>44287</v>
      </c>
      <c r="L283">
        <v>81</v>
      </c>
      <c r="M283" s="2" t="str">
        <f>IF(Spotify[[#This Row],[Energie]]&gt;AVERAGE(Spotify[Energie]),"FORTE","FAIBLE")</f>
        <v>FORTE</v>
      </c>
      <c r="N283" s="2">
        <v>0.499</v>
      </c>
      <c r="O283" s="2">
        <v>0.70899999999999996</v>
      </c>
      <c r="P283" s="2">
        <v>0.13400000000000001</v>
      </c>
      <c r="Q283" s="2">
        <v>0.29599999999999999</v>
      </c>
      <c r="R283" s="2">
        <v>0.33100000000000002</v>
      </c>
      <c r="S283" s="2">
        <v>0.314</v>
      </c>
      <c r="T283" s="2">
        <v>-6.4039999999999999</v>
      </c>
      <c r="U283">
        <v>214621</v>
      </c>
      <c r="V283">
        <f>YEAR(Spotify[[#This Row],[Date de sortie]])</f>
        <v>2021</v>
      </c>
      <c r="W283" s="2" t="str">
        <f>IF(Spotify[[#This Row],[Popularité]]&gt;=70,"FORTE","FAIBLE")</f>
        <v>FORTE</v>
      </c>
    </row>
    <row r="284" spans="1:23" x14ac:dyDescent="0.25">
      <c r="A284">
        <v>318</v>
      </c>
      <c r="B284">
        <v>126</v>
      </c>
      <c r="C284">
        <v>1</v>
      </c>
      <c r="D284" s="1">
        <v>44351</v>
      </c>
      <c r="E284" s="59" t="str" cm="1">
        <f t="array" ref="E28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284" t="s">
        <v>611</v>
      </c>
      <c r="G284" s="3">
        <v>6249801</v>
      </c>
      <c r="H284" t="s">
        <v>609</v>
      </c>
      <c r="I284" s="4">
        <v>7805880</v>
      </c>
      <c r="J284" t="s">
        <v>531</v>
      </c>
      <c r="K284" s="1">
        <v>44351</v>
      </c>
      <c r="L284">
        <v>81</v>
      </c>
      <c r="M284" s="2" t="str">
        <f>IF(Spotify[[#This Row],[Energie]]&gt;AVERAGE(Spotify[Energie]),"FORTE","FAIBLE")</f>
        <v>FORTE</v>
      </c>
      <c r="N284" s="2">
        <v>0.59599999999999997</v>
      </c>
      <c r="O284" s="2">
        <v>0.65</v>
      </c>
      <c r="P284" s="2">
        <v>0.33700000000000002</v>
      </c>
      <c r="Q284" s="2">
        <v>0.13800000000000001</v>
      </c>
      <c r="R284" s="2">
        <v>0.14000000000000001</v>
      </c>
      <c r="S284" s="2">
        <v>0.188</v>
      </c>
      <c r="T284" s="2">
        <v>-5.1669999999999998</v>
      </c>
      <c r="U284">
        <v>257428</v>
      </c>
      <c r="V284">
        <f>YEAR(Spotify[[#This Row],[Date de sortie]])</f>
        <v>2021</v>
      </c>
      <c r="W284" s="2" t="str">
        <f>IF(Spotify[[#This Row],[Popularité]]&gt;=70,"FORTE","FAIBLE")</f>
        <v>FORTE</v>
      </c>
    </row>
    <row r="285" spans="1:23" x14ac:dyDescent="0.25">
      <c r="A285">
        <v>365</v>
      </c>
      <c r="B285">
        <v>34</v>
      </c>
      <c r="C285">
        <v>3</v>
      </c>
      <c r="D285" s="1">
        <v>44316</v>
      </c>
      <c r="E285" s="59" t="str" cm="1">
        <f t="array" ref="E28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285" t="s">
        <v>688</v>
      </c>
      <c r="G285" s="3">
        <v>6081034</v>
      </c>
      <c r="H285" t="s">
        <v>6</v>
      </c>
      <c r="I285" s="4">
        <v>2230022</v>
      </c>
      <c r="J285" t="s">
        <v>7</v>
      </c>
      <c r="K285" s="1">
        <v>44316</v>
      </c>
      <c r="L285">
        <v>81</v>
      </c>
      <c r="M285" s="2" t="str">
        <f>IF(Spotify[[#This Row],[Energie]]&gt;AVERAGE(Spotify[Energie]),"FORTE","FAIBLE")</f>
        <v>FAIBLE</v>
      </c>
      <c r="N285" s="2">
        <v>0.65500000000000003</v>
      </c>
      <c r="O285" s="2">
        <v>0.46899999999999997</v>
      </c>
      <c r="P285" s="2">
        <v>2.92E-2</v>
      </c>
      <c r="Q285" s="2">
        <v>0.17299999999999999</v>
      </c>
      <c r="R285" s="2">
        <v>9.5600000000000004E-2</v>
      </c>
      <c r="S285" s="2">
        <v>0.46700000000000003</v>
      </c>
      <c r="T285" s="2">
        <v>-6.2569999999999997</v>
      </c>
      <c r="U285">
        <v>161385</v>
      </c>
      <c r="V285">
        <f>YEAR(Spotify[[#This Row],[Date de sortie]])</f>
        <v>2021</v>
      </c>
      <c r="W285" s="2" t="str">
        <f>IF(Spotify[[#This Row],[Popularité]]&gt;=70,"FORTE","FAIBLE")</f>
        <v>FORTE</v>
      </c>
    </row>
    <row r="286" spans="1:23" x14ac:dyDescent="0.25">
      <c r="A286">
        <v>319</v>
      </c>
      <c r="B286">
        <v>134</v>
      </c>
      <c r="C286">
        <v>1</v>
      </c>
      <c r="D286" s="1">
        <v>44351</v>
      </c>
      <c r="E286" s="59" t="str" cm="1">
        <f t="array" ref="E28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286" t="s">
        <v>612</v>
      </c>
      <c r="G286" s="3">
        <v>6040553</v>
      </c>
      <c r="H286" t="s">
        <v>613</v>
      </c>
      <c r="I286" s="4">
        <v>4136553</v>
      </c>
      <c r="J286" t="s">
        <v>33</v>
      </c>
      <c r="K286" s="1">
        <v>44347</v>
      </c>
      <c r="L286">
        <v>81</v>
      </c>
      <c r="M286" s="2" t="str">
        <f>IF(Spotify[[#This Row],[Energie]]&gt;AVERAGE(Spotify[Energie]),"FORTE","FAIBLE")</f>
        <v>FORTE</v>
      </c>
      <c r="N286" s="2">
        <v>0.58399999999999996</v>
      </c>
      <c r="O286" s="2">
        <v>0.83599999999999997</v>
      </c>
      <c r="P286" s="2">
        <v>7.9000000000000001E-2</v>
      </c>
      <c r="Q286" s="2">
        <v>5.5800000000000002E-2</v>
      </c>
      <c r="R286" s="2">
        <v>6.6299999999999998E-2</v>
      </c>
      <c r="S286" s="2">
        <v>0.48399999999999999</v>
      </c>
      <c r="T286" s="2">
        <v>-4.9249999999999998</v>
      </c>
      <c r="U286">
        <v>202204</v>
      </c>
      <c r="V286">
        <f>YEAR(Spotify[[#This Row],[Date de sortie]])</f>
        <v>2021</v>
      </c>
      <c r="W286" s="2" t="str">
        <f>IF(Spotify[[#This Row],[Popularité]]&gt;=70,"FORTE","FAIBLE")</f>
        <v>FORTE</v>
      </c>
    </row>
    <row r="287" spans="1:23" x14ac:dyDescent="0.25">
      <c r="A287">
        <v>206</v>
      </c>
      <c r="B287">
        <v>76</v>
      </c>
      <c r="C287">
        <v>4</v>
      </c>
      <c r="D287" s="1">
        <v>44365</v>
      </c>
      <c r="E287" s="59" t="str" cm="1">
        <f t="array" ref="E28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287" t="s">
        <v>420</v>
      </c>
      <c r="G287" s="3">
        <v>5883145</v>
      </c>
      <c r="H287" t="s">
        <v>421</v>
      </c>
      <c r="I287" s="4">
        <v>2008516</v>
      </c>
      <c r="J287" t="s">
        <v>217</v>
      </c>
      <c r="K287" s="1">
        <v>44365</v>
      </c>
      <c r="L287">
        <v>81</v>
      </c>
      <c r="M287" s="2" t="str">
        <f>IF(Spotify[[#This Row],[Energie]]&gt;AVERAGE(Spotify[Energie]),"FORTE","FAIBLE")</f>
        <v>FORTE</v>
      </c>
      <c r="N287" s="2">
        <v>0.35599999999999998</v>
      </c>
      <c r="O287" s="2">
        <v>0.68400000000000005</v>
      </c>
      <c r="P287" s="2">
        <v>8.7800000000000003E-2</v>
      </c>
      <c r="Q287" s="2">
        <v>0.152</v>
      </c>
      <c r="R287" s="2">
        <v>0.10100000000000001</v>
      </c>
      <c r="S287" s="2">
        <v>0.34699999999999998</v>
      </c>
      <c r="T287" s="2">
        <v>-7.3470000000000004</v>
      </c>
      <c r="U287">
        <v>193733</v>
      </c>
      <c r="V287">
        <f>YEAR(Spotify[[#This Row],[Date de sortie]])</f>
        <v>2021</v>
      </c>
      <c r="W287" s="2" t="str">
        <f>IF(Spotify[[#This Row],[Popularité]]&gt;=70,"FORTE","FAIBLE")</f>
        <v>FORTE</v>
      </c>
    </row>
    <row r="288" spans="1:23" x14ac:dyDescent="0.25">
      <c r="A288">
        <v>154</v>
      </c>
      <c r="B288">
        <v>154</v>
      </c>
      <c r="C288">
        <v>1</v>
      </c>
      <c r="D288" s="1">
        <v>44400</v>
      </c>
      <c r="E288" s="59" t="str" cm="1">
        <f t="array" ref="E28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88" t="s">
        <v>329</v>
      </c>
      <c r="G288" s="3">
        <v>5618268</v>
      </c>
      <c r="H288" t="s">
        <v>330</v>
      </c>
      <c r="I288" s="4">
        <v>409173</v>
      </c>
      <c r="J288"/>
      <c r="K288" s="1">
        <v>44348</v>
      </c>
      <c r="L288">
        <v>81</v>
      </c>
      <c r="M288" s="2" t="str">
        <f>IF(Spotify[[#This Row],[Energie]]&gt;AVERAGE(Spotify[Energie]),"FORTE","FAIBLE")</f>
        <v>FORTE</v>
      </c>
      <c r="N288" s="2">
        <v>0.66700000000000004</v>
      </c>
      <c r="O288" s="2">
        <v>0.89900000000000002</v>
      </c>
      <c r="P288" s="2">
        <v>3.2199999999999999E-2</v>
      </c>
      <c r="Q288" s="2">
        <v>0.42299999999999999</v>
      </c>
      <c r="R288" s="2">
        <v>0.33200000000000002</v>
      </c>
      <c r="S288" s="2">
        <v>0.83499999999999996</v>
      </c>
      <c r="T288" s="2">
        <v>-4.4020000000000001</v>
      </c>
      <c r="U288">
        <v>239928</v>
      </c>
      <c r="V288">
        <f>YEAR(Spotify[[#This Row],[Date de sortie]])</f>
        <v>2021</v>
      </c>
      <c r="W288" s="2" t="str">
        <f>IF(Spotify[[#This Row],[Popularité]]&gt;=70,"FORTE","FAIBLE")</f>
        <v>FORTE</v>
      </c>
    </row>
    <row r="289" spans="1:23" x14ac:dyDescent="0.25">
      <c r="A289">
        <v>367</v>
      </c>
      <c r="B289">
        <v>87</v>
      </c>
      <c r="C289">
        <v>10</v>
      </c>
      <c r="D289" s="1">
        <v>44288</v>
      </c>
      <c r="E289" s="59" t="str" cm="1">
        <f t="array" ref="E28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89" t="s">
        <v>691</v>
      </c>
      <c r="G289" s="3">
        <v>5518444</v>
      </c>
      <c r="H289" t="s">
        <v>692</v>
      </c>
      <c r="I289" s="4">
        <v>2123734</v>
      </c>
      <c r="J289" t="s">
        <v>25</v>
      </c>
      <c r="K289" s="1">
        <v>44266</v>
      </c>
      <c r="L289">
        <v>81</v>
      </c>
      <c r="M289" s="2" t="str">
        <f>IF(Spotify[[#This Row],[Energie]]&gt;AVERAGE(Spotify[Energie]),"FORTE","FAIBLE")</f>
        <v>FORTE</v>
      </c>
      <c r="N289" s="2">
        <v>0.73899999999999999</v>
      </c>
      <c r="O289" s="2">
        <v>0.78800000000000003</v>
      </c>
      <c r="P289" s="2">
        <v>7.3099999999999998E-2</v>
      </c>
      <c r="Q289" s="2">
        <v>5.1299999999999998E-2</v>
      </c>
      <c r="R289" s="2">
        <v>0.28199999999999997</v>
      </c>
      <c r="S289" s="2">
        <v>0.47299999999999998</v>
      </c>
      <c r="T289" s="2">
        <v>-5.1980000000000004</v>
      </c>
      <c r="U289">
        <v>324426</v>
      </c>
      <c r="V289">
        <f>YEAR(Spotify[[#This Row],[Date de sortie]])</f>
        <v>2021</v>
      </c>
      <c r="W289" s="2" t="str">
        <f>IF(Spotify[[#This Row],[Popularité]]&gt;=70,"FORTE","FAIBLE")</f>
        <v>FORTE</v>
      </c>
    </row>
    <row r="290" spans="1:23" x14ac:dyDescent="0.25">
      <c r="A290">
        <v>470</v>
      </c>
      <c r="B290">
        <v>34</v>
      </c>
      <c r="C290">
        <v>29</v>
      </c>
      <c r="D290" s="1">
        <v>44141</v>
      </c>
      <c r="E290" s="59" t="str" cm="1">
        <f t="array" ref="E29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90" t="s">
        <v>857</v>
      </c>
      <c r="G290" s="3">
        <v>5466954</v>
      </c>
      <c r="H290" t="s">
        <v>858</v>
      </c>
      <c r="I290" s="4">
        <v>29238936</v>
      </c>
      <c r="J290" t="s">
        <v>25</v>
      </c>
      <c r="K290" s="1">
        <v>44078</v>
      </c>
      <c r="L290">
        <v>81</v>
      </c>
      <c r="M290" s="2" t="str">
        <f>IF(Spotify[[#This Row],[Energie]]&gt;AVERAGE(Spotify[Energie]),"FORTE","FAIBLE")</f>
        <v>FORTE</v>
      </c>
      <c r="N290" s="2">
        <v>0.71399999999999997</v>
      </c>
      <c r="O290" s="2">
        <v>0.76100000000000001</v>
      </c>
      <c r="P290" s="2">
        <v>4.2700000000000002E-2</v>
      </c>
      <c r="Q290" s="2">
        <v>0.13900000000000001</v>
      </c>
      <c r="R290" s="2">
        <v>0.24099999999999999</v>
      </c>
      <c r="S290" s="2">
        <v>0.90600000000000003</v>
      </c>
      <c r="T290" s="2">
        <v>-4.5960000000000001</v>
      </c>
      <c r="U290">
        <v>230693</v>
      </c>
      <c r="V290">
        <f>YEAR(Spotify[[#This Row],[Date de sortie]])</f>
        <v>2020</v>
      </c>
      <c r="W290" s="2" t="str">
        <f>IF(Spotify[[#This Row],[Popularité]]&gt;=70,"FORTE","FAIBLE")</f>
        <v>FORTE</v>
      </c>
    </row>
    <row r="291" spans="1:23" x14ac:dyDescent="0.25">
      <c r="A291">
        <v>744</v>
      </c>
      <c r="B291">
        <v>63</v>
      </c>
      <c r="C291">
        <v>24</v>
      </c>
      <c r="D291" s="1">
        <v>43959</v>
      </c>
      <c r="E291" s="59" t="str" cm="1">
        <f t="array" ref="E29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91" t="s">
        <v>1292</v>
      </c>
      <c r="G291" s="3">
        <v>5463964</v>
      </c>
      <c r="H291" t="s">
        <v>1293</v>
      </c>
      <c r="I291" s="4">
        <v>2435159</v>
      </c>
      <c r="J291" t="s">
        <v>25</v>
      </c>
      <c r="K291" s="1">
        <v>43960</v>
      </c>
      <c r="L291">
        <v>81</v>
      </c>
      <c r="M291" s="2" t="str">
        <f>IF(Spotify[[#This Row],[Energie]]&gt;AVERAGE(Spotify[Energie]),"FORTE","FAIBLE")</f>
        <v>FAIBLE</v>
      </c>
      <c r="N291" s="2">
        <v>0.80700000000000005</v>
      </c>
      <c r="O291" s="2">
        <v>0.60599999999999998</v>
      </c>
      <c r="P291" s="2">
        <v>8.7999999999999995E-2</v>
      </c>
      <c r="Q291" s="2">
        <v>9.4600000000000004E-2</v>
      </c>
      <c r="R291" s="2">
        <v>0.11899999999999999</v>
      </c>
      <c r="S291" s="2">
        <v>0.30399999999999999</v>
      </c>
      <c r="T291" s="2">
        <v>-8.8710000000000004</v>
      </c>
      <c r="U291">
        <v>227520</v>
      </c>
      <c r="V291">
        <f>YEAR(Spotify[[#This Row],[Date de sortie]])</f>
        <v>2020</v>
      </c>
      <c r="W291" s="2" t="str">
        <f>IF(Spotify[[#This Row],[Popularité]]&gt;=70,"FORTE","FAIBLE")</f>
        <v>FORTE</v>
      </c>
    </row>
    <row r="292" spans="1:23" x14ac:dyDescent="0.25">
      <c r="A292">
        <v>242</v>
      </c>
      <c r="B292">
        <v>152</v>
      </c>
      <c r="C292">
        <v>2</v>
      </c>
      <c r="D292" s="1">
        <v>44372</v>
      </c>
      <c r="E292" s="59" t="str" cm="1">
        <f t="array" ref="E29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92" t="s">
        <v>487</v>
      </c>
      <c r="G292" s="3">
        <v>5347263</v>
      </c>
      <c r="H292" t="s">
        <v>181</v>
      </c>
      <c r="I292" s="4">
        <v>1042079</v>
      </c>
      <c r="J292" t="s">
        <v>182</v>
      </c>
      <c r="K292" s="1">
        <v>44357</v>
      </c>
      <c r="L292">
        <v>81</v>
      </c>
      <c r="M292" s="2" t="str">
        <f>IF(Spotify[[#This Row],[Energie]]&gt;AVERAGE(Spotify[Energie]),"FORTE","FAIBLE")</f>
        <v>FAIBLE</v>
      </c>
      <c r="N292" s="2">
        <v>0.35199999999999998</v>
      </c>
      <c r="O292" s="2">
        <v>0.42399999999999999</v>
      </c>
      <c r="P292" s="2">
        <v>3.9399999999999998E-2</v>
      </c>
      <c r="Q292" s="2">
        <v>0.73299999999999998</v>
      </c>
      <c r="R292" s="2">
        <v>6.6400000000000001E-2</v>
      </c>
      <c r="S292" s="2">
        <v>0.14099999999999999</v>
      </c>
      <c r="T292" s="2">
        <v>-10.131</v>
      </c>
      <c r="U292">
        <v>302951</v>
      </c>
      <c r="V292">
        <f>YEAR(Spotify[[#This Row],[Date de sortie]])</f>
        <v>2021</v>
      </c>
      <c r="W292" s="2" t="str">
        <f>IF(Spotify[[#This Row],[Popularité]]&gt;=70,"FORTE","FAIBLE")</f>
        <v>FORTE</v>
      </c>
    </row>
    <row r="293" spans="1:23" x14ac:dyDescent="0.25">
      <c r="A293">
        <v>351</v>
      </c>
      <c r="B293">
        <v>2</v>
      </c>
      <c r="C293">
        <v>12</v>
      </c>
      <c r="D293" s="1">
        <v>44260</v>
      </c>
      <c r="E293" s="59" t="str" cm="1">
        <f t="array" ref="E29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293" t="s">
        <v>664</v>
      </c>
      <c r="G293" s="3">
        <v>5335112</v>
      </c>
      <c r="H293" t="s">
        <v>179</v>
      </c>
      <c r="I293" s="4">
        <v>56308172</v>
      </c>
      <c r="J293" t="s">
        <v>155</v>
      </c>
      <c r="K293" s="1">
        <v>44260</v>
      </c>
      <c r="L293">
        <v>81</v>
      </c>
      <c r="M293" s="2" t="str">
        <f>IF(Spotify[[#This Row],[Energie]]&gt;AVERAGE(Spotify[Energie]),"FORTE","FAIBLE")</f>
        <v>FAIBLE</v>
      </c>
      <c r="N293" s="2">
        <v>0.78100000000000003</v>
      </c>
      <c r="O293" s="2">
        <v>0.59399999999999997</v>
      </c>
      <c r="P293" s="2">
        <v>4.8500000000000001E-2</v>
      </c>
      <c r="Q293" s="2">
        <v>1.3599999999999999E-2</v>
      </c>
      <c r="R293" s="2">
        <v>0.16200000000000001</v>
      </c>
      <c r="S293" s="2">
        <v>6.2799999999999995E-2</v>
      </c>
      <c r="T293" s="2">
        <v>-6.9589999999999996</v>
      </c>
      <c r="U293">
        <v>178154</v>
      </c>
      <c r="V293">
        <f>YEAR(Spotify[[#This Row],[Date de sortie]])</f>
        <v>2021</v>
      </c>
      <c r="W293" s="2" t="str">
        <f>IF(Spotify[[#This Row],[Popularité]]&gt;=70,"FORTE","FAIBLE")</f>
        <v>FORTE</v>
      </c>
    </row>
    <row r="294" spans="1:23" x14ac:dyDescent="0.25">
      <c r="A294">
        <v>175</v>
      </c>
      <c r="B294">
        <v>65</v>
      </c>
      <c r="C294">
        <v>2</v>
      </c>
      <c r="D294" s="1">
        <v>44393</v>
      </c>
      <c r="E294" s="59" t="str" cm="1">
        <f t="array" ref="E29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94" t="s">
        <v>367</v>
      </c>
      <c r="G294" s="3">
        <v>5315734</v>
      </c>
      <c r="H294" t="s">
        <v>338</v>
      </c>
      <c r="I294" s="4">
        <v>6837946</v>
      </c>
      <c r="J294" t="s">
        <v>158</v>
      </c>
      <c r="K294" s="1">
        <v>44393</v>
      </c>
      <c r="L294">
        <v>81</v>
      </c>
      <c r="M294" s="2" t="str">
        <f>IF(Spotify[[#This Row],[Energie]]&gt;AVERAGE(Spotify[Energie]),"FORTE","FAIBLE")</f>
        <v>FORTE</v>
      </c>
      <c r="N294" s="2">
        <v>0.71599999999999997</v>
      </c>
      <c r="O294" s="2">
        <v>0.67</v>
      </c>
      <c r="P294" s="2">
        <v>0.10100000000000001</v>
      </c>
      <c r="Q294" s="2">
        <v>0.52600000000000002</v>
      </c>
      <c r="R294" s="2">
        <v>0.13</v>
      </c>
      <c r="S294" s="2">
        <v>0.41099999999999998</v>
      </c>
      <c r="T294" s="2">
        <v>-6.9950000000000001</v>
      </c>
      <c r="U294">
        <v>203586</v>
      </c>
      <c r="V294">
        <f>YEAR(Spotify[[#This Row],[Date de sortie]])</f>
        <v>2021</v>
      </c>
      <c r="W294" s="2" t="str">
        <f>IF(Spotify[[#This Row],[Popularité]]&gt;=70,"FORTE","FAIBLE")</f>
        <v>FORTE</v>
      </c>
    </row>
    <row r="295" spans="1:23" x14ac:dyDescent="0.25">
      <c r="A295">
        <v>352</v>
      </c>
      <c r="B295">
        <v>154</v>
      </c>
      <c r="C295">
        <v>4</v>
      </c>
      <c r="D295" s="1">
        <v>44323</v>
      </c>
      <c r="E295" s="59" t="str" cm="1">
        <f t="array" ref="E29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295" t="s">
        <v>665</v>
      </c>
      <c r="G295" s="3">
        <v>5282702</v>
      </c>
      <c r="H295" t="s">
        <v>666</v>
      </c>
      <c r="I295" s="4">
        <v>1725025</v>
      </c>
      <c r="J295" t="s">
        <v>667</v>
      </c>
      <c r="K295" s="1">
        <v>44316</v>
      </c>
      <c r="L295">
        <v>81</v>
      </c>
      <c r="M295" s="2" t="str">
        <f>IF(Spotify[[#This Row],[Energie]]&gt;AVERAGE(Spotify[Energie]),"FORTE","FAIBLE")</f>
        <v>FAIBLE</v>
      </c>
      <c r="N295" s="2">
        <v>0.59699999999999998</v>
      </c>
      <c r="O295" s="2">
        <v>0.57099999999999995</v>
      </c>
      <c r="P295" s="2">
        <v>0.29299999999999998</v>
      </c>
      <c r="Q295" s="2">
        <v>0.49199999999999999</v>
      </c>
      <c r="R295" s="2">
        <v>9.2999999999999999E-2</v>
      </c>
      <c r="S295" s="2">
        <v>0.16500000000000001</v>
      </c>
      <c r="T295" s="2">
        <v>-6.2050000000000001</v>
      </c>
      <c r="U295">
        <v>218448</v>
      </c>
      <c r="V295">
        <f>YEAR(Spotify[[#This Row],[Date de sortie]])</f>
        <v>2021</v>
      </c>
      <c r="W295" s="2" t="str">
        <f>IF(Spotify[[#This Row],[Popularité]]&gt;=70,"FORTE","FAIBLE")</f>
        <v>FORTE</v>
      </c>
    </row>
    <row r="296" spans="1:23" x14ac:dyDescent="0.25">
      <c r="A296">
        <v>370</v>
      </c>
      <c r="B296">
        <v>182</v>
      </c>
      <c r="C296">
        <v>5</v>
      </c>
      <c r="D296" s="1">
        <v>44330</v>
      </c>
      <c r="E296" s="59" t="str" cm="1">
        <f t="array" ref="E29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296" t="s">
        <v>696</v>
      </c>
      <c r="G296" s="3">
        <v>5278449</v>
      </c>
      <c r="H296" t="s">
        <v>697</v>
      </c>
      <c r="I296" s="4">
        <v>6150675</v>
      </c>
      <c r="J296" t="s">
        <v>306</v>
      </c>
      <c r="K296" s="1">
        <v>44180</v>
      </c>
      <c r="L296">
        <v>81</v>
      </c>
      <c r="M296" s="2" t="str">
        <f>IF(Spotify[[#This Row],[Energie]]&gt;AVERAGE(Spotify[Energie]),"FORTE","FAIBLE")</f>
        <v>FORTE</v>
      </c>
      <c r="N296" s="2">
        <v>0.82799999999999996</v>
      </c>
      <c r="O296" s="2">
        <v>0.83</v>
      </c>
      <c r="P296" s="2">
        <v>4.7E-2</v>
      </c>
      <c r="Q296" s="2">
        <v>0.34799999999999998</v>
      </c>
      <c r="R296" s="2">
        <v>6.13E-2</v>
      </c>
      <c r="S296" s="2">
        <v>0.42199999999999999</v>
      </c>
      <c r="T296" s="2">
        <v>-3.371</v>
      </c>
      <c r="U296">
        <v>195066</v>
      </c>
      <c r="V296">
        <f>YEAR(Spotify[[#This Row],[Date de sortie]])</f>
        <v>2020</v>
      </c>
      <c r="W296" s="2" t="str">
        <f>IF(Spotify[[#This Row],[Popularité]]&gt;=70,"FORTE","FAIBLE")</f>
        <v>FORTE</v>
      </c>
    </row>
    <row r="297" spans="1:23" x14ac:dyDescent="0.25">
      <c r="A297">
        <v>353</v>
      </c>
      <c r="B297">
        <v>91</v>
      </c>
      <c r="C297">
        <v>9</v>
      </c>
      <c r="D297" s="1">
        <v>44288</v>
      </c>
      <c r="E297" s="59" t="str" cm="1">
        <f t="array" ref="E29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97" t="s">
        <v>668</v>
      </c>
      <c r="G297" s="3">
        <v>5252767</v>
      </c>
      <c r="H297" t="s">
        <v>669</v>
      </c>
      <c r="I297" s="4">
        <v>618444</v>
      </c>
      <c r="J297" t="s">
        <v>670</v>
      </c>
      <c r="K297" s="1">
        <v>43875</v>
      </c>
      <c r="L297">
        <v>81</v>
      </c>
      <c r="M297" s="2" t="str">
        <f>IF(Spotify[[#This Row],[Energie]]&gt;AVERAGE(Spotify[Energie]),"FORTE","FAIBLE")</f>
        <v>FORTE</v>
      </c>
      <c r="N297" s="2">
        <v>0.63700000000000001</v>
      </c>
      <c r="O297" s="2">
        <v>0.92900000000000005</v>
      </c>
      <c r="P297" s="2">
        <v>4.9099999999999998E-2</v>
      </c>
      <c r="Q297" s="2">
        <v>1.67E-3</v>
      </c>
      <c r="R297" s="2">
        <v>0.34399999999999997</v>
      </c>
      <c r="S297" s="2">
        <v>0.90200000000000002</v>
      </c>
      <c r="T297" s="2">
        <v>-3.593</v>
      </c>
      <c r="U297">
        <v>147351</v>
      </c>
      <c r="V297">
        <f>YEAR(Spotify[[#This Row],[Date de sortie]])</f>
        <v>2020</v>
      </c>
      <c r="W297" s="2" t="str">
        <f>IF(Spotify[[#This Row],[Popularité]]&gt;=70,"FORTE","FAIBLE")</f>
        <v>FORTE</v>
      </c>
    </row>
    <row r="298" spans="1:23" x14ac:dyDescent="0.25">
      <c r="A298">
        <v>176</v>
      </c>
      <c r="B298">
        <v>72</v>
      </c>
      <c r="C298">
        <v>2</v>
      </c>
      <c r="D298" s="1">
        <v>44393</v>
      </c>
      <c r="E298" s="59" t="str" cm="1">
        <f t="array" ref="E29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298" t="s">
        <v>368</v>
      </c>
      <c r="G298" s="3">
        <v>5245618</v>
      </c>
      <c r="H298" t="s">
        <v>338</v>
      </c>
      <c r="I298" s="4">
        <v>6837946</v>
      </c>
      <c r="J298" t="s">
        <v>158</v>
      </c>
      <c r="K298" s="1">
        <v>44393</v>
      </c>
      <c r="L298">
        <v>81</v>
      </c>
      <c r="M298" s="2" t="str">
        <f>IF(Spotify[[#This Row],[Energie]]&gt;AVERAGE(Spotify[Energie]),"FORTE","FAIBLE")</f>
        <v>FAIBLE</v>
      </c>
      <c r="N298" s="2">
        <v>0.67500000000000004</v>
      </c>
      <c r="O298" s="2">
        <v>0.60799999999999998</v>
      </c>
      <c r="P298" s="2">
        <v>0.10299999999999999</v>
      </c>
      <c r="Q298" s="2">
        <v>0.33600000000000002</v>
      </c>
      <c r="R298" s="2">
        <v>0.11</v>
      </c>
      <c r="S298" s="2">
        <v>0.72799999999999998</v>
      </c>
      <c r="T298" s="2">
        <v>-6.9340000000000002</v>
      </c>
      <c r="U298">
        <v>184800</v>
      </c>
      <c r="V298">
        <f>YEAR(Spotify[[#This Row],[Date de sortie]])</f>
        <v>2021</v>
      </c>
      <c r="W298" s="2" t="str">
        <f>IF(Spotify[[#This Row],[Popularité]]&gt;=70,"FORTE","FAIBLE")</f>
        <v>FORTE</v>
      </c>
    </row>
    <row r="299" spans="1:23" x14ac:dyDescent="0.25">
      <c r="A299">
        <v>325</v>
      </c>
      <c r="B299">
        <v>127</v>
      </c>
      <c r="C299">
        <v>2</v>
      </c>
      <c r="D299" s="1">
        <v>44344</v>
      </c>
      <c r="E299" s="59" t="str" cm="1">
        <f t="array" ref="E29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299" t="s">
        <v>622</v>
      </c>
      <c r="G299" s="3">
        <v>5241813</v>
      </c>
      <c r="H299" t="s">
        <v>3</v>
      </c>
      <c r="I299" s="4">
        <v>3377762</v>
      </c>
      <c r="J299" t="s">
        <v>4</v>
      </c>
      <c r="K299" s="1">
        <v>44274</v>
      </c>
      <c r="L299">
        <v>81</v>
      </c>
      <c r="M299" s="2" t="str">
        <f>IF(Spotify[[#This Row],[Energie]]&gt;AVERAGE(Spotify[Energie]),"FORTE","FAIBLE")</f>
        <v>FORTE</v>
      </c>
      <c r="N299" s="2">
        <v>0.36299999999999999</v>
      </c>
      <c r="O299" s="2">
        <v>0.67800000000000005</v>
      </c>
      <c r="P299" s="2">
        <v>9.9500000000000005E-2</v>
      </c>
      <c r="Q299" s="2">
        <v>2.9899999999999999E-2</v>
      </c>
      <c r="R299" s="2">
        <v>0.32400000000000001</v>
      </c>
      <c r="S299" s="2">
        <v>0.32100000000000001</v>
      </c>
      <c r="T299" s="2">
        <v>-4.9390000000000001</v>
      </c>
      <c r="U299">
        <v>300413</v>
      </c>
      <c r="V299">
        <f>YEAR(Spotify[[#This Row],[Date de sortie]])</f>
        <v>2021</v>
      </c>
      <c r="W299" s="2" t="str">
        <f>IF(Spotify[[#This Row],[Popularité]]&gt;=70,"FORTE","FAIBLE")</f>
        <v>FORTE</v>
      </c>
    </row>
    <row r="300" spans="1:23" x14ac:dyDescent="0.25">
      <c r="A300">
        <v>383</v>
      </c>
      <c r="B300">
        <v>3</v>
      </c>
      <c r="C300">
        <v>70</v>
      </c>
      <c r="D300" s="1">
        <v>43840</v>
      </c>
      <c r="E300" s="59" t="str" cm="1">
        <f t="array" ref="E30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300" t="s">
        <v>718</v>
      </c>
      <c r="G300" s="3">
        <v>5241227</v>
      </c>
      <c r="H300" t="s">
        <v>719</v>
      </c>
      <c r="I300" s="4">
        <v>10488292</v>
      </c>
      <c r="J300" t="s">
        <v>531</v>
      </c>
      <c r="K300" s="1">
        <v>43840</v>
      </c>
      <c r="L300">
        <v>81</v>
      </c>
      <c r="M300" s="2" t="str">
        <f>IF(Spotify[[#This Row],[Energie]]&gt;AVERAGE(Spotify[Energie]),"FORTE","FAIBLE")</f>
        <v>FAIBLE</v>
      </c>
      <c r="N300" s="2">
        <v>0.67600000000000005</v>
      </c>
      <c r="O300" s="2">
        <v>0.60899999999999999</v>
      </c>
      <c r="P300" s="2">
        <v>0.48099999999999998</v>
      </c>
      <c r="Q300" s="2">
        <v>7.0599999999999996E-2</v>
      </c>
      <c r="R300" s="2">
        <v>0.152</v>
      </c>
      <c r="S300" s="2">
        <v>0.50800000000000001</v>
      </c>
      <c r="T300" s="2">
        <v>-5.8310000000000004</v>
      </c>
      <c r="U300">
        <v>237735</v>
      </c>
      <c r="V300">
        <f>YEAR(Spotify[[#This Row],[Date de sortie]])</f>
        <v>2020</v>
      </c>
      <c r="W300" s="2" t="str">
        <f>IF(Spotify[[#This Row],[Popularité]]&gt;=70,"FORTE","FAIBLE")</f>
        <v>FORTE</v>
      </c>
    </row>
    <row r="301" spans="1:23" x14ac:dyDescent="0.25">
      <c r="A301">
        <v>245</v>
      </c>
      <c r="B301">
        <v>25</v>
      </c>
      <c r="C301">
        <v>4</v>
      </c>
      <c r="D301" s="1">
        <v>44358</v>
      </c>
      <c r="E301" s="59" t="str" cm="1">
        <f t="array" ref="E30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01" t="s">
        <v>492</v>
      </c>
      <c r="G301" s="3">
        <v>5234112</v>
      </c>
      <c r="H301" t="s">
        <v>493</v>
      </c>
      <c r="I301" s="4">
        <v>8083566</v>
      </c>
      <c r="J301" t="s">
        <v>341</v>
      </c>
      <c r="K301" s="1">
        <v>44357</v>
      </c>
      <c r="L301">
        <v>81</v>
      </c>
      <c r="M301" s="2" t="str">
        <f>IF(Spotify[[#This Row],[Energie]]&gt;AVERAGE(Spotify[Energie]),"FORTE","FAIBLE")</f>
        <v>FAIBLE</v>
      </c>
      <c r="N301" s="2">
        <v>0.73499999999999999</v>
      </c>
      <c r="O301" s="2">
        <v>0.47</v>
      </c>
      <c r="P301" s="2">
        <v>0.1</v>
      </c>
      <c r="Q301" s="2">
        <v>0.26600000000000001</v>
      </c>
      <c r="R301" s="2">
        <v>0.32</v>
      </c>
      <c r="S301" s="2">
        <v>0.89700000000000002</v>
      </c>
      <c r="T301" s="2">
        <v>-9.4049999999999994</v>
      </c>
      <c r="U301">
        <v>192621</v>
      </c>
      <c r="V301">
        <f>YEAR(Spotify[[#This Row],[Date de sortie]])</f>
        <v>2021</v>
      </c>
      <c r="W301" s="2" t="str">
        <f>IF(Spotify[[#This Row],[Popularité]]&gt;=70,"FORTE","FAIBLE")</f>
        <v>FORTE</v>
      </c>
    </row>
    <row r="302" spans="1:23" x14ac:dyDescent="0.25">
      <c r="A302">
        <v>409</v>
      </c>
      <c r="B302">
        <v>18</v>
      </c>
      <c r="C302">
        <v>33</v>
      </c>
      <c r="D302" s="1">
        <v>44127</v>
      </c>
      <c r="E302" s="59" t="str" cm="1">
        <f t="array" ref="E30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02" t="s">
        <v>764</v>
      </c>
      <c r="G302" s="3">
        <v>5181180</v>
      </c>
      <c r="H302" t="s">
        <v>765</v>
      </c>
      <c r="I302" s="4">
        <v>100463</v>
      </c>
      <c r="J302" t="s">
        <v>766</v>
      </c>
      <c r="K302" s="1">
        <v>43945</v>
      </c>
      <c r="L302">
        <v>81</v>
      </c>
      <c r="M302" s="2" t="str">
        <f>IF(Spotify[[#This Row],[Energie]]&gt;AVERAGE(Spotify[Energie]),"FORTE","FAIBLE")</f>
        <v>FAIBLE</v>
      </c>
      <c r="N302" s="2">
        <v>0.39900000000000002</v>
      </c>
      <c r="O302" s="2">
        <v>0.49099999999999999</v>
      </c>
      <c r="P302" s="2">
        <v>5.3800000000000001E-2</v>
      </c>
      <c r="Q302" s="2">
        <v>5.6300000000000003E-2</v>
      </c>
      <c r="R302" s="2">
        <v>0.11</v>
      </c>
      <c r="S302" s="2">
        <v>0.151</v>
      </c>
      <c r="T302" s="2">
        <v>-10.778</v>
      </c>
      <c r="U302">
        <v>210463</v>
      </c>
      <c r="V302">
        <f>YEAR(Spotify[[#This Row],[Date de sortie]])</f>
        <v>2020</v>
      </c>
      <c r="W302" s="2" t="str">
        <f>IF(Spotify[[#This Row],[Popularité]]&gt;=70,"FORTE","FAIBLE")</f>
        <v>FORTE</v>
      </c>
    </row>
    <row r="303" spans="1:23" x14ac:dyDescent="0.25">
      <c r="A303">
        <v>355</v>
      </c>
      <c r="B303">
        <v>64</v>
      </c>
      <c r="C303">
        <v>10</v>
      </c>
      <c r="D303" s="1">
        <v>44288</v>
      </c>
      <c r="E303" s="59" t="str" cm="1">
        <f t="array" ref="E30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03" t="s">
        <v>673</v>
      </c>
      <c r="G303" s="3">
        <v>5174298</v>
      </c>
      <c r="H303" t="s">
        <v>674</v>
      </c>
      <c r="I303" s="4">
        <v>3553442</v>
      </c>
      <c r="J303" t="s">
        <v>158</v>
      </c>
      <c r="K303" s="1">
        <v>44288</v>
      </c>
      <c r="L303">
        <v>81</v>
      </c>
      <c r="M303" s="2" t="str">
        <f>IF(Spotify[[#This Row],[Energie]]&gt;AVERAGE(Spotify[Energie]),"FORTE","FAIBLE")</f>
        <v>FORTE</v>
      </c>
      <c r="N303" s="2">
        <v>0.80800000000000005</v>
      </c>
      <c r="O303" s="2">
        <v>0.63900000000000001</v>
      </c>
      <c r="P303" s="2">
        <v>0.27900000000000003</v>
      </c>
      <c r="Q303" s="2">
        <v>8.0199999999999994E-2</v>
      </c>
      <c r="R303" s="2">
        <v>0.15</v>
      </c>
      <c r="S303" s="2">
        <v>0.39500000000000002</v>
      </c>
      <c r="T303" s="2">
        <v>-7.266</v>
      </c>
      <c r="U303">
        <v>144349</v>
      </c>
      <c r="V303">
        <f>YEAR(Spotify[[#This Row],[Date de sortie]])</f>
        <v>2021</v>
      </c>
      <c r="W303" s="2" t="str">
        <f>IF(Spotify[[#This Row],[Popularité]]&gt;=70,"FORTE","FAIBLE")</f>
        <v>FORTE</v>
      </c>
    </row>
    <row r="304" spans="1:23" x14ac:dyDescent="0.25">
      <c r="A304">
        <v>374</v>
      </c>
      <c r="B304">
        <v>77</v>
      </c>
      <c r="C304">
        <v>10</v>
      </c>
      <c r="D304" s="1">
        <v>44281</v>
      </c>
      <c r="E304" s="59" t="str" cm="1">
        <f t="array" ref="E30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04" t="s">
        <v>703</v>
      </c>
      <c r="G304" s="3">
        <v>5165035</v>
      </c>
      <c r="H304" t="s">
        <v>506</v>
      </c>
      <c r="I304" s="4">
        <v>1275345</v>
      </c>
      <c r="J304" t="s">
        <v>19</v>
      </c>
      <c r="K304" s="1">
        <v>38405</v>
      </c>
      <c r="L304">
        <v>81</v>
      </c>
      <c r="M304" s="2" t="str">
        <f>IF(Spotify[[#This Row],[Energie]]&gt;AVERAGE(Spotify[Energie]),"FORTE","FAIBLE")</f>
        <v>FORTE</v>
      </c>
      <c r="N304" s="2">
        <v>0.72</v>
      </c>
      <c r="O304" s="2">
        <v>0.74399999999999999</v>
      </c>
      <c r="P304" s="2">
        <v>0.12</v>
      </c>
      <c r="Q304" s="2">
        <v>0.23699999999999999</v>
      </c>
      <c r="R304" s="2">
        <v>0.255</v>
      </c>
      <c r="S304" s="2">
        <v>0.61899999999999999</v>
      </c>
      <c r="T304" s="2">
        <v>-6.9379999999999997</v>
      </c>
      <c r="U304">
        <v>243773</v>
      </c>
      <c r="V304">
        <f>YEAR(Spotify[[#This Row],[Date de sortie]])</f>
        <v>2005</v>
      </c>
      <c r="W304" s="2" t="str">
        <f>IF(Spotify[[#This Row],[Popularité]]&gt;=70,"FORTE","FAIBLE")</f>
        <v>FORTE</v>
      </c>
    </row>
    <row r="305" spans="1:23" x14ac:dyDescent="0.25">
      <c r="A305">
        <v>311</v>
      </c>
      <c r="B305">
        <v>108</v>
      </c>
      <c r="C305">
        <v>6</v>
      </c>
      <c r="D305" s="1">
        <v>44330</v>
      </c>
      <c r="E305" s="59" t="str" cm="1">
        <f t="array" ref="E30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05" t="s">
        <v>600</v>
      </c>
      <c r="G305" s="3">
        <v>5155238</v>
      </c>
      <c r="H305" t="s">
        <v>601</v>
      </c>
      <c r="I305" s="4">
        <v>2753929</v>
      </c>
      <c r="J305" t="s">
        <v>602</v>
      </c>
      <c r="K305" s="1">
        <v>44295</v>
      </c>
      <c r="L305">
        <v>81</v>
      </c>
      <c r="M305" s="2" t="str">
        <f>IF(Spotify[[#This Row],[Energie]]&gt;AVERAGE(Spotify[Energie]),"FORTE","FAIBLE")</f>
        <v>FORTE</v>
      </c>
      <c r="N305" s="2">
        <v>0.75</v>
      </c>
      <c r="O305" s="2">
        <v>0.66800000000000004</v>
      </c>
      <c r="P305" s="2">
        <v>6.0999999999999999E-2</v>
      </c>
      <c r="Q305" s="2">
        <v>0.78</v>
      </c>
      <c r="R305" s="2">
        <v>0.33800000000000002</v>
      </c>
      <c r="S305" s="2">
        <v>0.78600000000000003</v>
      </c>
      <c r="T305" s="2">
        <v>-4.49</v>
      </c>
      <c r="U305">
        <v>159147</v>
      </c>
      <c r="V305">
        <f>YEAR(Spotify[[#This Row],[Date de sortie]])</f>
        <v>2021</v>
      </c>
      <c r="W305" s="2" t="str">
        <f>IF(Spotify[[#This Row],[Popularité]]&gt;=70,"FORTE","FAIBLE")</f>
        <v>FORTE</v>
      </c>
    </row>
    <row r="306" spans="1:23" x14ac:dyDescent="0.25">
      <c r="A306">
        <v>246</v>
      </c>
      <c r="B306">
        <v>4</v>
      </c>
      <c r="C306">
        <v>10</v>
      </c>
      <c r="D306" s="1">
        <v>44316</v>
      </c>
      <c r="E306" s="59" t="str" cm="1">
        <f t="array" ref="E30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06" t="s">
        <v>494</v>
      </c>
      <c r="G306" s="3">
        <v>5135380</v>
      </c>
      <c r="H306" t="s">
        <v>114</v>
      </c>
      <c r="I306" s="4">
        <v>47014200</v>
      </c>
      <c r="J306" t="s">
        <v>115</v>
      </c>
      <c r="K306" s="1">
        <v>44407</v>
      </c>
      <c r="L306">
        <v>81</v>
      </c>
      <c r="M306" s="2" t="str">
        <f>IF(Spotify[[#This Row],[Energie]]&gt;AVERAGE(Spotify[Energie]),"FORTE","FAIBLE")</f>
        <v>FAIBLE</v>
      </c>
      <c r="N306" s="2">
        <v>0.63200000000000001</v>
      </c>
      <c r="O306" s="2">
        <v>0.28399999999999997</v>
      </c>
      <c r="P306" s="2">
        <v>8.0100000000000005E-2</v>
      </c>
      <c r="Q306" s="2">
        <v>0.93200000000000005</v>
      </c>
      <c r="R306" s="2">
        <v>0.23300000000000001</v>
      </c>
      <c r="S306" s="2">
        <v>0.20799999999999999</v>
      </c>
      <c r="T306" s="2">
        <v>-14.025</v>
      </c>
      <c r="U306">
        <v>245897</v>
      </c>
      <c r="V306">
        <f>YEAR(Spotify[[#This Row],[Date de sortie]])</f>
        <v>2021</v>
      </c>
      <c r="W306" s="2" t="str">
        <f>IF(Spotify[[#This Row],[Popularité]]&gt;=70,"FORTE","FAIBLE")</f>
        <v>FORTE</v>
      </c>
    </row>
    <row r="307" spans="1:23" x14ac:dyDescent="0.25">
      <c r="A307">
        <v>404</v>
      </c>
      <c r="B307">
        <v>94</v>
      </c>
      <c r="C307">
        <v>5</v>
      </c>
      <c r="D307" s="1">
        <v>44288</v>
      </c>
      <c r="E307" s="59" t="str" cm="1">
        <f t="array" ref="E30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07" t="s">
        <v>755</v>
      </c>
      <c r="G307" s="3">
        <v>5107084</v>
      </c>
      <c r="H307" t="s">
        <v>674</v>
      </c>
      <c r="I307" s="4">
        <v>3553442</v>
      </c>
      <c r="J307" t="s">
        <v>158</v>
      </c>
      <c r="K307" s="1">
        <v>44288</v>
      </c>
      <c r="L307">
        <v>81</v>
      </c>
      <c r="M307" s="2" t="str">
        <f>IF(Spotify[[#This Row],[Energie]]&gt;AVERAGE(Spotify[Energie]),"FORTE","FAIBLE")</f>
        <v>FAIBLE</v>
      </c>
      <c r="N307" s="2">
        <v>0.88</v>
      </c>
      <c r="O307" s="2">
        <v>0.57499999999999996</v>
      </c>
      <c r="P307" s="2">
        <v>0.16300000000000001</v>
      </c>
      <c r="Q307" s="2">
        <v>0.41499999999999998</v>
      </c>
      <c r="R307" s="2">
        <v>0.109</v>
      </c>
      <c r="S307" s="2">
        <v>0.67100000000000004</v>
      </c>
      <c r="T307" s="2">
        <v>-6.0910000000000002</v>
      </c>
      <c r="U307">
        <v>232048</v>
      </c>
      <c r="V307">
        <f>YEAR(Spotify[[#This Row],[Date de sortie]])</f>
        <v>2021</v>
      </c>
      <c r="W307" s="2" t="str">
        <f>IF(Spotify[[#This Row],[Popularité]]&gt;=70,"FORTE","FAIBLE")</f>
        <v>FORTE</v>
      </c>
    </row>
    <row r="308" spans="1:23" x14ac:dyDescent="0.25">
      <c r="A308">
        <v>456</v>
      </c>
      <c r="B308">
        <v>120</v>
      </c>
      <c r="C308">
        <v>15</v>
      </c>
      <c r="D308" s="1">
        <v>44260</v>
      </c>
      <c r="E308" s="59" t="str" cm="1">
        <f t="array" ref="E30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08" t="s">
        <v>829</v>
      </c>
      <c r="G308" s="3">
        <v>5086382</v>
      </c>
      <c r="H308" t="s">
        <v>830</v>
      </c>
      <c r="I308" s="4">
        <v>2110870</v>
      </c>
      <c r="J308" t="s">
        <v>831</v>
      </c>
      <c r="K308" s="1">
        <v>39714</v>
      </c>
      <c r="L308">
        <v>81</v>
      </c>
      <c r="M308" s="2" t="str">
        <f>IF(Spotify[[#This Row],[Energie]]&gt;AVERAGE(Spotify[Energie]),"FORTE","FAIBLE")</f>
        <v>FORTE</v>
      </c>
      <c r="N308" s="2">
        <v>0.52700000000000002</v>
      </c>
      <c r="O308" s="2">
        <v>0.92200000000000004</v>
      </c>
      <c r="P308" s="2">
        <v>7.2800000000000004E-2</v>
      </c>
      <c r="Q308" s="2">
        <v>4.7499999999999999E-3</v>
      </c>
      <c r="R308" s="2">
        <v>0.42199999999999999</v>
      </c>
      <c r="S308" s="2">
        <v>0.49</v>
      </c>
      <c r="T308" s="2">
        <v>-2.6659999999999999</v>
      </c>
      <c r="U308">
        <v>181680</v>
      </c>
      <c r="V308">
        <f>YEAR(Spotify[[#This Row],[Date de sortie]])</f>
        <v>2008</v>
      </c>
      <c r="W308" s="2" t="str">
        <f>IF(Spotify[[#This Row],[Popularité]]&gt;=70,"FORTE","FAIBLE")</f>
        <v>FORTE</v>
      </c>
    </row>
    <row r="309" spans="1:23" x14ac:dyDescent="0.25">
      <c r="A309">
        <v>337</v>
      </c>
      <c r="B309">
        <v>4</v>
      </c>
      <c r="C309">
        <v>37</v>
      </c>
      <c r="D309" s="1">
        <v>44092</v>
      </c>
      <c r="E309" s="59" t="str" cm="1">
        <f t="array" ref="E30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09" t="s">
        <v>641</v>
      </c>
      <c r="G309" s="3">
        <v>5063015</v>
      </c>
      <c r="H309" t="s">
        <v>35</v>
      </c>
      <c r="I309" s="4">
        <v>48504126</v>
      </c>
      <c r="J309" t="s">
        <v>36</v>
      </c>
      <c r="K309" s="1">
        <v>44092</v>
      </c>
      <c r="L309">
        <v>81</v>
      </c>
      <c r="M309" s="2" t="str">
        <f>IF(Spotify[[#This Row],[Energie]]&gt;AVERAGE(Spotify[Energie]),"FORTE","FAIBLE")</f>
        <v>FORTE</v>
      </c>
      <c r="N309" s="2">
        <v>0.67300000000000004</v>
      </c>
      <c r="O309" s="2">
        <v>0.70399999999999996</v>
      </c>
      <c r="P309" s="2">
        <v>0.36</v>
      </c>
      <c r="Q309" s="2">
        <v>0.19600000000000001</v>
      </c>
      <c r="R309" s="2">
        <v>8.9800000000000005E-2</v>
      </c>
      <c r="S309" s="2">
        <v>0.372</v>
      </c>
      <c r="T309" s="2">
        <v>-8.0559999999999992</v>
      </c>
      <c r="U309">
        <v>212093</v>
      </c>
      <c r="V309">
        <f>YEAR(Spotify[[#This Row],[Date de sortie]])</f>
        <v>2020</v>
      </c>
      <c r="W309" s="2" t="str">
        <f>IF(Spotify[[#This Row],[Popularité]]&gt;=70,"FORTE","FAIBLE")</f>
        <v>FORTE</v>
      </c>
    </row>
    <row r="310" spans="1:23" x14ac:dyDescent="0.25">
      <c r="A310">
        <v>413</v>
      </c>
      <c r="B310">
        <v>6</v>
      </c>
      <c r="C310">
        <v>53</v>
      </c>
      <c r="D310" s="1">
        <v>43910</v>
      </c>
      <c r="E310" s="59" t="str" cm="1">
        <f t="array" ref="E31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10" t="s">
        <v>772</v>
      </c>
      <c r="G310" s="3">
        <v>5054319</v>
      </c>
      <c r="H310" t="s">
        <v>41</v>
      </c>
      <c r="I310" s="4">
        <v>35340069</v>
      </c>
      <c r="J310" t="s">
        <v>42</v>
      </c>
      <c r="K310" s="1">
        <v>43910</v>
      </c>
      <c r="L310">
        <v>81</v>
      </c>
      <c r="M310" s="2" t="str">
        <f>IF(Spotify[[#This Row],[Energie]]&gt;AVERAGE(Spotify[Energie]),"FORTE","FAIBLE")</f>
        <v>FORTE</v>
      </c>
      <c r="N310" s="2">
        <v>0.66700000000000004</v>
      </c>
      <c r="O310" s="2">
        <v>0.71899999999999997</v>
      </c>
      <c r="P310" s="2">
        <v>3.4599999999999999E-2</v>
      </c>
      <c r="Q310" s="2">
        <v>2.8500000000000001E-3</v>
      </c>
      <c r="R310" s="2">
        <v>7.3599999999999999E-2</v>
      </c>
      <c r="S310" s="2">
        <v>0.71699999999999997</v>
      </c>
      <c r="T310" s="2">
        <v>-5.3710000000000004</v>
      </c>
      <c r="U310">
        <v>237520</v>
      </c>
      <c r="V310">
        <f>YEAR(Spotify[[#This Row],[Date de sortie]])</f>
        <v>2020</v>
      </c>
      <c r="W310" s="2" t="str">
        <f>IF(Spotify[[#This Row],[Popularité]]&gt;=70,"FORTE","FAIBLE")</f>
        <v>FORTE</v>
      </c>
    </row>
    <row r="311" spans="1:23" x14ac:dyDescent="0.25">
      <c r="A311">
        <v>503</v>
      </c>
      <c r="B311">
        <v>198</v>
      </c>
      <c r="C311">
        <v>1</v>
      </c>
      <c r="D311" s="1">
        <v>44267</v>
      </c>
      <c r="E311" s="59" t="str" cm="1">
        <f t="array" ref="E31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11" t="s">
        <v>913</v>
      </c>
      <c r="G311" s="3">
        <v>5052557</v>
      </c>
      <c r="H311" t="s">
        <v>914</v>
      </c>
      <c r="I311" s="4">
        <v>1643882</v>
      </c>
      <c r="J311" t="s">
        <v>915</v>
      </c>
      <c r="K311" s="1">
        <v>43630</v>
      </c>
      <c r="L311">
        <v>81</v>
      </c>
      <c r="M311" s="2" t="str">
        <f>IF(Spotify[[#This Row],[Energie]]&gt;AVERAGE(Spotify[Energie]),"FORTE","FAIBLE")</f>
        <v>FORTE</v>
      </c>
      <c r="N311" s="2">
        <v>0.66800000000000004</v>
      </c>
      <c r="O311" s="2">
        <v>0.72699999999999998</v>
      </c>
      <c r="P311" s="2">
        <v>2.7E-2</v>
      </c>
      <c r="Q311" s="2">
        <v>0.51400000000000001</v>
      </c>
      <c r="R311" s="2">
        <v>0.1</v>
      </c>
      <c r="S311" s="2">
        <v>0.93899999999999995</v>
      </c>
      <c r="T311" s="2">
        <v>-6.55</v>
      </c>
      <c r="U311">
        <v>344571</v>
      </c>
      <c r="V311">
        <f>YEAR(Spotify[[#This Row],[Date de sortie]])</f>
        <v>2019</v>
      </c>
      <c r="W311" s="2" t="str">
        <f>IF(Spotify[[#This Row],[Popularité]]&gt;=70,"FORTE","FAIBLE")</f>
        <v>FORTE</v>
      </c>
    </row>
    <row r="312" spans="1:23" x14ac:dyDescent="0.25">
      <c r="A312">
        <v>248</v>
      </c>
      <c r="B312">
        <v>8</v>
      </c>
      <c r="C312">
        <v>37</v>
      </c>
      <c r="D312" s="1">
        <v>44232</v>
      </c>
      <c r="E312" s="59" t="str" cm="1">
        <f t="array" ref="E31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312" t="s">
        <v>498</v>
      </c>
      <c r="G312" s="3">
        <v>5013017</v>
      </c>
      <c r="H312" t="s">
        <v>499</v>
      </c>
      <c r="I312" s="4">
        <v>180454</v>
      </c>
      <c r="J312" t="s">
        <v>500</v>
      </c>
      <c r="K312" s="1">
        <v>44063</v>
      </c>
      <c r="L312">
        <v>81</v>
      </c>
      <c r="M312" s="2" t="str">
        <f>IF(Spotify[[#This Row],[Energie]]&gt;AVERAGE(Spotify[Energie]),"FORTE","FAIBLE")</f>
        <v>FORTE</v>
      </c>
      <c r="N312" s="2">
        <v>0.71899999999999997</v>
      </c>
      <c r="O312" s="2">
        <v>0.64800000000000002</v>
      </c>
      <c r="P312" s="2">
        <v>0.125</v>
      </c>
      <c r="Q312" s="2">
        <v>0.2</v>
      </c>
      <c r="R312" s="2">
        <v>0.127</v>
      </c>
      <c r="S312" s="2">
        <v>0.66</v>
      </c>
      <c r="T312" s="2">
        <v>-7.6</v>
      </c>
      <c r="U312">
        <v>123263</v>
      </c>
      <c r="V312">
        <f>YEAR(Spotify[[#This Row],[Date de sortie]])</f>
        <v>2020</v>
      </c>
      <c r="W312" s="2" t="str">
        <f>IF(Spotify[[#This Row],[Popularité]]&gt;=70,"FORTE","FAIBLE")</f>
        <v>FORTE</v>
      </c>
    </row>
    <row r="313" spans="1:23" x14ac:dyDescent="0.25">
      <c r="A313">
        <v>415</v>
      </c>
      <c r="B313">
        <v>193</v>
      </c>
      <c r="C313">
        <v>1</v>
      </c>
      <c r="D313" s="1">
        <v>44309</v>
      </c>
      <c r="E313" s="59" t="str" cm="1">
        <f t="array" ref="E31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13" t="s">
        <v>774</v>
      </c>
      <c r="G313" s="3">
        <v>4998044</v>
      </c>
      <c r="H313" t="s">
        <v>775</v>
      </c>
      <c r="I313" s="4">
        <v>130801</v>
      </c>
      <c r="J313" t="s">
        <v>222</v>
      </c>
      <c r="K313" s="1">
        <v>44281</v>
      </c>
      <c r="L313">
        <v>81</v>
      </c>
      <c r="M313" s="2" t="str">
        <f>IF(Spotify[[#This Row],[Energie]]&gt;AVERAGE(Spotify[Energie]),"FORTE","FAIBLE")</f>
        <v>FAIBLE</v>
      </c>
      <c r="N313" s="2">
        <v>0.61599999999999999</v>
      </c>
      <c r="O313" s="2">
        <v>0.57599999999999996</v>
      </c>
      <c r="P313" s="2">
        <v>5.3199999999999997E-2</v>
      </c>
      <c r="Q313" s="2">
        <v>7.2300000000000003E-2</v>
      </c>
      <c r="R313" s="2">
        <v>0.375</v>
      </c>
      <c r="S313" s="2">
        <v>0.26900000000000002</v>
      </c>
      <c r="T313" s="2">
        <v>-5.4950000000000001</v>
      </c>
      <c r="U313">
        <v>182121</v>
      </c>
      <c r="V313">
        <f>YEAR(Spotify[[#This Row],[Date de sortie]])</f>
        <v>2021</v>
      </c>
      <c r="W313" s="2" t="str">
        <f>IF(Spotify[[#This Row],[Popularité]]&gt;=70,"FORTE","FAIBLE")</f>
        <v>FORTE</v>
      </c>
    </row>
    <row r="314" spans="1:23" x14ac:dyDescent="0.25">
      <c r="A314">
        <v>529</v>
      </c>
      <c r="B314">
        <v>49</v>
      </c>
      <c r="C314">
        <v>22</v>
      </c>
      <c r="D314" s="1">
        <v>44148</v>
      </c>
      <c r="E314" s="59" t="str" cm="1">
        <f t="array" ref="E31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14" t="s">
        <v>958</v>
      </c>
      <c r="G314" s="3">
        <v>4982892</v>
      </c>
      <c r="H314" t="s">
        <v>959</v>
      </c>
      <c r="I314" s="4">
        <v>2722638</v>
      </c>
      <c r="J314" t="s">
        <v>766</v>
      </c>
      <c r="K314" s="1">
        <v>43679</v>
      </c>
      <c r="L314">
        <v>81</v>
      </c>
      <c r="M314" s="2" t="str">
        <f>IF(Spotify[[#This Row],[Energie]]&gt;AVERAGE(Spotify[Energie]),"FORTE","FAIBLE")</f>
        <v>FAIBLE</v>
      </c>
      <c r="N314" s="2">
        <v>0.74399999999999999</v>
      </c>
      <c r="O314" s="2">
        <v>0.61899999999999999</v>
      </c>
      <c r="P314" s="2">
        <v>3.9E-2</v>
      </c>
      <c r="Q314" s="2">
        <v>0.59799999999999998</v>
      </c>
      <c r="R314" s="2">
        <v>0.23100000000000001</v>
      </c>
      <c r="S314" s="2">
        <v>0.64100000000000001</v>
      </c>
      <c r="T314" s="2">
        <v>-9.8049999999999997</v>
      </c>
      <c r="U314">
        <v>188387</v>
      </c>
      <c r="V314">
        <f>YEAR(Spotify[[#This Row],[Date de sortie]])</f>
        <v>2019</v>
      </c>
      <c r="W314" s="2" t="str">
        <f>IF(Spotify[[#This Row],[Popularité]]&gt;=70,"FORTE","FAIBLE")</f>
        <v>FORTE</v>
      </c>
    </row>
    <row r="315" spans="1:23" x14ac:dyDescent="0.25">
      <c r="A315">
        <v>254</v>
      </c>
      <c r="B315">
        <v>101</v>
      </c>
      <c r="C315">
        <v>4</v>
      </c>
      <c r="D315" s="1">
        <v>44358</v>
      </c>
      <c r="E315" s="59" t="str" cm="1">
        <f t="array" ref="E31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315" t="s">
        <v>511</v>
      </c>
      <c r="G315" s="3">
        <v>4965913</v>
      </c>
      <c r="H315" t="s">
        <v>512</v>
      </c>
      <c r="I315" s="4">
        <v>3126961</v>
      </c>
      <c r="J315" t="s">
        <v>110</v>
      </c>
      <c r="K315" s="1">
        <v>44356</v>
      </c>
      <c r="L315">
        <v>81</v>
      </c>
      <c r="M315" s="2" t="str">
        <f>IF(Spotify[[#This Row],[Energie]]&gt;AVERAGE(Spotify[Energie]),"FORTE","FAIBLE")</f>
        <v>FAIBLE</v>
      </c>
      <c r="N315" s="2">
        <v>0.78300000000000003</v>
      </c>
      <c r="O315" s="2">
        <v>0.52400000000000002</v>
      </c>
      <c r="P315" s="2">
        <v>5.5399999999999998E-2</v>
      </c>
      <c r="Q315" s="2">
        <v>0.24099999999999999</v>
      </c>
      <c r="R315" s="2">
        <v>0.27100000000000002</v>
      </c>
      <c r="S315" s="2">
        <v>0.83899999999999997</v>
      </c>
      <c r="T315" s="2">
        <v>-6.4550000000000001</v>
      </c>
      <c r="U315">
        <v>164896</v>
      </c>
      <c r="V315">
        <f>YEAR(Spotify[[#This Row],[Date de sortie]])</f>
        <v>2021</v>
      </c>
      <c r="W315" s="2" t="str">
        <f>IF(Spotify[[#This Row],[Popularité]]&gt;=70,"FORTE","FAIBLE")</f>
        <v>FORTE</v>
      </c>
    </row>
    <row r="316" spans="1:23" x14ac:dyDescent="0.25">
      <c r="A316">
        <v>761</v>
      </c>
      <c r="B316">
        <v>105</v>
      </c>
      <c r="C316">
        <v>23</v>
      </c>
      <c r="D316" s="1">
        <v>44050</v>
      </c>
      <c r="E316" s="59" t="str" cm="1">
        <f t="array" ref="E31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16" t="s">
        <v>1321</v>
      </c>
      <c r="G316" s="3">
        <v>4911995</v>
      </c>
      <c r="H316" t="s">
        <v>1322</v>
      </c>
      <c r="I316" s="4">
        <v>1963296</v>
      </c>
      <c r="J316" t="s">
        <v>831</v>
      </c>
      <c r="K316" s="1">
        <v>43546</v>
      </c>
      <c r="L316">
        <v>81</v>
      </c>
      <c r="M316" s="2" t="str">
        <f>IF(Spotify[[#This Row],[Energie]]&gt;AVERAGE(Spotify[Energie]),"FORTE","FAIBLE")</f>
        <v>FORTE</v>
      </c>
      <c r="N316" s="2">
        <v>0.68200000000000005</v>
      </c>
      <c r="O316" s="2">
        <v>0.68300000000000005</v>
      </c>
      <c r="P316" s="2">
        <v>2.87E-2</v>
      </c>
      <c r="Q316" s="2">
        <v>0.156</v>
      </c>
      <c r="R316" s="2">
        <v>0.27300000000000002</v>
      </c>
      <c r="S316" s="2">
        <v>0.64</v>
      </c>
      <c r="T316" s="2">
        <v>-6.444</v>
      </c>
      <c r="U316">
        <v>178000</v>
      </c>
      <c r="V316">
        <f>YEAR(Spotify[[#This Row],[Date de sortie]])</f>
        <v>2019</v>
      </c>
      <c r="W316" s="2" t="str">
        <f>IF(Spotify[[#This Row],[Popularité]]&gt;=70,"FORTE","FAIBLE")</f>
        <v>FORTE</v>
      </c>
    </row>
    <row r="317" spans="1:23" x14ac:dyDescent="0.25">
      <c r="A317">
        <v>552</v>
      </c>
      <c r="B317">
        <v>9</v>
      </c>
      <c r="C317">
        <v>46</v>
      </c>
      <c r="D317" s="1">
        <v>43987</v>
      </c>
      <c r="E317" s="59" t="str" cm="1">
        <f t="array" ref="E31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17" t="s">
        <v>991</v>
      </c>
      <c r="G317" s="3">
        <v>4908929</v>
      </c>
      <c r="H317" t="s">
        <v>992</v>
      </c>
      <c r="I317" s="4">
        <v>132855</v>
      </c>
      <c r="J317" t="s">
        <v>993</v>
      </c>
      <c r="K317" s="1">
        <v>43795</v>
      </c>
      <c r="L317">
        <v>81</v>
      </c>
      <c r="M317" s="2" t="str">
        <f>IF(Spotify[[#This Row],[Energie]]&gt;AVERAGE(Spotify[Energie]),"FORTE","FAIBLE")</f>
        <v>FORTE</v>
      </c>
      <c r="N317" s="2">
        <v>0.67400000000000004</v>
      </c>
      <c r="O317" s="2">
        <v>0.77400000000000002</v>
      </c>
      <c r="P317" s="2">
        <v>8.9200000000000002E-2</v>
      </c>
      <c r="Q317" s="2">
        <v>6.8599999999999994E-2</v>
      </c>
      <c r="R317" s="2">
        <v>0.39300000000000002</v>
      </c>
      <c r="S317" s="2">
        <v>0.33</v>
      </c>
      <c r="T317" s="2">
        <v>-7.5670000000000002</v>
      </c>
      <c r="U317">
        <v>176547</v>
      </c>
      <c r="V317">
        <f>YEAR(Spotify[[#This Row],[Date de sortie]])</f>
        <v>2019</v>
      </c>
      <c r="W317" s="2" t="str">
        <f>IF(Spotify[[#This Row],[Popularité]]&gt;=70,"FORTE","FAIBLE")</f>
        <v>FORTE</v>
      </c>
    </row>
    <row r="318" spans="1:23" x14ac:dyDescent="0.25">
      <c r="A318">
        <v>1549</v>
      </c>
      <c r="B318">
        <v>178</v>
      </c>
      <c r="C318">
        <v>1</v>
      </c>
      <c r="D318" s="1">
        <v>43826</v>
      </c>
      <c r="E318" s="59" t="str" cm="1">
        <f t="array" ref="E31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318" t="s">
        <v>2433</v>
      </c>
      <c r="G318" s="3">
        <v>4852004</v>
      </c>
      <c r="H318" t="s">
        <v>14</v>
      </c>
      <c r="I318" s="4">
        <v>5488666</v>
      </c>
      <c r="J318" t="s">
        <v>15</v>
      </c>
      <c r="K318" s="1">
        <v>43637</v>
      </c>
      <c r="L318">
        <v>81</v>
      </c>
      <c r="M318" s="2" t="str">
        <f>IF(Spotify[[#This Row],[Energie]]&gt;AVERAGE(Spotify[Energie]),"FORTE","FAIBLE")</f>
        <v>FAIBLE</v>
      </c>
      <c r="N318" s="2">
        <v>0.878</v>
      </c>
      <c r="O318" s="2">
        <v>0.61899999999999999</v>
      </c>
      <c r="P318" s="2">
        <v>0.10199999999999999</v>
      </c>
      <c r="Q318" s="2">
        <v>5.33E-2</v>
      </c>
      <c r="R318" s="2">
        <v>0.113</v>
      </c>
      <c r="S318" s="2">
        <v>0.63900000000000001</v>
      </c>
      <c r="T318" s="2">
        <v>-5.56</v>
      </c>
      <c r="U318">
        <v>157067</v>
      </c>
      <c r="V318">
        <f>YEAR(Spotify[[#This Row],[Date de sortie]])</f>
        <v>2019</v>
      </c>
      <c r="W318" s="2" t="str">
        <f>IF(Spotify[[#This Row],[Popularité]]&gt;=70,"FORTE","FAIBLE")</f>
        <v>FORTE</v>
      </c>
    </row>
    <row r="319" spans="1:23" x14ac:dyDescent="0.25">
      <c r="A319">
        <v>1531</v>
      </c>
      <c r="B319">
        <v>179</v>
      </c>
      <c r="C319">
        <v>3</v>
      </c>
      <c r="D319" s="1">
        <v>43833</v>
      </c>
      <c r="E319" s="59" t="str" cm="1">
        <f t="array" ref="E31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19" t="s">
        <v>2408</v>
      </c>
      <c r="G319" s="3">
        <v>4831644</v>
      </c>
      <c r="H319" t="s">
        <v>2281</v>
      </c>
      <c r="I319" s="4">
        <v>8153871</v>
      </c>
      <c r="J319" t="s">
        <v>19</v>
      </c>
      <c r="K319" s="1">
        <v>43217</v>
      </c>
      <c r="L319">
        <v>81</v>
      </c>
      <c r="M319" s="2" t="str">
        <f>IF(Spotify[[#This Row],[Energie]]&gt;AVERAGE(Spotify[Energie]),"FORTE","FAIBLE")</f>
        <v>FORTE</v>
      </c>
      <c r="N319" s="2">
        <v>0.69699999999999995</v>
      </c>
      <c r="O319" s="2">
        <v>0.68300000000000005</v>
      </c>
      <c r="P319" s="2">
        <v>0.11700000000000001</v>
      </c>
      <c r="Q319" s="2">
        <v>3.7199999999999997E-2</v>
      </c>
      <c r="R319" s="2">
        <v>0.13700000000000001</v>
      </c>
      <c r="S319" s="2">
        <v>0.60299999999999998</v>
      </c>
      <c r="T319" s="2">
        <v>-2.8809999999999998</v>
      </c>
      <c r="U319">
        <v>186987</v>
      </c>
      <c r="V319">
        <f>YEAR(Spotify[[#This Row],[Date de sortie]])</f>
        <v>2018</v>
      </c>
      <c r="W319" s="2" t="str">
        <f>IF(Spotify[[#This Row],[Popularité]]&gt;=70,"FORTE","FAIBLE")</f>
        <v>FORTE</v>
      </c>
    </row>
    <row r="320" spans="1:23" x14ac:dyDescent="0.25">
      <c r="A320">
        <v>829</v>
      </c>
      <c r="B320">
        <v>73</v>
      </c>
      <c r="C320">
        <v>34</v>
      </c>
      <c r="D320" s="1">
        <v>43833</v>
      </c>
      <c r="E320" s="59" t="str" cm="1">
        <f t="array" ref="E32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320" t="s">
        <v>1433</v>
      </c>
      <c r="G320" s="3">
        <v>4674658</v>
      </c>
      <c r="H320" t="s">
        <v>1434</v>
      </c>
      <c r="I320" s="4">
        <v>1758300</v>
      </c>
      <c r="J320" t="s">
        <v>155</v>
      </c>
      <c r="K320" s="1">
        <v>43777</v>
      </c>
      <c r="L320">
        <v>81</v>
      </c>
      <c r="M320" s="2" t="str">
        <f>IF(Spotify[[#This Row],[Energie]]&gt;AVERAGE(Spotify[Energie]),"FORTE","FAIBLE")</f>
        <v>FAIBLE</v>
      </c>
      <c r="N320" s="2">
        <v>0.73199999999999998</v>
      </c>
      <c r="O320" s="2">
        <v>0.46300000000000002</v>
      </c>
      <c r="P320" s="2">
        <v>2.87E-2</v>
      </c>
      <c r="Q320" s="2">
        <v>0.374</v>
      </c>
      <c r="R320" s="2">
        <v>0.19400000000000001</v>
      </c>
      <c r="S320" s="2">
        <v>0.39700000000000002</v>
      </c>
      <c r="T320" s="2">
        <v>-6.9720000000000004</v>
      </c>
      <c r="U320">
        <v>212607</v>
      </c>
      <c r="V320">
        <f>YEAR(Spotify[[#This Row],[Date de sortie]])</f>
        <v>2019</v>
      </c>
      <c r="W320" s="2" t="str">
        <f>IF(Spotify[[#This Row],[Popularité]]&gt;=70,"FORTE","FAIBLE")</f>
        <v>FORTE</v>
      </c>
    </row>
    <row r="321" spans="1:23" x14ac:dyDescent="0.25">
      <c r="A321">
        <v>1019</v>
      </c>
      <c r="B321">
        <v>44</v>
      </c>
      <c r="C321">
        <v>30</v>
      </c>
      <c r="D321" s="1">
        <v>43826</v>
      </c>
      <c r="E321" s="59" t="str" cm="1">
        <f t="array" ref="E32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321" t="s">
        <v>1712</v>
      </c>
      <c r="G321" s="3">
        <v>4643817</v>
      </c>
      <c r="H321" t="s">
        <v>1713</v>
      </c>
      <c r="I321" s="4">
        <v>5488666</v>
      </c>
      <c r="J321" t="s">
        <v>15</v>
      </c>
      <c r="K321" s="1">
        <v>43637</v>
      </c>
      <c r="L321">
        <v>81</v>
      </c>
      <c r="M321" s="2" t="str">
        <f>IF(Spotify[[#This Row],[Energie]]&gt;AVERAGE(Spotify[Energie]),"FORTE","FAIBLE")</f>
        <v>FAIBLE</v>
      </c>
      <c r="N321" s="2">
        <v>0.878</v>
      </c>
      <c r="O321" s="2">
        <v>0.61899999999999999</v>
      </c>
      <c r="P321" s="2">
        <v>0.10199999999999999</v>
      </c>
      <c r="Q321" s="2">
        <v>5.33E-2</v>
      </c>
      <c r="R321" s="2">
        <v>0.113</v>
      </c>
      <c r="S321" s="2">
        <v>0.63900000000000001</v>
      </c>
      <c r="T321" s="2">
        <v>-5.56</v>
      </c>
      <c r="U321">
        <v>157067</v>
      </c>
      <c r="V321">
        <f>YEAR(Spotify[[#This Row],[Date de sortie]])</f>
        <v>2019</v>
      </c>
      <c r="W321" s="2" t="str">
        <f>IF(Spotify[[#This Row],[Popularité]]&gt;=70,"FORTE","FAIBLE")</f>
        <v>FORTE</v>
      </c>
    </row>
    <row r="322" spans="1:23" x14ac:dyDescent="0.25">
      <c r="A322">
        <v>1004</v>
      </c>
      <c r="B322">
        <v>195</v>
      </c>
      <c r="C322">
        <v>1</v>
      </c>
      <c r="D322" s="1">
        <v>44036</v>
      </c>
      <c r="E322" s="59" t="str" cm="1">
        <f t="array" ref="E32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22" t="s">
        <v>1692</v>
      </c>
      <c r="G322" s="3">
        <v>4628772</v>
      </c>
      <c r="H322" t="s">
        <v>1682</v>
      </c>
      <c r="I322" s="4">
        <v>22536304</v>
      </c>
      <c r="J322" t="s">
        <v>1180</v>
      </c>
      <c r="K322" s="1">
        <v>41603</v>
      </c>
      <c r="L322">
        <v>81</v>
      </c>
      <c r="M322" s="2" t="str">
        <f>IF(Spotify[[#This Row],[Energie]]&gt;AVERAGE(Spotify[Energie]),"FORTE","FAIBLE")</f>
        <v>FORTE</v>
      </c>
      <c r="N322" s="2">
        <v>0.6</v>
      </c>
      <c r="O322" s="2">
        <v>0.66300000000000003</v>
      </c>
      <c r="P322" s="2">
        <v>4.7699999999999999E-2</v>
      </c>
      <c r="Q322" s="2">
        <v>0.22500000000000001</v>
      </c>
      <c r="R322" s="2">
        <v>0.11899999999999999</v>
      </c>
      <c r="S322" s="2">
        <v>0.28599999999999998</v>
      </c>
      <c r="T322" s="2">
        <v>-5.8019999999999996</v>
      </c>
      <c r="U322">
        <v>245493</v>
      </c>
      <c r="V322">
        <f>YEAR(Spotify[[#This Row],[Date de sortie]])</f>
        <v>2013</v>
      </c>
      <c r="W322" s="2" t="str">
        <f>IF(Spotify[[#This Row],[Popularité]]&gt;=70,"FORTE","FAIBLE")</f>
        <v>FORTE</v>
      </c>
    </row>
    <row r="323" spans="1:23" x14ac:dyDescent="0.25">
      <c r="A323">
        <v>1554</v>
      </c>
      <c r="B323">
        <v>197</v>
      </c>
      <c r="C323">
        <v>1</v>
      </c>
      <c r="D323" s="1">
        <v>43826</v>
      </c>
      <c r="E323" s="59" t="str" cm="1">
        <f t="array" ref="E32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23" t="s">
        <v>2439</v>
      </c>
      <c r="G323" s="3">
        <v>4620876</v>
      </c>
      <c r="H323" t="s">
        <v>68</v>
      </c>
      <c r="I323" s="4">
        <v>22698747</v>
      </c>
      <c r="J323" t="s">
        <v>19</v>
      </c>
      <c r="K323" s="1">
        <v>43112</v>
      </c>
      <c r="L323">
        <v>81</v>
      </c>
      <c r="M323" s="2" t="str">
        <f>IF(Spotify[[#This Row],[Energie]]&gt;AVERAGE(Spotify[Energie]),"FORTE","FAIBLE")</f>
        <v>FAIBLE</v>
      </c>
      <c r="N323" s="2">
        <v>0.76500000000000001</v>
      </c>
      <c r="O323" s="2">
        <v>0.52300000000000002</v>
      </c>
      <c r="P323" s="2">
        <v>0.03</v>
      </c>
      <c r="Q323" s="2">
        <v>0.184</v>
      </c>
      <c r="R323" s="2">
        <v>0.13200000000000001</v>
      </c>
      <c r="S323" s="2">
        <v>0.39400000000000002</v>
      </c>
      <c r="T323" s="2">
        <v>-4.3330000000000002</v>
      </c>
      <c r="U323">
        <v>217307</v>
      </c>
      <c r="V323">
        <f>YEAR(Spotify[[#This Row],[Date de sortie]])</f>
        <v>2018</v>
      </c>
      <c r="W323" s="2" t="str">
        <f>IF(Spotify[[#This Row],[Popularité]]&gt;=70,"FORTE","FAIBLE")</f>
        <v>FORTE</v>
      </c>
    </row>
    <row r="324" spans="1:23" x14ac:dyDescent="0.25">
      <c r="A324">
        <v>909</v>
      </c>
      <c r="B324">
        <v>21</v>
      </c>
      <c r="C324">
        <v>29</v>
      </c>
      <c r="D324" s="1">
        <v>43938</v>
      </c>
      <c r="E324" s="59" t="str" cm="1">
        <f t="array" ref="E32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24" t="s">
        <v>1553</v>
      </c>
      <c r="G324" s="3">
        <v>4620838</v>
      </c>
      <c r="H324" t="s">
        <v>18</v>
      </c>
      <c r="I324" s="4">
        <v>8671649</v>
      </c>
      <c r="J324" t="s">
        <v>19</v>
      </c>
      <c r="K324" s="1">
        <v>43853</v>
      </c>
      <c r="L324">
        <v>81</v>
      </c>
      <c r="M324" s="2" t="str">
        <f>IF(Spotify[[#This Row],[Energie]]&gt;AVERAGE(Spotify[Energie]),"FORTE","FAIBLE")</f>
        <v>FORTE</v>
      </c>
      <c r="N324" s="2">
        <v>0.70699999999999996</v>
      </c>
      <c r="O324" s="2">
        <v>0.95499999999999996</v>
      </c>
      <c r="P324" s="2">
        <v>0.222</v>
      </c>
      <c r="Q324" s="2">
        <v>0.127</v>
      </c>
      <c r="R324" s="2">
        <v>0.20200000000000001</v>
      </c>
      <c r="S324" s="2">
        <v>0.57499999999999996</v>
      </c>
      <c r="T324" s="2">
        <v>-4.593</v>
      </c>
      <c r="U324">
        <v>134240</v>
      </c>
      <c r="V324">
        <f>YEAR(Spotify[[#This Row],[Date de sortie]])</f>
        <v>2020</v>
      </c>
      <c r="W324" s="2" t="str">
        <f>IF(Spotify[[#This Row],[Popularité]]&gt;=70,"FORTE","FAIBLE")</f>
        <v>FORTE</v>
      </c>
    </row>
    <row r="325" spans="1:23" x14ac:dyDescent="0.25">
      <c r="A325">
        <v>842</v>
      </c>
      <c r="B325">
        <v>77</v>
      </c>
      <c r="C325">
        <v>34</v>
      </c>
      <c r="D325" s="1">
        <v>43833</v>
      </c>
      <c r="E325" s="59" t="str" cm="1">
        <f t="array" ref="E32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25" t="s">
        <v>1455</v>
      </c>
      <c r="G325" s="3">
        <v>4598766</v>
      </c>
      <c r="H325" t="s">
        <v>1456</v>
      </c>
      <c r="I325" s="4">
        <v>891555</v>
      </c>
      <c r="J325" t="s">
        <v>222</v>
      </c>
      <c r="K325" s="1">
        <v>43966</v>
      </c>
      <c r="L325">
        <v>81</v>
      </c>
      <c r="M325" s="2" t="str">
        <f>IF(Spotify[[#This Row],[Energie]]&gt;AVERAGE(Spotify[Energie]),"FORTE","FAIBLE")</f>
        <v>FAIBLE</v>
      </c>
      <c r="N325" s="2">
        <v>0.70799999999999996</v>
      </c>
      <c r="O325" s="2">
        <v>0.186</v>
      </c>
      <c r="P325" s="2">
        <v>4.2000000000000003E-2</v>
      </c>
      <c r="Q325" s="2">
        <v>0.86799999999999999</v>
      </c>
      <c r="R325" s="2">
        <v>7.7899999999999997E-2</v>
      </c>
      <c r="S325" s="2">
        <v>0.32200000000000001</v>
      </c>
      <c r="T325" s="2">
        <v>-8.9529999999999994</v>
      </c>
      <c r="U325">
        <v>156106</v>
      </c>
      <c r="V325">
        <f>YEAR(Spotify[[#This Row],[Date de sortie]])</f>
        <v>2020</v>
      </c>
      <c r="W325" s="2" t="str">
        <f>IF(Spotify[[#This Row],[Popularité]]&gt;=70,"FORTE","FAIBLE")</f>
        <v>FORTE</v>
      </c>
    </row>
    <row r="326" spans="1:23" x14ac:dyDescent="0.25">
      <c r="A326">
        <v>1542</v>
      </c>
      <c r="B326">
        <v>145</v>
      </c>
      <c r="C326">
        <v>2</v>
      </c>
      <c r="D326" s="1">
        <v>43826</v>
      </c>
      <c r="E326" s="59" t="str" cm="1">
        <f t="array" ref="E32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26" t="s">
        <v>2423</v>
      </c>
      <c r="G326" s="3">
        <v>4594157</v>
      </c>
      <c r="H326" t="s">
        <v>250</v>
      </c>
      <c r="I326" s="4">
        <v>21946934</v>
      </c>
      <c r="J326" t="s">
        <v>19</v>
      </c>
      <c r="K326" s="1">
        <v>43196</v>
      </c>
      <c r="L326">
        <v>81</v>
      </c>
      <c r="M326" s="2" t="str">
        <f>IF(Spotify[[#This Row],[Energie]]&gt;AVERAGE(Spotify[Energie]),"FORTE","FAIBLE")</f>
        <v>FORTE</v>
      </c>
      <c r="N326" s="2">
        <v>0.79100000000000004</v>
      </c>
      <c r="O326" s="2">
        <v>0.86199999999999999</v>
      </c>
      <c r="P326" s="2">
        <v>0.11</v>
      </c>
      <c r="Q326" s="2">
        <v>3.6999999999999998E-2</v>
      </c>
      <c r="R326" s="2">
        <v>8.14E-2</v>
      </c>
      <c r="S326" s="2">
        <v>0.59199999999999997</v>
      </c>
      <c r="T326" s="2">
        <v>-3.24</v>
      </c>
      <c r="U326">
        <v>214847</v>
      </c>
      <c r="V326">
        <f>YEAR(Spotify[[#This Row],[Date de sortie]])</f>
        <v>2018</v>
      </c>
      <c r="W326" s="2" t="str">
        <f>IF(Spotify[[#This Row],[Popularité]]&gt;=70,"FORTE","FAIBLE")</f>
        <v>FORTE</v>
      </c>
    </row>
    <row r="327" spans="1:23" x14ac:dyDescent="0.25">
      <c r="A327">
        <v>1071</v>
      </c>
      <c r="B327">
        <v>78</v>
      </c>
      <c r="C327">
        <v>27</v>
      </c>
      <c r="D327" s="1">
        <v>43833</v>
      </c>
      <c r="E327" s="59" t="str" cm="1">
        <f t="array" ref="E32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27" t="s">
        <v>1784</v>
      </c>
      <c r="G327" s="3">
        <v>4543863</v>
      </c>
      <c r="H327" t="s">
        <v>1179</v>
      </c>
      <c r="I327" s="4">
        <v>5436999</v>
      </c>
      <c r="J327" t="s">
        <v>1180</v>
      </c>
      <c r="K327" s="1">
        <v>43623</v>
      </c>
      <c r="L327">
        <v>81</v>
      </c>
      <c r="M327" s="2" t="str">
        <f>IF(Spotify[[#This Row],[Energie]]&gt;AVERAGE(Spotify[Energie]),"FORTE","FAIBLE")</f>
        <v>FORTE</v>
      </c>
      <c r="N327" s="2">
        <v>0.84199999999999997</v>
      </c>
      <c r="O327" s="2">
        <v>0.73399999999999999</v>
      </c>
      <c r="P327" s="2">
        <v>5.8799999999999998E-2</v>
      </c>
      <c r="Q327" s="2">
        <v>4.2700000000000002E-2</v>
      </c>
      <c r="R327" s="2">
        <v>0.106</v>
      </c>
      <c r="S327" s="2">
        <v>0.95199999999999996</v>
      </c>
      <c r="T327" s="2">
        <v>-5.0650000000000004</v>
      </c>
      <c r="U327">
        <v>181027</v>
      </c>
      <c r="V327">
        <f>YEAR(Spotify[[#This Row],[Date de sortie]])</f>
        <v>2019</v>
      </c>
      <c r="W327" s="2" t="str">
        <f>IF(Spotify[[#This Row],[Popularité]]&gt;=70,"FORTE","FAIBLE")</f>
        <v>FORTE</v>
      </c>
    </row>
    <row r="328" spans="1:23" x14ac:dyDescent="0.25">
      <c r="A328">
        <v>934</v>
      </c>
      <c r="B328">
        <v>31</v>
      </c>
      <c r="C328">
        <v>34</v>
      </c>
      <c r="D328" s="1">
        <v>43833</v>
      </c>
      <c r="E328" s="59" t="str" cm="1">
        <f t="array" ref="E32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328" t="s">
        <v>1596</v>
      </c>
      <c r="G328" s="3">
        <v>4514763</v>
      </c>
      <c r="H328" t="s">
        <v>345</v>
      </c>
      <c r="I328" s="4">
        <v>19102888</v>
      </c>
      <c r="J328" t="s">
        <v>79</v>
      </c>
      <c r="K328" s="1">
        <v>43742</v>
      </c>
      <c r="L328">
        <v>81</v>
      </c>
      <c r="M328" s="2" t="str">
        <f>IF(Spotify[[#This Row],[Energie]]&gt;AVERAGE(Spotify[Energie]),"FORTE","FAIBLE")</f>
        <v>FAIBLE</v>
      </c>
      <c r="N328" s="2">
        <v>0.47399999999999998</v>
      </c>
      <c r="O328" s="2">
        <v>0.63100000000000001</v>
      </c>
      <c r="P328" s="2">
        <v>0.34300000000000003</v>
      </c>
      <c r="Q328" s="2">
        <v>6.8699999999999997E-2</v>
      </c>
      <c r="R328" s="2">
        <v>0.13200000000000001</v>
      </c>
      <c r="S328" s="2">
        <v>0.42499999999999999</v>
      </c>
      <c r="T328" s="2">
        <v>-5.8840000000000003</v>
      </c>
      <c r="U328">
        <v>189323</v>
      </c>
      <c r="V328">
        <f>YEAR(Spotify[[#This Row],[Date de sortie]])</f>
        <v>2019</v>
      </c>
      <c r="W328" s="2" t="str">
        <f>IF(Spotify[[#This Row],[Popularité]]&gt;=70,"FORTE","FAIBLE")</f>
        <v>FORTE</v>
      </c>
    </row>
    <row r="329" spans="1:23" x14ac:dyDescent="0.25">
      <c r="A329">
        <v>899</v>
      </c>
      <c r="B329">
        <v>91</v>
      </c>
      <c r="C329">
        <v>33</v>
      </c>
      <c r="D329" s="1">
        <v>43826</v>
      </c>
      <c r="E329" s="59" t="str" cm="1">
        <f t="array" ref="E32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29" t="s">
        <v>1537</v>
      </c>
      <c r="G329" s="3">
        <v>4502853</v>
      </c>
      <c r="H329" t="s">
        <v>592</v>
      </c>
      <c r="I329" s="4">
        <v>3916979</v>
      </c>
      <c r="J329" t="s">
        <v>19</v>
      </c>
      <c r="K329" s="1">
        <v>44092</v>
      </c>
      <c r="L329">
        <v>81</v>
      </c>
      <c r="M329" s="2" t="str">
        <f>IF(Spotify[[#This Row],[Energie]]&gt;AVERAGE(Spotify[Energie]),"FORTE","FAIBLE")</f>
        <v>FORTE</v>
      </c>
      <c r="N329" s="2">
        <v>0.72</v>
      </c>
      <c r="O329" s="2">
        <v>0.70599999999999996</v>
      </c>
      <c r="P329" s="2">
        <v>4.7300000000000002E-2</v>
      </c>
      <c r="Q329" s="2">
        <v>6.8400000000000002E-2</v>
      </c>
      <c r="R329" s="2">
        <v>0.16600000000000001</v>
      </c>
      <c r="S329" s="2">
        <v>0.62</v>
      </c>
      <c r="T329" s="2">
        <v>-4.7190000000000003</v>
      </c>
      <c r="U329">
        <v>187436</v>
      </c>
      <c r="V329">
        <f>YEAR(Spotify[[#This Row],[Date de sortie]])</f>
        <v>2020</v>
      </c>
      <c r="W329" s="2" t="str">
        <f>IF(Spotify[[#This Row],[Popularité]]&gt;=70,"FORTE","FAIBLE")</f>
        <v>FORTE</v>
      </c>
    </row>
    <row r="330" spans="1:23" x14ac:dyDescent="0.25">
      <c r="A330">
        <v>1060</v>
      </c>
      <c r="B330">
        <v>122</v>
      </c>
      <c r="C330">
        <v>27</v>
      </c>
      <c r="D330" s="1">
        <v>43826</v>
      </c>
      <c r="E330" s="59" t="str" cm="1">
        <f t="array" ref="E33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330" t="s">
        <v>1769</v>
      </c>
      <c r="G330" s="3">
        <v>4431571</v>
      </c>
      <c r="H330" t="s">
        <v>59</v>
      </c>
      <c r="I330" s="4">
        <v>33663701</v>
      </c>
      <c r="J330" t="s">
        <v>60</v>
      </c>
      <c r="K330" s="1">
        <v>43217</v>
      </c>
      <c r="L330">
        <v>81</v>
      </c>
      <c r="M330" s="2" t="str">
        <f>IF(Spotify[[#This Row],[Energie]]&gt;AVERAGE(Spotify[Energie]),"FORTE","FAIBLE")</f>
        <v>FAIBLE</v>
      </c>
      <c r="N330" s="2">
        <v>0.68</v>
      </c>
      <c r="O330" s="2">
        <v>0.57799999999999996</v>
      </c>
      <c r="P330" s="2">
        <v>0.04</v>
      </c>
      <c r="Q330" s="2">
        <v>0.33100000000000002</v>
      </c>
      <c r="R330" s="2">
        <v>0.13500000000000001</v>
      </c>
      <c r="S330" s="2">
        <v>0.34100000000000003</v>
      </c>
      <c r="T330" s="2">
        <v>-5.8040000000000003</v>
      </c>
      <c r="U330">
        <v>231267</v>
      </c>
      <c r="V330">
        <f>YEAR(Spotify[[#This Row],[Date de sortie]])</f>
        <v>2018</v>
      </c>
      <c r="W330" s="2" t="str">
        <f>IF(Spotify[[#This Row],[Popularité]]&gt;=70,"FORTE","FAIBLE")</f>
        <v>FORTE</v>
      </c>
    </row>
    <row r="331" spans="1:23" x14ac:dyDescent="0.25">
      <c r="A331">
        <v>1073</v>
      </c>
      <c r="B331">
        <v>116</v>
      </c>
      <c r="C331">
        <v>21</v>
      </c>
      <c r="D331" s="1">
        <v>43826</v>
      </c>
      <c r="E331" s="59" t="str" cm="1">
        <f t="array" ref="E33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331" t="s">
        <v>1787</v>
      </c>
      <c r="G331" s="3">
        <v>4426791</v>
      </c>
      <c r="H331" t="s">
        <v>1788</v>
      </c>
      <c r="I331" s="4">
        <v>10850424</v>
      </c>
      <c r="J331" t="s">
        <v>227</v>
      </c>
      <c r="K331" s="1">
        <v>43273</v>
      </c>
      <c r="L331">
        <v>81</v>
      </c>
      <c r="M331" s="2" t="str">
        <f>IF(Spotify[[#This Row],[Energie]]&gt;AVERAGE(Spotify[Energie]),"FORTE","FAIBLE")</f>
        <v>FORTE</v>
      </c>
      <c r="N331" s="2">
        <v>0.57899999999999996</v>
      </c>
      <c r="O331" s="2">
        <v>0.90400000000000003</v>
      </c>
      <c r="P331" s="2">
        <v>6.1800000000000001E-2</v>
      </c>
      <c r="Q331" s="2">
        <v>0.193</v>
      </c>
      <c r="R331" s="2">
        <v>6.4000000000000001E-2</v>
      </c>
      <c r="S331" s="2">
        <v>0.68100000000000005</v>
      </c>
      <c r="T331" s="2">
        <v>-2.7290000000000001</v>
      </c>
      <c r="U331">
        <v>190947</v>
      </c>
      <c r="V331">
        <f>YEAR(Spotify[[#This Row],[Date de sortie]])</f>
        <v>2018</v>
      </c>
      <c r="W331" s="2" t="str">
        <f>IF(Spotify[[#This Row],[Popularité]]&gt;=70,"FORTE","FAIBLE")</f>
        <v>FORTE</v>
      </c>
    </row>
    <row r="332" spans="1:23" x14ac:dyDescent="0.25">
      <c r="A332">
        <v>1061</v>
      </c>
      <c r="B332">
        <v>185</v>
      </c>
      <c r="C332">
        <v>2</v>
      </c>
      <c r="D332" s="1">
        <v>44001</v>
      </c>
      <c r="E332" s="59" t="str" cm="1">
        <f t="array" ref="E33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332" t="s">
        <v>1770</v>
      </c>
      <c r="G332" s="3">
        <v>4394985</v>
      </c>
      <c r="H332" t="s">
        <v>1771</v>
      </c>
      <c r="I332" s="4">
        <v>3731820</v>
      </c>
      <c r="J332" t="s">
        <v>360</v>
      </c>
      <c r="K332" s="1">
        <v>29587</v>
      </c>
      <c r="L332">
        <v>81</v>
      </c>
      <c r="M332" s="2" t="str">
        <f>IF(Spotify[[#This Row],[Energie]]&gt;AVERAGE(Spotify[Energie]),"FORTE","FAIBLE")</f>
        <v>FORTE</v>
      </c>
      <c r="N332" s="2">
        <v>0.5</v>
      </c>
      <c r="O332" s="2">
        <v>0.748</v>
      </c>
      <c r="P332" s="2">
        <v>3.6299999999999999E-2</v>
      </c>
      <c r="Q332" s="2">
        <v>0.127</v>
      </c>
      <c r="R332" s="2">
        <v>0.44700000000000001</v>
      </c>
      <c r="S332" s="2">
        <v>0.51400000000000001</v>
      </c>
      <c r="T332" s="2">
        <v>-9.0719999999999992</v>
      </c>
      <c r="U332">
        <v>250987</v>
      </c>
      <c r="V332">
        <f>YEAR(Spotify[[#This Row],[Date de sortie]])</f>
        <v>1981</v>
      </c>
      <c r="W332" s="2" t="str">
        <f>IF(Spotify[[#This Row],[Popularité]]&gt;=70,"FORTE","FAIBLE")</f>
        <v>FORTE</v>
      </c>
    </row>
    <row r="333" spans="1:23" x14ac:dyDescent="0.25">
      <c r="A333">
        <v>1123</v>
      </c>
      <c r="B333">
        <v>50</v>
      </c>
      <c r="C333">
        <v>23</v>
      </c>
      <c r="D333" s="1">
        <v>43826</v>
      </c>
      <c r="E333" s="59" t="str" cm="1">
        <f t="array" ref="E33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33" t="s">
        <v>1863</v>
      </c>
      <c r="G333" s="3">
        <v>4350496</v>
      </c>
      <c r="H333" t="s">
        <v>1864</v>
      </c>
      <c r="I333" s="4">
        <v>36177712</v>
      </c>
      <c r="J333" t="s">
        <v>25</v>
      </c>
      <c r="K333" s="1">
        <v>43616</v>
      </c>
      <c r="L333">
        <v>81</v>
      </c>
      <c r="M333" s="2" t="str">
        <f>IF(Spotify[[#This Row],[Energie]]&gt;AVERAGE(Spotify[Energie]),"FORTE","FAIBLE")</f>
        <v>FAIBLE</v>
      </c>
      <c r="N333" s="2">
        <v>0.61</v>
      </c>
      <c r="O333" s="2">
        <v>0.624</v>
      </c>
      <c r="P333" s="2">
        <v>0.309</v>
      </c>
      <c r="Q333" s="2">
        <v>0.6</v>
      </c>
      <c r="R333" s="2">
        <v>0.24299999999999999</v>
      </c>
      <c r="S333" s="2">
        <v>0.24399999999999999</v>
      </c>
      <c r="T333" s="2">
        <v>-4.7729999999999997</v>
      </c>
      <c r="U333">
        <v>250534</v>
      </c>
      <c r="V333">
        <f>YEAR(Spotify[[#This Row],[Date de sortie]])</f>
        <v>2019</v>
      </c>
      <c r="W333" s="2" t="str">
        <f>IF(Spotify[[#This Row],[Popularité]]&gt;=70,"FORTE","FAIBLE")</f>
        <v>FORTE</v>
      </c>
    </row>
    <row r="334" spans="1:23" x14ac:dyDescent="0.25">
      <c r="A334">
        <v>1082</v>
      </c>
      <c r="B334">
        <v>14</v>
      </c>
      <c r="C334">
        <v>27</v>
      </c>
      <c r="D334" s="1">
        <v>43840</v>
      </c>
      <c r="E334" s="59" t="str" cm="1">
        <f t="array" ref="E33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34" t="s">
        <v>1799</v>
      </c>
      <c r="G334" s="3">
        <v>4322088</v>
      </c>
      <c r="H334" t="s">
        <v>454</v>
      </c>
      <c r="I334" s="4">
        <v>28931149</v>
      </c>
      <c r="J334" t="s">
        <v>19</v>
      </c>
      <c r="K334" s="1">
        <v>43840</v>
      </c>
      <c r="L334">
        <v>81</v>
      </c>
      <c r="M334" s="2" t="str">
        <f>IF(Spotify[[#This Row],[Energie]]&gt;AVERAGE(Spotify[Energie]),"FORTE","FAIBLE")</f>
        <v>FAIBLE</v>
      </c>
      <c r="N334" s="2">
        <v>0.48799999999999999</v>
      </c>
      <c r="O334" s="2">
        <v>0.34300000000000003</v>
      </c>
      <c r="P334" s="2">
        <v>4.36E-2</v>
      </c>
      <c r="Q334" s="2">
        <v>0.55600000000000005</v>
      </c>
      <c r="R334" s="2">
        <v>0.21</v>
      </c>
      <c r="S334" s="2">
        <v>9.7799999999999998E-2</v>
      </c>
      <c r="T334" s="2">
        <v>-8.9849999999999994</v>
      </c>
      <c r="U334">
        <v>206459</v>
      </c>
      <c r="V334">
        <f>YEAR(Spotify[[#This Row],[Date de sortie]])</f>
        <v>2020</v>
      </c>
      <c r="W334" s="2" t="str">
        <f>IF(Spotify[[#This Row],[Popularité]]&gt;=70,"FORTE","FAIBLE")</f>
        <v>FORTE</v>
      </c>
    </row>
    <row r="335" spans="1:23" x14ac:dyDescent="0.25">
      <c r="A335">
        <v>1126</v>
      </c>
      <c r="B335">
        <v>189</v>
      </c>
      <c r="C335">
        <v>5</v>
      </c>
      <c r="D335" s="1">
        <v>43931</v>
      </c>
      <c r="E335" s="59" t="str" cm="1">
        <f t="array" ref="E33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335" t="s">
        <v>1867</v>
      </c>
      <c r="G335" s="3">
        <v>4299334</v>
      </c>
      <c r="H335" t="s">
        <v>556</v>
      </c>
      <c r="I335" s="4">
        <v>29566516</v>
      </c>
      <c r="J335" t="s">
        <v>557</v>
      </c>
      <c r="K335" s="1">
        <v>43175</v>
      </c>
      <c r="L335">
        <v>81</v>
      </c>
      <c r="M335" s="2" t="str">
        <f>IF(Spotify[[#This Row],[Energie]]&gt;AVERAGE(Spotify[Energie]),"FORTE","FAIBLE")</f>
        <v>FAIBLE</v>
      </c>
      <c r="N335" s="2">
        <v>0.66900000000000004</v>
      </c>
      <c r="O335" s="2">
        <v>0.308</v>
      </c>
      <c r="P335" s="2">
        <v>2.9000000000000001E-2</v>
      </c>
      <c r="Q335" s="2">
        <v>0.88300000000000001</v>
      </c>
      <c r="R335" s="2">
        <v>9.8400000000000001E-2</v>
      </c>
      <c r="S335" s="2">
        <v>0.52</v>
      </c>
      <c r="T335" s="2">
        <v>-10.068</v>
      </c>
      <c r="U335">
        <v>121887</v>
      </c>
      <c r="V335">
        <f>YEAR(Spotify[[#This Row],[Date de sortie]])</f>
        <v>2018</v>
      </c>
      <c r="W335" s="2" t="str">
        <f>IF(Spotify[[#This Row],[Popularité]]&gt;=70,"FORTE","FAIBLE")</f>
        <v>FORTE</v>
      </c>
    </row>
    <row r="336" spans="1:23" x14ac:dyDescent="0.25">
      <c r="A336">
        <v>89</v>
      </c>
      <c r="B336">
        <v>89</v>
      </c>
      <c r="C336">
        <v>1</v>
      </c>
      <c r="D336" s="1">
        <v>44400</v>
      </c>
      <c r="E336" s="59" t="str" cm="1">
        <f t="array" ref="E33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336" t="s">
        <v>194</v>
      </c>
      <c r="G336" s="3">
        <v>7365053</v>
      </c>
      <c r="H336" t="s">
        <v>195</v>
      </c>
      <c r="I336" s="4">
        <v>203972</v>
      </c>
      <c r="J336" t="s">
        <v>155</v>
      </c>
      <c r="K336" s="1">
        <v>44399</v>
      </c>
      <c r="L336">
        <v>80</v>
      </c>
      <c r="M336" s="2" t="str">
        <f>IF(Spotify[[#This Row],[Energie]]&gt;AVERAGE(Spotify[Energie]),"FORTE","FAIBLE")</f>
        <v>FAIBLE</v>
      </c>
      <c r="N336" s="2">
        <v>0.79700000000000004</v>
      </c>
      <c r="O336" s="2">
        <v>0.57299999999999995</v>
      </c>
      <c r="P336" s="2">
        <v>0.31900000000000001</v>
      </c>
      <c r="Q336" s="2">
        <v>0.159</v>
      </c>
      <c r="R336" s="2">
        <v>0.14399999999999999</v>
      </c>
      <c r="S336" s="2">
        <v>0.44500000000000001</v>
      </c>
      <c r="T336" s="2">
        <v>-7.85</v>
      </c>
      <c r="U336">
        <v>206629</v>
      </c>
      <c r="V336">
        <f>YEAR(Spotify[[#This Row],[Date de sortie]])</f>
        <v>2021</v>
      </c>
      <c r="W336" s="2" t="str">
        <f>IF(Spotify[[#This Row],[Popularité]]&gt;=70,"FORTE","FAIBLE")</f>
        <v>FORTE</v>
      </c>
    </row>
    <row r="337" spans="1:23" x14ac:dyDescent="0.25">
      <c r="A337">
        <v>718</v>
      </c>
      <c r="B337">
        <v>15</v>
      </c>
      <c r="C337">
        <v>24</v>
      </c>
      <c r="D337" s="1">
        <v>44029</v>
      </c>
      <c r="E337" s="59" t="str" cm="1">
        <f t="array" ref="E33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337" t="s">
        <v>1260</v>
      </c>
      <c r="G337" s="3">
        <v>6567755</v>
      </c>
      <c r="H337" t="s">
        <v>1261</v>
      </c>
      <c r="I337" s="4">
        <v>3828418</v>
      </c>
      <c r="J337" t="s">
        <v>155</v>
      </c>
      <c r="K337" s="1">
        <v>44006</v>
      </c>
      <c r="L337">
        <v>80</v>
      </c>
      <c r="M337" s="2" t="str">
        <f>IF(Spotify[[#This Row],[Energie]]&gt;AVERAGE(Spotify[Energie]),"FORTE","FAIBLE")</f>
        <v>FORTE</v>
      </c>
      <c r="N337" s="2">
        <v>0.90400000000000003</v>
      </c>
      <c r="O337" s="2">
        <v>0.72299999999999998</v>
      </c>
      <c r="P337" s="2">
        <v>0.26</v>
      </c>
      <c r="Q337" s="2">
        <v>6.3100000000000003E-2</v>
      </c>
      <c r="R337" s="2">
        <v>0.185</v>
      </c>
      <c r="S337" s="2">
        <v>0.83499999999999996</v>
      </c>
      <c r="T337" s="2">
        <v>-5.2240000000000002</v>
      </c>
      <c r="U337">
        <v>227478</v>
      </c>
      <c r="V337">
        <f>YEAR(Spotify[[#This Row],[Date de sortie]])</f>
        <v>2020</v>
      </c>
      <c r="W337" s="2" t="str">
        <f>IF(Spotify[[#This Row],[Popularité]]&gt;=70,"FORTE","FAIBLE")</f>
        <v>FORTE</v>
      </c>
    </row>
    <row r="338" spans="1:23" x14ac:dyDescent="0.25">
      <c r="A338">
        <v>265</v>
      </c>
      <c r="B338">
        <v>121</v>
      </c>
      <c r="C338">
        <v>1</v>
      </c>
      <c r="D338" s="1">
        <v>44372</v>
      </c>
      <c r="E338" s="59" t="str" cm="1">
        <f t="array" ref="E33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38" t="s">
        <v>525</v>
      </c>
      <c r="G338" s="3">
        <v>6503281</v>
      </c>
      <c r="H338" t="s">
        <v>18</v>
      </c>
      <c r="I338" s="4">
        <v>8640063</v>
      </c>
      <c r="J338" t="s">
        <v>19</v>
      </c>
      <c r="K338" s="1">
        <v>44372</v>
      </c>
      <c r="L338">
        <v>80</v>
      </c>
      <c r="M338" s="2" t="str">
        <f>IF(Spotify[[#This Row],[Energie]]&gt;AVERAGE(Spotify[Energie]),"FORTE","FAIBLE")</f>
        <v>FORTE</v>
      </c>
      <c r="N338" s="2">
        <v>0.91200000000000003</v>
      </c>
      <c r="O338" s="2">
        <v>0.65500000000000003</v>
      </c>
      <c r="P338" s="2">
        <v>0.16200000000000001</v>
      </c>
      <c r="Q338" s="2">
        <v>0.315</v>
      </c>
      <c r="R338" s="2">
        <v>8.9399999999999993E-2</v>
      </c>
      <c r="S338" s="2">
        <v>0.79300000000000004</v>
      </c>
      <c r="T338" s="2">
        <v>-6.0289999999999999</v>
      </c>
      <c r="U338">
        <v>138293</v>
      </c>
      <c r="V338">
        <f>YEAR(Spotify[[#This Row],[Date de sortie]])</f>
        <v>2021</v>
      </c>
      <c r="W338" s="2" t="str">
        <f>IF(Spotify[[#This Row],[Popularité]]&gt;=70,"FORTE","FAIBLE")</f>
        <v>FORTE</v>
      </c>
    </row>
    <row r="339" spans="1:23" x14ac:dyDescent="0.25">
      <c r="A339">
        <v>395</v>
      </c>
      <c r="B339">
        <v>7</v>
      </c>
      <c r="C339">
        <v>40</v>
      </c>
      <c r="D339" s="1">
        <v>44029</v>
      </c>
      <c r="E339" s="59" t="str" cm="1">
        <f t="array" ref="E33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339" t="s">
        <v>739</v>
      </c>
      <c r="G339" s="3">
        <v>6127103</v>
      </c>
      <c r="H339" t="s">
        <v>489</v>
      </c>
      <c r="I339" s="4">
        <v>6278835</v>
      </c>
      <c r="J339" t="s">
        <v>426</v>
      </c>
      <c r="K339" s="1">
        <v>44029</v>
      </c>
      <c r="L339">
        <v>80</v>
      </c>
      <c r="M339" s="2" t="str">
        <f>IF(Spotify[[#This Row],[Energie]]&gt;AVERAGE(Spotify[Energie]),"FORTE","FAIBLE")</f>
        <v>FAIBLE</v>
      </c>
      <c r="N339" s="2">
        <v>0.8</v>
      </c>
      <c r="O339" s="2">
        <v>0.56000000000000005</v>
      </c>
      <c r="P339" s="2">
        <v>0.26100000000000001</v>
      </c>
      <c r="Q339" s="2">
        <v>5.7000000000000002E-2</v>
      </c>
      <c r="R339" s="2">
        <v>0.13400000000000001</v>
      </c>
      <c r="S339" s="2">
        <v>0.45</v>
      </c>
      <c r="T339" s="2">
        <v>-4.8179999999999996</v>
      </c>
      <c r="U339">
        <v>200221</v>
      </c>
      <c r="V339">
        <f>YEAR(Spotify[[#This Row],[Date de sortie]])</f>
        <v>2020</v>
      </c>
      <c r="W339" s="2" t="str">
        <f>IF(Spotify[[#This Row],[Popularité]]&gt;=70,"FORTE","FAIBLE")</f>
        <v>FORTE</v>
      </c>
    </row>
    <row r="340" spans="1:23" x14ac:dyDescent="0.25">
      <c r="A340">
        <v>239</v>
      </c>
      <c r="B340">
        <v>55</v>
      </c>
      <c r="C340">
        <v>2</v>
      </c>
      <c r="D340" s="1">
        <v>44372</v>
      </c>
      <c r="E340" s="59" t="str" cm="1">
        <f t="array" ref="E34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40" t="s">
        <v>482</v>
      </c>
      <c r="G340" s="3">
        <v>5912293</v>
      </c>
      <c r="H340" t="s">
        <v>18</v>
      </c>
      <c r="I340" s="4">
        <v>8640063</v>
      </c>
      <c r="J340" t="s">
        <v>19</v>
      </c>
      <c r="K340" s="1">
        <v>44372</v>
      </c>
      <c r="L340">
        <v>80</v>
      </c>
      <c r="M340" s="2" t="str">
        <f>IF(Spotify[[#This Row],[Energie]]&gt;AVERAGE(Spotify[Energie]),"FORTE","FAIBLE")</f>
        <v>FAIBLE</v>
      </c>
      <c r="N340" s="2">
        <v>0.68300000000000005</v>
      </c>
      <c r="O340" s="2">
        <v>0.61499999999999999</v>
      </c>
      <c r="P340" s="2">
        <v>9.6600000000000005E-2</v>
      </c>
      <c r="Q340" s="2">
        <v>0.222</v>
      </c>
      <c r="R340" s="2">
        <v>0.154</v>
      </c>
      <c r="S340" s="2">
        <v>0.45</v>
      </c>
      <c r="T340" s="2">
        <v>-5.7370000000000001</v>
      </c>
      <c r="U340">
        <v>188893</v>
      </c>
      <c r="V340">
        <f>YEAR(Spotify[[#This Row],[Date de sortie]])</f>
        <v>2021</v>
      </c>
      <c r="W340" s="2" t="str">
        <f>IF(Spotify[[#This Row],[Popularité]]&gt;=70,"FORTE","FAIBLE")</f>
        <v>FORTE</v>
      </c>
    </row>
    <row r="341" spans="1:23" x14ac:dyDescent="0.25">
      <c r="A341">
        <v>137</v>
      </c>
      <c r="B341">
        <v>110</v>
      </c>
      <c r="C341">
        <v>13</v>
      </c>
      <c r="D341" s="1">
        <v>44379</v>
      </c>
      <c r="E341" s="59" t="str" cm="1">
        <f t="array" ref="E34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341" t="s">
        <v>292</v>
      </c>
      <c r="G341" s="3">
        <v>5848466</v>
      </c>
      <c r="H341" t="s">
        <v>293</v>
      </c>
      <c r="I341" s="4">
        <v>261225</v>
      </c>
      <c r="J341" t="s">
        <v>227</v>
      </c>
      <c r="K341" s="1">
        <v>44204</v>
      </c>
      <c r="L341">
        <v>80</v>
      </c>
      <c r="M341" s="2" t="str">
        <f>IF(Spotify[[#This Row],[Energie]]&gt;AVERAGE(Spotify[Energie]),"FORTE","FAIBLE")</f>
        <v>FORTE</v>
      </c>
      <c r="N341" s="2">
        <v>0.68899999999999995</v>
      </c>
      <c r="O341" s="2">
        <v>0.70599999999999996</v>
      </c>
      <c r="P341" s="2">
        <v>3.1199999999999999E-2</v>
      </c>
      <c r="Q341" s="2">
        <v>8.3299999999999999E-2</v>
      </c>
      <c r="R341" s="2">
        <v>0.105</v>
      </c>
      <c r="S341" s="2">
        <v>0.623</v>
      </c>
      <c r="T341" s="2">
        <v>-4.4800000000000004</v>
      </c>
      <c r="U341">
        <v>226268</v>
      </c>
      <c r="V341">
        <f>YEAR(Spotify[[#This Row],[Date de sortie]])</f>
        <v>2021</v>
      </c>
      <c r="W341" s="2" t="str">
        <f>IF(Spotify[[#This Row],[Popularité]]&gt;=70,"FORTE","FAIBLE")</f>
        <v>FORTE</v>
      </c>
    </row>
    <row r="342" spans="1:23" x14ac:dyDescent="0.25">
      <c r="A342">
        <v>277</v>
      </c>
      <c r="B342">
        <v>146</v>
      </c>
      <c r="C342">
        <v>1</v>
      </c>
      <c r="D342" s="1">
        <v>44365</v>
      </c>
      <c r="E342" s="59" t="str" cm="1">
        <f t="array" ref="E34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42" t="s">
        <v>546</v>
      </c>
      <c r="G342" s="3">
        <v>5666770</v>
      </c>
      <c r="H342" t="s">
        <v>547</v>
      </c>
      <c r="I342" s="4">
        <v>1647262</v>
      </c>
      <c r="J342" t="s">
        <v>222</v>
      </c>
      <c r="K342" s="1">
        <v>44364</v>
      </c>
      <c r="L342">
        <v>80</v>
      </c>
      <c r="M342" s="2" t="str">
        <f>IF(Spotify[[#This Row],[Energie]]&gt;AVERAGE(Spotify[Energie]),"FORTE","FAIBLE")</f>
        <v>FAIBLE</v>
      </c>
      <c r="N342" s="2">
        <v>0.78300000000000003</v>
      </c>
      <c r="O342" s="2">
        <v>0.435</v>
      </c>
      <c r="P342" s="2">
        <v>5.8799999999999998E-2</v>
      </c>
      <c r="Q342" s="2">
        <v>0.28199999999999997</v>
      </c>
      <c r="R342" s="2">
        <v>8.3299999999999999E-2</v>
      </c>
      <c r="S342" s="2">
        <v>0.51200000000000001</v>
      </c>
      <c r="T342" s="2">
        <v>-7.78</v>
      </c>
      <c r="U342">
        <v>210220</v>
      </c>
      <c r="V342">
        <f>YEAR(Spotify[[#This Row],[Date de sortie]])</f>
        <v>2021</v>
      </c>
      <c r="W342" s="2" t="str">
        <f>IF(Spotify[[#This Row],[Popularité]]&gt;=70,"FORTE","FAIBLE")</f>
        <v>FORTE</v>
      </c>
    </row>
    <row r="343" spans="1:23" x14ac:dyDescent="0.25">
      <c r="A343">
        <v>469</v>
      </c>
      <c r="B343">
        <v>3</v>
      </c>
      <c r="C343">
        <v>66</v>
      </c>
      <c r="D343" s="1">
        <v>43847</v>
      </c>
      <c r="E343" s="59" t="str" cm="1">
        <f t="array" ref="E34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43" t="s">
        <v>855</v>
      </c>
      <c r="G343" s="3">
        <v>5510113</v>
      </c>
      <c r="H343" t="s">
        <v>856</v>
      </c>
      <c r="I343" s="4">
        <v>17792779</v>
      </c>
      <c r="J343" t="s">
        <v>25</v>
      </c>
      <c r="K343" s="1">
        <v>43776</v>
      </c>
      <c r="L343">
        <v>80</v>
      </c>
      <c r="M343" s="2" t="str">
        <f>IF(Spotify[[#This Row],[Energie]]&gt;AVERAGE(Spotify[Energie]),"FORTE","FAIBLE")</f>
        <v>FORTE</v>
      </c>
      <c r="N343" s="2">
        <v>0.80300000000000005</v>
      </c>
      <c r="O343" s="2">
        <v>0.71499999999999997</v>
      </c>
      <c r="P343" s="2">
        <v>0.29799999999999999</v>
      </c>
      <c r="Q343" s="2">
        <v>0.29499999999999998</v>
      </c>
      <c r="R343" s="2">
        <v>5.74E-2</v>
      </c>
      <c r="S343" s="2">
        <v>0.57399999999999995</v>
      </c>
      <c r="T343" s="2">
        <v>-3.28</v>
      </c>
      <c r="U343">
        <v>200960</v>
      </c>
      <c r="V343">
        <f>YEAR(Spotify[[#This Row],[Date de sortie]])</f>
        <v>2019</v>
      </c>
      <c r="W343" s="2" t="str">
        <f>IF(Spotify[[#This Row],[Popularité]]&gt;=70,"FORTE","FAIBLE")</f>
        <v>FORTE</v>
      </c>
    </row>
    <row r="344" spans="1:23" x14ac:dyDescent="0.25">
      <c r="A344">
        <v>558</v>
      </c>
      <c r="B344">
        <v>157</v>
      </c>
      <c r="C344">
        <v>1</v>
      </c>
      <c r="D344" s="1">
        <v>44232</v>
      </c>
      <c r="E344" s="59" t="str" cm="1">
        <f t="array" ref="E34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44" t="s">
        <v>1000</v>
      </c>
      <c r="G344" s="3">
        <v>5479407</v>
      </c>
      <c r="H344" t="s">
        <v>41</v>
      </c>
      <c r="I344" s="4">
        <v>35340069</v>
      </c>
      <c r="J344" t="s">
        <v>42</v>
      </c>
      <c r="K344" s="1">
        <v>42244</v>
      </c>
      <c r="L344">
        <v>80</v>
      </c>
      <c r="M344" s="2" t="str">
        <f>IF(Spotify[[#This Row],[Energie]]&gt;AVERAGE(Spotify[Energie]),"FORTE","FAIBLE")</f>
        <v>FORTE</v>
      </c>
      <c r="N344" s="2">
        <v>0.70499999999999996</v>
      </c>
      <c r="O344" s="2">
        <v>0.76900000000000002</v>
      </c>
      <c r="P344" s="2">
        <v>4.2500000000000003E-2</v>
      </c>
      <c r="Q344" s="2">
        <v>0.113</v>
      </c>
      <c r="R344" s="2">
        <v>0.105</v>
      </c>
      <c r="S344" s="2">
        <v>0.58299999999999996</v>
      </c>
      <c r="T344" s="2">
        <v>-5.5259999999999998</v>
      </c>
      <c r="U344">
        <v>213520</v>
      </c>
      <c r="V344">
        <f>YEAR(Spotify[[#This Row],[Date de sortie]])</f>
        <v>2015</v>
      </c>
      <c r="W344" s="2" t="str">
        <f>IF(Spotify[[#This Row],[Popularité]]&gt;=70,"FORTE","FAIBLE")</f>
        <v>FORTE</v>
      </c>
    </row>
    <row r="345" spans="1:23" x14ac:dyDescent="0.25">
      <c r="A345">
        <v>241</v>
      </c>
      <c r="B345">
        <v>40</v>
      </c>
      <c r="C345">
        <v>2</v>
      </c>
      <c r="D345" s="1">
        <v>44372</v>
      </c>
      <c r="E345" s="59" t="str" cm="1">
        <f t="array" ref="E34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345" t="s">
        <v>486</v>
      </c>
      <c r="G345" s="3">
        <v>5392334</v>
      </c>
      <c r="H345" t="s">
        <v>425</v>
      </c>
      <c r="I345" s="4">
        <v>6777818</v>
      </c>
      <c r="J345" t="s">
        <v>426</v>
      </c>
      <c r="K345" s="1">
        <v>44372</v>
      </c>
      <c r="L345">
        <v>80</v>
      </c>
      <c r="M345" s="2" t="str">
        <f>IF(Spotify[[#This Row],[Energie]]&gt;AVERAGE(Spotify[Energie]),"FORTE","FAIBLE")</f>
        <v>FAIBLE</v>
      </c>
      <c r="N345" s="2">
        <v>0.82699999999999996</v>
      </c>
      <c r="O345" s="2">
        <v>0.57099999999999995</v>
      </c>
      <c r="P345" s="2">
        <v>0.36599999999999999</v>
      </c>
      <c r="Q345" s="2">
        <v>1.95E-2</v>
      </c>
      <c r="R345" s="2">
        <v>0.16600000000000001</v>
      </c>
      <c r="S345" s="2">
        <v>0.62</v>
      </c>
      <c r="T345" s="2">
        <v>-7.9489999999999998</v>
      </c>
      <c r="U345">
        <v>146419</v>
      </c>
      <c r="V345">
        <f>YEAR(Spotify[[#This Row],[Date de sortie]])</f>
        <v>2021</v>
      </c>
      <c r="W345" s="2" t="str">
        <f>IF(Spotify[[#This Row],[Popularité]]&gt;=70,"FORTE","FAIBLE")</f>
        <v>FORTE</v>
      </c>
    </row>
    <row r="346" spans="1:23" x14ac:dyDescent="0.25">
      <c r="A346">
        <v>329</v>
      </c>
      <c r="B346">
        <v>105</v>
      </c>
      <c r="C346">
        <v>7</v>
      </c>
      <c r="D346" s="1">
        <v>44302</v>
      </c>
      <c r="E346" s="59" t="str" cm="1">
        <f t="array" ref="E34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46" t="s">
        <v>628</v>
      </c>
      <c r="G346" s="3">
        <v>5378350</v>
      </c>
      <c r="H346" t="s">
        <v>629</v>
      </c>
      <c r="I346" s="4">
        <v>10334543</v>
      </c>
      <c r="J346" t="s">
        <v>630</v>
      </c>
      <c r="K346" s="1">
        <v>44183</v>
      </c>
      <c r="L346">
        <v>80</v>
      </c>
      <c r="M346" s="2" t="str">
        <f>IF(Spotify[[#This Row],[Energie]]&gt;AVERAGE(Spotify[Energie]),"FORTE","FAIBLE")</f>
        <v>FORTE</v>
      </c>
      <c r="N346" s="2">
        <v>0.81</v>
      </c>
      <c r="O346" s="2">
        <v>0.78900000000000003</v>
      </c>
      <c r="P346" s="2">
        <v>4.9799999999999997E-2</v>
      </c>
      <c r="Q346" s="2">
        <v>2.5399999999999999E-2</v>
      </c>
      <c r="R346" s="2">
        <v>0.104</v>
      </c>
      <c r="S346" s="2">
        <v>0.432</v>
      </c>
      <c r="T346" s="2">
        <v>-4.032</v>
      </c>
      <c r="U346">
        <v>150462</v>
      </c>
      <c r="V346">
        <f>YEAR(Spotify[[#This Row],[Date de sortie]])</f>
        <v>2020</v>
      </c>
      <c r="W346" s="2" t="str">
        <f>IF(Spotify[[#This Row],[Popularité]]&gt;=70,"FORTE","FAIBLE")</f>
        <v>FORTE</v>
      </c>
    </row>
    <row r="347" spans="1:23" x14ac:dyDescent="0.25">
      <c r="A347">
        <v>401</v>
      </c>
      <c r="B347">
        <v>63</v>
      </c>
      <c r="C347">
        <v>4</v>
      </c>
      <c r="D347" s="1">
        <v>44295</v>
      </c>
      <c r="E347" s="59" t="str" cm="1">
        <f t="array" ref="E34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47" t="s">
        <v>748</v>
      </c>
      <c r="G347" s="3">
        <v>5377794</v>
      </c>
      <c r="H347" t="s">
        <v>749</v>
      </c>
      <c r="I347" s="4">
        <v>29051363</v>
      </c>
      <c r="J347" t="s">
        <v>25</v>
      </c>
      <c r="K347" s="1">
        <v>44295</v>
      </c>
      <c r="L347">
        <v>80</v>
      </c>
      <c r="M347" s="2" t="str">
        <f>IF(Spotify[[#This Row],[Energie]]&gt;AVERAGE(Spotify[Energie]),"FORTE","FAIBLE")</f>
        <v>FAIBLE</v>
      </c>
      <c r="N347" s="2">
        <v>0.503</v>
      </c>
      <c r="O347" s="2">
        <v>0.54800000000000004</v>
      </c>
      <c r="P347" s="2">
        <v>0.16400000000000001</v>
      </c>
      <c r="Q347" s="2">
        <v>7.51E-2</v>
      </c>
      <c r="R347" s="2">
        <v>0.14499999999999999</v>
      </c>
      <c r="S347" s="2">
        <v>0.441</v>
      </c>
      <c r="T347" s="2">
        <v>-7.5640000000000001</v>
      </c>
      <c r="U347">
        <v>228920</v>
      </c>
      <c r="V347">
        <f>YEAR(Spotify[[#This Row],[Date de sortie]])</f>
        <v>2021</v>
      </c>
      <c r="W347" s="2" t="str">
        <f>IF(Spotify[[#This Row],[Popularité]]&gt;=70,"FORTE","FAIBLE")</f>
        <v>FORTE</v>
      </c>
    </row>
    <row r="348" spans="1:23" x14ac:dyDescent="0.25">
      <c r="A348">
        <v>885</v>
      </c>
      <c r="B348">
        <v>148</v>
      </c>
      <c r="C348">
        <v>1</v>
      </c>
      <c r="D348" s="1">
        <v>44092</v>
      </c>
      <c r="E348" s="59" t="str" cm="1">
        <f t="array" ref="E34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48" t="s">
        <v>1516</v>
      </c>
      <c r="G348" s="3">
        <v>5329256</v>
      </c>
      <c r="H348" t="s">
        <v>1517</v>
      </c>
      <c r="I348" s="4">
        <v>3008916</v>
      </c>
      <c r="J348" t="s">
        <v>1102</v>
      </c>
      <c r="K348" s="1">
        <v>28817</v>
      </c>
      <c r="L348">
        <v>80</v>
      </c>
      <c r="M348" s="2" t="str">
        <f>IF(Spotify[[#This Row],[Energie]]&gt;AVERAGE(Spotify[Energie]),"FORTE","FAIBLE")</f>
        <v>FORTE</v>
      </c>
      <c r="N348" s="2">
        <v>0.69699999999999995</v>
      </c>
      <c r="O348" s="2">
        <v>0.83199999999999996</v>
      </c>
      <c r="P348" s="2">
        <v>2.98E-2</v>
      </c>
      <c r="Q348" s="2">
        <v>0.16800000000000001</v>
      </c>
      <c r="R348" s="2">
        <v>0.26900000000000002</v>
      </c>
      <c r="S348" s="2">
        <v>0.97899999999999998</v>
      </c>
      <c r="T348" s="2">
        <v>-7.2640000000000002</v>
      </c>
      <c r="U348">
        <v>215093</v>
      </c>
      <c r="V348">
        <f>YEAR(Spotify[[#This Row],[Date de sortie]])</f>
        <v>1978</v>
      </c>
      <c r="W348" s="2" t="str">
        <f>IF(Spotify[[#This Row],[Popularité]]&gt;=70,"FORTE","FAIBLE")</f>
        <v>FORTE</v>
      </c>
    </row>
    <row r="349" spans="1:23" x14ac:dyDescent="0.25">
      <c r="A349">
        <v>773</v>
      </c>
      <c r="B349">
        <v>52</v>
      </c>
      <c r="C349">
        <v>4</v>
      </c>
      <c r="D349" s="1">
        <v>44127</v>
      </c>
      <c r="E349" s="59" t="str" cm="1">
        <f t="array" ref="E34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349" t="s">
        <v>1344</v>
      </c>
      <c r="G349" s="3">
        <v>5303146</v>
      </c>
      <c r="H349" t="s">
        <v>1345</v>
      </c>
      <c r="I349" s="4">
        <v>3866304</v>
      </c>
      <c r="J349" t="s">
        <v>426</v>
      </c>
      <c r="K349" s="1">
        <v>44127</v>
      </c>
      <c r="L349">
        <v>80</v>
      </c>
      <c r="M349" s="2" t="str">
        <f>IF(Spotify[[#This Row],[Energie]]&gt;AVERAGE(Spotify[Energie]),"FORTE","FAIBLE")</f>
        <v>FAIBLE</v>
      </c>
      <c r="N349" s="2">
        <v>0.78200000000000003</v>
      </c>
      <c r="O349" s="2">
        <v>0.51</v>
      </c>
      <c r="P349" s="2">
        <v>4.19E-2</v>
      </c>
      <c r="Q349" s="2">
        <v>0.14299999999999999</v>
      </c>
      <c r="R349" s="2">
        <v>0.115</v>
      </c>
      <c r="S349" s="2">
        <v>0.11799999999999999</v>
      </c>
      <c r="T349" s="2">
        <v>-5.7240000000000002</v>
      </c>
      <c r="U349">
        <v>143375</v>
      </c>
      <c r="V349">
        <f>YEAR(Spotify[[#This Row],[Date de sortie]])</f>
        <v>2020</v>
      </c>
      <c r="W349" s="2" t="str">
        <f>IF(Spotify[[#This Row],[Popularité]]&gt;=70,"FORTE","FAIBLE")</f>
        <v>FORTE</v>
      </c>
    </row>
    <row r="350" spans="1:23" x14ac:dyDescent="0.25">
      <c r="A350">
        <v>380</v>
      </c>
      <c r="B350">
        <v>115</v>
      </c>
      <c r="C350">
        <v>9</v>
      </c>
      <c r="D350" s="1">
        <v>44281</v>
      </c>
      <c r="E350" s="59" t="str" cm="1">
        <f t="array" ref="E35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350" t="s">
        <v>712</v>
      </c>
      <c r="G350" s="3">
        <v>5290877</v>
      </c>
      <c r="H350" t="s">
        <v>713</v>
      </c>
      <c r="I350" s="4">
        <v>3126961</v>
      </c>
      <c r="J350" t="s">
        <v>110</v>
      </c>
      <c r="K350" s="1">
        <v>44265</v>
      </c>
      <c r="L350">
        <v>80</v>
      </c>
      <c r="M350" s="2" t="str">
        <f>IF(Spotify[[#This Row],[Energie]]&gt;AVERAGE(Spotify[Energie]),"FORTE","FAIBLE")</f>
        <v>FORTE</v>
      </c>
      <c r="N350" s="2">
        <v>0.55300000000000005</v>
      </c>
      <c r="O350" s="2">
        <v>0.81899999999999995</v>
      </c>
      <c r="P350" s="2">
        <v>0.25700000000000001</v>
      </c>
      <c r="Q350" s="2">
        <v>0.36799999999999999</v>
      </c>
      <c r="R350" s="2">
        <v>9.1499999999999998E-2</v>
      </c>
      <c r="S350" s="2">
        <v>0.76100000000000001</v>
      </c>
      <c r="T350" s="2">
        <v>-3.0830000000000002</v>
      </c>
      <c r="U350">
        <v>192348</v>
      </c>
      <c r="V350">
        <f>YEAR(Spotify[[#This Row],[Date de sortie]])</f>
        <v>2021</v>
      </c>
      <c r="W350" s="2" t="str">
        <f>IF(Spotify[[#This Row],[Popularité]]&gt;=70,"FORTE","FAIBLE")</f>
        <v>FORTE</v>
      </c>
    </row>
    <row r="351" spans="1:23" x14ac:dyDescent="0.25">
      <c r="A351">
        <v>1351</v>
      </c>
      <c r="B351">
        <v>190</v>
      </c>
      <c r="C351">
        <v>1</v>
      </c>
      <c r="D351" s="1">
        <v>43896</v>
      </c>
      <c r="E351" s="59" t="str" cm="1">
        <f t="array" ref="E35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351" t="s">
        <v>2170</v>
      </c>
      <c r="G351" s="3">
        <v>5251918</v>
      </c>
      <c r="H351" t="s">
        <v>59</v>
      </c>
      <c r="I351" s="4">
        <v>33663701</v>
      </c>
      <c r="J351" t="s">
        <v>60</v>
      </c>
      <c r="K351" s="1">
        <v>42713</v>
      </c>
      <c r="L351">
        <v>80</v>
      </c>
      <c r="M351" s="2" t="str">
        <f>IF(Spotify[[#This Row],[Energie]]&gt;AVERAGE(Spotify[Energie]),"FORTE","FAIBLE")</f>
        <v>FAIBLE</v>
      </c>
      <c r="N351" s="2">
        <v>0.55600000000000005</v>
      </c>
      <c r="O351" s="2">
        <v>0.53800000000000003</v>
      </c>
      <c r="P351" s="2">
        <v>3.8199999999999998E-2</v>
      </c>
      <c r="Q351" s="2">
        <v>6.8900000000000003E-2</v>
      </c>
      <c r="R351" s="2">
        <v>0.19600000000000001</v>
      </c>
      <c r="S351" s="2">
        <v>0.29099999999999998</v>
      </c>
      <c r="T351" s="2">
        <v>-5.4080000000000004</v>
      </c>
      <c r="U351">
        <v>223347</v>
      </c>
      <c r="V351">
        <f>YEAR(Spotify[[#This Row],[Date de sortie]])</f>
        <v>2016</v>
      </c>
      <c r="W351" s="2" t="str">
        <f>IF(Spotify[[#This Row],[Popularité]]&gt;=70,"FORTE","FAIBLE")</f>
        <v>FORTE</v>
      </c>
    </row>
    <row r="352" spans="1:23" x14ac:dyDescent="0.25">
      <c r="A352">
        <v>560</v>
      </c>
      <c r="B352">
        <v>168</v>
      </c>
      <c r="C352">
        <v>3</v>
      </c>
      <c r="D352" s="1">
        <v>43910</v>
      </c>
      <c r="E352" s="59" t="str" cm="1">
        <f t="array" ref="E35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52" t="s">
        <v>1003</v>
      </c>
      <c r="G352" s="3">
        <v>5233359</v>
      </c>
      <c r="H352" t="s">
        <v>41</v>
      </c>
      <c r="I352" s="4">
        <v>35340069</v>
      </c>
      <c r="J352" t="s">
        <v>42</v>
      </c>
      <c r="K352" s="1">
        <v>43189</v>
      </c>
      <c r="L352">
        <v>80</v>
      </c>
      <c r="M352" s="2" t="str">
        <f>IF(Spotify[[#This Row],[Energie]]&gt;AVERAGE(Spotify[Energie]),"FORTE","FAIBLE")</f>
        <v>FAIBLE</v>
      </c>
      <c r="N352" s="2">
        <v>0.46100000000000002</v>
      </c>
      <c r="O352" s="2">
        <v>0.59299999999999997</v>
      </c>
      <c r="P352" s="2">
        <v>3.56E-2</v>
      </c>
      <c r="Q352" s="2">
        <v>0.17</v>
      </c>
      <c r="R352" s="2">
        <v>0.307</v>
      </c>
      <c r="S352" s="2">
        <v>0.17499999999999999</v>
      </c>
      <c r="T352" s="2">
        <v>-4.9539999999999997</v>
      </c>
      <c r="U352">
        <v>228373</v>
      </c>
      <c r="V352">
        <f>YEAR(Spotify[[#This Row],[Date de sortie]])</f>
        <v>2018</v>
      </c>
      <c r="W352" s="2" t="str">
        <f>IF(Spotify[[#This Row],[Popularité]]&gt;=70,"FORTE","FAIBLE")</f>
        <v>FORTE</v>
      </c>
    </row>
    <row r="353" spans="1:23" x14ac:dyDescent="0.25">
      <c r="A353">
        <v>333</v>
      </c>
      <c r="B353">
        <v>82</v>
      </c>
      <c r="C353">
        <v>10</v>
      </c>
      <c r="D353" s="1">
        <v>44302</v>
      </c>
      <c r="E353" s="59" t="str" cm="1">
        <f t="array" ref="E35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53" t="s">
        <v>634</v>
      </c>
      <c r="G353" s="3">
        <v>5207186</v>
      </c>
      <c r="H353" t="s">
        <v>635</v>
      </c>
      <c r="I353" s="4">
        <v>74814</v>
      </c>
      <c r="J353"/>
      <c r="K353" s="1">
        <v>44218</v>
      </c>
      <c r="L353">
        <v>80</v>
      </c>
      <c r="M353" s="2" t="str">
        <f>IF(Spotify[[#This Row],[Energie]]&gt;AVERAGE(Spotify[Energie]),"FORTE","FAIBLE")</f>
        <v>FORTE</v>
      </c>
      <c r="N353" s="2">
        <v>0.747</v>
      </c>
      <c r="O353" s="2">
        <v>0.72499999999999998</v>
      </c>
      <c r="P353" s="2">
        <v>0.36299999999999999</v>
      </c>
      <c r="Q353" s="2">
        <v>0.55100000000000005</v>
      </c>
      <c r="R353" s="2">
        <v>6.2600000000000003E-2</v>
      </c>
      <c r="S353" s="2">
        <v>0.90400000000000003</v>
      </c>
      <c r="T353" s="2">
        <v>-2.5640000000000001</v>
      </c>
      <c r="U353">
        <v>125558</v>
      </c>
      <c r="V353">
        <f>YEAR(Spotify[[#This Row],[Date de sortie]])</f>
        <v>2021</v>
      </c>
      <c r="W353" s="2" t="str">
        <f>IF(Spotify[[#This Row],[Popularité]]&gt;=70,"FORTE","FAIBLE")</f>
        <v>FORTE</v>
      </c>
    </row>
    <row r="354" spans="1:23" x14ac:dyDescent="0.25">
      <c r="A354">
        <v>444</v>
      </c>
      <c r="B354">
        <v>15</v>
      </c>
      <c r="C354">
        <v>32</v>
      </c>
      <c r="D354" s="1">
        <v>44120</v>
      </c>
      <c r="E354" s="59" t="str" cm="1">
        <f t="array" ref="E35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54" t="s">
        <v>812</v>
      </c>
      <c r="G354" s="3">
        <v>5206614</v>
      </c>
      <c r="H354" t="s">
        <v>813</v>
      </c>
      <c r="I354" s="4">
        <v>8758283</v>
      </c>
      <c r="J354" t="s">
        <v>25</v>
      </c>
      <c r="K354" s="1">
        <v>44078</v>
      </c>
      <c r="L354">
        <v>80</v>
      </c>
      <c r="M354" s="2" t="str">
        <f>IF(Spotify[[#This Row],[Energie]]&gt;AVERAGE(Spotify[Energie]),"FORTE","FAIBLE")</f>
        <v>FORTE</v>
      </c>
      <c r="N354" s="2">
        <v>0.79300000000000004</v>
      </c>
      <c r="O354" s="2">
        <v>0.77100000000000002</v>
      </c>
      <c r="P354" s="2">
        <v>9.5899999999999999E-2</v>
      </c>
      <c r="Q354" s="2">
        <v>3.3700000000000001E-2</v>
      </c>
      <c r="R354" s="2">
        <v>0.28399999999999997</v>
      </c>
      <c r="S354" s="2">
        <v>0.83499999999999996</v>
      </c>
      <c r="T354" s="2">
        <v>-3.4169999999999998</v>
      </c>
      <c r="U354">
        <v>247308</v>
      </c>
      <c r="V354">
        <f>YEAR(Spotify[[#This Row],[Date de sortie]])</f>
        <v>2020</v>
      </c>
      <c r="W354" s="2" t="str">
        <f>IF(Spotify[[#This Row],[Popularité]]&gt;=70,"FORTE","FAIBLE")</f>
        <v>FORTE</v>
      </c>
    </row>
    <row r="355" spans="1:23" x14ac:dyDescent="0.25">
      <c r="A355">
        <v>373</v>
      </c>
      <c r="B355">
        <v>5</v>
      </c>
      <c r="C355">
        <v>31</v>
      </c>
      <c r="D355" s="1">
        <v>44141</v>
      </c>
      <c r="E355" s="59" t="str" cm="1">
        <f t="array" ref="E35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55" t="s">
        <v>702</v>
      </c>
      <c r="G355" s="3">
        <v>5191697</v>
      </c>
      <c r="H355" t="s">
        <v>35</v>
      </c>
      <c r="I355" s="4">
        <v>48504126</v>
      </c>
      <c r="J355" t="s">
        <v>36</v>
      </c>
      <c r="K355" s="1">
        <v>44120</v>
      </c>
      <c r="L355">
        <v>80</v>
      </c>
      <c r="M355" s="2" t="str">
        <f>IF(Spotify[[#This Row],[Energie]]&gt;AVERAGE(Spotify[Energie]),"FORTE","FAIBLE")</f>
        <v>FAIBLE</v>
      </c>
      <c r="N355" s="2">
        <v>0.63100000000000001</v>
      </c>
      <c r="O355" s="2">
        <v>0.23899999999999999</v>
      </c>
      <c r="P355" s="2">
        <v>3.9800000000000002E-2</v>
      </c>
      <c r="Q355" s="2">
        <v>0.86399999999999999</v>
      </c>
      <c r="R355" s="2">
        <v>0.11600000000000001</v>
      </c>
      <c r="S355" s="2">
        <v>9.2700000000000005E-2</v>
      </c>
      <c r="T355" s="2">
        <v>-7.0709999999999997</v>
      </c>
      <c r="U355">
        <v>149297</v>
      </c>
      <c r="V355">
        <f>YEAR(Spotify[[#This Row],[Date de sortie]])</f>
        <v>2020</v>
      </c>
      <c r="W355" s="2" t="str">
        <f>IF(Spotify[[#This Row],[Popularité]]&gt;=70,"FORTE","FAIBLE")</f>
        <v>FORTE</v>
      </c>
    </row>
    <row r="356" spans="1:23" x14ac:dyDescent="0.25">
      <c r="A356">
        <v>282</v>
      </c>
      <c r="B356">
        <v>66</v>
      </c>
      <c r="C356">
        <v>2</v>
      </c>
      <c r="D356" s="1">
        <v>44358</v>
      </c>
      <c r="E356" s="59" t="str" cm="1">
        <f t="array" ref="E35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356" t="s">
        <v>558</v>
      </c>
      <c r="G356" s="3">
        <v>5189427</v>
      </c>
      <c r="H356" t="s">
        <v>78</v>
      </c>
      <c r="I356" s="4">
        <v>4840346</v>
      </c>
      <c r="J356" t="s">
        <v>79</v>
      </c>
      <c r="K356" s="1">
        <v>44358</v>
      </c>
      <c r="L356">
        <v>80</v>
      </c>
      <c r="M356" s="2" t="str">
        <f>IF(Spotify[[#This Row],[Energie]]&gt;AVERAGE(Spotify[Energie]),"FORTE","FAIBLE")</f>
        <v>FORTE</v>
      </c>
      <c r="N356" s="2">
        <v>0.47899999999999998</v>
      </c>
      <c r="O356" s="2">
        <v>0.64500000000000002</v>
      </c>
      <c r="P356" s="2">
        <v>0.30199999999999999</v>
      </c>
      <c r="Q356" s="2">
        <v>0.13500000000000001</v>
      </c>
      <c r="R356" s="2">
        <v>8.2500000000000004E-2</v>
      </c>
      <c r="S356" s="2">
        <v>0.38100000000000001</v>
      </c>
      <c r="T356" s="2">
        <v>-7.3360000000000003</v>
      </c>
      <c r="U356">
        <v>168729</v>
      </c>
      <c r="V356">
        <f>YEAR(Spotify[[#This Row],[Date de sortie]])</f>
        <v>2021</v>
      </c>
      <c r="W356" s="2" t="str">
        <f>IF(Spotify[[#This Row],[Popularité]]&gt;=70,"FORTE","FAIBLE")</f>
        <v>FORTE</v>
      </c>
    </row>
    <row r="357" spans="1:23" x14ac:dyDescent="0.25">
      <c r="A357">
        <v>230</v>
      </c>
      <c r="B357">
        <v>184</v>
      </c>
      <c r="C357">
        <v>1</v>
      </c>
      <c r="D357" s="1">
        <v>44386</v>
      </c>
      <c r="E357" s="59" t="str" cm="1">
        <f t="array" ref="E35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57" t="s">
        <v>462</v>
      </c>
      <c r="G357" s="3">
        <v>5186354</v>
      </c>
      <c r="H357" t="s">
        <v>463</v>
      </c>
      <c r="I357" s="4">
        <v>151870</v>
      </c>
      <c r="J357" t="s">
        <v>464</v>
      </c>
      <c r="K357" s="1">
        <v>44386</v>
      </c>
      <c r="L357">
        <v>80</v>
      </c>
      <c r="M357" s="2" t="str">
        <f>IF(Spotify[[#This Row],[Energie]]&gt;AVERAGE(Spotify[Energie]),"FORTE","FAIBLE")</f>
        <v>FAIBLE</v>
      </c>
      <c r="N357" s="2">
        <v>0.89300000000000002</v>
      </c>
      <c r="O357" s="2">
        <v>0.46300000000000002</v>
      </c>
      <c r="P357" s="2">
        <v>0.36</v>
      </c>
      <c r="Q357" s="2">
        <v>0.19900000000000001</v>
      </c>
      <c r="R357" s="2">
        <v>0.318</v>
      </c>
      <c r="S357" s="2">
        <v>0.59099999999999997</v>
      </c>
      <c r="T357" s="2">
        <v>-5.3010000000000002</v>
      </c>
      <c r="U357">
        <v>229601</v>
      </c>
      <c r="V357">
        <f>YEAR(Spotify[[#This Row],[Date de sortie]])</f>
        <v>2021</v>
      </c>
      <c r="W357" s="2" t="str">
        <f>IF(Spotify[[#This Row],[Popularité]]&gt;=70,"FORTE","FAIBLE")</f>
        <v>FORTE</v>
      </c>
    </row>
    <row r="358" spans="1:23" x14ac:dyDescent="0.25">
      <c r="A358">
        <v>231</v>
      </c>
      <c r="B358">
        <v>187</v>
      </c>
      <c r="C358">
        <v>1</v>
      </c>
      <c r="D358" s="1">
        <v>44386</v>
      </c>
      <c r="E358" s="59" t="str" cm="1">
        <f t="array" ref="E35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COUNTRY</v>
      </c>
      <c r="F358" t="s">
        <v>465</v>
      </c>
      <c r="G358" s="3">
        <v>5173178</v>
      </c>
      <c r="H358" t="s">
        <v>466</v>
      </c>
      <c r="I358" s="4">
        <v>3507622</v>
      </c>
      <c r="J358" t="s">
        <v>382</v>
      </c>
      <c r="K358" s="1">
        <v>44386</v>
      </c>
      <c r="L358">
        <v>80</v>
      </c>
      <c r="M358" s="2" t="str">
        <f>IF(Spotify[[#This Row],[Energie]]&gt;AVERAGE(Spotify[Energie]),"FORTE","FAIBLE")</f>
        <v>FORTE</v>
      </c>
      <c r="N358" s="2">
        <v>0.434</v>
      </c>
      <c r="O358" s="2">
        <v>0.88900000000000001</v>
      </c>
      <c r="P358" s="2">
        <v>5.0900000000000001E-2</v>
      </c>
      <c r="Q358" s="2">
        <v>0.39500000000000002</v>
      </c>
      <c r="R358" s="2">
        <v>0.27300000000000002</v>
      </c>
      <c r="S358" s="2">
        <v>0.84499999999999997</v>
      </c>
      <c r="T358" s="2">
        <v>-5.6840000000000002</v>
      </c>
      <c r="U358">
        <v>153338</v>
      </c>
      <c r="V358">
        <f>YEAR(Spotify[[#This Row],[Date de sortie]])</f>
        <v>2021</v>
      </c>
      <c r="W358" s="2" t="str">
        <f>IF(Spotify[[#This Row],[Popularité]]&gt;=70,"FORTE","FAIBLE")</f>
        <v>FORTE</v>
      </c>
    </row>
    <row r="359" spans="1:23" x14ac:dyDescent="0.25">
      <c r="A359">
        <v>424</v>
      </c>
      <c r="B359">
        <v>186</v>
      </c>
      <c r="C359">
        <v>1</v>
      </c>
      <c r="D359" s="1">
        <v>44302</v>
      </c>
      <c r="E359" s="59" t="str" cm="1">
        <f t="array" ref="E35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59" t="s">
        <v>787</v>
      </c>
      <c r="G359" s="3">
        <v>5159208</v>
      </c>
      <c r="H359" t="s">
        <v>788</v>
      </c>
      <c r="I359" s="4">
        <v>4271775</v>
      </c>
      <c r="J359" t="s">
        <v>334</v>
      </c>
      <c r="K359" s="1">
        <v>44246</v>
      </c>
      <c r="L359">
        <v>80</v>
      </c>
      <c r="M359" s="2" t="str">
        <f>IF(Spotify[[#This Row],[Energie]]&gt;AVERAGE(Spotify[Energie]),"FORTE","FAIBLE")</f>
        <v>FORTE</v>
      </c>
      <c r="N359" s="2">
        <v>0.59299999999999997</v>
      </c>
      <c r="O359" s="2">
        <v>0.93200000000000005</v>
      </c>
      <c r="P359" s="2">
        <v>5.2600000000000001E-2</v>
      </c>
      <c r="Q359" s="2">
        <v>0.30199999999999999</v>
      </c>
      <c r="R359" s="2">
        <v>0.13300000000000001</v>
      </c>
      <c r="S359" s="2">
        <v>0.91300000000000003</v>
      </c>
      <c r="T359" s="2">
        <v>-2.3239999999999998</v>
      </c>
      <c r="U359">
        <v>147876</v>
      </c>
      <c r="V359">
        <f>YEAR(Spotify[[#This Row],[Date de sortie]])</f>
        <v>2021</v>
      </c>
      <c r="W359" s="2" t="str">
        <f>IF(Spotify[[#This Row],[Popularité]]&gt;=70,"FORTE","FAIBLE")</f>
        <v>FORTE</v>
      </c>
    </row>
    <row r="360" spans="1:23" x14ac:dyDescent="0.25">
      <c r="A360">
        <v>887</v>
      </c>
      <c r="B360">
        <v>150</v>
      </c>
      <c r="C360">
        <v>13</v>
      </c>
      <c r="D360" s="1">
        <v>44085</v>
      </c>
      <c r="E360" s="59" t="str" cm="1">
        <f t="array" ref="E36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360" t="s">
        <v>1520</v>
      </c>
      <c r="G360" s="3">
        <v>5151406</v>
      </c>
      <c r="H360" t="s">
        <v>78</v>
      </c>
      <c r="I360" s="4">
        <v>4849204</v>
      </c>
      <c r="J360" t="s">
        <v>79</v>
      </c>
      <c r="K360" s="1">
        <v>43966</v>
      </c>
      <c r="L360">
        <v>80</v>
      </c>
      <c r="M360" s="2" t="str">
        <f>IF(Spotify[[#This Row],[Energie]]&gt;AVERAGE(Spotify[Energie]),"FORTE","FAIBLE")</f>
        <v>FAIBLE</v>
      </c>
      <c r="N360" s="2">
        <v>0.78300000000000003</v>
      </c>
      <c r="O360" s="2">
        <v>0.47899999999999998</v>
      </c>
      <c r="P360" s="2">
        <v>0.54100000000000004</v>
      </c>
      <c r="Q360" s="2">
        <v>0.14899999999999999</v>
      </c>
      <c r="R360" s="2">
        <v>0.10100000000000001</v>
      </c>
      <c r="S360" s="2">
        <v>0.53300000000000003</v>
      </c>
      <c r="T360" s="2">
        <v>-10.646000000000001</v>
      </c>
      <c r="U360">
        <v>163798</v>
      </c>
      <c r="V360">
        <f>YEAR(Spotify[[#This Row],[Date de sortie]])</f>
        <v>2020</v>
      </c>
      <c r="W360" s="2" t="str">
        <f>IF(Spotify[[#This Row],[Popularité]]&gt;=70,"FORTE","FAIBLE")</f>
        <v>FORTE</v>
      </c>
    </row>
    <row r="361" spans="1:23" x14ac:dyDescent="0.25">
      <c r="A361">
        <v>313</v>
      </c>
      <c r="B361">
        <v>54</v>
      </c>
      <c r="C361">
        <v>4</v>
      </c>
      <c r="D361" s="1">
        <v>44337</v>
      </c>
      <c r="E361" s="59" t="str" cm="1">
        <f t="array" ref="E36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361" t="s">
        <v>604</v>
      </c>
      <c r="G361" s="3">
        <v>5125477</v>
      </c>
      <c r="H361" t="s">
        <v>14</v>
      </c>
      <c r="I361" s="4">
        <v>5473565</v>
      </c>
      <c r="J361" t="s">
        <v>15</v>
      </c>
      <c r="K361" s="1">
        <v>44337</v>
      </c>
      <c r="L361">
        <v>80</v>
      </c>
      <c r="M361" s="2" t="str">
        <f>IF(Spotify[[#This Row],[Energie]]&gt;AVERAGE(Spotify[Energie]),"FORTE","FAIBLE")</f>
        <v>FORTE</v>
      </c>
      <c r="N361" s="2">
        <v>0.55100000000000005</v>
      </c>
      <c r="O361" s="2">
        <v>0.63600000000000001</v>
      </c>
      <c r="P361" s="2">
        <v>5.3999999999999999E-2</v>
      </c>
      <c r="Q361" s="2">
        <v>8.3699999999999997E-2</v>
      </c>
      <c r="R361" s="2">
        <v>0.112</v>
      </c>
      <c r="S361" s="2">
        <v>0.14799999999999999</v>
      </c>
      <c r="T361" s="2">
        <v>-6.798</v>
      </c>
      <c r="U361">
        <v>168276</v>
      </c>
      <c r="V361">
        <f>YEAR(Spotify[[#This Row],[Date de sortie]])</f>
        <v>2021</v>
      </c>
      <c r="W361" s="2" t="str">
        <f>IF(Spotify[[#This Row],[Popularité]]&gt;=70,"FORTE","FAIBLE")</f>
        <v>FORTE</v>
      </c>
    </row>
    <row r="362" spans="1:23" x14ac:dyDescent="0.25">
      <c r="A362">
        <v>488</v>
      </c>
      <c r="B362">
        <v>182</v>
      </c>
      <c r="C362">
        <v>3</v>
      </c>
      <c r="D362" s="1">
        <v>44267</v>
      </c>
      <c r="E362" s="59" t="str" cm="1">
        <f t="array" ref="E36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62" t="s">
        <v>887</v>
      </c>
      <c r="G362" s="3">
        <v>5098581</v>
      </c>
      <c r="H362" t="s">
        <v>888</v>
      </c>
      <c r="I362" s="4">
        <v>713486</v>
      </c>
      <c r="J362" t="s">
        <v>313</v>
      </c>
      <c r="K362" s="1">
        <v>42405</v>
      </c>
      <c r="L362">
        <v>80</v>
      </c>
      <c r="M362" s="2" t="str">
        <f>IF(Spotify[[#This Row],[Energie]]&gt;AVERAGE(Spotify[Energie]),"FORTE","FAIBLE")</f>
        <v>FAIBLE</v>
      </c>
      <c r="N362" s="2">
        <v>0.39100000000000001</v>
      </c>
      <c r="O362" s="2">
        <v>0.39600000000000002</v>
      </c>
      <c r="P362" s="2">
        <v>0.189</v>
      </c>
      <c r="Q362" s="2">
        <v>0.70199999999999996</v>
      </c>
      <c r="R362" s="2">
        <v>0.315</v>
      </c>
      <c r="S362" s="2">
        <v>0.19900000000000001</v>
      </c>
      <c r="T362" s="2">
        <v>-8.6210000000000004</v>
      </c>
      <c r="U362">
        <v>131272</v>
      </c>
      <c r="V362">
        <f>YEAR(Spotify[[#This Row],[Date de sortie]])</f>
        <v>2016</v>
      </c>
      <c r="W362" s="2" t="str">
        <f>IF(Spotify[[#This Row],[Popularité]]&gt;=70,"FORTE","FAIBLE")</f>
        <v>FORTE</v>
      </c>
    </row>
    <row r="363" spans="1:23" x14ac:dyDescent="0.25">
      <c r="A363">
        <v>1014</v>
      </c>
      <c r="B363">
        <v>56</v>
      </c>
      <c r="C363">
        <v>30</v>
      </c>
      <c r="D363" s="1">
        <v>43826</v>
      </c>
      <c r="E363" s="59" t="str" cm="1">
        <f t="array" ref="E36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363" t="s">
        <v>1705</v>
      </c>
      <c r="G363" s="3">
        <v>5097394</v>
      </c>
      <c r="H363" t="s">
        <v>616</v>
      </c>
      <c r="I363" s="4">
        <v>4022792</v>
      </c>
      <c r="J363" t="s">
        <v>235</v>
      </c>
      <c r="K363" s="1">
        <v>43707</v>
      </c>
      <c r="L363">
        <v>80</v>
      </c>
      <c r="M363" s="2" t="str">
        <f>IF(Spotify[[#This Row],[Energie]]&gt;AVERAGE(Spotify[Energie]),"FORTE","FAIBLE")</f>
        <v>FORTE</v>
      </c>
      <c r="N363" s="2">
        <v>0.745</v>
      </c>
      <c r="O363" s="2">
        <v>0.64200000000000002</v>
      </c>
      <c r="P363" s="2">
        <v>0.28699999999999998</v>
      </c>
      <c r="Q363" s="2">
        <v>2.0400000000000001E-2</v>
      </c>
      <c r="R363" s="2">
        <v>6.5799999999999997E-2</v>
      </c>
      <c r="S363" s="2">
        <v>0.22600000000000001</v>
      </c>
      <c r="T363" s="2">
        <v>-6.2569999999999997</v>
      </c>
      <c r="U363">
        <v>131240</v>
      </c>
      <c r="V363">
        <f>YEAR(Spotify[[#This Row],[Date de sortie]])</f>
        <v>2019</v>
      </c>
      <c r="W363" s="2" t="str">
        <f>IF(Spotify[[#This Row],[Popularité]]&gt;=70,"FORTE","FAIBLE")</f>
        <v>FORTE</v>
      </c>
    </row>
    <row r="364" spans="1:23" x14ac:dyDescent="0.25">
      <c r="A364">
        <v>387</v>
      </c>
      <c r="B364">
        <v>82</v>
      </c>
      <c r="C364">
        <v>12</v>
      </c>
      <c r="D364" s="1">
        <v>44267</v>
      </c>
      <c r="E364" s="59" t="str" cm="1">
        <f t="array" ref="E36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64" t="s">
        <v>725</v>
      </c>
      <c r="G364" s="3">
        <v>5088848</v>
      </c>
      <c r="H364" t="s">
        <v>726</v>
      </c>
      <c r="I364" s="4">
        <v>1260752</v>
      </c>
      <c r="J364" t="s">
        <v>334</v>
      </c>
      <c r="K364" s="1">
        <v>44218</v>
      </c>
      <c r="L364">
        <v>80</v>
      </c>
      <c r="M364" s="2" t="str">
        <f>IF(Spotify[[#This Row],[Energie]]&gt;AVERAGE(Spotify[Energie]),"FORTE","FAIBLE")</f>
        <v>FORTE</v>
      </c>
      <c r="N364" s="2">
        <v>0.80800000000000005</v>
      </c>
      <c r="O364" s="2">
        <v>0.79600000000000004</v>
      </c>
      <c r="P364" s="2">
        <v>3.0499999999999999E-2</v>
      </c>
      <c r="Q364" s="2">
        <v>0.46200000000000002</v>
      </c>
      <c r="R364" s="2">
        <v>0.155</v>
      </c>
      <c r="S364" s="2">
        <v>0.79900000000000004</v>
      </c>
      <c r="T364" s="2">
        <v>-3.169</v>
      </c>
      <c r="U364">
        <v>175047</v>
      </c>
      <c r="V364">
        <f>YEAR(Spotify[[#This Row],[Date de sortie]])</f>
        <v>2021</v>
      </c>
      <c r="W364" s="2" t="str">
        <f>IF(Spotify[[#This Row],[Popularité]]&gt;=70,"FORTE","FAIBLE")</f>
        <v>FORTE</v>
      </c>
    </row>
    <row r="365" spans="1:23" x14ac:dyDescent="0.25">
      <c r="A365">
        <v>500</v>
      </c>
      <c r="B365">
        <v>109</v>
      </c>
      <c r="C365">
        <v>6</v>
      </c>
      <c r="D365" s="1">
        <v>44232</v>
      </c>
      <c r="E365" s="59" t="str" cm="1">
        <f t="array" ref="E36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65" t="s">
        <v>908</v>
      </c>
      <c r="G365" s="3">
        <v>5079857</v>
      </c>
      <c r="H365" t="s">
        <v>870</v>
      </c>
      <c r="I365" s="4">
        <v>35340069</v>
      </c>
      <c r="J365" t="s">
        <v>42</v>
      </c>
      <c r="K365" s="1">
        <v>42699</v>
      </c>
      <c r="L365">
        <v>80</v>
      </c>
      <c r="M365" s="2" t="str">
        <f>IF(Spotify[[#This Row],[Energie]]&gt;AVERAGE(Spotify[Energie]),"FORTE","FAIBLE")</f>
        <v>FORTE</v>
      </c>
      <c r="N365" s="2">
        <v>0.77300000000000002</v>
      </c>
      <c r="O365" s="2">
        <v>0.81899999999999995</v>
      </c>
      <c r="P365" s="2">
        <v>0.11799999999999999</v>
      </c>
      <c r="Q365" s="2">
        <v>0.42799999999999999</v>
      </c>
      <c r="R365" s="2">
        <v>6.7900000000000002E-2</v>
      </c>
      <c r="S365" s="2">
        <v>0.58499999999999996</v>
      </c>
      <c r="T365" s="2">
        <v>-5.9459999999999997</v>
      </c>
      <c r="U365">
        <v>269187</v>
      </c>
      <c r="V365">
        <f>YEAR(Spotify[[#This Row],[Date de sortie]])</f>
        <v>2016</v>
      </c>
      <c r="W365" s="2" t="str">
        <f>IF(Spotify[[#This Row],[Popularité]]&gt;=70,"FORTE","FAIBLE")</f>
        <v>FORTE</v>
      </c>
    </row>
    <row r="366" spans="1:23" x14ac:dyDescent="0.25">
      <c r="A366">
        <v>288</v>
      </c>
      <c r="B366">
        <v>133</v>
      </c>
      <c r="C366">
        <v>20</v>
      </c>
      <c r="D366" s="1">
        <v>44316</v>
      </c>
      <c r="E366" s="59" t="str" cm="1">
        <f t="array" ref="E36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66" t="s">
        <v>568</v>
      </c>
      <c r="G366" s="3">
        <v>5043647</v>
      </c>
      <c r="H366" t="s">
        <v>232</v>
      </c>
      <c r="I366" s="4">
        <v>32574754</v>
      </c>
      <c r="J366" t="s">
        <v>19</v>
      </c>
      <c r="K366" s="1">
        <v>40456</v>
      </c>
      <c r="L366">
        <v>80</v>
      </c>
      <c r="M366" s="2" t="str">
        <f>IF(Spotify[[#This Row],[Energie]]&gt;AVERAGE(Spotify[Energie]),"FORTE","FAIBLE")</f>
        <v>FORTE</v>
      </c>
      <c r="N366" s="2">
        <v>0.63700000000000001</v>
      </c>
      <c r="O366" s="2">
        <v>0.84299999999999997</v>
      </c>
      <c r="P366" s="2">
        <v>4.3200000000000002E-2</v>
      </c>
      <c r="Q366" s="2">
        <v>1.5100000000000001E-2</v>
      </c>
      <c r="R366" s="2">
        <v>8.7599999999999997E-2</v>
      </c>
      <c r="S366" s="2">
        <v>0.434</v>
      </c>
      <c r="T366" s="2">
        <v>-5.4130000000000003</v>
      </c>
      <c r="U366">
        <v>220733</v>
      </c>
      <c r="V366">
        <f>YEAR(Spotify[[#This Row],[Date de sortie]])</f>
        <v>2010</v>
      </c>
      <c r="W366" s="2" t="str">
        <f>IF(Spotify[[#This Row],[Popularité]]&gt;=70,"FORTE","FAIBLE")</f>
        <v>FORTE</v>
      </c>
    </row>
    <row r="367" spans="1:23" x14ac:dyDescent="0.25">
      <c r="A367">
        <v>392</v>
      </c>
      <c r="B367">
        <v>53</v>
      </c>
      <c r="C367">
        <v>12</v>
      </c>
      <c r="D367" s="1">
        <v>44267</v>
      </c>
      <c r="E367" s="59" t="str" cm="1">
        <f t="array" ref="E36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67" t="s">
        <v>733</v>
      </c>
      <c r="G367" s="3">
        <v>5018005</v>
      </c>
      <c r="H367" t="s">
        <v>734</v>
      </c>
      <c r="I367" s="4">
        <v>85617</v>
      </c>
      <c r="J367" t="s">
        <v>735</v>
      </c>
      <c r="K367" s="1">
        <v>44068</v>
      </c>
      <c r="L367">
        <v>80</v>
      </c>
      <c r="M367" s="2" t="str">
        <f>IF(Spotify[[#This Row],[Energie]]&gt;AVERAGE(Spotify[Energie]),"FORTE","FAIBLE")</f>
        <v>FORTE</v>
      </c>
      <c r="N367" s="2">
        <v>0.748</v>
      </c>
      <c r="O367" s="2">
        <v>0.73399999999999999</v>
      </c>
      <c r="P367" s="2">
        <v>0.124</v>
      </c>
      <c r="Q367" s="2">
        <v>0.52400000000000002</v>
      </c>
      <c r="R367" s="2">
        <v>9.7500000000000003E-2</v>
      </c>
      <c r="S367" s="2">
        <v>0.36799999999999999</v>
      </c>
      <c r="T367" s="2">
        <v>-6.4989999999999997</v>
      </c>
      <c r="U367">
        <v>80081</v>
      </c>
      <c r="V367">
        <f>YEAR(Spotify[[#This Row],[Date de sortie]])</f>
        <v>2020</v>
      </c>
      <c r="W367" s="2" t="str">
        <f>IF(Spotify[[#This Row],[Popularité]]&gt;=70,"FORTE","FAIBLE")</f>
        <v>FORTE</v>
      </c>
    </row>
    <row r="368" spans="1:23" x14ac:dyDescent="0.25">
      <c r="A368">
        <v>541</v>
      </c>
      <c r="B368">
        <v>14</v>
      </c>
      <c r="C368">
        <v>5</v>
      </c>
      <c r="D368" s="1">
        <v>44134</v>
      </c>
      <c r="E368" s="59" t="str" cm="1">
        <f t="array" ref="E36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68" t="s">
        <v>977</v>
      </c>
      <c r="G368" s="3">
        <v>4986037</v>
      </c>
      <c r="H368" t="s">
        <v>202</v>
      </c>
      <c r="I368" s="4">
        <v>67208170</v>
      </c>
      <c r="J368" t="s">
        <v>19</v>
      </c>
      <c r="K368" s="1">
        <v>44134</v>
      </c>
      <c r="L368">
        <v>80</v>
      </c>
      <c r="M368" s="2" t="str">
        <f>IF(Spotify[[#This Row],[Energie]]&gt;AVERAGE(Spotify[Energie]),"FORTE","FAIBLE")</f>
        <v>FORTE</v>
      </c>
      <c r="N368" s="2">
        <v>0.78900000000000003</v>
      </c>
      <c r="O368" s="2">
        <v>0.74199999999999999</v>
      </c>
      <c r="P368" s="2">
        <v>6.5199999999999994E-2</v>
      </c>
      <c r="Q368" s="2">
        <v>6.8099999999999994E-2</v>
      </c>
      <c r="R368" s="2">
        <v>0.16600000000000001</v>
      </c>
      <c r="S368" s="2">
        <v>0.66100000000000003</v>
      </c>
      <c r="T368" s="2">
        <v>-5.6639999999999997</v>
      </c>
      <c r="U368">
        <v>167990</v>
      </c>
      <c r="V368">
        <f>YEAR(Spotify[[#This Row],[Date de sortie]])</f>
        <v>2020</v>
      </c>
      <c r="W368" s="2" t="str">
        <f>IF(Spotify[[#This Row],[Popularité]]&gt;=70,"FORTE","FAIBLE")</f>
        <v>FORTE</v>
      </c>
    </row>
    <row r="369" spans="1:23" x14ac:dyDescent="0.25">
      <c r="A369">
        <v>542</v>
      </c>
      <c r="B369">
        <v>28</v>
      </c>
      <c r="C369">
        <v>57</v>
      </c>
      <c r="D369" s="1">
        <v>43826</v>
      </c>
      <c r="E369" s="59" t="str" cm="1">
        <f t="array" ref="E36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69" t="s">
        <v>978</v>
      </c>
      <c r="G369" s="3">
        <v>4984399</v>
      </c>
      <c r="H369" t="s">
        <v>12</v>
      </c>
      <c r="I369" s="4">
        <v>83337783</v>
      </c>
      <c r="J369" t="s">
        <v>10</v>
      </c>
      <c r="K369" s="1">
        <v>43595</v>
      </c>
      <c r="L369">
        <v>80</v>
      </c>
      <c r="M369" s="2" t="str">
        <f>IF(Spotify[[#This Row],[Energie]]&gt;AVERAGE(Spotify[Energie]),"FORTE","FAIBLE")</f>
        <v>FORTE</v>
      </c>
      <c r="N369" s="2">
        <v>0.79800000000000004</v>
      </c>
      <c r="O369" s="2">
        <v>0.67500000000000004</v>
      </c>
      <c r="P369" s="2">
        <v>4.4200000000000003E-2</v>
      </c>
      <c r="Q369" s="2">
        <v>9.1200000000000003E-2</v>
      </c>
      <c r="R369" s="2">
        <v>8.9399999999999993E-2</v>
      </c>
      <c r="S369" s="2">
        <v>0.84199999999999997</v>
      </c>
      <c r="T369" s="2">
        <v>-5.0410000000000004</v>
      </c>
      <c r="U369">
        <v>219947</v>
      </c>
      <c r="V369">
        <f>YEAR(Spotify[[#This Row],[Date de sortie]])</f>
        <v>2019</v>
      </c>
      <c r="W369" s="2" t="str">
        <f>IF(Spotify[[#This Row],[Popularité]]&gt;=70,"FORTE","FAIBLE")</f>
        <v>FORTE</v>
      </c>
    </row>
    <row r="370" spans="1:23" x14ac:dyDescent="0.25">
      <c r="A370">
        <v>197</v>
      </c>
      <c r="B370">
        <v>197</v>
      </c>
      <c r="C370">
        <v>1</v>
      </c>
      <c r="D370" s="1">
        <v>44400</v>
      </c>
      <c r="E370" s="59" t="str" cm="1">
        <f t="array" ref="E37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70" t="s">
        <v>405</v>
      </c>
      <c r="G370" s="3">
        <v>4973937</v>
      </c>
      <c r="H370" t="s">
        <v>406</v>
      </c>
      <c r="I370" s="4">
        <v>1909059</v>
      </c>
      <c r="J370" t="s">
        <v>407</v>
      </c>
      <c r="K370" s="1">
        <v>44395</v>
      </c>
      <c r="L370">
        <v>80</v>
      </c>
      <c r="M370" s="2" t="str">
        <f>IF(Spotify[[#This Row],[Energie]]&gt;AVERAGE(Spotify[Energie]),"FORTE","FAIBLE")</f>
        <v>FAIBLE</v>
      </c>
      <c r="N370" s="2">
        <v>0.43</v>
      </c>
      <c r="O370" s="2">
        <v>0.46700000000000003</v>
      </c>
      <c r="P370" s="2">
        <v>5.0999999999999997E-2</v>
      </c>
      <c r="Q370" s="2">
        <v>0.77500000000000002</v>
      </c>
      <c r="R370" s="2">
        <v>9.3299999999999994E-2</v>
      </c>
      <c r="S370" s="2">
        <v>0.38200000000000001</v>
      </c>
      <c r="T370" s="2">
        <v>-8.56</v>
      </c>
      <c r="U370">
        <v>186121</v>
      </c>
      <c r="V370">
        <f>YEAR(Spotify[[#This Row],[Date de sortie]])</f>
        <v>2021</v>
      </c>
      <c r="W370" s="2" t="str">
        <f>IF(Spotify[[#This Row],[Popularité]]&gt;=70,"FORTE","FAIBLE")</f>
        <v>FORTE</v>
      </c>
    </row>
    <row r="371" spans="1:23" x14ac:dyDescent="0.25">
      <c r="A371">
        <v>290</v>
      </c>
      <c r="B371">
        <v>7</v>
      </c>
      <c r="C371">
        <v>65</v>
      </c>
      <c r="D371" s="1">
        <v>43917</v>
      </c>
      <c r="E371" s="59" t="str" cm="1">
        <f t="array" ref="E37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71" t="s">
        <v>570</v>
      </c>
      <c r="G371" s="3">
        <v>4971176</v>
      </c>
      <c r="H371" t="s">
        <v>28</v>
      </c>
      <c r="I371" s="4">
        <v>27142474</v>
      </c>
      <c r="J371" t="s">
        <v>19</v>
      </c>
      <c r="K371" s="1">
        <v>43917</v>
      </c>
      <c r="L371">
        <v>80</v>
      </c>
      <c r="M371" s="2" t="str">
        <f>IF(Spotify[[#This Row],[Energie]]&gt;AVERAGE(Spotify[Energie]),"FORTE","FAIBLE")</f>
        <v>FORTE</v>
      </c>
      <c r="N371" s="2">
        <v>0.73</v>
      </c>
      <c r="O371" s="2">
        <v>0.72899999999999998</v>
      </c>
      <c r="P371" s="2">
        <v>8.8400000000000006E-2</v>
      </c>
      <c r="Q371" s="2">
        <v>0.16700000000000001</v>
      </c>
      <c r="R371" s="2">
        <v>0.34899999999999998</v>
      </c>
      <c r="S371" s="2">
        <v>0.46700000000000003</v>
      </c>
      <c r="T371" s="2">
        <v>-3.4340000000000002</v>
      </c>
      <c r="U371">
        <v>221820</v>
      </c>
      <c r="V371">
        <f>YEAR(Spotify[[#This Row],[Date de sortie]])</f>
        <v>2020</v>
      </c>
      <c r="W371" s="2" t="str">
        <f>IF(Spotify[[#This Row],[Popularité]]&gt;=70,"FORTE","FAIBLE")</f>
        <v>FORTE</v>
      </c>
    </row>
    <row r="372" spans="1:23" x14ac:dyDescent="0.25">
      <c r="A372">
        <v>780</v>
      </c>
      <c r="B372">
        <v>53</v>
      </c>
      <c r="C372">
        <v>15</v>
      </c>
      <c r="D372" s="1">
        <v>44085</v>
      </c>
      <c r="E372" s="59" t="str" cm="1">
        <f t="array" ref="E37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72" t="s">
        <v>1356</v>
      </c>
      <c r="G372" s="3">
        <v>4926802</v>
      </c>
      <c r="H372" t="s">
        <v>1357</v>
      </c>
      <c r="I372" s="4">
        <v>1685215</v>
      </c>
      <c r="J372" t="s">
        <v>1358</v>
      </c>
      <c r="K372" s="1">
        <v>43742</v>
      </c>
      <c r="L372">
        <v>80</v>
      </c>
      <c r="M372" s="2" t="str">
        <f>IF(Spotify[[#This Row],[Energie]]&gt;AVERAGE(Spotify[Energie]),"FORTE","FAIBLE")</f>
        <v>FAIBLE</v>
      </c>
      <c r="N372" s="2">
        <v>0.316</v>
      </c>
      <c r="O372" s="2">
        <v>0.63</v>
      </c>
      <c r="P372" s="2">
        <v>0.11700000000000001</v>
      </c>
      <c r="Q372" s="2">
        <v>0.47099999999999997</v>
      </c>
      <c r="R372" s="2">
        <v>0.20499999999999999</v>
      </c>
      <c r="S372" s="2">
        <v>0.313</v>
      </c>
      <c r="T372" s="2">
        <v>-5.9630000000000001</v>
      </c>
      <c r="U372">
        <v>153294</v>
      </c>
      <c r="V372">
        <f>YEAR(Spotify[[#This Row],[Date de sortie]])</f>
        <v>2019</v>
      </c>
      <c r="W372" s="2" t="str">
        <f>IF(Spotify[[#This Row],[Popularité]]&gt;=70,"FORTE","FAIBLE")</f>
        <v>FORTE</v>
      </c>
    </row>
    <row r="373" spans="1:23" x14ac:dyDescent="0.25">
      <c r="A373">
        <v>568</v>
      </c>
      <c r="B373">
        <v>138</v>
      </c>
      <c r="C373">
        <v>49</v>
      </c>
      <c r="D373" s="1">
        <v>44120</v>
      </c>
      <c r="E373" s="59" t="str" cm="1">
        <f t="array" ref="E37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73" t="s">
        <v>1015</v>
      </c>
      <c r="G373" s="3">
        <v>4900492</v>
      </c>
      <c r="H373" t="s">
        <v>1016</v>
      </c>
      <c r="I373" s="4">
        <v>1692635</v>
      </c>
      <c r="J373" t="s">
        <v>176</v>
      </c>
      <c r="K373" s="1">
        <v>43280</v>
      </c>
      <c r="L373">
        <v>80</v>
      </c>
      <c r="M373" s="2" t="str">
        <f>IF(Spotify[[#This Row],[Energie]]&gt;AVERAGE(Spotify[Energie]),"FORTE","FAIBLE")</f>
        <v>FAIBLE</v>
      </c>
      <c r="N373" s="2">
        <v>0.55300000000000005</v>
      </c>
      <c r="O373" s="2">
        <v>0.58599999999999997</v>
      </c>
      <c r="P373" s="2">
        <v>3.6200000000000003E-2</v>
      </c>
      <c r="Q373" s="2">
        <v>0.69699999999999995</v>
      </c>
      <c r="R373" s="2">
        <v>8.1299999999999997E-2</v>
      </c>
      <c r="S373" s="2">
        <v>0.443</v>
      </c>
      <c r="T373" s="2">
        <v>-6.319</v>
      </c>
      <c r="U373">
        <v>196373</v>
      </c>
      <c r="V373">
        <f>YEAR(Spotify[[#This Row],[Date de sortie]])</f>
        <v>2018</v>
      </c>
      <c r="W373" s="2" t="str">
        <f>IF(Spotify[[#This Row],[Popularité]]&gt;=70,"FORTE","FAIBLE")</f>
        <v>FORTE</v>
      </c>
    </row>
    <row r="374" spans="1:23" x14ac:dyDescent="0.25">
      <c r="A374">
        <v>610</v>
      </c>
      <c r="B374">
        <v>13</v>
      </c>
      <c r="C374">
        <v>44</v>
      </c>
      <c r="D374" s="1">
        <v>43931</v>
      </c>
      <c r="E374" s="59" t="str" cm="1">
        <f t="array" ref="E37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74" t="s">
        <v>1081</v>
      </c>
      <c r="G374" s="3">
        <v>4858392</v>
      </c>
      <c r="H374" t="s">
        <v>1082</v>
      </c>
      <c r="I374" s="4">
        <v>724903</v>
      </c>
      <c r="J374" t="s">
        <v>717</v>
      </c>
      <c r="K374" s="1">
        <v>43471</v>
      </c>
      <c r="L374">
        <v>80</v>
      </c>
      <c r="M374" s="2" t="str">
        <f>IF(Spotify[[#This Row],[Energie]]&gt;AVERAGE(Spotify[Energie]),"FORTE","FAIBLE")</f>
        <v>FAIBLE</v>
      </c>
      <c r="N374" s="2">
        <v>0.878</v>
      </c>
      <c r="O374" s="2">
        <v>0.52500000000000002</v>
      </c>
      <c r="P374" s="2">
        <v>5.7799999999999997E-2</v>
      </c>
      <c r="Q374" s="2">
        <v>0.183</v>
      </c>
      <c r="R374" s="2">
        <v>7.1400000000000005E-2</v>
      </c>
      <c r="S374" s="2">
        <v>0.69399999999999995</v>
      </c>
      <c r="T374" s="2">
        <v>-6.8319999999999999</v>
      </c>
      <c r="U374">
        <v>158571</v>
      </c>
      <c r="V374">
        <f>YEAR(Spotify[[#This Row],[Date de sortie]])</f>
        <v>2019</v>
      </c>
      <c r="W374" s="2" t="str">
        <f>IF(Spotify[[#This Row],[Popularité]]&gt;=70,"FORTE","FAIBLE")</f>
        <v>FORTE</v>
      </c>
    </row>
    <row r="375" spans="1:23" x14ac:dyDescent="0.25">
      <c r="A375">
        <v>587</v>
      </c>
      <c r="B375">
        <v>37</v>
      </c>
      <c r="C375">
        <v>35</v>
      </c>
      <c r="D375" s="1">
        <v>44085</v>
      </c>
      <c r="E375" s="59" t="str" cm="1">
        <f t="array" ref="E37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75" t="s">
        <v>1047</v>
      </c>
      <c r="G375" s="3">
        <v>4833081</v>
      </c>
      <c r="H375" t="s">
        <v>1048</v>
      </c>
      <c r="I375" s="4">
        <v>14073083</v>
      </c>
      <c r="J375" t="s">
        <v>19</v>
      </c>
      <c r="K375" s="1">
        <v>43959</v>
      </c>
      <c r="L375">
        <v>80</v>
      </c>
      <c r="M375" s="2" t="str">
        <f>IF(Spotify[[#This Row],[Energie]]&gt;AVERAGE(Spotify[Energie]),"FORTE","FAIBLE")</f>
        <v>FAIBLE</v>
      </c>
      <c r="N375" s="2">
        <v>0.755</v>
      </c>
      <c r="O375" s="2">
        <v>0.57799999999999996</v>
      </c>
      <c r="P375" s="2">
        <v>0.14499999999999999</v>
      </c>
      <c r="Q375" s="2">
        <v>0.316</v>
      </c>
      <c r="R375" s="2">
        <v>0.25</v>
      </c>
      <c r="S375" s="2">
        <v>0.58099999999999996</v>
      </c>
      <c r="T375" s="2">
        <v>-8.9320000000000004</v>
      </c>
      <c r="U375">
        <v>176960</v>
      </c>
      <c r="V375">
        <f>YEAR(Spotify[[#This Row],[Date de sortie]])</f>
        <v>2020</v>
      </c>
      <c r="W375" s="2" t="str">
        <f>IF(Spotify[[#This Row],[Popularité]]&gt;=70,"FORTE","FAIBLE")</f>
        <v>FORTE</v>
      </c>
    </row>
    <row r="376" spans="1:23" x14ac:dyDescent="0.25">
      <c r="A376">
        <v>815</v>
      </c>
      <c r="B376">
        <v>23</v>
      </c>
      <c r="C376">
        <v>27</v>
      </c>
      <c r="D376" s="1">
        <v>44043</v>
      </c>
      <c r="E376" s="59" t="str" cm="1">
        <f t="array" ref="E37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76" t="s">
        <v>1409</v>
      </c>
      <c r="G376" s="3">
        <v>4825749</v>
      </c>
      <c r="H376" t="s">
        <v>237</v>
      </c>
      <c r="I376" s="4">
        <v>8766508</v>
      </c>
      <c r="J376" t="s">
        <v>25</v>
      </c>
      <c r="K376" s="1">
        <v>44078</v>
      </c>
      <c r="L376">
        <v>80</v>
      </c>
      <c r="M376" s="2" t="str">
        <f>IF(Spotify[[#This Row],[Energie]]&gt;AVERAGE(Spotify[Energie]),"FORTE","FAIBLE")</f>
        <v>FORTE</v>
      </c>
      <c r="N376" s="2">
        <v>0.79300000000000004</v>
      </c>
      <c r="O376" s="2">
        <v>0.77100000000000002</v>
      </c>
      <c r="P376" s="2">
        <v>9.5899999999999999E-2</v>
      </c>
      <c r="Q376" s="2">
        <v>3.3700000000000001E-2</v>
      </c>
      <c r="R376" s="2">
        <v>0.28399999999999997</v>
      </c>
      <c r="S376" s="2">
        <v>0.83499999999999996</v>
      </c>
      <c r="T376" s="2">
        <v>-3.4169999999999998</v>
      </c>
      <c r="U376">
        <v>247308</v>
      </c>
      <c r="V376">
        <f>YEAR(Spotify[[#This Row],[Date de sortie]])</f>
        <v>2020</v>
      </c>
      <c r="W376" s="2" t="str">
        <f>IF(Spotify[[#This Row],[Popularité]]&gt;=70,"FORTE","FAIBLE")</f>
        <v>FORTE</v>
      </c>
    </row>
    <row r="377" spans="1:23" x14ac:dyDescent="0.25">
      <c r="A377">
        <v>894</v>
      </c>
      <c r="B377">
        <v>23</v>
      </c>
      <c r="C377">
        <v>21</v>
      </c>
      <c r="D377" s="1">
        <v>43952</v>
      </c>
      <c r="E377" s="59" t="str" cm="1">
        <f t="array" ref="E37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377" t="s">
        <v>1530</v>
      </c>
      <c r="G377" s="3">
        <v>4799038</v>
      </c>
      <c r="H377" t="s">
        <v>179</v>
      </c>
      <c r="I377" s="4">
        <v>56327031</v>
      </c>
      <c r="J377" t="s">
        <v>155</v>
      </c>
      <c r="K377" s="1">
        <v>43952</v>
      </c>
      <c r="L377">
        <v>80</v>
      </c>
      <c r="M377" s="2" t="str">
        <f>IF(Spotify[[#This Row],[Energie]]&gt;AVERAGE(Spotify[Energie]),"FORTE","FAIBLE")</f>
        <v>FAIBLE</v>
      </c>
      <c r="N377" s="2">
        <v>0.73499999999999999</v>
      </c>
      <c r="O377" s="2">
        <v>0.44900000000000001</v>
      </c>
      <c r="P377" s="2">
        <v>0.34699999999999998</v>
      </c>
      <c r="Q377" s="2">
        <v>0.629</v>
      </c>
      <c r="R377" s="2">
        <v>0.113</v>
      </c>
      <c r="S377" s="2">
        <v>3.9699999999999999E-2</v>
      </c>
      <c r="T377" s="2">
        <v>-7.5069999999999997</v>
      </c>
      <c r="U377">
        <v>220488</v>
      </c>
      <c r="V377">
        <f>YEAR(Spotify[[#This Row],[Date de sortie]])</f>
        <v>2020</v>
      </c>
      <c r="W377" s="2" t="str">
        <f>IF(Spotify[[#This Row],[Popularité]]&gt;=70,"FORTE","FAIBLE")</f>
        <v>FORTE</v>
      </c>
    </row>
    <row r="378" spans="1:23" x14ac:dyDescent="0.25">
      <c r="A378">
        <v>606</v>
      </c>
      <c r="B378">
        <v>22</v>
      </c>
      <c r="C378">
        <v>32</v>
      </c>
      <c r="D378" s="1">
        <v>43959</v>
      </c>
      <c r="E378" s="59" t="str" cm="1">
        <f t="array" ref="E37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78" t="s">
        <v>1075</v>
      </c>
      <c r="G378" s="3">
        <v>4790427</v>
      </c>
      <c r="H378" t="s">
        <v>120</v>
      </c>
      <c r="I378" s="4">
        <v>31552500</v>
      </c>
      <c r="J378" t="s">
        <v>121</v>
      </c>
      <c r="K378" s="1">
        <v>43952</v>
      </c>
      <c r="L378">
        <v>80</v>
      </c>
      <c r="M378" s="2" t="str">
        <f>IF(Spotify[[#This Row],[Energie]]&gt;AVERAGE(Spotify[Energie]),"FORTE","FAIBLE")</f>
        <v>FAIBLE</v>
      </c>
      <c r="N378" s="2">
        <v>0.63</v>
      </c>
      <c r="O378" s="2">
        <v>0.63300000000000001</v>
      </c>
      <c r="P378" s="2">
        <v>4.5699999999999998E-2</v>
      </c>
      <c r="Q378" s="2">
        <v>7.7600000000000004E-3</v>
      </c>
      <c r="R378" s="2">
        <v>5.4100000000000002E-2</v>
      </c>
      <c r="S378" s="2">
        <v>0.45200000000000001</v>
      </c>
      <c r="T378" s="2">
        <v>-7.0880000000000001</v>
      </c>
      <c r="U378">
        <v>172762</v>
      </c>
      <c r="V378">
        <f>YEAR(Spotify[[#This Row],[Date de sortie]])</f>
        <v>2020</v>
      </c>
      <c r="W378" s="2" t="str">
        <f>IF(Spotify[[#This Row],[Popularité]]&gt;=70,"FORTE","FAIBLE")</f>
        <v>FORTE</v>
      </c>
    </row>
    <row r="379" spans="1:23" x14ac:dyDescent="0.25">
      <c r="A379">
        <v>803</v>
      </c>
      <c r="B379">
        <v>42</v>
      </c>
      <c r="C379">
        <v>30</v>
      </c>
      <c r="D379" s="1">
        <v>43973</v>
      </c>
      <c r="E379" s="59" t="str" cm="1">
        <f t="array" ref="E37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379" t="s">
        <v>1392</v>
      </c>
      <c r="G379" s="3">
        <v>4784580</v>
      </c>
      <c r="H379" t="s">
        <v>711</v>
      </c>
      <c r="I379" s="4">
        <v>1606884</v>
      </c>
      <c r="J379" t="s">
        <v>186</v>
      </c>
      <c r="K379" s="1">
        <v>43903</v>
      </c>
      <c r="L379">
        <v>80</v>
      </c>
      <c r="M379" s="2" t="str">
        <f>IF(Spotify[[#This Row],[Energie]]&gt;AVERAGE(Spotify[Energie]),"FORTE","FAIBLE")</f>
        <v>FORTE</v>
      </c>
      <c r="N379" s="2">
        <v>0.629</v>
      </c>
      <c r="O379" s="2">
        <v>0.69199999999999995</v>
      </c>
      <c r="P379" s="2">
        <v>3.7600000000000001E-2</v>
      </c>
      <c r="Q379" s="2">
        <v>9.8099999999999993E-3</v>
      </c>
      <c r="R379" s="2">
        <v>0.60299999999999998</v>
      </c>
      <c r="S379" s="2">
        <v>0.45300000000000001</v>
      </c>
      <c r="T379" s="2">
        <v>-8.0449999999999999</v>
      </c>
      <c r="U379">
        <v>167916</v>
      </c>
      <c r="V379">
        <f>YEAR(Spotify[[#This Row],[Date de sortie]])</f>
        <v>2020</v>
      </c>
      <c r="W379" s="2" t="str">
        <f>IF(Spotify[[#This Row],[Popularité]]&gt;=70,"FORTE","FAIBLE")</f>
        <v>FORTE</v>
      </c>
    </row>
    <row r="380" spans="1:23" x14ac:dyDescent="0.25">
      <c r="A380">
        <v>784</v>
      </c>
      <c r="B380">
        <v>29</v>
      </c>
      <c r="C380">
        <v>4</v>
      </c>
      <c r="D380" s="1">
        <v>44127</v>
      </c>
      <c r="E380" s="59" t="str" cm="1">
        <f t="array" ref="E38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COUNTRY</v>
      </c>
      <c r="F380" t="s">
        <v>1365</v>
      </c>
      <c r="G380" s="3">
        <v>4746415</v>
      </c>
      <c r="H380" t="s">
        <v>1366</v>
      </c>
      <c r="I380" s="4">
        <v>5371000</v>
      </c>
      <c r="J380" t="s">
        <v>382</v>
      </c>
      <c r="K380" s="1">
        <v>44127</v>
      </c>
      <c r="L380">
        <v>80</v>
      </c>
      <c r="M380" s="2" t="str">
        <f>IF(Spotify[[#This Row],[Energie]]&gt;AVERAGE(Spotify[Energie]),"FORTE","FAIBLE")</f>
        <v>FORTE</v>
      </c>
      <c r="N380" s="2">
        <v>0.48699999999999999</v>
      </c>
      <c r="O380" s="2">
        <v>0.65</v>
      </c>
      <c r="P380" s="2">
        <v>2.53E-2</v>
      </c>
      <c r="Q380" s="2">
        <v>0.191</v>
      </c>
      <c r="R380" s="2">
        <v>9.3299999999999994E-2</v>
      </c>
      <c r="S380" s="2">
        <v>0.45600000000000002</v>
      </c>
      <c r="T380" s="2">
        <v>-5.1950000000000003</v>
      </c>
      <c r="U380">
        <v>232533</v>
      </c>
      <c r="V380">
        <f>YEAR(Spotify[[#This Row],[Date de sortie]])</f>
        <v>2020</v>
      </c>
      <c r="W380" s="2" t="str">
        <f>IF(Spotify[[#This Row],[Popularité]]&gt;=70,"FORTE","FAIBLE")</f>
        <v>FORTE</v>
      </c>
    </row>
    <row r="381" spans="1:23" x14ac:dyDescent="0.25">
      <c r="A381">
        <v>882</v>
      </c>
      <c r="B381">
        <v>26</v>
      </c>
      <c r="C381">
        <v>35</v>
      </c>
      <c r="D381" s="1">
        <v>43994</v>
      </c>
      <c r="E381" s="59" t="str" cm="1">
        <f t="array" ref="E38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381" t="s">
        <v>1511</v>
      </c>
      <c r="G381" s="3">
        <v>4745752</v>
      </c>
      <c r="H381" t="s">
        <v>842</v>
      </c>
      <c r="I381" s="4">
        <v>3828418</v>
      </c>
      <c r="J381" t="s">
        <v>155</v>
      </c>
      <c r="K381" s="1">
        <v>44006</v>
      </c>
      <c r="L381">
        <v>80</v>
      </c>
      <c r="M381" s="2" t="str">
        <f>IF(Spotify[[#This Row],[Energie]]&gt;AVERAGE(Spotify[Energie]),"FORTE","FAIBLE")</f>
        <v>FORTE</v>
      </c>
      <c r="N381" s="2">
        <v>0.90400000000000003</v>
      </c>
      <c r="O381" s="2">
        <v>0.72299999999999998</v>
      </c>
      <c r="P381" s="2">
        <v>0.26</v>
      </c>
      <c r="Q381" s="2">
        <v>6.3100000000000003E-2</v>
      </c>
      <c r="R381" s="2">
        <v>0.185</v>
      </c>
      <c r="S381" s="2">
        <v>0.83499999999999996</v>
      </c>
      <c r="T381" s="2">
        <v>-5.2240000000000002</v>
      </c>
      <c r="U381">
        <v>227478</v>
      </c>
      <c r="V381">
        <f>YEAR(Spotify[[#This Row],[Date de sortie]])</f>
        <v>2020</v>
      </c>
      <c r="W381" s="2" t="str">
        <f>IF(Spotify[[#This Row],[Popularité]]&gt;=70,"FORTE","FAIBLE")</f>
        <v>FORTE</v>
      </c>
    </row>
    <row r="382" spans="1:23" x14ac:dyDescent="0.25">
      <c r="A382">
        <v>826</v>
      </c>
      <c r="B382">
        <v>26</v>
      </c>
      <c r="C382">
        <v>27</v>
      </c>
      <c r="D382" s="1">
        <v>43973</v>
      </c>
      <c r="E382" s="59" t="str" cm="1">
        <f t="array" ref="E38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82" t="s">
        <v>1427</v>
      </c>
      <c r="G382" s="3">
        <v>4745568</v>
      </c>
      <c r="H382" t="s">
        <v>1428</v>
      </c>
      <c r="I382" s="4">
        <v>10925614</v>
      </c>
      <c r="J382" t="s">
        <v>222</v>
      </c>
      <c r="K382" s="1">
        <v>42230</v>
      </c>
      <c r="L382">
        <v>80</v>
      </c>
      <c r="M382" s="2" t="str">
        <f>IF(Spotify[[#This Row],[Energie]]&gt;AVERAGE(Spotify[Energie]),"FORTE","FAIBLE")</f>
        <v>FORTE</v>
      </c>
      <c r="N382" s="2">
        <v>0.68</v>
      </c>
      <c r="O382" s="2">
        <v>0.72899999999999998</v>
      </c>
      <c r="P382" s="2">
        <v>4.7500000000000001E-2</v>
      </c>
      <c r="Q382" s="2">
        <v>0.61199999999999999</v>
      </c>
      <c r="R382" s="2">
        <v>0.224</v>
      </c>
      <c r="S382" s="2">
        <v>0.44600000000000001</v>
      </c>
      <c r="T382" s="2">
        <v>-5.077</v>
      </c>
      <c r="U382">
        <v>179867</v>
      </c>
      <c r="V382">
        <f>YEAR(Spotify[[#This Row],[Date de sortie]])</f>
        <v>2015</v>
      </c>
      <c r="W382" s="2" t="str">
        <f>IF(Spotify[[#This Row],[Popularité]]&gt;=70,"FORTE","FAIBLE")</f>
        <v>FORTE</v>
      </c>
    </row>
    <row r="383" spans="1:23" x14ac:dyDescent="0.25">
      <c r="A383">
        <v>788</v>
      </c>
      <c r="B383">
        <v>5</v>
      </c>
      <c r="C383">
        <v>12</v>
      </c>
      <c r="D383" s="1">
        <v>44043</v>
      </c>
      <c r="E383" s="59" t="str" cm="1">
        <f t="array" ref="E38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83" t="s">
        <v>1373</v>
      </c>
      <c r="G383" s="3">
        <v>4721082</v>
      </c>
      <c r="H383" t="s">
        <v>114</v>
      </c>
      <c r="I383" s="4">
        <v>47061119</v>
      </c>
      <c r="J383" t="s">
        <v>115</v>
      </c>
      <c r="K383" s="1">
        <v>44407</v>
      </c>
      <c r="L383">
        <v>80</v>
      </c>
      <c r="M383" s="2" t="str">
        <f>IF(Spotify[[#This Row],[Energie]]&gt;AVERAGE(Spotify[Energie]),"FORTE","FAIBLE")</f>
        <v>FAIBLE</v>
      </c>
      <c r="N383" s="2">
        <v>0.45600000000000002</v>
      </c>
      <c r="O383" s="2">
        <v>0.28499999999999998</v>
      </c>
      <c r="P383" s="2">
        <v>9.7900000000000001E-2</v>
      </c>
      <c r="Q383" s="2">
        <v>0.81399999999999995</v>
      </c>
      <c r="R383" s="2">
        <v>0.307</v>
      </c>
      <c r="S383" s="2">
        <v>8.09E-2</v>
      </c>
      <c r="T383" s="2">
        <v>-10.755000000000001</v>
      </c>
      <c r="U383">
        <v>210005</v>
      </c>
      <c r="V383">
        <f>YEAR(Spotify[[#This Row],[Date de sortie]])</f>
        <v>2021</v>
      </c>
      <c r="W383" s="2" t="str">
        <f>IF(Spotify[[#This Row],[Popularité]]&gt;=70,"FORTE","FAIBLE")</f>
        <v>FORTE</v>
      </c>
    </row>
    <row r="384" spans="1:23" x14ac:dyDescent="0.25">
      <c r="A384">
        <v>851</v>
      </c>
      <c r="B384">
        <v>108</v>
      </c>
      <c r="C384">
        <v>17</v>
      </c>
      <c r="D384" s="1">
        <v>43833</v>
      </c>
      <c r="E384" s="59" t="str" cm="1">
        <f t="array" ref="E38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84" t="s">
        <v>1468</v>
      </c>
      <c r="G384" s="3">
        <v>4641393</v>
      </c>
      <c r="H384" t="s">
        <v>1469</v>
      </c>
      <c r="I384" s="4">
        <v>14073083</v>
      </c>
      <c r="J384" t="s">
        <v>19</v>
      </c>
      <c r="K384" s="1">
        <v>43644</v>
      </c>
      <c r="L384">
        <v>80</v>
      </c>
      <c r="M384" s="2" t="str">
        <f>IF(Spotify[[#This Row],[Energie]]&gt;AVERAGE(Spotify[Energie]),"FORTE","FAIBLE")</f>
        <v>FAIBLE</v>
      </c>
      <c r="N384" s="2">
        <v>0.69599999999999995</v>
      </c>
      <c r="O384" s="2">
        <v>0.45400000000000001</v>
      </c>
      <c r="P384" s="2">
        <v>0.153</v>
      </c>
      <c r="Q384" s="2">
        <v>0.123</v>
      </c>
      <c r="R384" s="2">
        <v>0.155</v>
      </c>
      <c r="S384" s="2">
        <v>0.13600000000000001</v>
      </c>
      <c r="T384" s="2">
        <v>-6.7560000000000002</v>
      </c>
      <c r="U384">
        <v>260640</v>
      </c>
      <c r="V384">
        <f>YEAR(Spotify[[#This Row],[Date de sortie]])</f>
        <v>2019</v>
      </c>
      <c r="W384" s="2" t="str">
        <f>IF(Spotify[[#This Row],[Popularité]]&gt;=70,"FORTE","FAIBLE")</f>
        <v>FORTE</v>
      </c>
    </row>
    <row r="385" spans="1:23" x14ac:dyDescent="0.25">
      <c r="A385">
        <v>1054</v>
      </c>
      <c r="B385">
        <v>7</v>
      </c>
      <c r="C385">
        <v>19</v>
      </c>
      <c r="D385" s="1">
        <v>43896</v>
      </c>
      <c r="E385" s="59" t="str" cm="1">
        <f t="array" ref="E38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85" t="s">
        <v>1760</v>
      </c>
      <c r="G385" s="3">
        <v>4638728</v>
      </c>
      <c r="H385" t="s">
        <v>24</v>
      </c>
      <c r="I385" s="4">
        <v>36177712</v>
      </c>
      <c r="J385" t="s">
        <v>25</v>
      </c>
      <c r="K385" s="1">
        <v>43890</v>
      </c>
      <c r="L385">
        <v>80</v>
      </c>
      <c r="M385" s="2" t="str">
        <f>IF(Spotify[[#This Row],[Energie]]&gt;AVERAGE(Spotify[Energie]),"FORTE","FAIBLE")</f>
        <v>FAIBLE</v>
      </c>
      <c r="N385" s="2">
        <v>0.9</v>
      </c>
      <c r="O385" s="2">
        <v>0.60299999999999998</v>
      </c>
      <c r="P385" s="2">
        <v>6.4600000000000005E-2</v>
      </c>
      <c r="Q385" s="2">
        <v>0.40200000000000002</v>
      </c>
      <c r="R385" s="2">
        <v>0.13400000000000001</v>
      </c>
      <c r="S385" s="2">
        <v>0.82399999999999995</v>
      </c>
      <c r="T385" s="2">
        <v>-5.3129999999999997</v>
      </c>
      <c r="U385">
        <v>170972</v>
      </c>
      <c r="V385">
        <f>YEAR(Spotify[[#This Row],[Date de sortie]])</f>
        <v>2020</v>
      </c>
      <c r="W385" s="2" t="str">
        <f>IF(Spotify[[#This Row],[Popularité]]&gt;=70,"FORTE","FAIBLE")</f>
        <v>FORTE</v>
      </c>
    </row>
    <row r="386" spans="1:23" x14ac:dyDescent="0.25">
      <c r="A386">
        <v>1039</v>
      </c>
      <c r="B386">
        <v>105</v>
      </c>
      <c r="C386">
        <v>13</v>
      </c>
      <c r="D386" s="1">
        <v>43994</v>
      </c>
      <c r="E386" s="59" t="str" cm="1">
        <f t="array" ref="E38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86" t="s">
        <v>1741</v>
      </c>
      <c r="G386" s="3">
        <v>4597406</v>
      </c>
      <c r="H386" t="s">
        <v>1742</v>
      </c>
      <c r="I386" s="4">
        <v>122883</v>
      </c>
      <c r="J386" t="s">
        <v>222</v>
      </c>
      <c r="K386" s="1">
        <v>43810</v>
      </c>
      <c r="L386">
        <v>80</v>
      </c>
      <c r="M386" s="2" t="str">
        <f>IF(Spotify[[#This Row],[Energie]]&gt;AVERAGE(Spotify[Energie]),"FORTE","FAIBLE")</f>
        <v>FAIBLE</v>
      </c>
      <c r="N386" s="2">
        <v>0.60499999999999998</v>
      </c>
      <c r="O386" s="2">
        <v>0.377</v>
      </c>
      <c r="P386" s="2">
        <v>4.4299999999999999E-2</v>
      </c>
      <c r="Q386" s="2">
        <v>0.73299999999999998</v>
      </c>
      <c r="R386" s="2">
        <v>8.0799999999999997E-2</v>
      </c>
      <c r="S386" s="2">
        <v>0.51900000000000002</v>
      </c>
      <c r="T386" s="2">
        <v>-6.2130000000000001</v>
      </c>
      <c r="U386">
        <v>194853</v>
      </c>
      <c r="V386">
        <f>YEAR(Spotify[[#This Row],[Date de sortie]])</f>
        <v>2019</v>
      </c>
      <c r="W386" s="2" t="str">
        <f>IF(Spotify[[#This Row],[Popularité]]&gt;=70,"FORTE","FAIBLE")</f>
        <v>FORTE</v>
      </c>
    </row>
    <row r="387" spans="1:23" x14ac:dyDescent="0.25">
      <c r="A387">
        <v>843</v>
      </c>
      <c r="B387">
        <v>93</v>
      </c>
      <c r="C387">
        <v>38</v>
      </c>
      <c r="D387" s="1">
        <v>43868</v>
      </c>
      <c r="E387" s="59" t="str" cm="1">
        <f t="array" ref="E38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87" t="s">
        <v>1457</v>
      </c>
      <c r="G387" s="3">
        <v>4560503</v>
      </c>
      <c r="H387" t="s">
        <v>152</v>
      </c>
      <c r="I387" s="4">
        <v>8388838</v>
      </c>
      <c r="J387" t="s">
        <v>10</v>
      </c>
      <c r="K387" s="1">
        <v>43602</v>
      </c>
      <c r="L387">
        <v>80</v>
      </c>
      <c r="M387" s="2" t="str">
        <f>IF(Spotify[[#This Row],[Energie]]&gt;AVERAGE(Spotify[Energie]),"FORTE","FAIBLE")</f>
        <v>FAIBLE</v>
      </c>
      <c r="N387" s="2">
        <v>0.73599999999999999</v>
      </c>
      <c r="O387" s="2">
        <v>0.308</v>
      </c>
      <c r="P387" s="2">
        <v>6.7699999999999996E-2</v>
      </c>
      <c r="Q387" s="2">
        <v>0.94599999999999995</v>
      </c>
      <c r="R387" s="2">
        <v>0.186</v>
      </c>
      <c r="S387" s="2">
        <v>0.36099999999999999</v>
      </c>
      <c r="T387" s="2">
        <v>-7.83</v>
      </c>
      <c r="U387">
        <v>220492</v>
      </c>
      <c r="V387">
        <f>YEAR(Spotify[[#This Row],[Date de sortie]])</f>
        <v>2019</v>
      </c>
      <c r="W387" s="2" t="str">
        <f>IF(Spotify[[#This Row],[Popularité]]&gt;=70,"FORTE","FAIBLE")</f>
        <v>FORTE</v>
      </c>
    </row>
    <row r="388" spans="1:23" x14ac:dyDescent="0.25">
      <c r="A388">
        <v>1028</v>
      </c>
      <c r="B388">
        <v>23</v>
      </c>
      <c r="C388">
        <v>30</v>
      </c>
      <c r="D388" s="1">
        <v>43840</v>
      </c>
      <c r="E388" s="59" t="str" cm="1">
        <f t="array" ref="E38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388" t="s">
        <v>1725</v>
      </c>
      <c r="G388" s="3">
        <v>4496450</v>
      </c>
      <c r="H388" t="s">
        <v>264</v>
      </c>
      <c r="I388" s="4">
        <v>7601122</v>
      </c>
      <c r="J388" t="s">
        <v>265</v>
      </c>
      <c r="K388" s="1">
        <v>43735</v>
      </c>
      <c r="L388">
        <v>80</v>
      </c>
      <c r="M388" s="2" t="str">
        <f>IF(Spotify[[#This Row],[Energie]]&gt;AVERAGE(Spotify[Energie]),"FORTE","FAIBLE")</f>
        <v>FORTE</v>
      </c>
      <c r="N388" s="2">
        <v>0.76900000000000002</v>
      </c>
      <c r="O388" s="2">
        <v>0.78700000000000003</v>
      </c>
      <c r="P388" s="2">
        <v>0.36699999999999999</v>
      </c>
      <c r="Q388" s="2">
        <v>0.189</v>
      </c>
      <c r="R388" s="2">
        <v>0.129</v>
      </c>
      <c r="S388" s="2">
        <v>0.83599999999999997</v>
      </c>
      <c r="T388" s="2">
        <v>-3.9089999999999998</v>
      </c>
      <c r="U388">
        <v>159715</v>
      </c>
      <c r="V388">
        <f>YEAR(Spotify[[#This Row],[Date de sortie]])</f>
        <v>2019</v>
      </c>
      <c r="W388" s="2" t="str">
        <f>IF(Spotify[[#This Row],[Popularité]]&gt;=70,"FORTE","FAIBLE")</f>
        <v>FORTE</v>
      </c>
    </row>
    <row r="389" spans="1:23" x14ac:dyDescent="0.25">
      <c r="A389">
        <v>945</v>
      </c>
      <c r="B389">
        <v>37</v>
      </c>
      <c r="C389">
        <v>35</v>
      </c>
      <c r="D389" s="1">
        <v>43861</v>
      </c>
      <c r="E389" s="59" t="str" cm="1">
        <f t="array" ref="E38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389" t="s">
        <v>1612</v>
      </c>
      <c r="G389" s="3">
        <v>4436934</v>
      </c>
      <c r="H389" t="s">
        <v>1613</v>
      </c>
      <c r="I389" s="4">
        <v>881797</v>
      </c>
      <c r="J389" t="s">
        <v>100</v>
      </c>
      <c r="K389" s="1">
        <v>43644</v>
      </c>
      <c r="L389">
        <v>80</v>
      </c>
      <c r="M389" s="2" t="str">
        <f>IF(Spotify[[#This Row],[Energie]]&gt;AVERAGE(Spotify[Energie]),"FORTE","FAIBLE")</f>
        <v>FAIBLE</v>
      </c>
      <c r="N389" s="2">
        <v>0.80900000000000005</v>
      </c>
      <c r="O389" s="2">
        <v>0.54500000000000004</v>
      </c>
      <c r="P389" s="2">
        <v>7.3499999999999996E-2</v>
      </c>
      <c r="Q389" s="2">
        <v>0.39200000000000002</v>
      </c>
      <c r="R389" s="2">
        <v>0.151</v>
      </c>
      <c r="S389" s="2">
        <v>0.24399999999999999</v>
      </c>
      <c r="T389" s="2">
        <v>-6.6779999999999999</v>
      </c>
      <c r="U389">
        <v>180435</v>
      </c>
      <c r="V389">
        <f>YEAR(Spotify[[#This Row],[Date de sortie]])</f>
        <v>2019</v>
      </c>
      <c r="W389" s="2" t="str">
        <f>IF(Spotify[[#This Row],[Popularité]]&gt;=70,"FORTE","FAIBLE")</f>
        <v>FORTE</v>
      </c>
    </row>
    <row r="390" spans="1:23" x14ac:dyDescent="0.25">
      <c r="A390">
        <v>947</v>
      </c>
      <c r="B390">
        <v>186</v>
      </c>
      <c r="C390">
        <v>10</v>
      </c>
      <c r="D390" s="1">
        <v>44050</v>
      </c>
      <c r="E390" s="59" t="str" cm="1">
        <f t="array" ref="E39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90" t="s">
        <v>1615</v>
      </c>
      <c r="G390" s="3">
        <v>4391666</v>
      </c>
      <c r="H390" t="s">
        <v>1616</v>
      </c>
      <c r="I390" s="4">
        <v>6167871</v>
      </c>
      <c r="J390" t="s">
        <v>1617</v>
      </c>
      <c r="K390" s="1">
        <v>39580</v>
      </c>
      <c r="L390">
        <v>80</v>
      </c>
      <c r="M390" s="2" t="str">
        <f>IF(Spotify[[#This Row],[Energie]]&gt;AVERAGE(Spotify[Energie]),"FORTE","FAIBLE")</f>
        <v>FAIBLE</v>
      </c>
      <c r="N390" s="2">
        <v>0.68600000000000005</v>
      </c>
      <c r="O390" s="2">
        <v>0.45700000000000002</v>
      </c>
      <c r="P390" s="2">
        <v>4.6800000000000001E-2</v>
      </c>
      <c r="Q390" s="2">
        <v>0.59499999999999997</v>
      </c>
      <c r="R390" s="2">
        <v>0.105</v>
      </c>
      <c r="S390" s="2">
        <v>0.71799999999999997</v>
      </c>
      <c r="T390" s="2">
        <v>-8.3219999999999992</v>
      </c>
      <c r="U390">
        <v>242187</v>
      </c>
      <c r="V390">
        <f>YEAR(Spotify[[#This Row],[Date de sortie]])</f>
        <v>2008</v>
      </c>
      <c r="W390" s="2" t="str">
        <f>IF(Spotify[[#This Row],[Popularité]]&gt;=70,"FORTE","FAIBLE")</f>
        <v>FORTE</v>
      </c>
    </row>
    <row r="391" spans="1:23" x14ac:dyDescent="0.25">
      <c r="A391">
        <v>948</v>
      </c>
      <c r="B391">
        <v>136</v>
      </c>
      <c r="C391">
        <v>32</v>
      </c>
      <c r="D391" s="1">
        <v>43987</v>
      </c>
      <c r="E391" s="59" t="str" cm="1">
        <f t="array" ref="E39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391" t="s">
        <v>1618</v>
      </c>
      <c r="G391" s="3">
        <v>4390823</v>
      </c>
      <c r="H391" t="s">
        <v>1619</v>
      </c>
      <c r="I391" s="4">
        <v>7744095</v>
      </c>
      <c r="J391" t="s">
        <v>1180</v>
      </c>
      <c r="K391" s="1">
        <v>43266</v>
      </c>
      <c r="L391">
        <v>80</v>
      </c>
      <c r="M391" s="2" t="str">
        <f>IF(Spotify[[#This Row],[Energie]]&gt;AVERAGE(Spotify[Energie]),"FORTE","FAIBLE")</f>
        <v>FORTE</v>
      </c>
      <c r="N391" s="2">
        <v>0.59599999999999997</v>
      </c>
      <c r="O391" s="2">
        <v>0.85399999999999998</v>
      </c>
      <c r="P391" s="2">
        <v>0.46300000000000002</v>
      </c>
      <c r="Q391" s="2">
        <v>1.6899999999999998E-2</v>
      </c>
      <c r="R391" s="2">
        <v>0.124</v>
      </c>
      <c r="S391" s="2">
        <v>0.152</v>
      </c>
      <c r="T391" s="2">
        <v>-5.1139999999999999</v>
      </c>
      <c r="U391">
        <v>203418</v>
      </c>
      <c r="V391">
        <f>YEAR(Spotify[[#This Row],[Date de sortie]])</f>
        <v>2018</v>
      </c>
      <c r="W391" s="2" t="str">
        <f>IF(Spotify[[#This Row],[Popularité]]&gt;=70,"FORTE","FAIBLE")</f>
        <v>FORTE</v>
      </c>
    </row>
    <row r="392" spans="1:23" x14ac:dyDescent="0.25">
      <c r="A392">
        <v>1078</v>
      </c>
      <c r="B392">
        <v>26</v>
      </c>
      <c r="C392">
        <v>27</v>
      </c>
      <c r="D392" s="1">
        <v>43833</v>
      </c>
      <c r="E392" s="59" t="str" cm="1">
        <f t="array" ref="E39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392" t="s">
        <v>1795</v>
      </c>
      <c r="G392" s="3">
        <v>4369849</v>
      </c>
      <c r="H392" t="s">
        <v>711</v>
      </c>
      <c r="I392" s="4">
        <v>1606884</v>
      </c>
      <c r="J392" t="s">
        <v>186</v>
      </c>
      <c r="K392" s="1">
        <v>43903</v>
      </c>
      <c r="L392">
        <v>80</v>
      </c>
      <c r="M392" s="2" t="str">
        <f>IF(Spotify[[#This Row],[Energie]]&gt;AVERAGE(Spotify[Energie]),"FORTE","FAIBLE")</f>
        <v>FAIBLE</v>
      </c>
      <c r="N392" s="2">
        <v>0.65200000000000002</v>
      </c>
      <c r="O392" s="2">
        <v>0.63100000000000001</v>
      </c>
      <c r="P392" s="2">
        <v>8.9300000000000004E-2</v>
      </c>
      <c r="Q392" s="2">
        <v>0.52400000000000002</v>
      </c>
      <c r="R392" s="2">
        <v>0.16500000000000001</v>
      </c>
      <c r="S392" s="2">
        <v>0.35</v>
      </c>
      <c r="T392" s="2">
        <v>-5.718</v>
      </c>
      <c r="U392">
        <v>154424</v>
      </c>
      <c r="V392">
        <f>YEAR(Spotify[[#This Row],[Date de sortie]])</f>
        <v>2020</v>
      </c>
      <c r="W392" s="2" t="str">
        <f>IF(Spotify[[#This Row],[Popularité]]&gt;=70,"FORTE","FAIBLE")</f>
        <v>FORTE</v>
      </c>
    </row>
    <row r="393" spans="1:23" x14ac:dyDescent="0.25">
      <c r="A393">
        <v>965</v>
      </c>
      <c r="B393">
        <v>74</v>
      </c>
      <c r="C393">
        <v>31</v>
      </c>
      <c r="D393" s="1">
        <v>43826</v>
      </c>
      <c r="E393" s="59" t="str" cm="1">
        <f t="array" ref="E39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393" t="s">
        <v>1645</v>
      </c>
      <c r="G393" s="3">
        <v>4351784</v>
      </c>
      <c r="H393" t="s">
        <v>59</v>
      </c>
      <c r="I393" s="4">
        <v>33663701</v>
      </c>
      <c r="J393" t="s">
        <v>60</v>
      </c>
      <c r="K393" s="1">
        <v>43714</v>
      </c>
      <c r="L393">
        <v>80</v>
      </c>
      <c r="M393" s="2" t="str">
        <f>IF(Spotify[[#This Row],[Energie]]&gt;AVERAGE(Spotify[Energie]),"FORTE","FAIBLE")</f>
        <v>FAIBLE</v>
      </c>
      <c r="N393" s="2">
        <v>0.82899999999999996</v>
      </c>
      <c r="O393" s="2">
        <v>0.53900000000000003</v>
      </c>
      <c r="P393" s="2">
        <v>0.20799999999999999</v>
      </c>
      <c r="Q393" s="2">
        <v>0.13600000000000001</v>
      </c>
      <c r="R393" s="2">
        <v>0.10299999999999999</v>
      </c>
      <c r="S393" s="2">
        <v>0.38800000000000001</v>
      </c>
      <c r="T393" s="2">
        <v>-7.359</v>
      </c>
      <c r="U393">
        <v>149547</v>
      </c>
      <c r="V393">
        <f>YEAR(Spotify[[#This Row],[Date de sortie]])</f>
        <v>2019</v>
      </c>
      <c r="W393" s="2" t="str">
        <f>IF(Spotify[[#This Row],[Popularité]]&gt;=70,"FORTE","FAIBLE")</f>
        <v>FORTE</v>
      </c>
    </row>
    <row r="394" spans="1:23" x14ac:dyDescent="0.25">
      <c r="A394">
        <v>260</v>
      </c>
      <c r="B394">
        <v>69</v>
      </c>
      <c r="C394">
        <v>1</v>
      </c>
      <c r="D394" s="1">
        <v>44372</v>
      </c>
      <c r="E394" s="59" t="str" cm="1">
        <f t="array" ref="E39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394" t="s">
        <v>520</v>
      </c>
      <c r="G394" s="3">
        <v>9142721</v>
      </c>
      <c r="H394" t="s">
        <v>425</v>
      </c>
      <c r="I394" s="4">
        <v>6777818</v>
      </c>
      <c r="J394" t="s">
        <v>426</v>
      </c>
      <c r="K394" s="1">
        <v>44372</v>
      </c>
      <c r="L394">
        <v>79</v>
      </c>
      <c r="M394" s="2" t="str">
        <f>IF(Spotify[[#This Row],[Energie]]&gt;AVERAGE(Spotify[Energie]),"FORTE","FAIBLE")</f>
        <v>FORTE</v>
      </c>
      <c r="N394" s="2">
        <v>0.46800000000000003</v>
      </c>
      <c r="O394" s="2">
        <v>0.65200000000000002</v>
      </c>
      <c r="P394" s="2">
        <v>7.22E-2</v>
      </c>
      <c r="Q394" s="2">
        <v>0.33300000000000002</v>
      </c>
      <c r="R394" s="2">
        <v>0.55000000000000004</v>
      </c>
      <c r="S394" s="2">
        <v>0.39</v>
      </c>
      <c r="T394" s="2">
        <v>-4.9119999999999999</v>
      </c>
      <c r="U394">
        <v>588139</v>
      </c>
      <c r="V394">
        <f>YEAR(Spotify[[#This Row],[Date de sortie]])</f>
        <v>2021</v>
      </c>
      <c r="W394" s="2" t="str">
        <f>IF(Spotify[[#This Row],[Popularité]]&gt;=70,"FORTE","FAIBLE")</f>
        <v>FORTE</v>
      </c>
    </row>
    <row r="395" spans="1:23" x14ac:dyDescent="0.25">
      <c r="A395">
        <v>99</v>
      </c>
      <c r="B395">
        <v>99</v>
      </c>
      <c r="C395">
        <v>2</v>
      </c>
      <c r="D395" s="1">
        <v>44400</v>
      </c>
      <c r="E395" s="59" t="str" cm="1">
        <f t="array" ref="E39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395" t="s">
        <v>215</v>
      </c>
      <c r="G395" s="3">
        <v>6825463</v>
      </c>
      <c r="H395" t="s">
        <v>216</v>
      </c>
      <c r="I395" s="4">
        <v>1427540</v>
      </c>
      <c r="J395" t="s">
        <v>217</v>
      </c>
      <c r="K395" s="1">
        <v>44385</v>
      </c>
      <c r="L395">
        <v>79</v>
      </c>
      <c r="M395" s="2" t="str">
        <f>IF(Spotify[[#This Row],[Energie]]&gt;AVERAGE(Spotify[Energie]),"FORTE","FAIBLE")</f>
        <v>FAIBLE</v>
      </c>
      <c r="N395" s="2">
        <v>0.871</v>
      </c>
      <c r="O395" s="2">
        <v>0.51900000000000002</v>
      </c>
      <c r="P395" s="2">
        <v>0.25800000000000001</v>
      </c>
      <c r="Q395" s="2">
        <v>0.313</v>
      </c>
      <c r="R395" s="2">
        <v>8.6900000000000005E-2</v>
      </c>
      <c r="S395" s="2">
        <v>0.53200000000000003</v>
      </c>
      <c r="T395" s="2">
        <v>-6.5490000000000004</v>
      </c>
      <c r="U395">
        <v>251733</v>
      </c>
      <c r="V395">
        <f>YEAR(Spotify[[#This Row],[Date de sortie]])</f>
        <v>2021</v>
      </c>
      <c r="W395" s="2" t="str">
        <f>IF(Spotify[[#This Row],[Popularité]]&gt;=70,"FORTE","FAIBLE")</f>
        <v>FORTE</v>
      </c>
    </row>
    <row r="396" spans="1:23" x14ac:dyDescent="0.25">
      <c r="A396">
        <v>203</v>
      </c>
      <c r="B396">
        <v>116</v>
      </c>
      <c r="C396">
        <v>1</v>
      </c>
      <c r="D396" s="1">
        <v>44393</v>
      </c>
      <c r="E396" s="59" t="str" cm="1">
        <f t="array" ref="E39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396" t="s">
        <v>416</v>
      </c>
      <c r="G396" s="3">
        <v>6464206</v>
      </c>
      <c r="H396" t="s">
        <v>417</v>
      </c>
      <c r="I396" s="4">
        <v>6430522</v>
      </c>
      <c r="J396" t="s">
        <v>235</v>
      </c>
      <c r="K396" s="1">
        <v>44393</v>
      </c>
      <c r="L396">
        <v>79</v>
      </c>
      <c r="M396" s="2" t="str">
        <f>IF(Spotify[[#This Row],[Energie]]&gt;AVERAGE(Spotify[Energie]),"FORTE","FAIBLE")</f>
        <v>FAIBLE</v>
      </c>
      <c r="N396" s="2">
        <v>0.437</v>
      </c>
      <c r="O396" s="2">
        <v>0.52700000000000002</v>
      </c>
      <c r="P396" s="2">
        <v>0.46500000000000002</v>
      </c>
      <c r="Q396" s="2">
        <v>0.185</v>
      </c>
      <c r="R396" s="2">
        <v>0.153</v>
      </c>
      <c r="S396" s="2">
        <v>0.70099999999999996</v>
      </c>
      <c r="T396" s="2">
        <v>-6.9669999999999996</v>
      </c>
      <c r="U396">
        <v>181714</v>
      </c>
      <c r="V396">
        <f>YEAR(Spotify[[#This Row],[Date de sortie]])</f>
        <v>2021</v>
      </c>
      <c r="W396" s="2" t="str">
        <f>IF(Spotify[[#This Row],[Popularité]]&gt;=70,"FORTE","FAIBLE")</f>
        <v>FORTE</v>
      </c>
    </row>
    <row r="397" spans="1:23" x14ac:dyDescent="0.25">
      <c r="A397">
        <v>302</v>
      </c>
      <c r="B397">
        <v>124</v>
      </c>
      <c r="C397">
        <v>1</v>
      </c>
      <c r="D397" s="1">
        <v>44358</v>
      </c>
      <c r="E397" s="59" t="str" cm="1">
        <f t="array" ref="E39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97" t="s">
        <v>589</v>
      </c>
      <c r="G397" s="3">
        <v>6410263</v>
      </c>
      <c r="H397" t="s">
        <v>130</v>
      </c>
      <c r="I397" s="4">
        <v>32262679</v>
      </c>
      <c r="J397" t="s">
        <v>10</v>
      </c>
      <c r="K397" s="1">
        <v>44358</v>
      </c>
      <c r="L397">
        <v>79</v>
      </c>
      <c r="M397" s="2" t="str">
        <f>IF(Spotify[[#This Row],[Energie]]&gt;AVERAGE(Spotify[Energie]),"FORTE","FAIBLE")</f>
        <v>FORTE</v>
      </c>
      <c r="N397" s="2">
        <v>0.76600000000000001</v>
      </c>
      <c r="O397" s="2">
        <v>0.70599999999999996</v>
      </c>
      <c r="P397" s="2">
        <v>0.16</v>
      </c>
      <c r="Q397" s="2">
        <v>0.223</v>
      </c>
      <c r="R397" s="2">
        <v>6.4000000000000001E-2</v>
      </c>
      <c r="S397" s="2">
        <v>0.76600000000000001</v>
      </c>
      <c r="T397" s="2">
        <v>-6.5529999999999999</v>
      </c>
      <c r="U397">
        <v>172598</v>
      </c>
      <c r="V397">
        <f>YEAR(Spotify[[#This Row],[Date de sortie]])</f>
        <v>2021</v>
      </c>
      <c r="W397" s="2" t="str">
        <f>IF(Spotify[[#This Row],[Popularité]]&gt;=70,"FORTE","FAIBLE")</f>
        <v>FORTE</v>
      </c>
    </row>
    <row r="398" spans="1:23" x14ac:dyDescent="0.25">
      <c r="A398">
        <v>767</v>
      </c>
      <c r="B398">
        <v>86</v>
      </c>
      <c r="C398">
        <v>19</v>
      </c>
      <c r="D398" s="1">
        <v>44085</v>
      </c>
      <c r="E398" s="59" t="str" cm="1">
        <f t="array" ref="E39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COUNTRY</v>
      </c>
      <c r="F398" t="s">
        <v>1334</v>
      </c>
      <c r="G398" s="3">
        <v>5929062</v>
      </c>
      <c r="H398" t="s">
        <v>1335</v>
      </c>
      <c r="I398" s="4">
        <v>3509653</v>
      </c>
      <c r="J398" t="s">
        <v>382</v>
      </c>
      <c r="K398" s="1">
        <v>44022</v>
      </c>
      <c r="L398">
        <v>79</v>
      </c>
      <c r="M398" s="2" t="str">
        <f>IF(Spotify[[#This Row],[Energie]]&gt;AVERAGE(Spotify[Energie]),"FORTE","FAIBLE")</f>
        <v>FAIBLE</v>
      </c>
      <c r="N398" s="2">
        <v>0.72699999999999998</v>
      </c>
      <c r="O398" s="2">
        <v>0.626</v>
      </c>
      <c r="P398" s="2">
        <v>7.2599999999999998E-2</v>
      </c>
      <c r="Q398" s="2">
        <v>4.6899999999999997E-2</v>
      </c>
      <c r="R398" s="2">
        <v>0.126</v>
      </c>
      <c r="S398" s="2">
        <v>0.32200000000000001</v>
      </c>
      <c r="T398" s="2">
        <v>-8.4149999999999991</v>
      </c>
      <c r="U398">
        <v>191406</v>
      </c>
      <c r="V398">
        <f>YEAR(Spotify[[#This Row],[Date de sortie]])</f>
        <v>2020</v>
      </c>
      <c r="W398" s="2" t="str">
        <f>IF(Spotify[[#This Row],[Popularité]]&gt;=70,"FORTE","FAIBLE")</f>
        <v>FORTE</v>
      </c>
    </row>
    <row r="399" spans="1:23" x14ac:dyDescent="0.25">
      <c r="A399">
        <v>1361</v>
      </c>
      <c r="B399">
        <v>47</v>
      </c>
      <c r="C399">
        <v>2</v>
      </c>
      <c r="D399" s="1">
        <v>43882</v>
      </c>
      <c r="E399" s="59" t="str" cm="1">
        <f t="array" ref="E39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399" t="s">
        <v>2182</v>
      </c>
      <c r="G399" s="3">
        <v>5913946</v>
      </c>
      <c r="H399" t="s">
        <v>32</v>
      </c>
      <c r="I399" s="4">
        <v>37151476</v>
      </c>
      <c r="J399" t="s">
        <v>33</v>
      </c>
      <c r="K399" s="1">
        <v>43882</v>
      </c>
      <c r="L399">
        <v>79</v>
      </c>
      <c r="M399" s="2" t="str">
        <f>IF(Spotify[[#This Row],[Energie]]&gt;AVERAGE(Spotify[Energie]),"FORTE","FAIBLE")</f>
        <v>FORTE</v>
      </c>
      <c r="N399" s="2">
        <v>0.78100000000000003</v>
      </c>
      <c r="O399" s="2">
        <v>0.76200000000000001</v>
      </c>
      <c r="P399" s="2">
        <v>6.2600000000000003E-2</v>
      </c>
      <c r="Q399" s="2">
        <v>2.2200000000000001E-2</v>
      </c>
      <c r="R399" s="2">
        <v>0.121</v>
      </c>
      <c r="S399" s="2">
        <v>0.86</v>
      </c>
      <c r="T399" s="2">
        <v>-5.1879999999999997</v>
      </c>
      <c r="U399">
        <v>180221</v>
      </c>
      <c r="V399">
        <f>YEAR(Spotify[[#This Row],[Date de sortie]])</f>
        <v>2020</v>
      </c>
      <c r="W399" s="2" t="str">
        <f>IF(Spotify[[#This Row],[Popularité]]&gt;=70,"FORTE","FAIBLE")</f>
        <v>FORTE</v>
      </c>
    </row>
    <row r="400" spans="1:23" x14ac:dyDescent="0.25">
      <c r="A400">
        <v>714</v>
      </c>
      <c r="B400">
        <v>1</v>
      </c>
      <c r="C400">
        <v>12</v>
      </c>
      <c r="D400" s="1">
        <v>44036</v>
      </c>
      <c r="E400" s="59" t="str" cm="1">
        <f t="array" ref="E40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00" t="s">
        <v>1256</v>
      </c>
      <c r="G400" s="3">
        <v>5845457</v>
      </c>
      <c r="H400" t="s">
        <v>746</v>
      </c>
      <c r="I400" s="4">
        <v>42227614</v>
      </c>
      <c r="J400" t="s">
        <v>10</v>
      </c>
      <c r="K400" s="1">
        <v>44036</v>
      </c>
      <c r="L400">
        <v>79</v>
      </c>
      <c r="M400" s="2" t="str">
        <f>IF(Spotify[[#This Row],[Energie]]&gt;AVERAGE(Spotify[Energie]),"FORTE","FAIBLE")</f>
        <v>FAIBLE</v>
      </c>
      <c r="N400" s="2">
        <v>0.61299999999999999</v>
      </c>
      <c r="O400" s="2">
        <v>0.58099999999999996</v>
      </c>
      <c r="P400" s="2">
        <v>4.24E-2</v>
      </c>
      <c r="Q400" s="2">
        <v>0.53700000000000003</v>
      </c>
      <c r="R400" s="2">
        <v>0.25</v>
      </c>
      <c r="S400" s="2">
        <v>0.55100000000000005</v>
      </c>
      <c r="T400" s="2">
        <v>-8.5879999999999992</v>
      </c>
      <c r="U400">
        <v>239560</v>
      </c>
      <c r="V400">
        <f>YEAR(Spotify[[#This Row],[Date de sortie]])</f>
        <v>2020</v>
      </c>
      <c r="W400" s="2" t="str">
        <f>IF(Spotify[[#This Row],[Popularité]]&gt;=70,"FORTE","FAIBLE")</f>
        <v>FORTE</v>
      </c>
    </row>
    <row r="401" spans="1:23" x14ac:dyDescent="0.25">
      <c r="A401">
        <v>141</v>
      </c>
      <c r="B401">
        <v>141</v>
      </c>
      <c r="C401">
        <v>1</v>
      </c>
      <c r="D401" s="1">
        <v>44400</v>
      </c>
      <c r="E401" s="59" t="str" cm="1">
        <f t="array" ref="E40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01" t="s">
        <v>299</v>
      </c>
      <c r="G401" s="3">
        <v>5768653</v>
      </c>
      <c r="H401" t="s">
        <v>300</v>
      </c>
      <c r="I401" s="4">
        <v>14187747</v>
      </c>
      <c r="J401" t="s">
        <v>10</v>
      </c>
      <c r="K401" s="1">
        <v>44398</v>
      </c>
      <c r="L401">
        <v>79</v>
      </c>
      <c r="M401" s="2" t="str">
        <f>IF(Spotify[[#This Row],[Energie]]&gt;AVERAGE(Spotify[Energie]),"FORTE","FAIBLE")</f>
        <v>FAIBLE</v>
      </c>
      <c r="N401" s="2">
        <v>0.39</v>
      </c>
      <c r="O401" s="2">
        <v>0.53400000000000003</v>
      </c>
      <c r="P401" s="2">
        <v>7.0900000000000005E-2</v>
      </c>
      <c r="Q401" s="2">
        <v>8.0699999999999994E-2</v>
      </c>
      <c r="R401" s="2">
        <v>0.184</v>
      </c>
      <c r="S401" s="2">
        <v>0.24399999999999999</v>
      </c>
      <c r="T401" s="2">
        <v>-9.5749999999999993</v>
      </c>
      <c r="U401">
        <v>198765</v>
      </c>
      <c r="V401">
        <f>YEAR(Spotify[[#This Row],[Date de sortie]])</f>
        <v>2021</v>
      </c>
      <c r="W401" s="2" t="str">
        <f>IF(Spotify[[#This Row],[Popularité]]&gt;=70,"FORTE","FAIBLE")</f>
        <v>FORTE</v>
      </c>
    </row>
    <row r="402" spans="1:23" x14ac:dyDescent="0.25">
      <c r="A402">
        <v>349</v>
      </c>
      <c r="B402">
        <v>69</v>
      </c>
      <c r="C402">
        <v>4</v>
      </c>
      <c r="D402" s="1">
        <v>44316</v>
      </c>
      <c r="E402" s="59" t="str" cm="1">
        <f t="array" ref="E40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02" t="s">
        <v>660</v>
      </c>
      <c r="G402" s="3">
        <v>5738325</v>
      </c>
      <c r="H402" t="s">
        <v>661</v>
      </c>
      <c r="I402" s="4">
        <v>2379448</v>
      </c>
      <c r="J402" t="s">
        <v>662</v>
      </c>
      <c r="K402" s="1">
        <v>44316</v>
      </c>
      <c r="L402">
        <v>79</v>
      </c>
      <c r="M402" s="2" t="str">
        <f>IF(Spotify[[#This Row],[Energie]]&gt;AVERAGE(Spotify[Energie]),"FORTE","FAIBLE")</f>
        <v>FORTE</v>
      </c>
      <c r="N402" s="2">
        <v>0.84699999999999998</v>
      </c>
      <c r="O402" s="2">
        <v>0.81399999999999995</v>
      </c>
      <c r="P402" s="2">
        <v>0.152</v>
      </c>
      <c r="Q402" s="2">
        <v>8.2500000000000004E-2</v>
      </c>
      <c r="R402" s="2">
        <v>9.4799999999999995E-2</v>
      </c>
      <c r="S402" s="2">
        <v>0.71099999999999997</v>
      </c>
      <c r="T402" s="2">
        <v>-4.6680000000000001</v>
      </c>
      <c r="U402">
        <v>172359</v>
      </c>
      <c r="V402">
        <f>YEAR(Spotify[[#This Row],[Date de sortie]])</f>
        <v>2021</v>
      </c>
      <c r="W402" s="2" t="str">
        <f>IF(Spotify[[#This Row],[Popularité]]&gt;=70,"FORTE","FAIBLE")</f>
        <v>FORTE</v>
      </c>
    </row>
    <row r="403" spans="1:23" x14ac:dyDescent="0.25">
      <c r="A403">
        <v>900</v>
      </c>
      <c r="B403">
        <v>83</v>
      </c>
      <c r="C403">
        <v>2</v>
      </c>
      <c r="D403" s="1">
        <v>44078</v>
      </c>
      <c r="E403" s="59" t="str" cm="1">
        <f t="array" ref="E40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03" t="s">
        <v>1538</v>
      </c>
      <c r="G403" s="3">
        <v>5698099</v>
      </c>
      <c r="H403" t="s">
        <v>1539</v>
      </c>
      <c r="I403" s="4">
        <v>29238936</v>
      </c>
      <c r="J403" t="s">
        <v>25</v>
      </c>
      <c r="K403" s="1">
        <v>44078</v>
      </c>
      <c r="L403">
        <v>79</v>
      </c>
      <c r="M403" s="2" t="str">
        <f>IF(Spotify[[#This Row],[Energie]]&gt;AVERAGE(Spotify[Energie]),"FORTE","FAIBLE")</f>
        <v>FORTE</v>
      </c>
      <c r="N403" s="2">
        <v>0.75900000000000001</v>
      </c>
      <c r="O403" s="2">
        <v>0.63600000000000001</v>
      </c>
      <c r="P403" s="2">
        <v>3.6900000000000002E-2</v>
      </c>
      <c r="Q403" s="2">
        <v>2.24E-2</v>
      </c>
      <c r="R403" s="2">
        <v>0.16600000000000001</v>
      </c>
      <c r="S403" s="2">
        <v>0.53600000000000003</v>
      </c>
      <c r="T403" s="2">
        <v>-5.585</v>
      </c>
      <c r="U403">
        <v>214507</v>
      </c>
      <c r="V403">
        <f>YEAR(Spotify[[#This Row],[Date de sortie]])</f>
        <v>2020</v>
      </c>
      <c r="W403" s="2" t="str">
        <f>IF(Spotify[[#This Row],[Popularité]]&gt;=70,"FORTE","FAIBLE")</f>
        <v>FORTE</v>
      </c>
    </row>
    <row r="404" spans="1:23" x14ac:dyDescent="0.25">
      <c r="A404">
        <v>320</v>
      </c>
      <c r="B404">
        <v>10</v>
      </c>
      <c r="C404">
        <v>4</v>
      </c>
      <c r="D404" s="1">
        <v>44330</v>
      </c>
      <c r="E404" s="59" t="str" cm="1">
        <f t="array" ref="E40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404" t="s">
        <v>614</v>
      </c>
      <c r="G404" s="3">
        <v>5645966</v>
      </c>
      <c r="H404" t="s">
        <v>552</v>
      </c>
      <c r="I404" s="4">
        <v>14097410</v>
      </c>
      <c r="J404" t="s">
        <v>553</v>
      </c>
      <c r="K404" s="1">
        <v>44330</v>
      </c>
      <c r="L404">
        <v>79</v>
      </c>
      <c r="M404" s="2" t="str">
        <f>IF(Spotify[[#This Row],[Energie]]&gt;AVERAGE(Spotify[Energie]),"FORTE","FAIBLE")</f>
        <v>FORTE</v>
      </c>
      <c r="N404" s="2">
        <v>0.72499999999999998</v>
      </c>
      <c r="O404" s="2">
        <v>0.71299999999999997</v>
      </c>
      <c r="P404" s="2">
        <v>0.187</v>
      </c>
      <c r="Q404" s="2">
        <v>0.127</v>
      </c>
      <c r="R404" s="2">
        <v>0.61699999999999999</v>
      </c>
      <c r="S404" s="2">
        <v>0.20699999999999999</v>
      </c>
      <c r="T404" s="2">
        <v>-6.173</v>
      </c>
      <c r="U404">
        <v>148421</v>
      </c>
      <c r="V404">
        <f>YEAR(Spotify[[#This Row],[Date de sortie]])</f>
        <v>2021</v>
      </c>
      <c r="W404" s="2" t="str">
        <f>IF(Spotify[[#This Row],[Popularité]]&gt;=70,"FORTE","FAIBLE")</f>
        <v>FORTE</v>
      </c>
    </row>
    <row r="405" spans="1:23" x14ac:dyDescent="0.25">
      <c r="A405">
        <v>818</v>
      </c>
      <c r="B405">
        <v>82</v>
      </c>
      <c r="C405">
        <v>8</v>
      </c>
      <c r="D405" s="1">
        <v>44092</v>
      </c>
      <c r="E405" s="59" t="str" cm="1">
        <f t="array" ref="E40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405" t="s">
        <v>1412</v>
      </c>
      <c r="G405" s="3">
        <v>5547002</v>
      </c>
      <c r="H405" t="s">
        <v>1413</v>
      </c>
      <c r="I405" s="4">
        <v>8673345</v>
      </c>
      <c r="J405" t="s">
        <v>413</v>
      </c>
      <c r="K405" s="1">
        <v>44078</v>
      </c>
      <c r="L405">
        <v>79</v>
      </c>
      <c r="M405" s="2" t="str">
        <f>IF(Spotify[[#This Row],[Energie]]&gt;AVERAGE(Spotify[Energie]),"FORTE","FAIBLE")</f>
        <v>FORTE</v>
      </c>
      <c r="N405" s="2">
        <v>0.72399999999999998</v>
      </c>
      <c r="O405" s="2">
        <v>0.67500000000000004</v>
      </c>
      <c r="P405" s="2">
        <v>8.6699999999999999E-2</v>
      </c>
      <c r="Q405" s="2">
        <v>9.7799999999999998E-2</v>
      </c>
      <c r="R405" s="2">
        <v>0.35099999999999998</v>
      </c>
      <c r="S405" s="2">
        <v>0.32500000000000001</v>
      </c>
      <c r="T405" s="2">
        <v>-5.2670000000000003</v>
      </c>
      <c r="U405">
        <v>199758</v>
      </c>
      <c r="V405">
        <f>YEAR(Spotify[[#This Row],[Date de sortie]])</f>
        <v>2020</v>
      </c>
      <c r="W405" s="2" t="str">
        <f>IF(Spotify[[#This Row],[Popularité]]&gt;=70,"FORTE","FAIBLE")</f>
        <v>FORTE</v>
      </c>
    </row>
    <row r="406" spans="1:23" x14ac:dyDescent="0.25">
      <c r="A406">
        <v>278</v>
      </c>
      <c r="B406">
        <v>112</v>
      </c>
      <c r="C406">
        <v>3</v>
      </c>
      <c r="D406" s="1">
        <v>44358</v>
      </c>
      <c r="E406" s="59" t="str" cm="1">
        <f t="array" ref="E40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06" t="s">
        <v>548</v>
      </c>
      <c r="G406" s="3">
        <v>5511544</v>
      </c>
      <c r="H406" t="s">
        <v>549</v>
      </c>
      <c r="I406" s="4">
        <v>289437</v>
      </c>
      <c r="J406" t="s">
        <v>550</v>
      </c>
      <c r="K406" s="1">
        <v>44351</v>
      </c>
      <c r="L406">
        <v>79</v>
      </c>
      <c r="M406" s="2" t="str">
        <f>IF(Spotify[[#This Row],[Energie]]&gt;AVERAGE(Spotify[Energie]),"FORTE","FAIBLE")</f>
        <v>FORTE</v>
      </c>
      <c r="N406" s="2">
        <v>0.624</v>
      </c>
      <c r="O406" s="2">
        <v>0.80200000000000005</v>
      </c>
      <c r="P406" s="2">
        <v>0.311</v>
      </c>
      <c r="Q406" s="2">
        <v>5.9700000000000003E-2</v>
      </c>
      <c r="R406" s="2">
        <v>0.252</v>
      </c>
      <c r="S406" s="2">
        <v>0.81799999999999995</v>
      </c>
      <c r="T406" s="2">
        <v>-4.8179999999999996</v>
      </c>
      <c r="U406">
        <v>189933</v>
      </c>
      <c r="V406">
        <f>YEAR(Spotify[[#This Row],[Date de sortie]])</f>
        <v>2021</v>
      </c>
      <c r="W406" s="2" t="str">
        <f>IF(Spotify[[#This Row],[Popularité]]&gt;=70,"FORTE","FAIBLE")</f>
        <v>FORTE</v>
      </c>
    </row>
    <row r="407" spans="1:23" x14ac:dyDescent="0.25">
      <c r="A407">
        <v>269</v>
      </c>
      <c r="B407">
        <v>50</v>
      </c>
      <c r="C407">
        <v>3</v>
      </c>
      <c r="D407" s="1">
        <v>44358</v>
      </c>
      <c r="E407" s="59" t="str" cm="1">
        <f t="array" ref="E40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407" t="s">
        <v>529</v>
      </c>
      <c r="G407" s="3">
        <v>5424579</v>
      </c>
      <c r="H407" t="s">
        <v>530</v>
      </c>
      <c r="I407" s="4">
        <v>11690201</v>
      </c>
      <c r="J407" t="s">
        <v>531</v>
      </c>
      <c r="K407" s="1">
        <v>44358</v>
      </c>
      <c r="L407">
        <v>79</v>
      </c>
      <c r="M407" s="2" t="str">
        <f>IF(Spotify[[#This Row],[Energie]]&gt;AVERAGE(Spotify[Energie]),"FORTE","FAIBLE")</f>
        <v>FAIBLE</v>
      </c>
      <c r="N407" s="2">
        <v>0.92700000000000005</v>
      </c>
      <c r="O407" s="2">
        <v>0.53800000000000003</v>
      </c>
      <c r="P407" s="2">
        <v>0.11600000000000001</v>
      </c>
      <c r="Q407" s="2">
        <v>3.1199999999999999E-2</v>
      </c>
      <c r="R407" s="2">
        <v>9.4500000000000001E-2</v>
      </c>
      <c r="S407" s="2">
        <v>0.221</v>
      </c>
      <c r="T407" s="2">
        <v>-3.9169999999999998</v>
      </c>
      <c r="U407">
        <v>278191</v>
      </c>
      <c r="V407">
        <f>YEAR(Spotify[[#This Row],[Date de sortie]])</f>
        <v>2021</v>
      </c>
      <c r="W407" s="2" t="str">
        <f>IF(Spotify[[#This Row],[Popularité]]&gt;=70,"FORTE","FAIBLE")</f>
        <v>FORTE</v>
      </c>
    </row>
    <row r="408" spans="1:23" x14ac:dyDescent="0.25">
      <c r="A408">
        <v>724</v>
      </c>
      <c r="B408">
        <v>9</v>
      </c>
      <c r="C408">
        <v>39</v>
      </c>
      <c r="D408" s="1">
        <v>43903</v>
      </c>
      <c r="E408" s="59" t="str" cm="1">
        <f t="array" ref="E40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08" t="s">
        <v>1268</v>
      </c>
      <c r="G408" s="3">
        <v>5390363</v>
      </c>
      <c r="H408" t="s">
        <v>1269</v>
      </c>
      <c r="I408" s="4">
        <v>36177712</v>
      </c>
      <c r="J408" t="s">
        <v>25</v>
      </c>
      <c r="K408" s="1">
        <v>43890</v>
      </c>
      <c r="L408">
        <v>79</v>
      </c>
      <c r="M408" s="2" t="str">
        <f>IF(Spotify[[#This Row],[Energie]]&gt;AVERAGE(Spotify[Energie]),"FORTE","FAIBLE")</f>
        <v>FORTE</v>
      </c>
      <c r="N408" s="2">
        <v>0.60699999999999998</v>
      </c>
      <c r="O408" s="2">
        <v>0.82899999999999996</v>
      </c>
      <c r="P408" s="2">
        <v>0.379</v>
      </c>
      <c r="Q408" s="2">
        <v>1.03E-2</v>
      </c>
      <c r="R408" s="2">
        <v>0.107</v>
      </c>
      <c r="S408" s="2">
        <v>0.68500000000000005</v>
      </c>
      <c r="T408" s="2">
        <v>-4.0739999999999998</v>
      </c>
      <c r="U408">
        <v>295177</v>
      </c>
      <c r="V408">
        <f>YEAR(Spotify[[#This Row],[Date de sortie]])</f>
        <v>2020</v>
      </c>
      <c r="W408" s="2" t="str">
        <f>IF(Spotify[[#This Row],[Popularité]]&gt;=70,"FORTE","FAIBLE")</f>
        <v>FORTE</v>
      </c>
    </row>
    <row r="409" spans="1:23" x14ac:dyDescent="0.25">
      <c r="A409">
        <v>475</v>
      </c>
      <c r="B409">
        <v>105</v>
      </c>
      <c r="C409">
        <v>14</v>
      </c>
      <c r="D409" s="1">
        <v>44211</v>
      </c>
      <c r="E409" s="59" t="str" cm="1">
        <f t="array" ref="E40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09" t="s">
        <v>866</v>
      </c>
      <c r="G409" s="3">
        <v>5326719</v>
      </c>
      <c r="H409" t="s">
        <v>867</v>
      </c>
      <c r="I409" s="4">
        <v>9778632</v>
      </c>
      <c r="J409" t="s">
        <v>19</v>
      </c>
      <c r="K409" s="1">
        <v>44155</v>
      </c>
      <c r="L409">
        <v>79</v>
      </c>
      <c r="M409" s="2" t="str">
        <f>IF(Spotify[[#This Row],[Energie]]&gt;AVERAGE(Spotify[Energie]),"FORTE","FAIBLE")</f>
        <v>FORTE</v>
      </c>
      <c r="N409" s="2">
        <v>0.73799999999999999</v>
      </c>
      <c r="O409" s="2">
        <v>0.85</v>
      </c>
      <c r="P409" s="2">
        <v>6.4199999999999993E-2</v>
      </c>
      <c r="Q409" s="2">
        <v>0.105</v>
      </c>
      <c r="R409" s="2">
        <v>0.23</v>
      </c>
      <c r="S409" s="2">
        <v>0.86499999999999999</v>
      </c>
      <c r="T409" s="2">
        <v>-3.0489999999999999</v>
      </c>
      <c r="U409">
        <v>192921</v>
      </c>
      <c r="V409">
        <f>YEAR(Spotify[[#This Row],[Date de sortie]])</f>
        <v>2020</v>
      </c>
      <c r="W409" s="2" t="str">
        <f>IF(Spotify[[#This Row],[Popularité]]&gt;=70,"FORTE","FAIBLE")</f>
        <v>FORTE</v>
      </c>
    </row>
    <row r="410" spans="1:23" x14ac:dyDescent="0.25">
      <c r="A410">
        <v>323</v>
      </c>
      <c r="B410">
        <v>21</v>
      </c>
      <c r="C410">
        <v>35</v>
      </c>
      <c r="D410" s="1">
        <v>44141</v>
      </c>
      <c r="E410" s="59" t="str" cm="1">
        <f t="array" ref="E41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10" t="s">
        <v>619</v>
      </c>
      <c r="G410" s="3">
        <v>5300884</v>
      </c>
      <c r="H410" t="s">
        <v>620</v>
      </c>
      <c r="I410" s="4">
        <v>7904381</v>
      </c>
      <c r="J410" t="s">
        <v>72</v>
      </c>
      <c r="K410" s="1">
        <v>44112</v>
      </c>
      <c r="L410">
        <v>79</v>
      </c>
      <c r="M410" s="2" t="str">
        <f>IF(Spotify[[#This Row],[Energie]]&gt;AVERAGE(Spotify[Energie]),"FORTE","FAIBLE")</f>
        <v>FAIBLE</v>
      </c>
      <c r="N410" s="2">
        <v>0.73599999999999999</v>
      </c>
      <c r="O410" s="2">
        <v>0.63200000000000001</v>
      </c>
      <c r="P410" s="2">
        <v>6.4799999999999996E-2</v>
      </c>
      <c r="Q410" s="2">
        <v>0.18</v>
      </c>
      <c r="R410" s="2">
        <v>0.34899999999999998</v>
      </c>
      <c r="S410" s="2">
        <v>0.503</v>
      </c>
      <c r="T410" s="2">
        <v>-4.9390000000000001</v>
      </c>
      <c r="U410">
        <v>216107</v>
      </c>
      <c r="V410">
        <f>YEAR(Spotify[[#This Row],[Date de sortie]])</f>
        <v>2020</v>
      </c>
      <c r="W410" s="2" t="str">
        <f>IF(Spotify[[#This Row],[Popularité]]&gt;=70,"FORTE","FAIBLE")</f>
        <v>FORTE</v>
      </c>
    </row>
    <row r="411" spans="1:23" x14ac:dyDescent="0.25">
      <c r="A411">
        <v>382</v>
      </c>
      <c r="B411">
        <v>71</v>
      </c>
      <c r="C411">
        <v>28</v>
      </c>
      <c r="D411" s="1">
        <v>44281</v>
      </c>
      <c r="E411" s="59" t="str" cm="1">
        <f t="array" ref="E41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11" t="s">
        <v>715</v>
      </c>
      <c r="G411" s="3">
        <v>5258000</v>
      </c>
      <c r="H411" t="s">
        <v>716</v>
      </c>
      <c r="I411" s="4">
        <v>942628</v>
      </c>
      <c r="J411" t="s">
        <v>717</v>
      </c>
      <c r="K411" s="1">
        <v>44029</v>
      </c>
      <c r="L411">
        <v>79</v>
      </c>
      <c r="M411" s="2" t="str">
        <f>IF(Spotify[[#This Row],[Energie]]&gt;AVERAGE(Spotify[Energie]),"FORTE","FAIBLE")</f>
        <v>FAIBLE</v>
      </c>
      <c r="N411" s="2">
        <v>0.81299999999999994</v>
      </c>
      <c r="O411" s="2">
        <v>0.41499999999999998</v>
      </c>
      <c r="P411" s="2">
        <v>3.49E-2</v>
      </c>
      <c r="Q411" s="2">
        <v>0.77700000000000002</v>
      </c>
      <c r="R411" s="2">
        <v>0.13100000000000001</v>
      </c>
      <c r="S411" s="2">
        <v>0.66700000000000004</v>
      </c>
      <c r="T411" s="2">
        <v>-5.9260000000000002</v>
      </c>
      <c r="U411">
        <v>170345</v>
      </c>
      <c r="V411">
        <f>YEAR(Spotify[[#This Row],[Date de sortie]])</f>
        <v>2020</v>
      </c>
      <c r="W411" s="2" t="str">
        <f>IF(Spotify[[#This Row],[Popularité]]&gt;=70,"FORTE","FAIBLE")</f>
        <v>FORTE</v>
      </c>
    </row>
    <row r="412" spans="1:23" x14ac:dyDescent="0.25">
      <c r="A412">
        <v>371</v>
      </c>
      <c r="B412">
        <v>58</v>
      </c>
      <c r="C412">
        <v>19</v>
      </c>
      <c r="D412" s="1">
        <v>44253</v>
      </c>
      <c r="E412" s="59" t="str" cm="1">
        <f t="array" ref="E41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12" t="s">
        <v>698</v>
      </c>
      <c r="G412" s="3">
        <v>5218146</v>
      </c>
      <c r="H412" t="s">
        <v>699</v>
      </c>
      <c r="I412" s="4">
        <v>22718</v>
      </c>
      <c r="J412" t="s">
        <v>48</v>
      </c>
      <c r="K412" s="1">
        <v>44155</v>
      </c>
      <c r="L412">
        <v>79</v>
      </c>
      <c r="M412" s="2" t="str">
        <f>IF(Spotify[[#This Row],[Energie]]&gt;AVERAGE(Spotify[Energie]),"FORTE","FAIBLE")</f>
        <v>FORTE</v>
      </c>
      <c r="N412" s="2">
        <v>0.82399999999999995</v>
      </c>
      <c r="O412" s="2">
        <v>0.83699999999999997</v>
      </c>
      <c r="P412" s="2">
        <v>0.107</v>
      </c>
      <c r="Q412" s="2">
        <v>0.57299999999999995</v>
      </c>
      <c r="R412" s="2">
        <v>0.27100000000000002</v>
      </c>
      <c r="S412" s="2">
        <v>0.57999999999999996</v>
      </c>
      <c r="T412" s="2">
        <v>-4.6029999999999998</v>
      </c>
      <c r="U412">
        <v>289933</v>
      </c>
      <c r="V412">
        <f>YEAR(Spotify[[#This Row],[Date de sortie]])</f>
        <v>2020</v>
      </c>
      <c r="W412" s="2" t="str">
        <f>IF(Spotify[[#This Row],[Popularité]]&gt;=70,"FORTE","FAIBLE")</f>
        <v>FORTE</v>
      </c>
    </row>
    <row r="413" spans="1:23" x14ac:dyDescent="0.25">
      <c r="A413">
        <v>487</v>
      </c>
      <c r="B413">
        <v>25</v>
      </c>
      <c r="C413">
        <v>26</v>
      </c>
      <c r="D413" s="1">
        <v>44127</v>
      </c>
      <c r="E413" s="59" t="str" cm="1">
        <f t="array" ref="E41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13" t="s">
        <v>886</v>
      </c>
      <c r="G413" s="3">
        <v>5189822</v>
      </c>
      <c r="H413" t="s">
        <v>885</v>
      </c>
      <c r="I413" s="4">
        <v>10580764</v>
      </c>
      <c r="J413" t="s">
        <v>72</v>
      </c>
      <c r="K413" s="1">
        <v>44095</v>
      </c>
      <c r="L413">
        <v>79</v>
      </c>
      <c r="M413" s="2" t="str">
        <f>IF(Spotify[[#This Row],[Energie]]&gt;AVERAGE(Spotify[Energie]),"FORTE","FAIBLE")</f>
        <v>FAIBLE</v>
      </c>
      <c r="N413" s="2">
        <v>0.82399999999999995</v>
      </c>
      <c r="O413" s="2">
        <v>0.45700000000000002</v>
      </c>
      <c r="P413" s="2">
        <v>5.4300000000000001E-2</v>
      </c>
      <c r="Q413" s="2">
        <v>0.16700000000000001</v>
      </c>
      <c r="R413" s="2">
        <v>4.1000000000000002E-2</v>
      </c>
      <c r="S413" s="2">
        <v>0.95</v>
      </c>
      <c r="T413" s="2">
        <v>-5.4279999999999999</v>
      </c>
      <c r="U413">
        <v>187427</v>
      </c>
      <c r="V413">
        <f>YEAR(Spotify[[#This Row],[Date de sortie]])</f>
        <v>2020</v>
      </c>
      <c r="W413" s="2" t="str">
        <f>IF(Spotify[[#This Row],[Popularité]]&gt;=70,"FORTE","FAIBLE")</f>
        <v>FORTE</v>
      </c>
    </row>
    <row r="414" spans="1:23" x14ac:dyDescent="0.25">
      <c r="A414">
        <v>410</v>
      </c>
      <c r="B414">
        <v>137</v>
      </c>
      <c r="C414">
        <v>13</v>
      </c>
      <c r="D414" s="1">
        <v>44267</v>
      </c>
      <c r="E414" s="59" t="str" cm="1">
        <f t="array" ref="E41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14" t="s">
        <v>767</v>
      </c>
      <c r="G414" s="3">
        <v>5141640</v>
      </c>
      <c r="H414" t="s">
        <v>768</v>
      </c>
      <c r="I414" s="4">
        <v>1585593</v>
      </c>
      <c r="J414" t="s">
        <v>253</v>
      </c>
      <c r="K414" s="1">
        <v>44119</v>
      </c>
      <c r="L414">
        <v>79</v>
      </c>
      <c r="M414" s="2" t="str">
        <f>IF(Spotify[[#This Row],[Energie]]&gt;AVERAGE(Spotify[Energie]),"FORTE","FAIBLE")</f>
        <v>FAIBLE</v>
      </c>
      <c r="N414" s="2">
        <v>0.443</v>
      </c>
      <c r="O414" s="2">
        <v>0.50900000000000001</v>
      </c>
      <c r="P414" s="2">
        <v>5.3600000000000002E-2</v>
      </c>
      <c r="Q414" s="2">
        <v>0.61499999999999999</v>
      </c>
      <c r="R414" s="2">
        <v>0.47199999999999998</v>
      </c>
      <c r="S414" s="2">
        <v>0.69</v>
      </c>
      <c r="T414" s="2">
        <v>-5.9950000000000001</v>
      </c>
      <c r="U414">
        <v>196380</v>
      </c>
      <c r="V414">
        <f>YEAR(Spotify[[#This Row],[Date de sortie]])</f>
        <v>2020</v>
      </c>
      <c r="W414" s="2" t="str">
        <f>IF(Spotify[[#This Row],[Popularité]]&gt;=70,"FORTE","FAIBLE")</f>
        <v>FORTE</v>
      </c>
    </row>
    <row r="415" spans="1:23" x14ac:dyDescent="0.25">
      <c r="A415">
        <v>386</v>
      </c>
      <c r="B415">
        <v>164</v>
      </c>
      <c r="C415">
        <v>11</v>
      </c>
      <c r="D415" s="1">
        <v>44274</v>
      </c>
      <c r="E415" s="59" t="str" cm="1">
        <f t="array" ref="E41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15" t="s">
        <v>723</v>
      </c>
      <c r="G415" s="3">
        <v>5103863</v>
      </c>
      <c r="H415" t="s">
        <v>724</v>
      </c>
      <c r="I415" s="4">
        <v>14826679</v>
      </c>
      <c r="J415" t="s">
        <v>25</v>
      </c>
      <c r="K415" s="1">
        <v>44235</v>
      </c>
      <c r="L415">
        <v>79</v>
      </c>
      <c r="M415" s="2" t="str">
        <f>IF(Spotify[[#This Row],[Energie]]&gt;AVERAGE(Spotify[Energie]),"FORTE","FAIBLE")</f>
        <v>FORTE</v>
      </c>
      <c r="N415" s="2">
        <v>0.72799999999999998</v>
      </c>
      <c r="O415" s="2">
        <v>0.68899999999999995</v>
      </c>
      <c r="P415" s="2">
        <v>7.2499999999999995E-2</v>
      </c>
      <c r="Q415" s="2">
        <v>0.29299999999999998</v>
      </c>
      <c r="R415" s="2">
        <v>0.109</v>
      </c>
      <c r="S415" s="2">
        <v>0.43099999999999999</v>
      </c>
      <c r="T415" s="2">
        <v>-5.718</v>
      </c>
      <c r="U415">
        <v>197647</v>
      </c>
      <c r="V415">
        <f>YEAR(Spotify[[#This Row],[Date de sortie]])</f>
        <v>2021</v>
      </c>
      <c r="W415" s="2" t="str">
        <f>IF(Spotify[[#This Row],[Popularité]]&gt;=70,"FORTE","FAIBLE")</f>
        <v>FORTE</v>
      </c>
    </row>
    <row r="416" spans="1:23" x14ac:dyDescent="0.25">
      <c r="A416">
        <v>514</v>
      </c>
      <c r="B416">
        <v>91</v>
      </c>
      <c r="C416">
        <v>26</v>
      </c>
      <c r="D416" s="1">
        <v>44204</v>
      </c>
      <c r="E416" s="59" t="str" cm="1">
        <f t="array" ref="E41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16" t="s">
        <v>935</v>
      </c>
      <c r="G416" s="3">
        <v>5093408</v>
      </c>
      <c r="H416" t="s">
        <v>936</v>
      </c>
      <c r="I416" s="4">
        <v>432511</v>
      </c>
      <c r="J416" t="s">
        <v>313</v>
      </c>
      <c r="K416" s="1">
        <v>43959</v>
      </c>
      <c r="L416">
        <v>79</v>
      </c>
      <c r="M416" s="2" t="str">
        <f>IF(Spotify[[#This Row],[Energie]]&gt;AVERAGE(Spotify[Energie]),"FORTE","FAIBLE")</f>
        <v>FORTE</v>
      </c>
      <c r="N416" s="2">
        <v>0.79800000000000004</v>
      </c>
      <c r="O416" s="2">
        <v>0.82799999999999996</v>
      </c>
      <c r="P416" s="2">
        <v>0.193</v>
      </c>
      <c r="Q416" s="2">
        <v>2.47E-2</v>
      </c>
      <c r="R416" s="2">
        <v>0.121</v>
      </c>
      <c r="S416" s="2">
        <v>0.6</v>
      </c>
      <c r="T416" s="2">
        <v>-5.36</v>
      </c>
      <c r="U416">
        <v>156960</v>
      </c>
      <c r="V416">
        <f>YEAR(Spotify[[#This Row],[Date de sortie]])</f>
        <v>2020</v>
      </c>
      <c r="W416" s="2" t="str">
        <f>IF(Spotify[[#This Row],[Popularité]]&gt;=70,"FORTE","FAIBLE")</f>
        <v>FORTE</v>
      </c>
    </row>
    <row r="417" spans="1:23" x14ac:dyDescent="0.25">
      <c r="A417">
        <v>335</v>
      </c>
      <c r="B417">
        <v>8</v>
      </c>
      <c r="C417">
        <v>68</v>
      </c>
      <c r="D417" s="1">
        <v>43938</v>
      </c>
      <c r="E417" s="59" t="str" cm="1">
        <f t="array" ref="E41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417" t="s">
        <v>637</v>
      </c>
      <c r="G417" s="3">
        <v>5085511</v>
      </c>
      <c r="H417" t="s">
        <v>638</v>
      </c>
      <c r="I417" s="4">
        <v>3816446</v>
      </c>
      <c r="J417" t="s">
        <v>235</v>
      </c>
      <c r="K417" s="1">
        <v>43868</v>
      </c>
      <c r="L417">
        <v>79</v>
      </c>
      <c r="M417" s="2" t="str">
        <f>IF(Spotify[[#This Row],[Energie]]&gt;AVERAGE(Spotify[Energie]),"FORTE","FAIBLE")</f>
        <v>FAIBLE</v>
      </c>
      <c r="N417" s="2">
        <v>0.77400000000000002</v>
      </c>
      <c r="O417" s="2">
        <v>0.55400000000000005</v>
      </c>
      <c r="P417" s="2">
        <v>3.8300000000000001E-2</v>
      </c>
      <c r="Q417" s="2">
        <v>0.20699999999999999</v>
      </c>
      <c r="R417" s="2">
        <v>0.13200000000000001</v>
      </c>
      <c r="S417" s="2">
        <v>0.34899999999999998</v>
      </c>
      <c r="T417" s="2">
        <v>-7.9089999999999998</v>
      </c>
      <c r="U417">
        <v>162547</v>
      </c>
      <c r="V417">
        <f>YEAR(Spotify[[#This Row],[Date de sortie]])</f>
        <v>2020</v>
      </c>
      <c r="W417" s="2" t="str">
        <f>IF(Spotify[[#This Row],[Popularité]]&gt;=70,"FORTE","FAIBLE")</f>
        <v>FORTE</v>
      </c>
    </row>
    <row r="418" spans="1:23" x14ac:dyDescent="0.25">
      <c r="A418">
        <v>1441</v>
      </c>
      <c r="B418">
        <v>160</v>
      </c>
      <c r="C418">
        <v>2</v>
      </c>
      <c r="D418" s="1">
        <v>43861</v>
      </c>
      <c r="E418" s="59" t="str" cm="1">
        <f t="array" ref="E41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418" t="s">
        <v>2292</v>
      </c>
      <c r="G418" s="3">
        <v>5079657</v>
      </c>
      <c r="H418" t="s">
        <v>425</v>
      </c>
      <c r="I418" s="4">
        <v>6782693</v>
      </c>
      <c r="J418" t="s">
        <v>426</v>
      </c>
      <c r="K418" s="1">
        <v>43602</v>
      </c>
      <c r="L418">
        <v>79</v>
      </c>
      <c r="M418" s="2" t="str">
        <f>IF(Spotify[[#This Row],[Energie]]&gt;AVERAGE(Spotify[Energie]),"FORTE","FAIBLE")</f>
        <v>FAIBLE</v>
      </c>
      <c r="N418" s="2">
        <v>0.55400000000000005</v>
      </c>
      <c r="O418" s="2">
        <v>0.498</v>
      </c>
      <c r="P418" s="2">
        <v>6.8500000000000005E-2</v>
      </c>
      <c r="Q418" s="2">
        <v>0.23</v>
      </c>
      <c r="R418" s="2">
        <v>0.79500000000000004</v>
      </c>
      <c r="S418" s="2">
        <v>0.41299999999999998</v>
      </c>
      <c r="T418" s="2">
        <v>-8.8659999999999997</v>
      </c>
      <c r="U418">
        <v>190067</v>
      </c>
      <c r="V418">
        <f>YEAR(Spotify[[#This Row],[Date de sortie]])</f>
        <v>2019</v>
      </c>
      <c r="W418" s="2" t="str">
        <f>IF(Spotify[[#This Row],[Popularité]]&gt;=70,"FORTE","FAIBLE")</f>
        <v>FORTE</v>
      </c>
    </row>
    <row r="419" spans="1:23" x14ac:dyDescent="0.25">
      <c r="A419">
        <v>412</v>
      </c>
      <c r="B419">
        <v>7</v>
      </c>
      <c r="C419">
        <v>23</v>
      </c>
      <c r="D419" s="1">
        <v>44155</v>
      </c>
      <c r="E419" s="59" t="str" cm="1">
        <f t="array" ref="E41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19" t="s">
        <v>770</v>
      </c>
      <c r="G419" s="3">
        <v>5069268</v>
      </c>
      <c r="H419" t="s">
        <v>771</v>
      </c>
      <c r="I419" s="4">
        <v>33893352</v>
      </c>
      <c r="J419" t="s">
        <v>36</v>
      </c>
      <c r="K419" s="1">
        <v>44155</v>
      </c>
      <c r="L419">
        <v>79</v>
      </c>
      <c r="M419" s="2" t="str">
        <f>IF(Spotify[[#This Row],[Energie]]&gt;AVERAGE(Spotify[Energie]),"FORTE","FAIBLE")</f>
        <v>FAIBLE</v>
      </c>
      <c r="N419" s="2">
        <v>0.65200000000000002</v>
      </c>
      <c r="O419" s="2">
        <v>0.38300000000000001</v>
      </c>
      <c r="P419" s="2">
        <v>5.16E-2</v>
      </c>
      <c r="Q419" s="2">
        <v>6.7599999999999993E-2</v>
      </c>
      <c r="R419" s="2">
        <v>8.2799999999999999E-2</v>
      </c>
      <c r="S419" s="2">
        <v>0.54900000000000004</v>
      </c>
      <c r="T419" s="2">
        <v>-7.0759999999999996</v>
      </c>
      <c r="U419">
        <v>178994</v>
      </c>
      <c r="V419">
        <f>YEAR(Spotify[[#This Row],[Date de sortie]])</f>
        <v>2020</v>
      </c>
      <c r="W419" s="2" t="str">
        <f>IF(Spotify[[#This Row],[Popularité]]&gt;=70,"FORTE","FAIBLE")</f>
        <v>FORTE</v>
      </c>
    </row>
    <row r="420" spans="1:23" x14ac:dyDescent="0.25">
      <c r="A420">
        <v>502</v>
      </c>
      <c r="B420">
        <v>123</v>
      </c>
      <c r="C420">
        <v>26</v>
      </c>
      <c r="D420" s="1">
        <v>44127</v>
      </c>
      <c r="E420" s="59" t="str" cm="1">
        <f t="array" ref="E42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20" t="s">
        <v>910</v>
      </c>
      <c r="G420" s="3">
        <v>5054881</v>
      </c>
      <c r="H420" t="s">
        <v>911</v>
      </c>
      <c r="I420" s="4">
        <v>419151</v>
      </c>
      <c r="J420" t="s">
        <v>912</v>
      </c>
      <c r="K420" s="1">
        <v>43742</v>
      </c>
      <c r="L420">
        <v>79</v>
      </c>
      <c r="M420" s="2" t="str">
        <f>IF(Spotify[[#This Row],[Energie]]&gt;AVERAGE(Spotify[Energie]),"FORTE","FAIBLE")</f>
        <v>FORTE</v>
      </c>
      <c r="N420" s="2">
        <v>0.52</v>
      </c>
      <c r="O420" s="2">
        <v>0.90300000000000002</v>
      </c>
      <c r="P420" s="2">
        <v>4.2000000000000003E-2</v>
      </c>
      <c r="Q420" s="2">
        <v>5.1700000000000001E-3</v>
      </c>
      <c r="R420" s="2">
        <v>0.254</v>
      </c>
      <c r="S420" s="2">
        <v>0.65200000000000002</v>
      </c>
      <c r="T420" s="2">
        <v>-5.4969999999999999</v>
      </c>
      <c r="U420">
        <v>219801</v>
      </c>
      <c r="V420">
        <f>YEAR(Spotify[[#This Row],[Date de sortie]])</f>
        <v>2019</v>
      </c>
      <c r="W420" s="2" t="str">
        <f>IF(Spotify[[#This Row],[Popularité]]&gt;=70,"FORTE","FAIBLE")</f>
        <v>FORTE</v>
      </c>
    </row>
    <row r="421" spans="1:23" x14ac:dyDescent="0.25">
      <c r="A421">
        <v>539</v>
      </c>
      <c r="B421">
        <v>177</v>
      </c>
      <c r="C421">
        <v>7</v>
      </c>
      <c r="D421" s="1">
        <v>44225</v>
      </c>
      <c r="E421" s="59" t="str" cm="1">
        <f t="array" ref="E42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21" t="s">
        <v>974</v>
      </c>
      <c r="G421" s="3">
        <v>5053713</v>
      </c>
      <c r="H421" t="s">
        <v>175</v>
      </c>
      <c r="I421" s="4">
        <v>2820477</v>
      </c>
      <c r="J421" t="s">
        <v>176</v>
      </c>
      <c r="K421" s="1">
        <v>44148</v>
      </c>
      <c r="L421">
        <v>79</v>
      </c>
      <c r="M421" s="2" t="str">
        <f>IF(Spotify[[#This Row],[Energie]]&gt;AVERAGE(Spotify[Energie]),"FORTE","FAIBLE")</f>
        <v>FAIBLE</v>
      </c>
      <c r="N421" s="2">
        <v>0.80600000000000005</v>
      </c>
      <c r="O421" s="2">
        <v>0.51300000000000001</v>
      </c>
      <c r="P421" s="2">
        <v>6.8500000000000005E-2</v>
      </c>
      <c r="Q421" s="2">
        <v>0.217</v>
      </c>
      <c r="R421" s="2">
        <v>0.217</v>
      </c>
      <c r="S421" s="2">
        <v>0.503</v>
      </c>
      <c r="T421" s="2">
        <v>-6.2080000000000002</v>
      </c>
      <c r="U421">
        <v>178157</v>
      </c>
      <c r="V421">
        <f>YEAR(Spotify[[#This Row],[Date de sortie]])</f>
        <v>2020</v>
      </c>
      <c r="W421" s="2" t="str">
        <f>IF(Spotify[[#This Row],[Popularité]]&gt;=70,"FORTE","FAIBLE")</f>
        <v>FORTE</v>
      </c>
    </row>
    <row r="422" spans="1:23" x14ac:dyDescent="0.25">
      <c r="A422">
        <v>315</v>
      </c>
      <c r="B422">
        <v>1</v>
      </c>
      <c r="C422">
        <v>55</v>
      </c>
      <c r="D422" s="1">
        <v>43973</v>
      </c>
      <c r="E422" s="59" t="str" cm="1">
        <f t="array" ref="E42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22" t="s">
        <v>606</v>
      </c>
      <c r="G422" s="3">
        <v>5041656</v>
      </c>
      <c r="H422" t="s">
        <v>607</v>
      </c>
      <c r="I422" s="4">
        <v>18572085</v>
      </c>
      <c r="J422" t="s">
        <v>19</v>
      </c>
      <c r="K422" s="1">
        <v>43973</v>
      </c>
      <c r="L422">
        <v>79</v>
      </c>
      <c r="M422" s="2" t="str">
        <f>IF(Spotify[[#This Row],[Energie]]&gt;AVERAGE(Spotify[Energie]),"FORTE","FAIBLE")</f>
        <v>FORTE</v>
      </c>
      <c r="N422" s="2">
        <v>0.67200000000000004</v>
      </c>
      <c r="O422" s="2">
        <v>0.85499999999999998</v>
      </c>
      <c r="P422" s="2">
        <v>3.9699999999999999E-2</v>
      </c>
      <c r="Q422" s="2">
        <v>2.1000000000000001E-2</v>
      </c>
      <c r="R422" s="2">
        <v>0.32300000000000001</v>
      </c>
      <c r="S422" s="2">
        <v>0.64600000000000002</v>
      </c>
      <c r="T422" s="2">
        <v>-3.7639999999999998</v>
      </c>
      <c r="U422">
        <v>182200</v>
      </c>
      <c r="V422">
        <f>YEAR(Spotify[[#This Row],[Date de sortie]])</f>
        <v>2020</v>
      </c>
      <c r="W422" s="2" t="str">
        <f>IF(Spotify[[#This Row],[Popularité]]&gt;=70,"FORTE","FAIBLE")</f>
        <v>FORTE</v>
      </c>
    </row>
    <row r="423" spans="1:23" x14ac:dyDescent="0.25">
      <c r="A423">
        <v>233</v>
      </c>
      <c r="B423">
        <v>71</v>
      </c>
      <c r="C423">
        <v>13</v>
      </c>
      <c r="D423" s="1">
        <v>44316</v>
      </c>
      <c r="E423" s="59" t="str" cm="1">
        <f t="array" ref="E42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23" t="s">
        <v>469</v>
      </c>
      <c r="G423" s="3">
        <v>5041120</v>
      </c>
      <c r="H423" t="s">
        <v>470</v>
      </c>
      <c r="I423" s="4">
        <v>608109</v>
      </c>
      <c r="J423" t="s">
        <v>407</v>
      </c>
      <c r="K423" s="1">
        <v>44282</v>
      </c>
      <c r="L423">
        <v>79</v>
      </c>
      <c r="M423" s="2" t="str">
        <f>IF(Spotify[[#This Row],[Energie]]&gt;AVERAGE(Spotify[Energie]),"FORTE","FAIBLE")</f>
        <v>FORTE</v>
      </c>
      <c r="N423" s="2">
        <v>0.58299999999999996</v>
      </c>
      <c r="O423" s="2">
        <v>0.91800000000000004</v>
      </c>
      <c r="P423" s="2">
        <v>5.1799999999999999E-2</v>
      </c>
      <c r="Q423" s="2">
        <v>0.28799999999999998</v>
      </c>
      <c r="R423" s="2">
        <v>7.0099999999999996E-2</v>
      </c>
      <c r="S423" s="2">
        <v>0.83599999999999997</v>
      </c>
      <c r="T423" s="2">
        <v>-3.6120000000000001</v>
      </c>
      <c r="U423">
        <v>172973</v>
      </c>
      <c r="V423">
        <f>YEAR(Spotify[[#This Row],[Date de sortie]])</f>
        <v>2021</v>
      </c>
      <c r="W423" s="2" t="str">
        <f>IF(Spotify[[#This Row],[Popularité]]&gt;=70,"FORTE","FAIBLE")</f>
        <v>FORTE</v>
      </c>
    </row>
    <row r="424" spans="1:23" x14ac:dyDescent="0.25">
      <c r="A424">
        <v>405</v>
      </c>
      <c r="B424">
        <v>37</v>
      </c>
      <c r="C424">
        <v>31</v>
      </c>
      <c r="D424" s="1">
        <v>44148</v>
      </c>
      <c r="E424" s="59" t="str" cm="1">
        <f t="array" ref="E42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24" t="s">
        <v>756</v>
      </c>
      <c r="G424" s="3">
        <v>5026961</v>
      </c>
      <c r="H424" t="s">
        <v>757</v>
      </c>
      <c r="I424" s="4">
        <v>6929075</v>
      </c>
      <c r="J424" t="s">
        <v>25</v>
      </c>
      <c r="K424" s="1">
        <v>44097</v>
      </c>
      <c r="L424">
        <v>79</v>
      </c>
      <c r="M424" s="2" t="str">
        <f>IF(Spotify[[#This Row],[Energie]]&gt;AVERAGE(Spotify[Energie]),"FORTE","FAIBLE")</f>
        <v>FORTE</v>
      </c>
      <c r="N424" s="2">
        <v>0.82299999999999995</v>
      </c>
      <c r="O424" s="2">
        <v>0.82099999999999995</v>
      </c>
      <c r="P424" s="2">
        <v>0.16600000000000001</v>
      </c>
      <c r="Q424" s="2">
        <v>0.31</v>
      </c>
      <c r="R424" s="2">
        <v>0.14299999999999999</v>
      </c>
      <c r="S424" s="2">
        <v>0.79100000000000004</v>
      </c>
      <c r="T424" s="2">
        <v>-3.4020000000000001</v>
      </c>
      <c r="U424">
        <v>213314</v>
      </c>
      <c r="V424">
        <f>YEAR(Spotify[[#This Row],[Date de sortie]])</f>
        <v>2020</v>
      </c>
      <c r="W424" s="2" t="str">
        <f>IF(Spotify[[#This Row],[Popularité]]&gt;=70,"FORTE","FAIBLE")</f>
        <v>FORTE</v>
      </c>
    </row>
    <row r="425" spans="1:23" x14ac:dyDescent="0.25">
      <c r="A425">
        <v>504</v>
      </c>
      <c r="B425">
        <v>4</v>
      </c>
      <c r="C425">
        <v>38</v>
      </c>
      <c r="D425" s="1">
        <v>44008</v>
      </c>
      <c r="E425" s="59" t="str" cm="1">
        <f t="array" ref="E42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25" t="s">
        <v>916</v>
      </c>
      <c r="G425" s="3">
        <v>5023592</v>
      </c>
      <c r="H425" t="s">
        <v>917</v>
      </c>
      <c r="I425" s="4">
        <v>23848461</v>
      </c>
      <c r="J425" t="s">
        <v>33</v>
      </c>
      <c r="K425" s="1">
        <v>44106</v>
      </c>
      <c r="L425">
        <v>79</v>
      </c>
      <c r="M425" s="2" t="str">
        <f>IF(Spotify[[#This Row],[Energie]]&gt;AVERAGE(Spotify[Energie]),"FORTE","FAIBLE")</f>
        <v>FORTE</v>
      </c>
      <c r="N425" s="2">
        <v>0.81200000000000006</v>
      </c>
      <c r="O425" s="2">
        <v>0.76100000000000001</v>
      </c>
      <c r="P425" s="2">
        <v>8.1199999999999994E-2</v>
      </c>
      <c r="Q425" s="2">
        <v>4.65E-2</v>
      </c>
      <c r="R425" s="2">
        <v>6.0100000000000001E-2</v>
      </c>
      <c r="S425" s="2">
        <v>0.34399999999999997</v>
      </c>
      <c r="T425" s="2">
        <v>-5.2220000000000004</v>
      </c>
      <c r="U425">
        <v>182956</v>
      </c>
      <c r="V425">
        <f>YEAR(Spotify[[#This Row],[Date de sortie]])</f>
        <v>2020</v>
      </c>
      <c r="W425" s="2" t="str">
        <f>IF(Spotify[[#This Row],[Popularité]]&gt;=70,"FORTE","FAIBLE")</f>
        <v>FORTE</v>
      </c>
    </row>
    <row r="426" spans="1:23" x14ac:dyDescent="0.25">
      <c r="A426">
        <v>425</v>
      </c>
      <c r="B426">
        <v>3</v>
      </c>
      <c r="C426">
        <v>19</v>
      </c>
      <c r="D426" s="1">
        <v>44176</v>
      </c>
      <c r="E426" s="59" t="str" cm="1">
        <f t="array" ref="E42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26" t="s">
        <v>789</v>
      </c>
      <c r="G426" s="3">
        <v>5016865</v>
      </c>
      <c r="H426" t="s">
        <v>746</v>
      </c>
      <c r="I426" s="4">
        <v>42227614</v>
      </c>
      <c r="J426" t="s">
        <v>10</v>
      </c>
      <c r="K426" s="1">
        <v>44176</v>
      </c>
      <c r="L426">
        <v>79</v>
      </c>
      <c r="M426" s="2" t="str">
        <f>IF(Spotify[[#This Row],[Energie]]&gt;AVERAGE(Spotify[Energie]),"FORTE","FAIBLE")</f>
        <v>FAIBLE</v>
      </c>
      <c r="N426" s="2">
        <v>0.39200000000000002</v>
      </c>
      <c r="O426" s="2">
        <v>0.57399999999999995</v>
      </c>
      <c r="P426" s="2">
        <v>0.17</v>
      </c>
      <c r="Q426" s="2">
        <v>0.83299999999999996</v>
      </c>
      <c r="R426" s="2">
        <v>0.14499999999999999</v>
      </c>
      <c r="S426" s="2">
        <v>0.52900000000000003</v>
      </c>
      <c r="T426" s="2">
        <v>-9.1950000000000003</v>
      </c>
      <c r="U426">
        <v>214707</v>
      </c>
      <c r="V426">
        <f>YEAR(Spotify[[#This Row],[Date de sortie]])</f>
        <v>2020</v>
      </c>
      <c r="W426" s="2" t="str">
        <f>IF(Spotify[[#This Row],[Popularité]]&gt;=70,"FORTE","FAIBLE")</f>
        <v>FORTE</v>
      </c>
    </row>
    <row r="427" spans="1:23" x14ac:dyDescent="0.25">
      <c r="A427">
        <v>526</v>
      </c>
      <c r="B427">
        <v>80</v>
      </c>
      <c r="C427">
        <v>57</v>
      </c>
      <c r="D427" s="1">
        <v>43847</v>
      </c>
      <c r="E427" s="59" t="str" cm="1">
        <f t="array" ref="E42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27" t="s">
        <v>954</v>
      </c>
      <c r="G427" s="3">
        <v>5016283</v>
      </c>
      <c r="H427" t="s">
        <v>955</v>
      </c>
      <c r="I427" s="4">
        <v>15663384</v>
      </c>
      <c r="J427" t="s">
        <v>19</v>
      </c>
      <c r="K427" s="1">
        <v>43377</v>
      </c>
      <c r="L427">
        <v>79</v>
      </c>
      <c r="M427" s="2" t="str">
        <f>IF(Spotify[[#This Row],[Energie]]&gt;AVERAGE(Spotify[Energie]),"FORTE","FAIBLE")</f>
        <v>FAIBLE</v>
      </c>
      <c r="N427" s="2">
        <v>0.752</v>
      </c>
      <c r="O427" s="2">
        <v>0.48799999999999999</v>
      </c>
      <c r="P427" s="2">
        <v>7.0499999999999993E-2</v>
      </c>
      <c r="Q427" s="2">
        <v>0.29699999999999999</v>
      </c>
      <c r="R427" s="2">
        <v>9.3600000000000003E-2</v>
      </c>
      <c r="S427" s="2">
        <v>0.53300000000000003</v>
      </c>
      <c r="T427" s="2">
        <v>-7.05</v>
      </c>
      <c r="U427">
        <v>201661</v>
      </c>
      <c r="V427">
        <f>YEAR(Spotify[[#This Row],[Date de sortie]])</f>
        <v>2018</v>
      </c>
      <c r="W427" s="2" t="str">
        <f>IF(Spotify[[#This Row],[Popularité]]&gt;=70,"FORTE","FAIBLE")</f>
        <v>FORTE</v>
      </c>
    </row>
    <row r="428" spans="1:23" x14ac:dyDescent="0.25">
      <c r="A428">
        <v>250</v>
      </c>
      <c r="B428">
        <v>11</v>
      </c>
      <c r="C428">
        <v>33</v>
      </c>
      <c r="D428" s="1">
        <v>44155</v>
      </c>
      <c r="E428" s="59" t="str" cm="1">
        <f t="array" ref="E42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28" t="s">
        <v>503</v>
      </c>
      <c r="G428" s="3">
        <v>5005018</v>
      </c>
      <c r="H428" t="s">
        <v>504</v>
      </c>
      <c r="I428" s="4">
        <v>15770302</v>
      </c>
      <c r="J428" t="s">
        <v>19</v>
      </c>
      <c r="K428" s="1">
        <v>44155</v>
      </c>
      <c r="L428">
        <v>79</v>
      </c>
      <c r="M428" s="2" t="str">
        <f>IF(Spotify[[#This Row],[Energie]]&gt;AVERAGE(Spotify[Energie]),"FORTE","FAIBLE")</f>
        <v>FORTE</v>
      </c>
      <c r="N428" s="2">
        <v>0.78100000000000003</v>
      </c>
      <c r="O428" s="2">
        <v>0.67</v>
      </c>
      <c r="P428" s="2">
        <v>4.5199999999999997E-2</v>
      </c>
      <c r="Q428" s="2">
        <v>1.03E-2</v>
      </c>
      <c r="R428" s="2">
        <v>7.6100000000000001E-2</v>
      </c>
      <c r="S428" s="2">
        <v>0.59499999999999997</v>
      </c>
      <c r="T428" s="2">
        <v>-3.9119999999999999</v>
      </c>
      <c r="U428">
        <v>169333</v>
      </c>
      <c r="V428">
        <f>YEAR(Spotify[[#This Row],[Date de sortie]])</f>
        <v>2020</v>
      </c>
      <c r="W428" s="2" t="str">
        <f>IF(Spotify[[#This Row],[Popularité]]&gt;=70,"FORTE","FAIBLE")</f>
        <v>FORTE</v>
      </c>
    </row>
    <row r="429" spans="1:23" x14ac:dyDescent="0.25">
      <c r="A429">
        <v>252</v>
      </c>
      <c r="B429">
        <v>32</v>
      </c>
      <c r="C429">
        <v>36</v>
      </c>
      <c r="D429" s="1">
        <v>44225</v>
      </c>
      <c r="E429" s="59" t="str" cm="1">
        <f t="array" ref="E42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29" t="s">
        <v>507</v>
      </c>
      <c r="G429" s="3">
        <v>4980155</v>
      </c>
      <c r="H429" t="s">
        <v>508</v>
      </c>
      <c r="I429" s="4">
        <v>6080597</v>
      </c>
      <c r="J429" t="s">
        <v>22</v>
      </c>
      <c r="K429" s="1">
        <v>44126</v>
      </c>
      <c r="L429">
        <v>79</v>
      </c>
      <c r="M429" s="2" t="str">
        <f>IF(Spotify[[#This Row],[Energie]]&gt;AVERAGE(Spotify[Energie]),"FORTE","FAIBLE")</f>
        <v>FAIBLE</v>
      </c>
      <c r="N429" s="2">
        <v>0.82299999999999995</v>
      </c>
      <c r="O429" s="2">
        <v>0.53700000000000003</v>
      </c>
      <c r="P429" s="2">
        <v>0.20899999999999999</v>
      </c>
      <c r="Q429" s="2">
        <v>0.17599999999999999</v>
      </c>
      <c r="R429" s="2">
        <v>0.123</v>
      </c>
      <c r="S429" s="2">
        <v>0.61499999999999999</v>
      </c>
      <c r="T429" s="2">
        <v>-2.6389999999999998</v>
      </c>
      <c r="U429">
        <v>231595</v>
      </c>
      <c r="V429">
        <f>YEAR(Spotify[[#This Row],[Date de sortie]])</f>
        <v>2020</v>
      </c>
      <c r="W429" s="2" t="str">
        <f>IF(Spotify[[#This Row],[Popularité]]&gt;=70,"FORTE","FAIBLE")</f>
        <v>FORTE</v>
      </c>
    </row>
    <row r="430" spans="1:23" x14ac:dyDescent="0.25">
      <c r="A430">
        <v>823</v>
      </c>
      <c r="B430">
        <v>1</v>
      </c>
      <c r="C430">
        <v>27</v>
      </c>
      <c r="D430" s="1">
        <v>43945</v>
      </c>
      <c r="E430" s="59" t="str" cm="1">
        <f t="array" ref="E43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30" t="s">
        <v>1421</v>
      </c>
      <c r="G430" s="3">
        <v>4941592</v>
      </c>
      <c r="H430" t="s">
        <v>1422</v>
      </c>
      <c r="I430" s="4">
        <v>179193</v>
      </c>
      <c r="J430" t="s">
        <v>230</v>
      </c>
      <c r="K430" s="1">
        <v>43945</v>
      </c>
      <c r="L430">
        <v>79</v>
      </c>
      <c r="M430" s="2" t="str">
        <f>IF(Spotify[[#This Row],[Energie]]&gt;AVERAGE(Spotify[Energie]),"FORTE","FAIBLE")</f>
        <v>FAIBLE</v>
      </c>
      <c r="N430" s="2">
        <v>0.71599999999999997</v>
      </c>
      <c r="O430" s="2">
        <v>0.53700000000000003</v>
      </c>
      <c r="P430" s="2">
        <v>5.1400000000000001E-2</v>
      </c>
      <c r="Q430" s="2">
        <v>0.23300000000000001</v>
      </c>
      <c r="R430" s="2">
        <v>0.157</v>
      </c>
      <c r="S430" s="2">
        <v>0.28000000000000003</v>
      </c>
      <c r="T430" s="2">
        <v>-7.6479999999999997</v>
      </c>
      <c r="U430">
        <v>165978</v>
      </c>
      <c r="V430">
        <f>YEAR(Spotify[[#This Row],[Date de sortie]])</f>
        <v>2020</v>
      </c>
      <c r="W430" s="2" t="str">
        <f>IF(Spotify[[#This Row],[Popularité]]&gt;=70,"FORTE","FAIBLE")</f>
        <v>FORTE</v>
      </c>
    </row>
    <row r="431" spans="1:23" x14ac:dyDescent="0.25">
      <c r="A431">
        <v>1526</v>
      </c>
      <c r="B431">
        <v>140</v>
      </c>
      <c r="C431">
        <v>3</v>
      </c>
      <c r="D431" s="1">
        <v>43826</v>
      </c>
      <c r="E431" s="59" t="str" cm="1">
        <f t="array" ref="E43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31" t="s">
        <v>2400</v>
      </c>
      <c r="G431" s="3">
        <v>4931458</v>
      </c>
      <c r="H431" t="s">
        <v>2401</v>
      </c>
      <c r="I431" s="4">
        <v>1374784</v>
      </c>
      <c r="J431" t="s">
        <v>19</v>
      </c>
      <c r="K431" s="1">
        <v>43483</v>
      </c>
      <c r="L431">
        <v>79</v>
      </c>
      <c r="M431" s="2" t="str">
        <f>IF(Spotify[[#This Row],[Energie]]&gt;AVERAGE(Spotify[Energie]),"FORTE","FAIBLE")</f>
        <v>FORTE</v>
      </c>
      <c r="N431" s="2">
        <v>0.67400000000000004</v>
      </c>
      <c r="O431" s="2">
        <v>0.88100000000000001</v>
      </c>
      <c r="P431" s="2">
        <v>0.14699999999999999</v>
      </c>
      <c r="Q431" s="2">
        <v>0.29599999999999999</v>
      </c>
      <c r="R431" s="2">
        <v>7.9299999999999995E-2</v>
      </c>
      <c r="S431" s="2">
        <v>0.23400000000000001</v>
      </c>
      <c r="T431" s="2">
        <v>-2.8530000000000002</v>
      </c>
      <c r="U431">
        <v>178480</v>
      </c>
      <c r="V431">
        <f>YEAR(Spotify[[#This Row],[Date de sortie]])</f>
        <v>2019</v>
      </c>
      <c r="W431" s="2" t="str">
        <f>IF(Spotify[[#This Row],[Popularité]]&gt;=70,"FORTE","FAIBLE")</f>
        <v>FORTE</v>
      </c>
    </row>
    <row r="432" spans="1:23" x14ac:dyDescent="0.25">
      <c r="A432">
        <v>584</v>
      </c>
      <c r="B432">
        <v>190</v>
      </c>
      <c r="C432">
        <v>3</v>
      </c>
      <c r="D432" s="1">
        <v>44197</v>
      </c>
      <c r="E432" s="59" t="str" cm="1">
        <f t="array" ref="E43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432" t="s">
        <v>1042</v>
      </c>
      <c r="G432" s="3">
        <v>4914093</v>
      </c>
      <c r="H432" t="s">
        <v>1043</v>
      </c>
      <c r="I432" s="4">
        <v>211500</v>
      </c>
      <c r="J432" t="s">
        <v>371</v>
      </c>
      <c r="K432" s="1">
        <v>44130</v>
      </c>
      <c r="L432">
        <v>79</v>
      </c>
      <c r="M432" s="2" t="str">
        <f>IF(Spotify[[#This Row],[Energie]]&gt;AVERAGE(Spotify[Energie]),"FORTE","FAIBLE")</f>
        <v>FAIBLE</v>
      </c>
      <c r="N432" s="2">
        <v>0.98</v>
      </c>
      <c r="O432" s="2">
        <v>0.41299999999999998</v>
      </c>
      <c r="P432" s="2">
        <v>0.10100000000000001</v>
      </c>
      <c r="Q432" s="2">
        <v>0.67100000000000004</v>
      </c>
      <c r="R432" s="2">
        <v>0.17</v>
      </c>
      <c r="S432" s="2">
        <v>0.76400000000000001</v>
      </c>
      <c r="T432" s="2">
        <v>-11.052</v>
      </c>
      <c r="U432">
        <v>180139</v>
      </c>
      <c r="V432">
        <f>YEAR(Spotify[[#This Row],[Date de sortie]])</f>
        <v>2020</v>
      </c>
      <c r="W432" s="2" t="str">
        <f>IF(Spotify[[#This Row],[Popularité]]&gt;=70,"FORTE","FAIBLE")</f>
        <v>FORTE</v>
      </c>
    </row>
    <row r="433" spans="1:23" x14ac:dyDescent="0.25">
      <c r="A433">
        <v>763</v>
      </c>
      <c r="B433">
        <v>87</v>
      </c>
      <c r="C433">
        <v>11</v>
      </c>
      <c r="D433" s="1">
        <v>44099</v>
      </c>
      <c r="E433" s="59" t="str" cm="1">
        <f t="array" ref="E43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33" t="s">
        <v>1325</v>
      </c>
      <c r="G433" s="3">
        <v>4907925</v>
      </c>
      <c r="H433" t="s">
        <v>1326</v>
      </c>
      <c r="I433" s="4">
        <v>260236</v>
      </c>
      <c r="J433" t="s">
        <v>1327</v>
      </c>
      <c r="K433" s="1">
        <v>43917</v>
      </c>
      <c r="L433">
        <v>79</v>
      </c>
      <c r="M433" s="2" t="str">
        <f>IF(Spotify[[#This Row],[Energie]]&gt;AVERAGE(Spotify[Energie]),"FORTE","FAIBLE")</f>
        <v>FAIBLE</v>
      </c>
      <c r="N433" s="2">
        <v>0.76200000000000001</v>
      </c>
      <c r="O433" s="2">
        <v>0.433</v>
      </c>
      <c r="P433" s="2">
        <v>0.187</v>
      </c>
      <c r="Q433" s="2">
        <v>0.14299999999999999</v>
      </c>
      <c r="R433" s="2">
        <v>0.11799999999999999</v>
      </c>
      <c r="S433" s="2">
        <v>0.39400000000000002</v>
      </c>
      <c r="T433" s="2">
        <v>-8.9369999999999994</v>
      </c>
      <c r="U433">
        <v>203145</v>
      </c>
      <c r="V433">
        <f>YEAR(Spotify[[#This Row],[Date de sortie]])</f>
        <v>2020</v>
      </c>
      <c r="W433" s="2" t="str">
        <f>IF(Spotify[[#This Row],[Popularité]]&gt;=70,"FORTE","FAIBLE")</f>
        <v>FORTE</v>
      </c>
    </row>
    <row r="434" spans="1:23" x14ac:dyDescent="0.25">
      <c r="A434">
        <v>567</v>
      </c>
      <c r="B434">
        <v>20</v>
      </c>
      <c r="C434">
        <v>15</v>
      </c>
      <c r="D434" s="1">
        <v>44148</v>
      </c>
      <c r="E434" s="59" t="str" cm="1">
        <f t="array" ref="E43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34" t="s">
        <v>1014</v>
      </c>
      <c r="G434" s="3">
        <v>4906738</v>
      </c>
      <c r="H434" t="s">
        <v>202</v>
      </c>
      <c r="I434" s="4">
        <v>67208170</v>
      </c>
      <c r="J434" t="s">
        <v>19</v>
      </c>
      <c r="K434" s="1">
        <v>44134</v>
      </c>
      <c r="L434">
        <v>79</v>
      </c>
      <c r="M434" s="2" t="str">
        <f>IF(Spotify[[#This Row],[Energie]]&gt;AVERAGE(Spotify[Energie]),"FORTE","FAIBLE")</f>
        <v>FAIBLE</v>
      </c>
      <c r="N434" s="2">
        <v>0.48699999999999999</v>
      </c>
      <c r="O434" s="2">
        <v>0.53400000000000003</v>
      </c>
      <c r="P434" s="2">
        <v>5.5500000000000001E-2</v>
      </c>
      <c r="Q434" s="2">
        <v>0.36</v>
      </c>
      <c r="R434" s="2">
        <v>0.1</v>
      </c>
      <c r="S434" s="2">
        <v>0.17299999999999999</v>
      </c>
      <c r="T434" s="2">
        <v>-5.6639999999999997</v>
      </c>
      <c r="U434">
        <v>201882</v>
      </c>
      <c r="V434">
        <f>YEAR(Spotify[[#This Row],[Date de sortie]])</f>
        <v>2020</v>
      </c>
      <c r="W434" s="2" t="str">
        <f>IF(Spotify[[#This Row],[Popularité]]&gt;=70,"FORTE","FAIBLE")</f>
        <v>FORTE</v>
      </c>
    </row>
    <row r="435" spans="1:23" x14ac:dyDescent="0.25">
      <c r="A435">
        <v>601</v>
      </c>
      <c r="B435">
        <v>17</v>
      </c>
      <c r="C435">
        <v>25</v>
      </c>
      <c r="D435" s="1">
        <v>44015</v>
      </c>
      <c r="E435" s="59" t="str" cm="1">
        <f t="array" ref="E43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35" t="s">
        <v>1070</v>
      </c>
      <c r="G435" s="3">
        <v>4892682</v>
      </c>
      <c r="H435" t="s">
        <v>338</v>
      </c>
      <c r="I435" s="4">
        <v>6852509</v>
      </c>
      <c r="J435" t="s">
        <v>158</v>
      </c>
      <c r="K435" s="1">
        <v>44015</v>
      </c>
      <c r="L435">
        <v>79</v>
      </c>
      <c r="M435" s="2" t="str">
        <f>IF(Spotify[[#This Row],[Energie]]&gt;AVERAGE(Spotify[Energie]),"FORTE","FAIBLE")</f>
        <v>FAIBLE</v>
      </c>
      <c r="N435" s="2">
        <v>0.49</v>
      </c>
      <c r="O435" s="2">
        <v>0.61799999999999999</v>
      </c>
      <c r="P435" s="2">
        <v>0.104</v>
      </c>
      <c r="Q435" s="2">
        <v>2.2100000000000002E-2</v>
      </c>
      <c r="R435" s="2">
        <v>0.25900000000000001</v>
      </c>
      <c r="S435" s="2">
        <v>0.28599999999999998</v>
      </c>
      <c r="T435" s="2">
        <v>-5.6550000000000002</v>
      </c>
      <c r="U435">
        <v>201600</v>
      </c>
      <c r="V435">
        <f>YEAR(Spotify[[#This Row],[Date de sortie]])</f>
        <v>2020</v>
      </c>
      <c r="W435" s="2" t="str">
        <f>IF(Spotify[[#This Row],[Popularité]]&gt;=70,"FORTE","FAIBLE")</f>
        <v>FORTE</v>
      </c>
    </row>
    <row r="436" spans="1:23" x14ac:dyDescent="0.25">
      <c r="A436">
        <v>1466</v>
      </c>
      <c r="B436">
        <v>191</v>
      </c>
      <c r="C436">
        <v>4</v>
      </c>
      <c r="D436" s="1">
        <v>43833</v>
      </c>
      <c r="E436" s="59" t="str" cm="1">
        <f t="array" ref="E43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436" t="s">
        <v>2329</v>
      </c>
      <c r="G436" s="3">
        <v>4889500</v>
      </c>
      <c r="H436" t="s">
        <v>2330</v>
      </c>
      <c r="I436" s="4">
        <v>5241145</v>
      </c>
      <c r="J436" t="s">
        <v>426</v>
      </c>
      <c r="K436" s="1">
        <v>43434</v>
      </c>
      <c r="L436">
        <v>79</v>
      </c>
      <c r="M436" s="2" t="str">
        <f>IF(Spotify[[#This Row],[Energie]]&gt;AVERAGE(Spotify[Energie]),"FORTE","FAIBLE")</f>
        <v>FAIBLE</v>
      </c>
      <c r="N436" s="2">
        <v>0.88900000000000001</v>
      </c>
      <c r="O436" s="2">
        <v>0.496</v>
      </c>
      <c r="P436" s="2">
        <v>9.0499999999999997E-2</v>
      </c>
      <c r="Q436" s="2">
        <v>0.25900000000000001</v>
      </c>
      <c r="R436" s="2">
        <v>0.252</v>
      </c>
      <c r="S436" s="2">
        <v>0.54400000000000004</v>
      </c>
      <c r="T436" s="2">
        <v>-6.3650000000000002</v>
      </c>
      <c r="U436">
        <v>180522</v>
      </c>
      <c r="V436">
        <f>YEAR(Spotify[[#This Row],[Date de sortie]])</f>
        <v>2018</v>
      </c>
      <c r="W436" s="2" t="str">
        <f>IF(Spotify[[#This Row],[Popularité]]&gt;=70,"FORTE","FAIBLE")</f>
        <v>FORTE</v>
      </c>
    </row>
    <row r="437" spans="1:23" x14ac:dyDescent="0.25">
      <c r="A437">
        <v>1453</v>
      </c>
      <c r="B437">
        <v>148</v>
      </c>
      <c r="C437">
        <v>7</v>
      </c>
      <c r="D437" s="1">
        <v>43833</v>
      </c>
      <c r="E437" s="59" t="str" cm="1">
        <f t="array" ref="E43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437" t="s">
        <v>2310</v>
      </c>
      <c r="G437" s="3">
        <v>4836113</v>
      </c>
      <c r="H437" t="s">
        <v>552</v>
      </c>
      <c r="I437" s="4">
        <v>14103694</v>
      </c>
      <c r="J437" t="s">
        <v>553</v>
      </c>
      <c r="K437" s="1">
        <v>43488</v>
      </c>
      <c r="L437">
        <v>79</v>
      </c>
      <c r="M437" s="2" t="str">
        <f>IF(Spotify[[#This Row],[Energie]]&gt;AVERAGE(Spotify[Energie]),"FORTE","FAIBLE")</f>
        <v>FAIBLE</v>
      </c>
      <c r="N437" s="2">
        <v>0.83699999999999997</v>
      </c>
      <c r="O437" s="2">
        <v>0.36399999999999999</v>
      </c>
      <c r="P437" s="2">
        <v>0.27600000000000002</v>
      </c>
      <c r="Q437" s="2">
        <v>0.14899999999999999</v>
      </c>
      <c r="R437" s="2">
        <v>0.27100000000000002</v>
      </c>
      <c r="S437" s="2">
        <v>0.46300000000000002</v>
      </c>
      <c r="T437" s="2">
        <v>-11.712999999999999</v>
      </c>
      <c r="U437">
        <v>213594</v>
      </c>
      <c r="V437">
        <f>YEAR(Spotify[[#This Row],[Date de sortie]])</f>
        <v>2019</v>
      </c>
      <c r="W437" s="2" t="str">
        <f>IF(Spotify[[#This Row],[Popularité]]&gt;=70,"FORTE","FAIBLE")</f>
        <v>FORTE</v>
      </c>
    </row>
    <row r="438" spans="1:23" x14ac:dyDescent="0.25">
      <c r="A438">
        <v>801</v>
      </c>
      <c r="B438">
        <v>30</v>
      </c>
      <c r="C438">
        <v>45</v>
      </c>
      <c r="D438" s="1">
        <v>43826</v>
      </c>
      <c r="E438" s="59" t="str" cm="1">
        <f t="array" ref="E43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38" t="s">
        <v>1390</v>
      </c>
      <c r="G438" s="3">
        <v>4813796</v>
      </c>
      <c r="H438" t="s">
        <v>12</v>
      </c>
      <c r="I438" s="4">
        <v>83337783</v>
      </c>
      <c r="J438" t="s">
        <v>10</v>
      </c>
      <c r="K438" s="1">
        <v>43644</v>
      </c>
      <c r="L438">
        <v>79</v>
      </c>
      <c r="M438" s="2" t="str">
        <f>IF(Spotify[[#This Row],[Energie]]&gt;AVERAGE(Spotify[Energie]),"FORTE","FAIBLE")</f>
        <v>FORTE</v>
      </c>
      <c r="N438" s="2">
        <v>0.64</v>
      </c>
      <c r="O438" s="2">
        <v>0.64800000000000002</v>
      </c>
      <c r="P438" s="2">
        <v>0.187</v>
      </c>
      <c r="Q438" s="2">
        <v>0.124</v>
      </c>
      <c r="R438" s="2">
        <v>8.0199999999999994E-2</v>
      </c>
      <c r="S438" s="2">
        <v>0.54800000000000004</v>
      </c>
      <c r="T438" s="2">
        <v>-8.1129999999999995</v>
      </c>
      <c r="U438">
        <v>197867</v>
      </c>
      <c r="V438">
        <f>YEAR(Spotify[[#This Row],[Date de sortie]])</f>
        <v>2019</v>
      </c>
      <c r="W438" s="2" t="str">
        <f>IF(Spotify[[#This Row],[Popularité]]&gt;=70,"FORTE","FAIBLE")</f>
        <v>FORTE</v>
      </c>
    </row>
    <row r="439" spans="1:23" x14ac:dyDescent="0.25">
      <c r="A439">
        <v>1552</v>
      </c>
      <c r="B439">
        <v>195</v>
      </c>
      <c r="C439">
        <v>1</v>
      </c>
      <c r="D439" s="1">
        <v>43826</v>
      </c>
      <c r="E439" s="59" t="str" cm="1">
        <f t="array" ref="E43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39" t="s">
        <v>2437</v>
      </c>
      <c r="G439" s="3">
        <v>4630675</v>
      </c>
      <c r="H439" t="s">
        <v>28</v>
      </c>
      <c r="I439" s="4">
        <v>27167675</v>
      </c>
      <c r="J439" t="s">
        <v>19</v>
      </c>
      <c r="K439" s="1">
        <v>42888</v>
      </c>
      <c r="L439">
        <v>79</v>
      </c>
      <c r="M439" s="2" t="str">
        <f>IF(Spotify[[#This Row],[Energie]]&gt;AVERAGE(Spotify[Energie]),"FORTE","FAIBLE")</f>
        <v>FORTE</v>
      </c>
      <c r="N439" s="2">
        <v>0.76200000000000001</v>
      </c>
      <c r="O439" s="2">
        <v>0.7</v>
      </c>
      <c r="P439" s="2">
        <v>6.9400000000000003E-2</v>
      </c>
      <c r="Q439" s="2">
        <v>2.6099999999999999E-3</v>
      </c>
      <c r="R439" s="2">
        <v>0.153</v>
      </c>
      <c r="S439" s="2">
        <v>0.60799999999999998</v>
      </c>
      <c r="T439" s="2">
        <v>-6.0209999999999999</v>
      </c>
      <c r="U439">
        <v>209320</v>
      </c>
      <c r="V439">
        <f>YEAR(Spotify[[#This Row],[Date de sortie]])</f>
        <v>2017</v>
      </c>
      <c r="W439" s="2" t="str">
        <f>IF(Spotify[[#This Row],[Popularité]]&gt;=70,"FORTE","FAIBLE")</f>
        <v>FORTE</v>
      </c>
    </row>
    <row r="440" spans="1:23" x14ac:dyDescent="0.25">
      <c r="A440">
        <v>1165</v>
      </c>
      <c r="B440">
        <v>51</v>
      </c>
      <c r="C440">
        <v>5</v>
      </c>
      <c r="D440" s="1">
        <v>43945</v>
      </c>
      <c r="E440" s="59" t="str" cm="1">
        <f t="array" ref="E44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440" t="s">
        <v>1919</v>
      </c>
      <c r="G440" s="3">
        <v>4537762</v>
      </c>
      <c r="H440" t="s">
        <v>310</v>
      </c>
      <c r="I440" s="4">
        <v>17732077</v>
      </c>
      <c r="J440" t="s">
        <v>186</v>
      </c>
      <c r="K440" s="1">
        <v>43315</v>
      </c>
      <c r="L440">
        <v>79</v>
      </c>
      <c r="M440" s="2" t="str">
        <f>IF(Spotify[[#This Row],[Energie]]&gt;AVERAGE(Spotify[Energie]),"FORTE","FAIBLE")</f>
        <v>FAIBLE</v>
      </c>
      <c r="N440" s="2">
        <v>0.76300000000000001</v>
      </c>
      <c r="O440" s="2">
        <v>0.628</v>
      </c>
      <c r="P440" s="2">
        <v>0.05</v>
      </c>
      <c r="Q440" s="2">
        <v>5.3100000000000001E-2</v>
      </c>
      <c r="R440" s="2">
        <v>0.114</v>
      </c>
      <c r="S440" s="2">
        <v>0.193</v>
      </c>
      <c r="T440" s="2">
        <v>-5.85</v>
      </c>
      <c r="U440">
        <v>190557</v>
      </c>
      <c r="V440">
        <f>YEAR(Spotify[[#This Row],[Date de sortie]])</f>
        <v>2018</v>
      </c>
      <c r="W440" s="2" t="str">
        <f>IF(Spotify[[#This Row],[Popularité]]&gt;=70,"FORTE","FAIBLE")</f>
        <v>FORTE</v>
      </c>
    </row>
    <row r="441" spans="1:23" x14ac:dyDescent="0.25">
      <c r="A441">
        <v>1095</v>
      </c>
      <c r="B441">
        <v>145</v>
      </c>
      <c r="C441">
        <v>5</v>
      </c>
      <c r="D441" s="1">
        <v>43987</v>
      </c>
      <c r="E441" s="59" t="str" cm="1">
        <f t="array" ref="E44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41" t="s">
        <v>1818</v>
      </c>
      <c r="G441" s="3">
        <v>4473413</v>
      </c>
      <c r="H441" t="s">
        <v>1819</v>
      </c>
      <c r="I441" s="4">
        <v>207170</v>
      </c>
      <c r="J441" t="s">
        <v>222</v>
      </c>
      <c r="K441" s="1">
        <v>44005</v>
      </c>
      <c r="L441">
        <v>79</v>
      </c>
      <c r="M441" s="2" t="str">
        <f>IF(Spotify[[#This Row],[Energie]]&gt;AVERAGE(Spotify[Energie]),"FORTE","FAIBLE")</f>
        <v>FAIBLE</v>
      </c>
      <c r="N441" s="2">
        <v>0.64800000000000002</v>
      </c>
      <c r="O441" s="2">
        <v>0.308</v>
      </c>
      <c r="P441" s="2">
        <v>0.04</v>
      </c>
      <c r="Q441" s="2">
        <v>0.88600000000000001</v>
      </c>
      <c r="R441" s="2">
        <v>0.124</v>
      </c>
      <c r="S441" s="2">
        <v>0.19800000000000001</v>
      </c>
      <c r="T441" s="2">
        <v>-11.728999999999999</v>
      </c>
      <c r="U441">
        <v>184638</v>
      </c>
      <c r="V441">
        <f>YEAR(Spotify[[#This Row],[Date de sortie]])</f>
        <v>2020</v>
      </c>
      <c r="W441" s="2" t="str">
        <f>IF(Spotify[[#This Row],[Popularité]]&gt;=70,"FORTE","FAIBLE")</f>
        <v>FORTE</v>
      </c>
    </row>
    <row r="442" spans="1:23" x14ac:dyDescent="0.25">
      <c r="A442">
        <v>960</v>
      </c>
      <c r="B442">
        <v>189</v>
      </c>
      <c r="C442">
        <v>2</v>
      </c>
      <c r="D442" s="1">
        <v>44057</v>
      </c>
      <c r="E442" s="59" t="str" cm="1">
        <f t="array" ref="E44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42" t="s">
        <v>1635</v>
      </c>
      <c r="G442" s="3">
        <v>4439790</v>
      </c>
      <c r="H442" t="s">
        <v>1636</v>
      </c>
      <c r="I442" s="4">
        <v>36369</v>
      </c>
      <c r="J442" t="s">
        <v>313</v>
      </c>
      <c r="K442" s="1">
        <v>43959</v>
      </c>
      <c r="L442">
        <v>79</v>
      </c>
      <c r="M442" s="2" t="str">
        <f>IF(Spotify[[#This Row],[Energie]]&gt;AVERAGE(Spotify[Energie]),"FORTE","FAIBLE")</f>
        <v>FORTE</v>
      </c>
      <c r="N442" s="2">
        <v>0.67700000000000005</v>
      </c>
      <c r="O442" s="2">
        <v>0.76600000000000001</v>
      </c>
      <c r="P442" s="2">
        <v>5.6800000000000003E-2</v>
      </c>
      <c r="Q442" s="2">
        <v>2.1899999999999999E-2</v>
      </c>
      <c r="R442" s="2">
        <v>0.129</v>
      </c>
      <c r="S442" s="2">
        <v>0.19800000000000001</v>
      </c>
      <c r="T442" s="2">
        <v>-6.8959999999999999</v>
      </c>
      <c r="U442">
        <v>190488</v>
      </c>
      <c r="V442">
        <f>YEAR(Spotify[[#This Row],[Date de sortie]])</f>
        <v>2020</v>
      </c>
      <c r="W442" s="2" t="str">
        <f>IF(Spotify[[#This Row],[Popularité]]&gt;=70,"FORTE","FAIBLE")</f>
        <v>FORTE</v>
      </c>
    </row>
    <row r="443" spans="1:23" x14ac:dyDescent="0.25">
      <c r="A443">
        <v>1096</v>
      </c>
      <c r="B443">
        <v>75</v>
      </c>
      <c r="C443">
        <v>25</v>
      </c>
      <c r="D443" s="1">
        <v>43826</v>
      </c>
      <c r="E443" s="59" t="str" cm="1">
        <f t="array" ref="E44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43" t="s">
        <v>1820</v>
      </c>
      <c r="G443" s="3">
        <v>4422905</v>
      </c>
      <c r="H443" t="s">
        <v>1821</v>
      </c>
      <c r="I443" s="4">
        <v>441714</v>
      </c>
      <c r="J443" t="s">
        <v>19</v>
      </c>
      <c r="K443" s="1">
        <v>43497</v>
      </c>
      <c r="L443">
        <v>79</v>
      </c>
      <c r="M443" s="2" t="str">
        <f>IF(Spotify[[#This Row],[Energie]]&gt;AVERAGE(Spotify[Energie]),"FORTE","FAIBLE")</f>
        <v>FORTE</v>
      </c>
      <c r="N443" s="2">
        <v>0.67700000000000005</v>
      </c>
      <c r="O443" s="2">
        <v>0.74399999999999999</v>
      </c>
      <c r="P443" s="2">
        <v>2.9499999999999998E-2</v>
      </c>
      <c r="Q443" s="2">
        <v>4.0399999999999998E-2</v>
      </c>
      <c r="R443" s="2">
        <v>7.3999999999999996E-2</v>
      </c>
      <c r="S443" s="2">
        <v>0.63100000000000001</v>
      </c>
      <c r="T443" s="2">
        <v>-6.806</v>
      </c>
      <c r="U443">
        <v>152913</v>
      </c>
      <c r="V443">
        <f>YEAR(Spotify[[#This Row],[Date de sortie]])</f>
        <v>2019</v>
      </c>
      <c r="W443" s="2" t="str">
        <f>IF(Spotify[[#This Row],[Popularité]]&gt;=70,"FORTE","FAIBLE")</f>
        <v>FORTE</v>
      </c>
    </row>
    <row r="444" spans="1:23" x14ac:dyDescent="0.25">
      <c r="A444">
        <v>962</v>
      </c>
      <c r="B444">
        <v>118</v>
      </c>
      <c r="C444">
        <v>33</v>
      </c>
      <c r="D444" s="1">
        <v>43826</v>
      </c>
      <c r="E444" s="59" t="str" cm="1">
        <f t="array" ref="E44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44" t="s">
        <v>1638</v>
      </c>
      <c r="G444" s="3">
        <v>4392936</v>
      </c>
      <c r="H444" t="s">
        <v>1639</v>
      </c>
      <c r="I444" s="4">
        <v>7593792</v>
      </c>
      <c r="J444" t="s">
        <v>313</v>
      </c>
      <c r="K444" s="1">
        <v>43644</v>
      </c>
      <c r="L444">
        <v>79</v>
      </c>
      <c r="M444" s="2" t="str">
        <f>IF(Spotify[[#This Row],[Energie]]&gt;AVERAGE(Spotify[Energie]),"FORTE","FAIBLE")</f>
        <v>FORTE</v>
      </c>
      <c r="N444" s="2">
        <v>0.69299999999999995</v>
      </c>
      <c r="O444" s="2">
        <v>0.67800000000000005</v>
      </c>
      <c r="P444" s="2">
        <v>3.2399999999999998E-2</v>
      </c>
      <c r="Q444" s="2">
        <v>1.5100000000000001E-2</v>
      </c>
      <c r="R444" s="2">
        <v>0.10100000000000001</v>
      </c>
      <c r="S444" s="2">
        <v>0.40400000000000003</v>
      </c>
      <c r="T444" s="2">
        <v>-7.1589999999999998</v>
      </c>
      <c r="U444">
        <v>228267</v>
      </c>
      <c r="V444">
        <f>YEAR(Spotify[[#This Row],[Date de sortie]])</f>
        <v>2019</v>
      </c>
      <c r="W444" s="2" t="str">
        <f>IF(Spotify[[#This Row],[Popularité]]&gt;=70,"FORTE","FAIBLE")</f>
        <v>FORTE</v>
      </c>
    </row>
    <row r="445" spans="1:23" x14ac:dyDescent="0.25">
      <c r="A445">
        <v>1098</v>
      </c>
      <c r="B445">
        <v>14</v>
      </c>
      <c r="C445">
        <v>17</v>
      </c>
      <c r="D445" s="1">
        <v>43889</v>
      </c>
      <c r="E445" s="59" t="str" cm="1">
        <f t="array" ref="E44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45" t="s">
        <v>1823</v>
      </c>
      <c r="G445" s="3">
        <v>4384527</v>
      </c>
      <c r="H445" t="s">
        <v>1824</v>
      </c>
      <c r="I445" s="4">
        <v>36177712</v>
      </c>
      <c r="J445" t="s">
        <v>25</v>
      </c>
      <c r="K445" s="1">
        <v>43890</v>
      </c>
      <c r="L445">
        <v>79</v>
      </c>
      <c r="M445" s="2" t="str">
        <f>IF(Spotify[[#This Row],[Energie]]&gt;AVERAGE(Spotify[Energie]),"FORTE","FAIBLE")</f>
        <v>FORTE</v>
      </c>
      <c r="N445" s="2">
        <v>0.74399999999999999</v>
      </c>
      <c r="O445" s="2">
        <v>0.86799999999999999</v>
      </c>
      <c r="P445" s="2">
        <v>4.7E-2</v>
      </c>
      <c r="Q445" s="2">
        <v>3.2599999999999997E-2</v>
      </c>
      <c r="R445" s="2">
        <v>8.2199999999999995E-2</v>
      </c>
      <c r="S445" s="2">
        <v>0.58599999999999997</v>
      </c>
      <c r="T445" s="2">
        <v>-4.524</v>
      </c>
      <c r="U445">
        <v>206420</v>
      </c>
      <c r="V445">
        <f>YEAR(Spotify[[#This Row],[Date de sortie]])</f>
        <v>2020</v>
      </c>
      <c r="W445" s="2" t="str">
        <f>IF(Spotify[[#This Row],[Popularité]]&gt;=70,"FORTE","FAIBLE")</f>
        <v>FORTE</v>
      </c>
    </row>
    <row r="446" spans="1:23" x14ac:dyDescent="0.25">
      <c r="A446">
        <v>257</v>
      </c>
      <c r="B446">
        <v>47</v>
      </c>
      <c r="C446">
        <v>1</v>
      </c>
      <c r="D446" s="1">
        <v>44372</v>
      </c>
      <c r="E446" s="59" t="str" cm="1">
        <f t="array" ref="E44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446" t="s">
        <v>517</v>
      </c>
      <c r="G446" s="3">
        <v>11380679</v>
      </c>
      <c r="H446" t="s">
        <v>425</v>
      </c>
      <c r="I446" s="4">
        <v>6777818</v>
      </c>
      <c r="J446" t="s">
        <v>426</v>
      </c>
      <c r="K446" s="1">
        <v>44372</v>
      </c>
      <c r="L446">
        <v>78</v>
      </c>
      <c r="M446" s="2" t="str">
        <f>IF(Spotify[[#This Row],[Energie]]&gt;AVERAGE(Spotify[Energie]),"FORTE","FAIBLE")</f>
        <v>FAIBLE</v>
      </c>
      <c r="N446" s="2">
        <v>0.62</v>
      </c>
      <c r="O446" s="2">
        <v>0.58599999999999997</v>
      </c>
      <c r="P446" s="2">
        <v>0.21199999999999999</v>
      </c>
      <c r="Q446" s="2">
        <v>0.155</v>
      </c>
      <c r="R446" s="2">
        <v>0.53500000000000003</v>
      </c>
      <c r="S446" s="2">
        <v>0.48699999999999999</v>
      </c>
      <c r="T446" s="2">
        <v>-6.6120000000000001</v>
      </c>
      <c r="U446">
        <v>130980</v>
      </c>
      <c r="V446">
        <f>YEAR(Spotify[[#This Row],[Date de sortie]])</f>
        <v>2021</v>
      </c>
      <c r="W446" s="2" t="str">
        <f>IF(Spotify[[#This Row],[Popularité]]&gt;=70,"FORTE","FAIBLE")</f>
        <v>FORTE</v>
      </c>
    </row>
    <row r="447" spans="1:23" x14ac:dyDescent="0.25">
      <c r="A447">
        <v>420</v>
      </c>
      <c r="B447">
        <v>72</v>
      </c>
      <c r="C447">
        <v>1</v>
      </c>
      <c r="D447" s="1">
        <v>44302</v>
      </c>
      <c r="E447" s="59" t="str" cm="1">
        <f t="array" ref="E44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447" t="s">
        <v>782</v>
      </c>
      <c r="G447" s="3">
        <v>7753784</v>
      </c>
      <c r="H447" t="s">
        <v>618</v>
      </c>
      <c r="I447" s="4">
        <v>61930</v>
      </c>
      <c r="J447" t="s">
        <v>186</v>
      </c>
      <c r="K447" s="1">
        <v>44302</v>
      </c>
      <c r="L447">
        <v>78</v>
      </c>
      <c r="M447" s="2" t="str">
        <f>IF(Spotify[[#This Row],[Energie]]&gt;AVERAGE(Spotify[Energie]),"FORTE","FAIBLE")</f>
        <v>FAIBLE</v>
      </c>
      <c r="N447" s="2">
        <v>0.95299999999999996</v>
      </c>
      <c r="O447" s="2">
        <v>0.621</v>
      </c>
      <c r="P447" s="2">
        <v>0.221</v>
      </c>
      <c r="Q447" s="2">
        <v>1.7000000000000001E-2</v>
      </c>
      <c r="R447" s="2">
        <v>3.9800000000000002E-2</v>
      </c>
      <c r="S447" s="2">
        <v>0.88300000000000001</v>
      </c>
      <c r="T447" s="2">
        <v>-7.6379999999999999</v>
      </c>
      <c r="U447">
        <v>152333</v>
      </c>
      <c r="V447">
        <f>YEAR(Spotify[[#This Row],[Date de sortie]])</f>
        <v>2021</v>
      </c>
      <c r="W447" s="2" t="str">
        <f>IF(Spotify[[#This Row],[Popularité]]&gt;=70,"FORTE","FAIBLE")</f>
        <v>FORTE</v>
      </c>
    </row>
    <row r="448" spans="1:23" x14ac:dyDescent="0.25">
      <c r="A448">
        <v>300</v>
      </c>
      <c r="B448">
        <v>71</v>
      </c>
      <c r="C448">
        <v>4</v>
      </c>
      <c r="D448" s="1">
        <v>44337</v>
      </c>
      <c r="E448" s="59" t="str" cm="1">
        <f t="array" ref="E44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448" t="s">
        <v>587</v>
      </c>
      <c r="G448" s="3">
        <v>7506580</v>
      </c>
      <c r="H448" t="s">
        <v>78</v>
      </c>
      <c r="I448" s="4">
        <v>4840346</v>
      </c>
      <c r="J448" t="s">
        <v>79</v>
      </c>
      <c r="K448" s="1">
        <v>44337</v>
      </c>
      <c r="L448">
        <v>78</v>
      </c>
      <c r="M448" s="2" t="str">
        <f>IF(Spotify[[#This Row],[Energie]]&gt;AVERAGE(Spotify[Energie]),"FORTE","FAIBLE")</f>
        <v>FAIBLE</v>
      </c>
      <c r="N448" s="2">
        <v>0.752</v>
      </c>
      <c r="O448" s="2">
        <v>0.56299999999999994</v>
      </c>
      <c r="P448" s="2">
        <v>0.20899999999999999</v>
      </c>
      <c r="Q448" s="2">
        <v>0.14599999999999999</v>
      </c>
      <c r="R448" s="2">
        <v>0.10299999999999999</v>
      </c>
      <c r="S448" s="2">
        <v>0.55100000000000005</v>
      </c>
      <c r="T448" s="2">
        <v>-8.0660000000000007</v>
      </c>
      <c r="U448">
        <v>178776</v>
      </c>
      <c r="V448">
        <f>YEAR(Spotify[[#This Row],[Date de sortie]])</f>
        <v>2021</v>
      </c>
      <c r="W448" s="2" t="str">
        <f>IF(Spotify[[#This Row],[Popularité]]&gt;=70,"FORTE","FAIBLE")</f>
        <v>FORTE</v>
      </c>
    </row>
    <row r="449" spans="1:23" x14ac:dyDescent="0.25">
      <c r="A449">
        <v>766</v>
      </c>
      <c r="B449">
        <v>95</v>
      </c>
      <c r="C449">
        <v>1</v>
      </c>
      <c r="D449" s="1">
        <v>44148</v>
      </c>
      <c r="E449" s="59" t="str" cm="1">
        <f t="array" ref="E44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449" t="s">
        <v>1332</v>
      </c>
      <c r="G449" s="3">
        <v>7292247</v>
      </c>
      <c r="H449" t="s">
        <v>1333</v>
      </c>
      <c r="I449" s="4">
        <v>10491105</v>
      </c>
      <c r="J449" t="s">
        <v>531</v>
      </c>
      <c r="K449" s="1">
        <v>44148</v>
      </c>
      <c r="L449">
        <v>78</v>
      </c>
      <c r="M449" s="2" t="str">
        <f>IF(Spotify[[#This Row],[Energie]]&gt;AVERAGE(Spotify[Energie]),"FORTE","FAIBLE")</f>
        <v>FORTE</v>
      </c>
      <c r="N449" s="2">
        <v>0.752</v>
      </c>
      <c r="O449" s="2">
        <v>0.65800000000000003</v>
      </c>
      <c r="P449" s="2">
        <v>0.34200000000000003</v>
      </c>
      <c r="Q449" s="2">
        <v>4.2099999999999999E-2</v>
      </c>
      <c r="R449" s="2">
        <v>9.2700000000000005E-2</v>
      </c>
      <c r="S449" s="2">
        <v>0.38700000000000001</v>
      </c>
      <c r="T449" s="2">
        <v>-6.2969999999999997</v>
      </c>
      <c r="U449">
        <v>213520</v>
      </c>
      <c r="V449">
        <f>YEAR(Spotify[[#This Row],[Date de sortie]])</f>
        <v>2020</v>
      </c>
      <c r="W449" s="2" t="str">
        <f>IF(Spotify[[#This Row],[Popularité]]&gt;=70,"FORTE","FAIBLE")</f>
        <v>FORTE</v>
      </c>
    </row>
    <row r="450" spans="1:23" x14ac:dyDescent="0.25">
      <c r="A450">
        <v>94</v>
      </c>
      <c r="B450">
        <v>94</v>
      </c>
      <c r="C450">
        <v>1</v>
      </c>
      <c r="D450" s="1">
        <v>44400</v>
      </c>
      <c r="E450" s="59" t="str" cm="1">
        <f t="array" ref="E45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450" t="s">
        <v>204</v>
      </c>
      <c r="G450" s="3">
        <v>7084292</v>
      </c>
      <c r="H450" t="s">
        <v>205</v>
      </c>
      <c r="I450" s="4">
        <v>1329531</v>
      </c>
      <c r="J450" t="s">
        <v>206</v>
      </c>
      <c r="K450" s="1">
        <v>44393</v>
      </c>
      <c r="L450">
        <v>78</v>
      </c>
      <c r="M450" s="2" t="str">
        <f>IF(Spotify[[#This Row],[Energie]]&gt;AVERAGE(Spotify[Energie]),"FORTE","FAIBLE")</f>
        <v>FORTE</v>
      </c>
      <c r="N450" s="2">
        <v>0.81899999999999995</v>
      </c>
      <c r="O450" s="2">
        <v>0.83499999999999996</v>
      </c>
      <c r="P450" s="2">
        <v>0.10199999999999999</v>
      </c>
      <c r="Q450" s="2">
        <v>0.39800000000000002</v>
      </c>
      <c r="R450" s="2">
        <v>0.252</v>
      </c>
      <c r="S450" s="2">
        <v>0.70299999999999996</v>
      </c>
      <c r="T450" s="2">
        <v>-4.899</v>
      </c>
      <c r="U450">
        <v>144264</v>
      </c>
      <c r="V450">
        <f>YEAR(Spotify[[#This Row],[Date de sortie]])</f>
        <v>2021</v>
      </c>
      <c r="W450" s="2" t="str">
        <f>IF(Spotify[[#This Row],[Popularité]]&gt;=70,"FORTE","FAIBLE")</f>
        <v>FORTE</v>
      </c>
    </row>
    <row r="451" spans="1:23" x14ac:dyDescent="0.25">
      <c r="A451">
        <v>238</v>
      </c>
      <c r="B451">
        <v>101</v>
      </c>
      <c r="C451">
        <v>1</v>
      </c>
      <c r="D451" s="1">
        <v>44379</v>
      </c>
      <c r="E451" s="59" t="str" cm="1">
        <f t="array" ref="E45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451" t="s">
        <v>479</v>
      </c>
      <c r="G451" s="3">
        <v>6731106</v>
      </c>
      <c r="H451" t="s">
        <v>480</v>
      </c>
      <c r="I451" s="4">
        <v>1724414</v>
      </c>
      <c r="J451" t="s">
        <v>481</v>
      </c>
      <c r="K451" s="1">
        <v>44378</v>
      </c>
      <c r="L451">
        <v>78</v>
      </c>
      <c r="M451" s="2" t="str">
        <f>IF(Spotify[[#This Row],[Energie]]&gt;AVERAGE(Spotify[Energie]),"FORTE","FAIBLE")</f>
        <v>FORTE</v>
      </c>
      <c r="N451" s="2">
        <v>0.65200000000000002</v>
      </c>
      <c r="O451" s="2">
        <v>0.71699999999999997</v>
      </c>
      <c r="P451" s="2">
        <v>5.8099999999999999E-2</v>
      </c>
      <c r="Q451" s="2">
        <v>6.9400000000000003E-2</v>
      </c>
      <c r="R451" s="2">
        <v>9.06E-2</v>
      </c>
      <c r="S451" s="2">
        <v>0.377</v>
      </c>
      <c r="T451" s="2">
        <v>-3.7509999999999999</v>
      </c>
      <c r="U451">
        <v>301304</v>
      </c>
      <c r="V451">
        <f>YEAR(Spotify[[#This Row],[Date de sortie]])</f>
        <v>2021</v>
      </c>
      <c r="W451" s="2" t="str">
        <f>IF(Spotify[[#This Row],[Popularité]]&gt;=70,"FORTE","FAIBLE")</f>
        <v>FORTE</v>
      </c>
    </row>
    <row r="452" spans="1:23" x14ac:dyDescent="0.25">
      <c r="A452">
        <v>747</v>
      </c>
      <c r="B452">
        <v>82</v>
      </c>
      <c r="C452">
        <v>11</v>
      </c>
      <c r="D452" s="1">
        <v>44127</v>
      </c>
      <c r="E452" s="59" t="str" cm="1">
        <f t="array" ref="E45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52" t="s">
        <v>1297</v>
      </c>
      <c r="G452" s="3">
        <v>6241923</v>
      </c>
      <c r="H452" t="s">
        <v>1298</v>
      </c>
      <c r="I452" s="4">
        <v>4431309</v>
      </c>
      <c r="J452" t="s">
        <v>19</v>
      </c>
      <c r="K452" s="1">
        <v>44064</v>
      </c>
      <c r="L452">
        <v>78</v>
      </c>
      <c r="M452" s="2" t="str">
        <f>IF(Spotify[[#This Row],[Energie]]&gt;AVERAGE(Spotify[Energie]),"FORTE","FAIBLE")</f>
        <v>FORTE</v>
      </c>
      <c r="N452" s="2">
        <v>0.77900000000000003</v>
      </c>
      <c r="O452" s="2">
        <v>0.70499999999999996</v>
      </c>
      <c r="P452" s="2">
        <v>3.44E-2</v>
      </c>
      <c r="Q452" s="2">
        <v>0.36899999999999999</v>
      </c>
      <c r="R452" s="2">
        <v>0.124</v>
      </c>
      <c r="S452" s="2">
        <v>0.94599999999999995</v>
      </c>
      <c r="T452" s="2">
        <v>-3.895</v>
      </c>
      <c r="U452">
        <v>178374</v>
      </c>
      <c r="V452">
        <f>YEAR(Spotify[[#This Row],[Date de sortie]])</f>
        <v>2020</v>
      </c>
      <c r="W452" s="2" t="str">
        <f>IF(Spotify[[#This Row],[Popularité]]&gt;=70,"FORTE","FAIBLE")</f>
        <v>FORTE</v>
      </c>
    </row>
    <row r="453" spans="1:23" x14ac:dyDescent="0.25">
      <c r="A453">
        <v>127</v>
      </c>
      <c r="B453">
        <v>122</v>
      </c>
      <c r="C453">
        <v>37</v>
      </c>
      <c r="D453" s="1">
        <v>44393</v>
      </c>
      <c r="E453" s="59" t="str" cm="1">
        <f t="array" ref="E45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53" t="s">
        <v>272</v>
      </c>
      <c r="G453" s="3">
        <v>6089242</v>
      </c>
      <c r="H453" t="s">
        <v>273</v>
      </c>
      <c r="I453" s="4">
        <v>2421254</v>
      </c>
      <c r="J453" t="s">
        <v>274</v>
      </c>
      <c r="K453" s="1">
        <v>41891</v>
      </c>
      <c r="L453">
        <v>78</v>
      </c>
      <c r="M453" s="2" t="str">
        <f>IF(Spotify[[#This Row],[Energie]]&gt;AVERAGE(Spotify[Energie]),"FORTE","FAIBLE")</f>
        <v>FORTE</v>
      </c>
      <c r="N453" s="2">
        <v>0.48399999999999999</v>
      </c>
      <c r="O453" s="2">
        <v>0.73099999999999998</v>
      </c>
      <c r="P453" s="2">
        <v>3.7900000000000003E-2</v>
      </c>
      <c r="Q453" s="2">
        <v>0.43099999999999999</v>
      </c>
      <c r="R453" s="2">
        <v>0.151</v>
      </c>
      <c r="S453" s="2">
        <v>0.51</v>
      </c>
      <c r="T453" s="2">
        <v>-6.694</v>
      </c>
      <c r="U453">
        <v>204280</v>
      </c>
      <c r="V453">
        <f>YEAR(Spotify[[#This Row],[Date de sortie]])</f>
        <v>2014</v>
      </c>
      <c r="W453" s="2" t="str">
        <f>IF(Spotify[[#This Row],[Popularité]]&gt;=70,"FORTE","FAIBLE")</f>
        <v>FORTE</v>
      </c>
    </row>
    <row r="454" spans="1:23" x14ac:dyDescent="0.25">
      <c r="A454">
        <v>366</v>
      </c>
      <c r="B454">
        <v>92</v>
      </c>
      <c r="C454">
        <v>3</v>
      </c>
      <c r="D454" s="1">
        <v>44316</v>
      </c>
      <c r="E454" s="59" t="str" cm="1">
        <f t="array" ref="E45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454" t="s">
        <v>689</v>
      </c>
      <c r="G454" s="3">
        <v>5595839</v>
      </c>
      <c r="H454" t="s">
        <v>690</v>
      </c>
      <c r="I454" s="4">
        <v>3126961</v>
      </c>
      <c r="J454" t="s">
        <v>110</v>
      </c>
      <c r="K454" s="1">
        <v>44314</v>
      </c>
      <c r="L454">
        <v>78</v>
      </c>
      <c r="M454" s="2" t="str">
        <f>IF(Spotify[[#This Row],[Energie]]&gt;AVERAGE(Spotify[Energie]),"FORTE","FAIBLE")</f>
        <v>FORTE</v>
      </c>
      <c r="N454" s="2">
        <v>0.83</v>
      </c>
      <c r="O454" s="2">
        <v>0.748</v>
      </c>
      <c r="P454" s="2">
        <v>0.16200000000000001</v>
      </c>
      <c r="Q454" s="2">
        <v>0.35399999999999998</v>
      </c>
      <c r="R454" s="2">
        <v>9.9199999999999997E-2</v>
      </c>
      <c r="S454" s="2">
        <v>0.52300000000000002</v>
      </c>
      <c r="T454" s="2">
        <v>-5.3620000000000001</v>
      </c>
      <c r="U454">
        <v>177443</v>
      </c>
      <c r="V454">
        <f>YEAR(Spotify[[#This Row],[Date de sortie]])</f>
        <v>2021</v>
      </c>
      <c r="W454" s="2" t="str">
        <f>IF(Spotify[[#This Row],[Popularité]]&gt;=70,"FORTE","FAIBLE")</f>
        <v>FORTE</v>
      </c>
    </row>
    <row r="455" spans="1:23" x14ac:dyDescent="0.25">
      <c r="A455">
        <v>557</v>
      </c>
      <c r="B455">
        <v>152</v>
      </c>
      <c r="C455">
        <v>1</v>
      </c>
      <c r="D455" s="1">
        <v>44232</v>
      </c>
      <c r="E455" s="59" t="str" cm="1">
        <f t="array" ref="E45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55" t="s">
        <v>998</v>
      </c>
      <c r="G455" s="3">
        <v>5579697</v>
      </c>
      <c r="H455" t="s">
        <v>999</v>
      </c>
      <c r="I455" s="4">
        <v>20528724</v>
      </c>
      <c r="J455" t="s">
        <v>897</v>
      </c>
      <c r="K455" s="1">
        <v>44231</v>
      </c>
      <c r="L455">
        <v>78</v>
      </c>
      <c r="M455" s="2" t="str">
        <f>IF(Spotify[[#This Row],[Energie]]&gt;AVERAGE(Spotify[Energie]),"FORTE","FAIBLE")</f>
        <v>FORTE</v>
      </c>
      <c r="N455" s="2">
        <v>0.57499999999999996</v>
      </c>
      <c r="O455" s="2">
        <v>0.84399999999999997</v>
      </c>
      <c r="P455" s="2">
        <v>7.1999999999999995E-2</v>
      </c>
      <c r="Q455" s="2">
        <v>1.72E-3</v>
      </c>
      <c r="R455" s="2">
        <v>0.114</v>
      </c>
      <c r="S455" s="2">
        <v>0.27700000000000002</v>
      </c>
      <c r="T455" s="2">
        <v>-4.8899999999999997</v>
      </c>
      <c r="U455">
        <v>177801</v>
      </c>
      <c r="V455">
        <f>YEAR(Spotify[[#This Row],[Date de sortie]])</f>
        <v>2021</v>
      </c>
      <c r="W455" s="2" t="str">
        <f>IF(Spotify[[#This Row],[Popularité]]&gt;=70,"FORTE","FAIBLE")</f>
        <v>FORTE</v>
      </c>
    </row>
    <row r="456" spans="1:23" x14ac:dyDescent="0.25">
      <c r="A456">
        <v>472</v>
      </c>
      <c r="B456">
        <v>181</v>
      </c>
      <c r="C456">
        <v>1</v>
      </c>
      <c r="D456" s="1">
        <v>44281</v>
      </c>
      <c r="E456" s="59" t="str" cm="1">
        <f t="array" ref="E45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56" t="s">
        <v>860</v>
      </c>
      <c r="G456" s="3">
        <v>5410730</v>
      </c>
      <c r="H456" t="s">
        <v>861</v>
      </c>
      <c r="I456" s="4">
        <v>203555</v>
      </c>
      <c r="J456" t="s">
        <v>862</v>
      </c>
      <c r="K456" s="1">
        <v>44208</v>
      </c>
      <c r="L456">
        <v>78</v>
      </c>
      <c r="M456" s="2" t="str">
        <f>IF(Spotify[[#This Row],[Energie]]&gt;AVERAGE(Spotify[Energie]),"FORTE","FAIBLE")</f>
        <v>FORTE</v>
      </c>
      <c r="N456" s="2">
        <v>0.44400000000000001</v>
      </c>
      <c r="O456" s="2">
        <v>0.64800000000000002</v>
      </c>
      <c r="P456" s="2">
        <v>4.7600000000000003E-2</v>
      </c>
      <c r="Q456" s="2">
        <v>0.28799999999999998</v>
      </c>
      <c r="R456" s="2">
        <v>5.8999999999999997E-2</v>
      </c>
      <c r="S456" s="2">
        <v>0.17100000000000001</v>
      </c>
      <c r="T456" s="2">
        <v>-4.9550000000000001</v>
      </c>
      <c r="U456">
        <v>189000</v>
      </c>
      <c r="V456">
        <f>YEAR(Spotify[[#This Row],[Date de sortie]])</f>
        <v>2021</v>
      </c>
      <c r="W456" s="2" t="str">
        <f>IF(Spotify[[#This Row],[Popularité]]&gt;=70,"FORTE","FAIBLE")</f>
        <v>FORTE</v>
      </c>
    </row>
    <row r="457" spans="1:23" x14ac:dyDescent="0.25">
      <c r="A457">
        <v>726</v>
      </c>
      <c r="B457">
        <v>60</v>
      </c>
      <c r="C457">
        <v>17</v>
      </c>
      <c r="D457" s="1">
        <v>43994</v>
      </c>
      <c r="E457" s="59" t="str" cm="1">
        <f t="array" ref="E45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457" t="s">
        <v>1271</v>
      </c>
      <c r="G457" s="3">
        <v>5370330</v>
      </c>
      <c r="H457" t="s">
        <v>6</v>
      </c>
      <c r="I457" s="4">
        <v>2238190</v>
      </c>
      <c r="J457" t="s">
        <v>7</v>
      </c>
      <c r="K457" s="1">
        <v>44036</v>
      </c>
      <c r="L457">
        <v>78</v>
      </c>
      <c r="M457" s="2" t="str">
        <f>IF(Spotify[[#This Row],[Energie]]&gt;AVERAGE(Spotify[Energie]),"FORTE","FAIBLE")</f>
        <v>FORTE</v>
      </c>
      <c r="N457" s="2">
        <v>0.48699999999999999</v>
      </c>
      <c r="O457" s="2">
        <v>0.74</v>
      </c>
      <c r="P457" s="2">
        <v>9.4399999999999998E-2</v>
      </c>
      <c r="Q457" s="2">
        <v>0.157</v>
      </c>
      <c r="R457" s="2">
        <v>0.61199999999999999</v>
      </c>
      <c r="S457" s="2">
        <v>0.52200000000000002</v>
      </c>
      <c r="T457" s="2">
        <v>-4.9729999999999999</v>
      </c>
      <c r="U457">
        <v>181688</v>
      </c>
      <c r="V457">
        <f>YEAR(Spotify[[#This Row],[Date de sortie]])</f>
        <v>2020</v>
      </c>
      <c r="W457" s="2" t="str">
        <f>IF(Spotify[[#This Row],[Popularité]]&gt;=70,"FORTE","FAIBLE")</f>
        <v>FORTE</v>
      </c>
    </row>
    <row r="458" spans="1:23" x14ac:dyDescent="0.25">
      <c r="A458">
        <v>750</v>
      </c>
      <c r="B458">
        <v>88</v>
      </c>
      <c r="C458">
        <v>12</v>
      </c>
      <c r="D458" s="1">
        <v>44113</v>
      </c>
      <c r="E458" s="59" t="str" cm="1">
        <f t="array" ref="E45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58" t="s">
        <v>1303</v>
      </c>
      <c r="G458" s="3">
        <v>5362508</v>
      </c>
      <c r="H458" t="s">
        <v>1304</v>
      </c>
      <c r="I458" s="4">
        <v>247480</v>
      </c>
      <c r="J458" t="s">
        <v>1305</v>
      </c>
      <c r="K458" s="1">
        <v>43854</v>
      </c>
      <c r="L458">
        <v>78</v>
      </c>
      <c r="M458" s="2" t="str">
        <f>IF(Spotify[[#This Row],[Energie]]&gt;AVERAGE(Spotify[Energie]),"FORTE","FAIBLE")</f>
        <v>FAIBLE</v>
      </c>
      <c r="N458" s="2">
        <v>0.88</v>
      </c>
      <c r="O458" s="2">
        <v>0.48299999999999998</v>
      </c>
      <c r="P458" s="2">
        <v>5.0500000000000003E-2</v>
      </c>
      <c r="Q458" s="2">
        <v>1.8499999999999999E-2</v>
      </c>
      <c r="R458" s="2">
        <v>6.0699999999999997E-2</v>
      </c>
      <c r="S458" s="2">
        <v>0.82699999999999996</v>
      </c>
      <c r="T458" s="2">
        <v>-7.0119999999999996</v>
      </c>
      <c r="U458">
        <v>342613</v>
      </c>
      <c r="V458">
        <f>YEAR(Spotify[[#This Row],[Date de sortie]])</f>
        <v>2020</v>
      </c>
      <c r="W458" s="2" t="str">
        <f>IF(Spotify[[#This Row],[Popularité]]&gt;=70,"FORTE","FAIBLE")</f>
        <v>FORTE</v>
      </c>
    </row>
    <row r="459" spans="1:23" x14ac:dyDescent="0.25">
      <c r="A459">
        <v>308</v>
      </c>
      <c r="B459">
        <v>181</v>
      </c>
      <c r="C459">
        <v>1</v>
      </c>
      <c r="D459" s="1">
        <v>44358</v>
      </c>
      <c r="E459" s="59" t="str" cm="1">
        <f t="array" ref="E45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459" t="s">
        <v>597</v>
      </c>
      <c r="G459" s="3">
        <v>5322745</v>
      </c>
      <c r="H459" t="s">
        <v>530</v>
      </c>
      <c r="I459" s="4">
        <v>11690201</v>
      </c>
      <c r="J459" t="s">
        <v>531</v>
      </c>
      <c r="K459" s="1">
        <v>44358</v>
      </c>
      <c r="L459">
        <v>78</v>
      </c>
      <c r="M459" s="2" t="str">
        <f>IF(Spotify[[#This Row],[Energie]]&gt;AVERAGE(Spotify[Energie]),"FORTE","FAIBLE")</f>
        <v>FAIBLE</v>
      </c>
      <c r="N459" s="2">
        <v>0.87</v>
      </c>
      <c r="O459" s="2">
        <v>0.629</v>
      </c>
      <c r="P459" s="2">
        <v>0.27900000000000003</v>
      </c>
      <c r="Q459" s="2">
        <v>0.17299999999999999</v>
      </c>
      <c r="R459" s="2">
        <v>0.10100000000000001</v>
      </c>
      <c r="S459" s="2">
        <v>0.51200000000000001</v>
      </c>
      <c r="T459" s="2">
        <v>-7.5979999999999999</v>
      </c>
      <c r="U459">
        <v>241790</v>
      </c>
      <c r="V459">
        <f>YEAR(Spotify[[#This Row],[Date de sortie]])</f>
        <v>2021</v>
      </c>
      <c r="W459" s="2" t="str">
        <f>IF(Spotify[[#This Row],[Popularité]]&gt;=70,"FORTE","FAIBLE")</f>
        <v>FORTE</v>
      </c>
    </row>
    <row r="460" spans="1:23" x14ac:dyDescent="0.25">
      <c r="A460">
        <v>485</v>
      </c>
      <c r="B460">
        <v>37</v>
      </c>
      <c r="C460">
        <v>31</v>
      </c>
      <c r="D460" s="1">
        <v>44141</v>
      </c>
      <c r="E460" s="59" t="str" cm="1">
        <f t="array" ref="E46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60" t="s">
        <v>882</v>
      </c>
      <c r="G460" s="3">
        <v>5312876</v>
      </c>
      <c r="H460" t="s">
        <v>883</v>
      </c>
      <c r="I460" s="4">
        <v>26769304</v>
      </c>
      <c r="J460" t="s">
        <v>25</v>
      </c>
      <c r="K460" s="1">
        <v>44064</v>
      </c>
      <c r="L460">
        <v>78</v>
      </c>
      <c r="M460" s="2" t="str">
        <f>IF(Spotify[[#This Row],[Energie]]&gt;AVERAGE(Spotify[Energie]),"FORTE","FAIBLE")</f>
        <v>FORTE</v>
      </c>
      <c r="N460" s="2">
        <v>0.69099999999999995</v>
      </c>
      <c r="O460" s="2">
        <v>0.73899999999999999</v>
      </c>
      <c r="P460" s="2">
        <v>0.22900000000000001</v>
      </c>
      <c r="Q460" s="2">
        <v>0.42199999999999999</v>
      </c>
      <c r="R460" s="2">
        <v>0.11</v>
      </c>
      <c r="S460" s="2">
        <v>0.88400000000000001</v>
      </c>
      <c r="T460" s="2">
        <v>-3.09</v>
      </c>
      <c r="U460">
        <v>248345</v>
      </c>
      <c r="V460">
        <f>YEAR(Spotify[[#This Row],[Date de sortie]])</f>
        <v>2020</v>
      </c>
      <c r="W460" s="2" t="str">
        <f>IF(Spotify[[#This Row],[Popularité]]&gt;=70,"FORTE","FAIBLE")</f>
        <v>FORTE</v>
      </c>
    </row>
    <row r="461" spans="1:23" x14ac:dyDescent="0.25">
      <c r="A461">
        <v>478</v>
      </c>
      <c r="B461">
        <v>22</v>
      </c>
      <c r="C461">
        <v>29</v>
      </c>
      <c r="D461" s="1">
        <v>44127</v>
      </c>
      <c r="E461" s="59" t="str" cm="1">
        <f t="array" ref="E46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61" t="s">
        <v>871</v>
      </c>
      <c r="G461" s="3">
        <v>5255393</v>
      </c>
      <c r="H461" t="s">
        <v>57</v>
      </c>
      <c r="I461" s="4">
        <v>10510156</v>
      </c>
      <c r="J461" t="s">
        <v>25</v>
      </c>
      <c r="K461" s="1">
        <v>44036</v>
      </c>
      <c r="L461">
        <v>78</v>
      </c>
      <c r="M461" s="2" t="str">
        <f>IF(Spotify[[#This Row],[Energie]]&gt;AVERAGE(Spotify[Energie]),"FORTE","FAIBLE")</f>
        <v>FORTE</v>
      </c>
      <c r="N461" s="2">
        <v>0.65900000000000003</v>
      </c>
      <c r="O461" s="2">
        <v>0.70099999999999996</v>
      </c>
      <c r="P461" s="2">
        <v>0.16400000000000001</v>
      </c>
      <c r="Q461" s="2">
        <v>8.8200000000000001E-2</v>
      </c>
      <c r="R461" s="2">
        <v>8.6599999999999996E-2</v>
      </c>
      <c r="S461" s="2">
        <v>0.623</v>
      </c>
      <c r="T461" s="2">
        <v>-4.1070000000000002</v>
      </c>
      <c r="U461">
        <v>180520</v>
      </c>
      <c r="V461">
        <f>YEAR(Spotify[[#This Row],[Date de sortie]])</f>
        <v>2020</v>
      </c>
      <c r="W461" s="2" t="str">
        <f>IF(Spotify[[#This Row],[Popularité]]&gt;=70,"FORTE","FAIBLE")</f>
        <v>FORTE</v>
      </c>
    </row>
    <row r="462" spans="1:23" x14ac:dyDescent="0.25">
      <c r="A462">
        <v>809</v>
      </c>
      <c r="B462">
        <v>105</v>
      </c>
      <c r="C462">
        <v>26</v>
      </c>
      <c r="D462" s="1">
        <v>43833</v>
      </c>
      <c r="E462" s="59" t="str" cm="1">
        <f t="array" ref="E46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62" t="s">
        <v>1399</v>
      </c>
      <c r="G462" s="3">
        <v>5229835</v>
      </c>
      <c r="H462" t="s">
        <v>1041</v>
      </c>
      <c r="I462" s="4">
        <v>17097317</v>
      </c>
      <c r="J462" t="s">
        <v>19</v>
      </c>
      <c r="K462" s="1">
        <v>43476</v>
      </c>
      <c r="L462">
        <v>78</v>
      </c>
      <c r="M462" s="2" t="str">
        <f>IF(Spotify[[#This Row],[Energie]]&gt;AVERAGE(Spotify[Energie]),"FORTE","FAIBLE")</f>
        <v>FAIBLE</v>
      </c>
      <c r="N462" s="2">
        <v>0.74099999999999999</v>
      </c>
      <c r="O462" s="2">
        <v>0.52</v>
      </c>
      <c r="P462" s="2">
        <v>6.5600000000000006E-2</v>
      </c>
      <c r="Q462" s="2">
        <v>0.45</v>
      </c>
      <c r="R462" s="2">
        <v>0.222</v>
      </c>
      <c r="S462" s="2">
        <v>0.34699999999999998</v>
      </c>
      <c r="T462" s="2">
        <v>-7.5129999999999999</v>
      </c>
      <c r="U462">
        <v>171030</v>
      </c>
      <c r="V462">
        <f>YEAR(Spotify[[#This Row],[Date de sortie]])</f>
        <v>2019</v>
      </c>
      <c r="W462" s="2" t="str">
        <f>IF(Spotify[[#This Row],[Popularité]]&gt;=70,"FORTE","FAIBLE")</f>
        <v>FORTE</v>
      </c>
    </row>
    <row r="463" spans="1:23" x14ac:dyDescent="0.25">
      <c r="A463">
        <v>886</v>
      </c>
      <c r="B463">
        <v>64</v>
      </c>
      <c r="C463">
        <v>17</v>
      </c>
      <c r="D463" s="1">
        <v>44050</v>
      </c>
      <c r="E463" s="59" t="str" cm="1">
        <f t="array" ref="E46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63" t="s">
        <v>1518</v>
      </c>
      <c r="G463" s="3">
        <v>5178107</v>
      </c>
      <c r="H463" t="s">
        <v>1519</v>
      </c>
      <c r="I463" s="4">
        <v>152237</v>
      </c>
      <c r="J463" t="s">
        <v>19</v>
      </c>
      <c r="K463" s="1">
        <v>43945</v>
      </c>
      <c r="L463">
        <v>78</v>
      </c>
      <c r="M463" s="2" t="str">
        <f>IF(Spotify[[#This Row],[Energie]]&gt;AVERAGE(Spotify[Energie]),"FORTE","FAIBLE")</f>
        <v>FORTE</v>
      </c>
      <c r="N463" s="2">
        <v>0.84799999999999998</v>
      </c>
      <c r="O463" s="2">
        <v>0.76800000000000002</v>
      </c>
      <c r="P463" s="2">
        <v>3.73E-2</v>
      </c>
      <c r="Q463" s="2">
        <v>4.1200000000000001E-2</v>
      </c>
      <c r="R463" s="2">
        <v>0.19500000000000001</v>
      </c>
      <c r="S463" s="2">
        <v>0.77700000000000002</v>
      </c>
      <c r="T463" s="2">
        <v>-5.3860000000000001</v>
      </c>
      <c r="U463">
        <v>176767</v>
      </c>
      <c r="V463">
        <f>YEAR(Spotify[[#This Row],[Date de sortie]])</f>
        <v>2020</v>
      </c>
      <c r="W463" s="2" t="str">
        <f>IF(Spotify[[#This Row],[Popularité]]&gt;=70,"FORTE","FAIBLE")</f>
        <v>FORTE</v>
      </c>
    </row>
    <row r="464" spans="1:23" x14ac:dyDescent="0.25">
      <c r="A464">
        <v>1155</v>
      </c>
      <c r="B464">
        <v>54</v>
      </c>
      <c r="C464">
        <v>22</v>
      </c>
      <c r="D464" s="1">
        <v>43833</v>
      </c>
      <c r="E464" s="59" t="str" cm="1">
        <f t="array" ref="E46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464" t="s">
        <v>1905</v>
      </c>
      <c r="G464" s="3">
        <v>5134161</v>
      </c>
      <c r="H464" t="s">
        <v>59</v>
      </c>
      <c r="I464" s="4">
        <v>33663701</v>
      </c>
      <c r="J464" t="s">
        <v>60</v>
      </c>
      <c r="K464" s="1">
        <v>43714</v>
      </c>
      <c r="L464">
        <v>78</v>
      </c>
      <c r="M464" s="2" t="str">
        <f>IF(Spotify[[#This Row],[Energie]]&gt;AVERAGE(Spotify[Energie]),"FORTE","FAIBLE")</f>
        <v>FORTE</v>
      </c>
      <c r="N464" s="2">
        <v>0.54800000000000004</v>
      </c>
      <c r="O464" s="2">
        <v>0.65300000000000002</v>
      </c>
      <c r="P464" s="2">
        <v>8.1000000000000003E-2</v>
      </c>
      <c r="Q464" s="2">
        <v>0.45600000000000002</v>
      </c>
      <c r="R464" s="2">
        <v>0.10299999999999999</v>
      </c>
      <c r="S464" s="2">
        <v>0.16300000000000001</v>
      </c>
      <c r="T464" s="2">
        <v>-3.875</v>
      </c>
      <c r="U464">
        <v>174853</v>
      </c>
      <c r="V464">
        <f>YEAR(Spotify[[#This Row],[Date de sortie]])</f>
        <v>2019</v>
      </c>
      <c r="W464" s="2" t="str">
        <f>IF(Spotify[[#This Row],[Popularité]]&gt;=70,"FORTE","FAIBLE")</f>
        <v>FORTE</v>
      </c>
    </row>
    <row r="465" spans="1:23" x14ac:dyDescent="0.25">
      <c r="A465">
        <v>546</v>
      </c>
      <c r="B465">
        <v>22</v>
      </c>
      <c r="C465">
        <v>32</v>
      </c>
      <c r="D465" s="1">
        <v>44071</v>
      </c>
      <c r="E465" s="59" t="str" cm="1">
        <f t="array" ref="E46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65" t="s">
        <v>984</v>
      </c>
      <c r="G465" s="3">
        <v>5120753</v>
      </c>
      <c r="H465" t="s">
        <v>21</v>
      </c>
      <c r="I465" s="4">
        <v>6096559</v>
      </c>
      <c r="J465" t="s">
        <v>22</v>
      </c>
      <c r="K465" s="1">
        <v>44021</v>
      </c>
      <c r="L465">
        <v>78</v>
      </c>
      <c r="M465" s="2" t="str">
        <f>IF(Spotify[[#This Row],[Energie]]&gt;AVERAGE(Spotify[Energie]),"FORTE","FAIBLE")</f>
        <v>FORTE</v>
      </c>
      <c r="N465" s="2">
        <v>0.84799999999999998</v>
      </c>
      <c r="O465" s="2">
        <v>0.63700000000000001</v>
      </c>
      <c r="P465" s="2">
        <v>0.156</v>
      </c>
      <c r="Q465" s="2">
        <v>4.1300000000000003E-2</v>
      </c>
      <c r="R465" s="2">
        <v>5.21E-2</v>
      </c>
      <c r="S465" s="2">
        <v>0.69799999999999995</v>
      </c>
      <c r="T465" s="2">
        <v>-5.1319999999999997</v>
      </c>
      <c r="U465">
        <v>222680</v>
      </c>
      <c r="V465">
        <f>YEAR(Spotify[[#This Row],[Date de sortie]])</f>
        <v>2020</v>
      </c>
      <c r="W465" s="2" t="str">
        <f>IF(Spotify[[#This Row],[Popularité]]&gt;=70,"FORTE","FAIBLE")</f>
        <v>FORTE</v>
      </c>
    </row>
    <row r="466" spans="1:23" x14ac:dyDescent="0.25">
      <c r="A466">
        <v>537</v>
      </c>
      <c r="B466">
        <v>173</v>
      </c>
      <c r="C466">
        <v>5</v>
      </c>
      <c r="D466" s="1">
        <v>44232</v>
      </c>
      <c r="E466" s="59" t="str" cm="1">
        <f t="array" ref="E46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66" t="s">
        <v>970</v>
      </c>
      <c r="G466" s="3">
        <v>5116325</v>
      </c>
      <c r="H466" t="s">
        <v>971</v>
      </c>
      <c r="I466" s="4">
        <v>251549</v>
      </c>
      <c r="J466" t="s">
        <v>222</v>
      </c>
      <c r="K466" s="1">
        <v>44141</v>
      </c>
      <c r="L466">
        <v>78</v>
      </c>
      <c r="M466" s="2" t="str">
        <f>IF(Spotify[[#This Row],[Energie]]&gt;AVERAGE(Spotify[Energie]),"FORTE","FAIBLE")</f>
        <v>FAIBLE</v>
      </c>
      <c r="N466" s="2">
        <v>0.67900000000000005</v>
      </c>
      <c r="O466" s="2">
        <v>0.61</v>
      </c>
      <c r="P466" s="2">
        <v>3.0499999999999999E-2</v>
      </c>
      <c r="Q466" s="2">
        <v>0.58499999999999996</v>
      </c>
      <c r="R466" s="2">
        <v>0.156</v>
      </c>
      <c r="S466" s="2">
        <v>0.55400000000000005</v>
      </c>
      <c r="T466" s="2">
        <v>-10.936</v>
      </c>
      <c r="U466">
        <v>227186</v>
      </c>
      <c r="V466">
        <f>YEAR(Spotify[[#This Row],[Date de sortie]])</f>
        <v>2020</v>
      </c>
      <c r="W466" s="2" t="str">
        <f>IF(Spotify[[#This Row],[Popularité]]&gt;=70,"FORTE","FAIBLE")</f>
        <v>FORTE</v>
      </c>
    </row>
    <row r="467" spans="1:23" x14ac:dyDescent="0.25">
      <c r="A467">
        <v>1375</v>
      </c>
      <c r="B467">
        <v>140</v>
      </c>
      <c r="C467">
        <v>9</v>
      </c>
      <c r="D467" s="1">
        <v>43861</v>
      </c>
      <c r="E467" s="59" t="str" cm="1">
        <f t="array" ref="E46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67" t="s">
        <v>2203</v>
      </c>
      <c r="G467" s="3">
        <v>5115153</v>
      </c>
      <c r="H467" t="s">
        <v>746</v>
      </c>
      <c r="I467" s="4">
        <v>42227614</v>
      </c>
      <c r="J467" t="s">
        <v>10</v>
      </c>
      <c r="K467" s="1">
        <v>43700</v>
      </c>
      <c r="L467">
        <v>78</v>
      </c>
      <c r="M467" s="2" t="str">
        <f>IF(Spotify[[#This Row],[Energie]]&gt;AVERAGE(Spotify[Energie]),"FORTE","FAIBLE")</f>
        <v>FORTE</v>
      </c>
      <c r="N467" s="2">
        <v>0.77100000000000002</v>
      </c>
      <c r="O467" s="2">
        <v>0.67100000000000004</v>
      </c>
      <c r="P467" s="2">
        <v>5.5300000000000002E-2</v>
      </c>
      <c r="Q467" s="2">
        <v>9.2899999999999996E-3</v>
      </c>
      <c r="R467" s="2">
        <v>6.3700000000000007E-2</v>
      </c>
      <c r="S467" s="2">
        <v>0.71399999999999997</v>
      </c>
      <c r="T467" s="2">
        <v>-5.617</v>
      </c>
      <c r="U467">
        <v>171360</v>
      </c>
      <c r="V467">
        <f>YEAR(Spotify[[#This Row],[Date de sortie]])</f>
        <v>2019</v>
      </c>
      <c r="W467" s="2" t="str">
        <f>IF(Spotify[[#This Row],[Popularité]]&gt;=70,"FORTE","FAIBLE")</f>
        <v>FORTE</v>
      </c>
    </row>
    <row r="468" spans="1:23" x14ac:dyDescent="0.25">
      <c r="A468">
        <v>191</v>
      </c>
      <c r="B468">
        <v>191</v>
      </c>
      <c r="C468">
        <v>1</v>
      </c>
      <c r="D468" s="1">
        <v>44400</v>
      </c>
      <c r="E468" s="59" t="str" cm="1">
        <f t="array" ref="E46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68" t="s">
        <v>394</v>
      </c>
      <c r="G468" s="3">
        <v>5063181</v>
      </c>
      <c r="H468" t="s">
        <v>395</v>
      </c>
      <c r="I468" s="4">
        <v>8148393</v>
      </c>
      <c r="J468" t="s">
        <v>19</v>
      </c>
      <c r="K468" s="1">
        <v>44400</v>
      </c>
      <c r="L468">
        <v>78</v>
      </c>
      <c r="M468" s="2" t="str">
        <f>IF(Spotify[[#This Row],[Energie]]&gt;AVERAGE(Spotify[Energie]),"FORTE","FAIBLE")</f>
        <v>FORTE</v>
      </c>
      <c r="N468" s="2">
        <v>0.63800000000000001</v>
      </c>
      <c r="O468" s="2">
        <v>0.878</v>
      </c>
      <c r="P468" s="2">
        <v>4.8399999999999999E-2</v>
      </c>
      <c r="Q468" s="2">
        <v>1.5100000000000001E-2</v>
      </c>
      <c r="R468" s="2">
        <v>0.308</v>
      </c>
      <c r="S468" s="2">
        <v>0.48099999999999998</v>
      </c>
      <c r="T468" s="2">
        <v>-3.6389999999999998</v>
      </c>
      <c r="U468">
        <v>176800</v>
      </c>
      <c r="V468">
        <f>YEAR(Spotify[[#This Row],[Date de sortie]])</f>
        <v>2021</v>
      </c>
      <c r="W468" s="2" t="str">
        <f>IF(Spotify[[#This Row],[Popularité]]&gt;=70,"FORTE","FAIBLE")</f>
        <v>FORTE</v>
      </c>
    </row>
    <row r="469" spans="1:23" x14ac:dyDescent="0.25">
      <c r="A469">
        <v>458</v>
      </c>
      <c r="B469">
        <v>75</v>
      </c>
      <c r="C469">
        <v>5</v>
      </c>
      <c r="D469" s="1">
        <v>44260</v>
      </c>
      <c r="E469" s="59" t="str" cm="1">
        <f t="array" ref="E46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469" t="s">
        <v>835</v>
      </c>
      <c r="G469" s="3">
        <v>5060336</v>
      </c>
      <c r="H469" t="s">
        <v>836</v>
      </c>
      <c r="I469" s="4">
        <v>301217</v>
      </c>
      <c r="J469" t="s">
        <v>103</v>
      </c>
      <c r="K469" s="1">
        <v>44259</v>
      </c>
      <c r="L469">
        <v>78</v>
      </c>
      <c r="M469" s="2" t="str">
        <f>IF(Spotify[[#This Row],[Energie]]&gt;AVERAGE(Spotify[Energie]),"FORTE","FAIBLE")</f>
        <v>FAIBLE</v>
      </c>
      <c r="N469" s="2">
        <v>0.39700000000000002</v>
      </c>
      <c r="O469" s="2">
        <v>0.61299999999999999</v>
      </c>
      <c r="P469" s="2">
        <v>5.4899999999999997E-2</v>
      </c>
      <c r="Q469" s="2">
        <v>3.9600000000000003E-2</v>
      </c>
      <c r="R469" s="2">
        <v>0.192</v>
      </c>
      <c r="S469" s="2">
        <v>0.40500000000000003</v>
      </c>
      <c r="T469" s="2">
        <v>-5.077</v>
      </c>
      <c r="U469">
        <v>330040</v>
      </c>
      <c r="V469">
        <f>YEAR(Spotify[[#This Row],[Date de sortie]])</f>
        <v>2021</v>
      </c>
      <c r="W469" s="2" t="str">
        <f>IF(Spotify[[#This Row],[Popularité]]&gt;=70,"FORTE","FAIBLE")</f>
        <v>FORTE</v>
      </c>
    </row>
    <row r="470" spans="1:23" x14ac:dyDescent="0.25">
      <c r="A470">
        <v>538</v>
      </c>
      <c r="B470">
        <v>128</v>
      </c>
      <c r="C470">
        <v>3</v>
      </c>
      <c r="D470" s="1">
        <v>44218</v>
      </c>
      <c r="E470" s="59" t="str" cm="1">
        <f t="array" ref="E47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70" t="s">
        <v>972</v>
      </c>
      <c r="G470" s="3">
        <v>5059891</v>
      </c>
      <c r="H470" t="s">
        <v>973</v>
      </c>
      <c r="I470" s="4">
        <v>9778632</v>
      </c>
      <c r="J470" t="s">
        <v>19</v>
      </c>
      <c r="K470" s="1">
        <v>44217</v>
      </c>
      <c r="L470">
        <v>78</v>
      </c>
      <c r="M470" s="2" t="str">
        <f>IF(Spotify[[#This Row],[Energie]]&gt;AVERAGE(Spotify[Energie]),"FORTE","FAIBLE")</f>
        <v>FORTE</v>
      </c>
      <c r="N470" s="2">
        <v>0.749</v>
      </c>
      <c r="O470" s="2">
        <v>0.67400000000000004</v>
      </c>
      <c r="P470" s="2">
        <v>3.6600000000000001E-2</v>
      </c>
      <c r="Q470" s="2">
        <v>2.0899999999999998E-2</v>
      </c>
      <c r="R470" s="2">
        <v>0.16900000000000001</v>
      </c>
      <c r="S470" s="2">
        <v>0.71099999999999997</v>
      </c>
      <c r="T470" s="2">
        <v>-5.1280000000000001</v>
      </c>
      <c r="U470">
        <v>153865</v>
      </c>
      <c r="V470">
        <f>YEAR(Spotify[[#This Row],[Date de sortie]])</f>
        <v>2021</v>
      </c>
      <c r="W470" s="2" t="str">
        <f>IF(Spotify[[#This Row],[Popularité]]&gt;=70,"FORTE","FAIBLE")</f>
        <v>FORTE</v>
      </c>
    </row>
    <row r="471" spans="1:23" x14ac:dyDescent="0.25">
      <c r="A471">
        <v>758</v>
      </c>
      <c r="B471">
        <v>188</v>
      </c>
      <c r="C471">
        <v>1</v>
      </c>
      <c r="D471" s="1">
        <v>44155</v>
      </c>
      <c r="E471" s="59" t="str" cm="1">
        <f t="array" ref="E47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71" t="s">
        <v>1316</v>
      </c>
      <c r="G471" s="3">
        <v>4988571</v>
      </c>
      <c r="H471" t="s">
        <v>1317</v>
      </c>
      <c r="I471" s="4">
        <v>11034144</v>
      </c>
      <c r="J471" t="s">
        <v>19</v>
      </c>
      <c r="K471" s="1">
        <v>41348</v>
      </c>
      <c r="L471">
        <v>78</v>
      </c>
      <c r="M471" s="2" t="str">
        <f>IF(Spotify[[#This Row],[Energie]]&gt;AVERAGE(Spotify[Energie]),"FORTE","FAIBLE")</f>
        <v>FAIBLE</v>
      </c>
      <c r="N471" s="2">
        <v>0.57399999999999995</v>
      </c>
      <c r="O471" s="2">
        <v>0.51200000000000001</v>
      </c>
      <c r="P471" s="2">
        <v>5.0299999999999997E-2</v>
      </c>
      <c r="Q471" s="2">
        <v>0.23400000000000001</v>
      </c>
      <c r="R471" s="2">
        <v>9.4600000000000004E-2</v>
      </c>
      <c r="S471" s="2">
        <v>0.51200000000000001</v>
      </c>
      <c r="T471" s="2">
        <v>-6.6639999999999997</v>
      </c>
      <c r="U471">
        <v>484147</v>
      </c>
      <c r="V471">
        <f>YEAR(Spotify[[#This Row],[Date de sortie]])</f>
        <v>2013</v>
      </c>
      <c r="W471" s="2" t="str">
        <f>IF(Spotify[[#This Row],[Popularité]]&gt;=70,"FORTE","FAIBLE")</f>
        <v>FORTE</v>
      </c>
    </row>
    <row r="472" spans="1:23" x14ac:dyDescent="0.25">
      <c r="A472">
        <v>464</v>
      </c>
      <c r="B472">
        <v>45</v>
      </c>
      <c r="C472">
        <v>18</v>
      </c>
      <c r="D472" s="1">
        <v>44197</v>
      </c>
      <c r="E472" s="59" t="str" cm="1">
        <f t="array" ref="E47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72" t="s">
        <v>847</v>
      </c>
      <c r="G472" s="3">
        <v>4967348</v>
      </c>
      <c r="H472" t="s">
        <v>848</v>
      </c>
      <c r="I472" s="4">
        <v>10580764</v>
      </c>
      <c r="J472" t="s">
        <v>72</v>
      </c>
      <c r="K472" s="1">
        <v>44160</v>
      </c>
      <c r="L472">
        <v>78</v>
      </c>
      <c r="M472" s="2" t="str">
        <f>IF(Spotify[[#This Row],[Energie]]&gt;AVERAGE(Spotify[Energie]),"FORTE","FAIBLE")</f>
        <v>FORTE</v>
      </c>
      <c r="N472" s="2">
        <v>0.86199999999999999</v>
      </c>
      <c r="O472" s="2">
        <v>0.72</v>
      </c>
      <c r="P472" s="2">
        <v>3.7900000000000003E-2</v>
      </c>
      <c r="Q472" s="2">
        <v>0.48699999999999999</v>
      </c>
      <c r="R472" s="2">
        <v>6.0400000000000002E-2</v>
      </c>
      <c r="S472" s="2">
        <v>0.96499999999999997</v>
      </c>
      <c r="T472" s="2">
        <v>-4.048</v>
      </c>
      <c r="U472">
        <v>198707</v>
      </c>
      <c r="V472">
        <f>YEAR(Spotify[[#This Row],[Date de sortie]])</f>
        <v>2020</v>
      </c>
      <c r="W472" s="2" t="str">
        <f>IF(Spotify[[#This Row],[Popularité]]&gt;=70,"FORTE","FAIBLE")</f>
        <v>FORTE</v>
      </c>
    </row>
    <row r="473" spans="1:23" x14ac:dyDescent="0.25">
      <c r="A473">
        <v>550</v>
      </c>
      <c r="B473">
        <v>2</v>
      </c>
      <c r="C473">
        <v>46</v>
      </c>
      <c r="D473" s="1">
        <v>43952</v>
      </c>
      <c r="E473" s="59" t="str" cm="1">
        <f t="array" ref="E47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473" t="s">
        <v>989</v>
      </c>
      <c r="G473" s="3">
        <v>4966878</v>
      </c>
      <c r="H473" t="s">
        <v>179</v>
      </c>
      <c r="I473" s="4">
        <v>56327031</v>
      </c>
      <c r="J473" t="s">
        <v>155</v>
      </c>
      <c r="K473" s="1">
        <v>43924</v>
      </c>
      <c r="L473">
        <v>78</v>
      </c>
      <c r="M473" s="2" t="str">
        <f>IF(Spotify[[#This Row],[Energie]]&gt;AVERAGE(Spotify[Energie]),"FORTE","FAIBLE")</f>
        <v>FAIBLE</v>
      </c>
      <c r="N473" s="2">
        <v>0.83399999999999996</v>
      </c>
      <c r="O473" s="2">
        <v>0.45400000000000001</v>
      </c>
      <c r="P473" s="2">
        <v>0.20100000000000001</v>
      </c>
      <c r="Q473" s="2">
        <v>0.32100000000000001</v>
      </c>
      <c r="R473" s="2">
        <v>0.114</v>
      </c>
      <c r="S473" s="2">
        <v>0.83699999999999997</v>
      </c>
      <c r="T473" s="2">
        <v>-9.75</v>
      </c>
      <c r="U473">
        <v>247059</v>
      </c>
      <c r="V473">
        <f>YEAR(Spotify[[#This Row],[Date de sortie]])</f>
        <v>2020</v>
      </c>
      <c r="W473" s="2" t="str">
        <f>IF(Spotify[[#This Row],[Popularité]]&gt;=70,"FORTE","FAIBLE")</f>
        <v>FORTE</v>
      </c>
    </row>
    <row r="474" spans="1:23" x14ac:dyDescent="0.25">
      <c r="A474">
        <v>237</v>
      </c>
      <c r="B474">
        <v>194</v>
      </c>
      <c r="C474">
        <v>4</v>
      </c>
      <c r="D474" s="1">
        <v>44113</v>
      </c>
      <c r="E474" s="59" t="str" cm="1">
        <f t="array" ref="E47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74" t="s">
        <v>476</v>
      </c>
      <c r="G474" s="3">
        <v>4938180</v>
      </c>
      <c r="H474" t="s">
        <v>477</v>
      </c>
      <c r="I474" s="4">
        <v>6475631</v>
      </c>
      <c r="J474" t="s">
        <v>478</v>
      </c>
      <c r="K474" s="1">
        <v>34700</v>
      </c>
      <c r="L474">
        <v>78</v>
      </c>
      <c r="M474" s="2" t="str">
        <f>IF(Spotify[[#This Row],[Energie]]&gt;AVERAGE(Spotify[Energie]),"FORTE","FAIBLE")</f>
        <v>FORTE</v>
      </c>
      <c r="N474" s="2">
        <v>0.375</v>
      </c>
      <c r="O474" s="2">
        <v>0.89300000000000002</v>
      </c>
      <c r="P474" s="2">
        <v>4.0599999999999997E-2</v>
      </c>
      <c r="Q474" s="2">
        <v>5.0900000000000001E-4</v>
      </c>
      <c r="R474" s="2">
        <v>0.187</v>
      </c>
      <c r="S474" s="2">
        <v>0.434</v>
      </c>
      <c r="T474" s="2">
        <v>-4.0970000000000004</v>
      </c>
      <c r="U474">
        <v>258773</v>
      </c>
      <c r="V474">
        <f>YEAR(Spotify[[#This Row],[Date de sortie]])</f>
        <v>1995</v>
      </c>
      <c r="W474" s="2" t="str">
        <f>IF(Spotify[[#This Row],[Popularité]]&gt;=70,"FORTE","FAIBLE")</f>
        <v>FORTE</v>
      </c>
    </row>
    <row r="475" spans="1:23" x14ac:dyDescent="0.25">
      <c r="A475">
        <v>599</v>
      </c>
      <c r="B475">
        <v>21</v>
      </c>
      <c r="C475">
        <v>7</v>
      </c>
      <c r="D475" s="1">
        <v>44162</v>
      </c>
      <c r="E475" s="59" t="str" cm="1">
        <f t="array" ref="E47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75" t="s">
        <v>1067</v>
      </c>
      <c r="G475" s="3">
        <v>4935633</v>
      </c>
      <c r="H475" t="s">
        <v>24</v>
      </c>
      <c r="I475" s="4">
        <v>36177712</v>
      </c>
      <c r="J475" t="s">
        <v>25</v>
      </c>
      <c r="K475" s="1">
        <v>44162</v>
      </c>
      <c r="L475">
        <v>78</v>
      </c>
      <c r="M475" s="2" t="str">
        <f>IF(Spotify[[#This Row],[Energie]]&gt;AVERAGE(Spotify[Energie]),"FORTE","FAIBLE")</f>
        <v>FAIBLE</v>
      </c>
      <c r="N475" s="2">
        <v>0.58399999999999996</v>
      </c>
      <c r="O475" s="2">
        <v>0.41099999999999998</v>
      </c>
      <c r="P475" s="2">
        <v>8.3799999999999999E-2</v>
      </c>
      <c r="Q475" s="2">
        <v>0.86899999999999999</v>
      </c>
      <c r="R475" s="2">
        <v>9.5500000000000002E-2</v>
      </c>
      <c r="S475" s="2">
        <v>0.41199999999999998</v>
      </c>
      <c r="T475" s="2">
        <v>-7.1470000000000002</v>
      </c>
      <c r="U475">
        <v>217769</v>
      </c>
      <c r="V475">
        <f>YEAR(Spotify[[#This Row],[Date de sortie]])</f>
        <v>2020</v>
      </c>
      <c r="W475" s="2" t="str">
        <f>IF(Spotify[[#This Row],[Popularité]]&gt;=70,"FORTE","FAIBLE")</f>
        <v>FORTE</v>
      </c>
    </row>
    <row r="476" spans="1:23" x14ac:dyDescent="0.25">
      <c r="A476">
        <v>798</v>
      </c>
      <c r="B476">
        <v>41</v>
      </c>
      <c r="C476">
        <v>19</v>
      </c>
      <c r="D476" s="1">
        <v>44015</v>
      </c>
      <c r="E476" s="59" t="str" cm="1">
        <f t="array" ref="E47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76" t="s">
        <v>1387</v>
      </c>
      <c r="G476" s="3">
        <v>4924030</v>
      </c>
      <c r="H476" t="s">
        <v>338</v>
      </c>
      <c r="I476" s="4">
        <v>6852509</v>
      </c>
      <c r="J476" t="s">
        <v>158</v>
      </c>
      <c r="K476" s="1">
        <v>44015</v>
      </c>
      <c r="L476">
        <v>78</v>
      </c>
      <c r="M476" s="2" t="str">
        <f>IF(Spotify[[#This Row],[Energie]]&gt;AVERAGE(Spotify[Energie]),"FORTE","FAIBLE")</f>
        <v>FORTE</v>
      </c>
      <c r="N476" s="2">
        <v>0.68799999999999994</v>
      </c>
      <c r="O476" s="2">
        <v>0.64700000000000002</v>
      </c>
      <c r="P476" s="2">
        <v>0.19</v>
      </c>
      <c r="Q476" s="2">
        <v>8.1499999999999993E-3</v>
      </c>
      <c r="R476" s="2">
        <v>9.5000000000000001E-2</v>
      </c>
      <c r="S476" s="2">
        <v>0.19500000000000001</v>
      </c>
      <c r="T476" s="2">
        <v>-7.258</v>
      </c>
      <c r="U476">
        <v>164580</v>
      </c>
      <c r="V476">
        <f>YEAR(Spotify[[#This Row],[Date de sortie]])</f>
        <v>2020</v>
      </c>
      <c r="W476" s="2" t="str">
        <f>IF(Spotify[[#This Row],[Popularité]]&gt;=70,"FORTE","FAIBLE")</f>
        <v>FORTE</v>
      </c>
    </row>
    <row r="477" spans="1:23" x14ac:dyDescent="0.25">
      <c r="A477">
        <v>760</v>
      </c>
      <c r="B477">
        <v>24</v>
      </c>
      <c r="C477">
        <v>8</v>
      </c>
      <c r="D477" s="1">
        <v>44106</v>
      </c>
      <c r="E477" s="59" t="str" cm="1">
        <f t="array" ref="E47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477" t="s">
        <v>1319</v>
      </c>
      <c r="G477" s="3">
        <v>4914682</v>
      </c>
      <c r="H477" t="s">
        <v>1320</v>
      </c>
      <c r="I477" s="4">
        <v>9949044</v>
      </c>
      <c r="J477" t="s">
        <v>531</v>
      </c>
      <c r="K477" s="1">
        <v>44106</v>
      </c>
      <c r="L477">
        <v>78</v>
      </c>
      <c r="M477" s="2" t="str">
        <f>IF(Spotify[[#This Row],[Energie]]&gt;AVERAGE(Spotify[Energie]),"FORTE","FAIBLE")</f>
        <v>FAIBLE</v>
      </c>
      <c r="N477" s="2">
        <v>0.81899999999999995</v>
      </c>
      <c r="O477" s="2">
        <v>0.626</v>
      </c>
      <c r="P477" s="2">
        <v>0.20200000000000001</v>
      </c>
      <c r="Q477" s="2">
        <v>7.4799999999999997E-3</v>
      </c>
      <c r="R477" s="2">
        <v>0.16700000000000001</v>
      </c>
      <c r="S477" s="2">
        <v>0.41499999999999998</v>
      </c>
      <c r="T477" s="2">
        <v>-4.5739999999999998</v>
      </c>
      <c r="U477">
        <v>195906</v>
      </c>
      <c r="V477">
        <f>YEAR(Spotify[[#This Row],[Date de sortie]])</f>
        <v>2020</v>
      </c>
      <c r="W477" s="2" t="str">
        <f>IF(Spotify[[#This Row],[Popularité]]&gt;=70,"FORTE","FAIBLE")</f>
        <v>FORTE</v>
      </c>
    </row>
    <row r="478" spans="1:23" x14ac:dyDescent="0.25">
      <c r="A478">
        <v>553</v>
      </c>
      <c r="B478">
        <v>193</v>
      </c>
      <c r="C478">
        <v>1</v>
      </c>
      <c r="D478" s="1">
        <v>44239</v>
      </c>
      <c r="E478" s="59" t="str" cm="1">
        <f t="array" ref="E47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78" t="s">
        <v>994</v>
      </c>
      <c r="G478" s="3">
        <v>4902737</v>
      </c>
      <c r="H478" t="s">
        <v>477</v>
      </c>
      <c r="I478" s="4">
        <v>6478565</v>
      </c>
      <c r="J478" t="s">
        <v>478</v>
      </c>
      <c r="K478" s="1">
        <v>34700</v>
      </c>
      <c r="L478">
        <v>78</v>
      </c>
      <c r="M478" s="2" t="str">
        <f>IF(Spotify[[#This Row],[Energie]]&gt;AVERAGE(Spotify[Energie]),"FORTE","FAIBLE")</f>
        <v>FORTE</v>
      </c>
      <c r="N478" s="2">
        <v>0.375</v>
      </c>
      <c r="O478" s="2">
        <v>0.89300000000000002</v>
      </c>
      <c r="P478" s="2">
        <v>4.0599999999999997E-2</v>
      </c>
      <c r="Q478" s="2">
        <v>5.0900000000000001E-4</v>
      </c>
      <c r="R478" s="2">
        <v>0.187</v>
      </c>
      <c r="S478" s="2">
        <v>0.434</v>
      </c>
      <c r="T478" s="2">
        <v>-4.0970000000000004</v>
      </c>
      <c r="U478">
        <v>258773</v>
      </c>
      <c r="V478">
        <f>YEAR(Spotify[[#This Row],[Date de sortie]])</f>
        <v>1995</v>
      </c>
      <c r="W478" s="2" t="str">
        <f>IF(Spotify[[#This Row],[Popularité]]&gt;=70,"FORTE","FAIBLE")</f>
        <v>FORTE</v>
      </c>
    </row>
    <row r="479" spans="1:23" x14ac:dyDescent="0.25">
      <c r="A479">
        <v>879</v>
      </c>
      <c r="B479">
        <v>14</v>
      </c>
      <c r="C479">
        <v>12</v>
      </c>
      <c r="D479" s="1">
        <v>44022</v>
      </c>
      <c r="E479" s="59" t="str" cm="1">
        <f t="array" ref="E47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479" t="s">
        <v>1505</v>
      </c>
      <c r="G479" s="3">
        <v>4851997</v>
      </c>
      <c r="H479" t="s">
        <v>1506</v>
      </c>
      <c r="I479" s="4">
        <v>19102888</v>
      </c>
      <c r="J479" t="s">
        <v>79</v>
      </c>
      <c r="K479" s="1">
        <v>44022</v>
      </c>
      <c r="L479">
        <v>78</v>
      </c>
      <c r="M479" s="2" t="str">
        <f>IF(Spotify[[#This Row],[Energie]]&gt;AVERAGE(Spotify[Energie]),"FORTE","FAIBLE")</f>
        <v>FORTE</v>
      </c>
      <c r="N479" s="2">
        <v>0.70099999999999996</v>
      </c>
      <c r="O479" s="2">
        <v>0.65</v>
      </c>
      <c r="P479" s="2">
        <v>0.104</v>
      </c>
      <c r="Q479" s="2">
        <v>0.29099999999999998</v>
      </c>
      <c r="R479" s="2">
        <v>0.112</v>
      </c>
      <c r="S479" s="2">
        <v>0.64700000000000002</v>
      </c>
      <c r="T479" s="2">
        <v>-6.3129999999999997</v>
      </c>
      <c r="U479">
        <v>160212</v>
      </c>
      <c r="V479">
        <f>YEAR(Spotify[[#This Row],[Date de sortie]])</f>
        <v>2020</v>
      </c>
      <c r="W479" s="2" t="str">
        <f>IF(Spotify[[#This Row],[Popularité]]&gt;=70,"FORTE","FAIBLE")</f>
        <v>FORTE</v>
      </c>
    </row>
    <row r="480" spans="1:23" x14ac:dyDescent="0.25">
      <c r="A480">
        <v>1469</v>
      </c>
      <c r="B480">
        <v>191</v>
      </c>
      <c r="C480">
        <v>2</v>
      </c>
      <c r="D480" s="1">
        <v>43854</v>
      </c>
      <c r="E480" s="59" t="str" cm="1">
        <f t="array" ref="E48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80" t="s">
        <v>2333</v>
      </c>
      <c r="G480" s="3">
        <v>4824483</v>
      </c>
      <c r="H480" t="s">
        <v>114</v>
      </c>
      <c r="I480" s="4">
        <v>47061119</v>
      </c>
      <c r="J480" t="s">
        <v>115</v>
      </c>
      <c r="K480" s="1">
        <v>43091</v>
      </c>
      <c r="L480">
        <v>78</v>
      </c>
      <c r="M480" s="2" t="str">
        <f>IF(Spotify[[#This Row],[Energie]]&gt;AVERAGE(Spotify[Energie]),"FORTE","FAIBLE")</f>
        <v>FAIBLE</v>
      </c>
      <c r="N480" s="2">
        <v>0.48299999999999998</v>
      </c>
      <c r="O480" s="2">
        <v>0.41199999999999998</v>
      </c>
      <c r="P480" s="2">
        <v>4.02E-2</v>
      </c>
      <c r="Q480" s="2">
        <v>0.73699999999999999</v>
      </c>
      <c r="R480" s="2">
        <v>0.11600000000000001</v>
      </c>
      <c r="S480" s="2">
        <v>0.247</v>
      </c>
      <c r="T480" s="2">
        <v>-8.4610000000000003</v>
      </c>
      <c r="U480">
        <v>203569</v>
      </c>
      <c r="V480">
        <f>YEAR(Spotify[[#This Row],[Date de sortie]])</f>
        <v>2017</v>
      </c>
      <c r="W480" s="2" t="str">
        <f>IF(Spotify[[#This Row],[Popularité]]&gt;=70,"FORTE","FAIBLE")</f>
        <v>FORTE</v>
      </c>
    </row>
    <row r="481" spans="1:23" x14ac:dyDescent="0.25">
      <c r="A481">
        <v>891</v>
      </c>
      <c r="B481">
        <v>10</v>
      </c>
      <c r="C481">
        <v>22</v>
      </c>
      <c r="D481" s="1">
        <v>43945</v>
      </c>
      <c r="E481" s="59" t="str" cm="1">
        <f t="array" ref="E48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481" t="s">
        <v>1527</v>
      </c>
      <c r="G481" s="3">
        <v>4819362</v>
      </c>
      <c r="H481" t="s">
        <v>345</v>
      </c>
      <c r="I481" s="4">
        <v>19102888</v>
      </c>
      <c r="J481" t="s">
        <v>79</v>
      </c>
      <c r="K481" s="1">
        <v>44022</v>
      </c>
      <c r="L481">
        <v>78</v>
      </c>
      <c r="M481" s="2" t="str">
        <f>IF(Spotify[[#This Row],[Energie]]&gt;AVERAGE(Spotify[Energie]),"FORTE","FAIBLE")</f>
        <v>FAIBLE</v>
      </c>
      <c r="N481" s="2">
        <v>0.70599999999999996</v>
      </c>
      <c r="O481" s="2">
        <v>0.625</v>
      </c>
      <c r="P481" s="2">
        <v>3.1399999999999997E-2</v>
      </c>
      <c r="Q481" s="2">
        <v>4.1700000000000001E-2</v>
      </c>
      <c r="R481" s="2">
        <v>0.129</v>
      </c>
      <c r="S481" s="2">
        <v>0.22500000000000001</v>
      </c>
      <c r="T481" s="2">
        <v>-7.4260000000000002</v>
      </c>
      <c r="U481">
        <v>242181</v>
      </c>
      <c r="V481">
        <f>YEAR(Spotify[[#This Row],[Date de sortie]])</f>
        <v>2020</v>
      </c>
      <c r="W481" s="2" t="str">
        <f>IF(Spotify[[#This Row],[Popularité]]&gt;=70,"FORTE","FAIBLE")</f>
        <v>FORTE</v>
      </c>
    </row>
    <row r="482" spans="1:23" x14ac:dyDescent="0.25">
      <c r="A482">
        <v>848</v>
      </c>
      <c r="B482">
        <v>59</v>
      </c>
      <c r="C482">
        <v>3</v>
      </c>
      <c r="D482" s="1">
        <v>44099</v>
      </c>
      <c r="E482" s="59" t="str" cm="1">
        <f t="array" ref="E48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482" t="s">
        <v>1463</v>
      </c>
      <c r="G482" s="3">
        <v>4751756</v>
      </c>
      <c r="H482" t="s">
        <v>566</v>
      </c>
      <c r="I482" s="4">
        <v>3868320</v>
      </c>
      <c r="J482" t="s">
        <v>567</v>
      </c>
      <c r="K482" s="1">
        <v>44099</v>
      </c>
      <c r="L482">
        <v>78</v>
      </c>
      <c r="M482" s="2" t="str">
        <f>IF(Spotify[[#This Row],[Energie]]&gt;AVERAGE(Spotify[Energie]),"FORTE","FAIBLE")</f>
        <v>FORTE</v>
      </c>
      <c r="N482" s="2">
        <v>0.65400000000000003</v>
      </c>
      <c r="O482" s="2">
        <v>0.875</v>
      </c>
      <c r="P482" s="2">
        <v>7.4399999999999994E-2</v>
      </c>
      <c r="Q482" s="2">
        <v>4.17E-4</v>
      </c>
      <c r="R482" s="2">
        <v>0.19400000000000001</v>
      </c>
      <c r="S482" s="2">
        <v>0.52200000000000002</v>
      </c>
      <c r="T482" s="2">
        <v>-4.8449999999999998</v>
      </c>
      <c r="U482">
        <v>171621</v>
      </c>
      <c r="V482">
        <f>YEAR(Spotify[[#This Row],[Date de sortie]])</f>
        <v>2020</v>
      </c>
      <c r="W482" s="2" t="str">
        <f>IF(Spotify[[#This Row],[Popularité]]&gt;=70,"FORTE","FAIBLE")</f>
        <v>FORTE</v>
      </c>
    </row>
    <row r="483" spans="1:23" x14ac:dyDescent="0.25">
      <c r="A483">
        <v>1017</v>
      </c>
      <c r="B483">
        <v>5</v>
      </c>
      <c r="C483">
        <v>21</v>
      </c>
      <c r="D483" s="1">
        <v>43896</v>
      </c>
      <c r="E483" s="59" t="str" cm="1">
        <f t="array" ref="E48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83" t="s">
        <v>1710</v>
      </c>
      <c r="G483" s="3">
        <v>4727554</v>
      </c>
      <c r="H483" t="s">
        <v>24</v>
      </c>
      <c r="I483" s="4">
        <v>36177712</v>
      </c>
      <c r="J483" t="s">
        <v>25</v>
      </c>
      <c r="K483" s="1">
        <v>43890</v>
      </c>
      <c r="L483">
        <v>78</v>
      </c>
      <c r="M483" s="2" t="str">
        <f>IF(Spotify[[#This Row],[Energie]]&gt;AVERAGE(Spotify[Energie]),"FORTE","FAIBLE")</f>
        <v>FORTE</v>
      </c>
      <c r="N483" s="2">
        <v>0.68500000000000005</v>
      </c>
      <c r="O483" s="2">
        <v>0.84799999999999998</v>
      </c>
      <c r="P483" s="2">
        <v>8.5800000000000001E-2</v>
      </c>
      <c r="Q483" s="2">
        <v>8.6099999999999996E-2</v>
      </c>
      <c r="R483" s="2">
        <v>7.8299999999999995E-2</v>
      </c>
      <c r="S483" s="2">
        <v>0.76100000000000001</v>
      </c>
      <c r="T483" s="2">
        <v>-4.5609999999999999</v>
      </c>
      <c r="U483">
        <v>163084</v>
      </c>
      <c r="V483">
        <f>YEAR(Spotify[[#This Row],[Date de sortie]])</f>
        <v>2020</v>
      </c>
      <c r="W483" s="2" t="str">
        <f>IF(Spotify[[#This Row],[Popularité]]&gt;=70,"FORTE","FAIBLE")</f>
        <v>FORTE</v>
      </c>
    </row>
    <row r="484" spans="1:23" x14ac:dyDescent="0.25">
      <c r="A484">
        <v>838</v>
      </c>
      <c r="B484">
        <v>18</v>
      </c>
      <c r="C484">
        <v>34</v>
      </c>
      <c r="D484" s="1">
        <v>43924</v>
      </c>
      <c r="E484" s="59" t="str" cm="1">
        <f t="array" ref="E48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84" t="s">
        <v>1449</v>
      </c>
      <c r="G484" s="3">
        <v>4680447</v>
      </c>
      <c r="H484" t="s">
        <v>24</v>
      </c>
      <c r="I484" s="4">
        <v>36177712</v>
      </c>
      <c r="J484" t="s">
        <v>25</v>
      </c>
      <c r="K484" s="1">
        <v>43890</v>
      </c>
      <c r="L484">
        <v>78</v>
      </c>
      <c r="M484" s="2" t="str">
        <f>IF(Spotify[[#This Row],[Energie]]&gt;AVERAGE(Spotify[Energie]),"FORTE","FAIBLE")</f>
        <v>FORTE</v>
      </c>
      <c r="N484" s="2">
        <v>0.86</v>
      </c>
      <c r="O484" s="2">
        <v>0.75800000000000001</v>
      </c>
      <c r="P484" s="2">
        <v>6.9500000000000006E-2</v>
      </c>
      <c r="Q484" s="2">
        <v>2.1000000000000001E-2</v>
      </c>
      <c r="R484" s="2">
        <v>0.34399999999999997</v>
      </c>
      <c r="S484" s="2">
        <v>0.45300000000000001</v>
      </c>
      <c r="T484" s="2">
        <v>-5.16</v>
      </c>
      <c r="U484">
        <v>172127</v>
      </c>
      <c r="V484">
        <f>YEAR(Spotify[[#This Row],[Date de sortie]])</f>
        <v>2020</v>
      </c>
      <c r="W484" s="2" t="str">
        <f>IF(Spotify[[#This Row],[Popularité]]&gt;=70,"FORTE","FAIBLE")</f>
        <v>FORTE</v>
      </c>
    </row>
    <row r="485" spans="1:23" x14ac:dyDescent="0.25">
      <c r="A485">
        <v>989</v>
      </c>
      <c r="B485">
        <v>42</v>
      </c>
      <c r="C485">
        <v>24</v>
      </c>
      <c r="D485" s="1">
        <v>43938</v>
      </c>
      <c r="E485" s="59" t="str" cm="1">
        <f t="array" ref="E48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85" t="s">
        <v>1672</v>
      </c>
      <c r="G485" s="3">
        <v>4588064</v>
      </c>
      <c r="H485" t="s">
        <v>21</v>
      </c>
      <c r="I485" s="4">
        <v>6096559</v>
      </c>
      <c r="J485" t="s">
        <v>22</v>
      </c>
      <c r="K485" s="1">
        <v>44021</v>
      </c>
      <c r="L485">
        <v>78</v>
      </c>
      <c r="M485" s="2" t="str">
        <f>IF(Spotify[[#This Row],[Energie]]&gt;AVERAGE(Spotify[Energie]),"FORTE","FAIBLE")</f>
        <v>FORTE</v>
      </c>
      <c r="N485" s="2">
        <v>0.84799999999999998</v>
      </c>
      <c r="O485" s="2">
        <v>0.63700000000000001</v>
      </c>
      <c r="P485" s="2">
        <v>0.156</v>
      </c>
      <c r="Q485" s="2">
        <v>4.1300000000000003E-2</v>
      </c>
      <c r="R485" s="2">
        <v>5.21E-2</v>
      </c>
      <c r="S485" s="2">
        <v>0.69799999999999995</v>
      </c>
      <c r="T485" s="2">
        <v>-5.1319999999999997</v>
      </c>
      <c r="U485">
        <v>222680</v>
      </c>
      <c r="V485">
        <f>YEAR(Spotify[[#This Row],[Date de sortie]])</f>
        <v>2020</v>
      </c>
      <c r="W485" s="2" t="str">
        <f>IF(Spotify[[#This Row],[Popularité]]&gt;=70,"FORTE","FAIBLE")</f>
        <v>FORTE</v>
      </c>
    </row>
    <row r="486" spans="1:23" x14ac:dyDescent="0.25">
      <c r="A486">
        <v>923</v>
      </c>
      <c r="B486">
        <v>11</v>
      </c>
      <c r="C486">
        <v>37</v>
      </c>
      <c r="D486" s="1">
        <v>43826</v>
      </c>
      <c r="E486" s="59" t="str" cm="1">
        <f t="array" ref="E48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86" t="s">
        <v>1575</v>
      </c>
      <c r="G486" s="3">
        <v>4585895</v>
      </c>
      <c r="H486" t="s">
        <v>1576</v>
      </c>
      <c r="I486" s="4">
        <v>5966748</v>
      </c>
      <c r="J486" t="s">
        <v>19</v>
      </c>
      <c r="K486" s="1">
        <v>43750</v>
      </c>
      <c r="L486">
        <v>78</v>
      </c>
      <c r="M486" s="2" t="str">
        <f>IF(Spotify[[#This Row],[Energie]]&gt;AVERAGE(Spotify[Energie]),"FORTE","FAIBLE")</f>
        <v>FORTE</v>
      </c>
      <c r="N486" s="2">
        <v>0.72099999999999997</v>
      </c>
      <c r="O486" s="2">
        <v>0.71599999999999997</v>
      </c>
      <c r="P486" s="2">
        <v>6.5699999999999995E-2</v>
      </c>
      <c r="Q486" s="2">
        <v>3.3399999999999999E-2</v>
      </c>
      <c r="R486" s="2">
        <v>0.23699999999999999</v>
      </c>
      <c r="S486" s="2">
        <v>0.66700000000000004</v>
      </c>
      <c r="T486" s="2">
        <v>-7.0369999999999999</v>
      </c>
      <c r="U486">
        <v>221714</v>
      </c>
      <c r="V486">
        <f>YEAR(Spotify[[#This Row],[Date de sortie]])</f>
        <v>2019</v>
      </c>
      <c r="W486" s="2" t="str">
        <f>IF(Spotify[[#This Row],[Popularité]]&gt;=70,"FORTE","FAIBLE")</f>
        <v>FORTE</v>
      </c>
    </row>
    <row r="487" spans="1:23" x14ac:dyDescent="0.25">
      <c r="A487">
        <v>1278</v>
      </c>
      <c r="B487">
        <v>188</v>
      </c>
      <c r="C487">
        <v>1</v>
      </c>
      <c r="D487" s="1">
        <v>43917</v>
      </c>
      <c r="E487" s="59" t="str" cm="1">
        <f t="array" ref="E48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87" t="s">
        <v>2076</v>
      </c>
      <c r="G487" s="3">
        <v>4571612</v>
      </c>
      <c r="H487" t="s">
        <v>1619</v>
      </c>
      <c r="I487" s="4">
        <v>7744095</v>
      </c>
      <c r="J487" t="s">
        <v>1180</v>
      </c>
      <c r="K487" s="1">
        <v>43700</v>
      </c>
      <c r="L487">
        <v>78</v>
      </c>
      <c r="M487" s="2" t="str">
        <f>IF(Spotify[[#This Row],[Energie]]&gt;AVERAGE(Spotify[Energie]),"FORTE","FAIBLE")</f>
        <v>FAIBLE</v>
      </c>
      <c r="N487" s="2">
        <v>0.749</v>
      </c>
      <c r="O487" s="2">
        <v>0.46100000000000002</v>
      </c>
      <c r="P487" s="2">
        <v>4.1599999999999998E-2</v>
      </c>
      <c r="Q487" s="2">
        <v>5.16E-2</v>
      </c>
      <c r="R487" s="2">
        <v>7.3800000000000004E-2</v>
      </c>
      <c r="S487" s="2">
        <v>0.42</v>
      </c>
      <c r="T487" s="2">
        <v>-2.9609999999999999</v>
      </c>
      <c r="U487">
        <v>204887</v>
      </c>
      <c r="V487">
        <f>YEAR(Spotify[[#This Row],[Date de sortie]])</f>
        <v>2019</v>
      </c>
      <c r="W487" s="2" t="str">
        <f>IF(Spotify[[#This Row],[Popularité]]&gt;=70,"FORTE","FAIBLE")</f>
        <v>FORTE</v>
      </c>
    </row>
    <row r="488" spans="1:23" x14ac:dyDescent="0.25">
      <c r="A488">
        <v>1027</v>
      </c>
      <c r="B488">
        <v>132</v>
      </c>
      <c r="C488">
        <v>7</v>
      </c>
      <c r="D488" s="1">
        <v>43987</v>
      </c>
      <c r="E488" s="59" t="str" cm="1">
        <f t="array" ref="E48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488" t="s">
        <v>1724</v>
      </c>
      <c r="G488" s="3">
        <v>4527742</v>
      </c>
      <c r="H488" t="s">
        <v>59</v>
      </c>
      <c r="I488" s="4">
        <v>33663701</v>
      </c>
      <c r="J488" t="s">
        <v>60</v>
      </c>
      <c r="K488" s="1">
        <v>43714</v>
      </c>
      <c r="L488">
        <v>78</v>
      </c>
      <c r="M488" s="2" t="str">
        <f>IF(Spotify[[#This Row],[Energie]]&gt;AVERAGE(Spotify[Energie]),"FORTE","FAIBLE")</f>
        <v>FORTE</v>
      </c>
      <c r="N488" s="2">
        <v>0.54800000000000004</v>
      </c>
      <c r="O488" s="2">
        <v>0.65300000000000002</v>
      </c>
      <c r="P488" s="2">
        <v>8.1000000000000003E-2</v>
      </c>
      <c r="Q488" s="2">
        <v>0.45600000000000002</v>
      </c>
      <c r="R488" s="2">
        <v>0.10299999999999999</v>
      </c>
      <c r="S488" s="2">
        <v>0.16300000000000001</v>
      </c>
      <c r="T488" s="2">
        <v>-3.875</v>
      </c>
      <c r="U488">
        <v>174853</v>
      </c>
      <c r="V488">
        <f>YEAR(Spotify[[#This Row],[Date de sortie]])</f>
        <v>2019</v>
      </c>
      <c r="W488" s="2" t="str">
        <f>IF(Spotify[[#This Row],[Popularité]]&gt;=70,"FORTE","FAIBLE")</f>
        <v>FORTE</v>
      </c>
    </row>
    <row r="489" spans="1:23" x14ac:dyDescent="0.25">
      <c r="A489">
        <v>1109</v>
      </c>
      <c r="B489">
        <v>15</v>
      </c>
      <c r="C489">
        <v>25</v>
      </c>
      <c r="D489" s="1">
        <v>43889</v>
      </c>
      <c r="E489" s="59" t="str" cm="1">
        <f t="array" ref="E48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489" t="s">
        <v>1842</v>
      </c>
      <c r="G489" s="3">
        <v>4486408</v>
      </c>
      <c r="H489" t="s">
        <v>24</v>
      </c>
      <c r="I489" s="4">
        <v>36177712</v>
      </c>
      <c r="J489" t="s">
        <v>25</v>
      </c>
      <c r="K489" s="1">
        <v>43790</v>
      </c>
      <c r="L489">
        <v>78</v>
      </c>
      <c r="M489" s="2" t="str">
        <f>IF(Spotify[[#This Row],[Energie]]&gt;AVERAGE(Spotify[Energie]),"FORTE","FAIBLE")</f>
        <v>FORTE</v>
      </c>
      <c r="N489" s="2">
        <v>0.88600000000000001</v>
      </c>
      <c r="O489" s="2">
        <v>0.67200000000000004</v>
      </c>
      <c r="P489" s="2">
        <v>0.188</v>
      </c>
      <c r="Q489" s="2">
        <v>3.6299999999999999E-2</v>
      </c>
      <c r="R489" s="2">
        <v>0.10100000000000001</v>
      </c>
      <c r="S489" s="2">
        <v>0.52600000000000002</v>
      </c>
      <c r="T489" s="2">
        <v>-4.3940000000000001</v>
      </c>
      <c r="U489">
        <v>192024</v>
      </c>
      <c r="V489">
        <f>YEAR(Spotify[[#This Row],[Date de sortie]])</f>
        <v>2019</v>
      </c>
      <c r="W489" s="2" t="str">
        <f>IF(Spotify[[#This Row],[Popularité]]&gt;=70,"FORTE","FAIBLE")</f>
        <v>FORTE</v>
      </c>
    </row>
    <row r="490" spans="1:23" x14ac:dyDescent="0.25">
      <c r="A490">
        <v>1111</v>
      </c>
      <c r="B490">
        <v>15</v>
      </c>
      <c r="C490">
        <v>24</v>
      </c>
      <c r="D490" s="1">
        <v>43833</v>
      </c>
      <c r="E490" s="59" t="str" cm="1">
        <f t="array" ref="E49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90" t="s">
        <v>1845</v>
      </c>
      <c r="G490" s="3">
        <v>4413457</v>
      </c>
      <c r="H490" t="s">
        <v>68</v>
      </c>
      <c r="I490" s="4">
        <v>22698747</v>
      </c>
      <c r="J490" t="s">
        <v>19</v>
      </c>
      <c r="K490" s="1">
        <v>43805</v>
      </c>
      <c r="L490">
        <v>78</v>
      </c>
      <c r="M490" s="2" t="str">
        <f>IF(Spotify[[#This Row],[Energie]]&gt;AVERAGE(Spotify[Energie]),"FORTE","FAIBLE")</f>
        <v>FAIBLE</v>
      </c>
      <c r="N490" s="2">
        <v>0.72399999999999998</v>
      </c>
      <c r="O490" s="2">
        <v>0.49099999999999999</v>
      </c>
      <c r="P490" s="2">
        <v>2.9600000000000001E-2</v>
      </c>
      <c r="Q490" s="2">
        <v>1.7999999999999999E-2</v>
      </c>
      <c r="R490" s="2">
        <v>8.8700000000000001E-2</v>
      </c>
      <c r="S490" s="2">
        <v>0.38300000000000001</v>
      </c>
      <c r="T490" s="2">
        <v>-6.024</v>
      </c>
      <c r="U490">
        <v>170746</v>
      </c>
      <c r="V490">
        <f>YEAR(Spotify[[#This Row],[Date de sortie]])</f>
        <v>2019</v>
      </c>
      <c r="W490" s="2" t="str">
        <f>IF(Spotify[[#This Row],[Popularité]]&gt;=70,"FORTE","FAIBLE")</f>
        <v>FORTE</v>
      </c>
    </row>
    <row r="491" spans="1:23" x14ac:dyDescent="0.25">
      <c r="A491">
        <v>1074</v>
      </c>
      <c r="B491">
        <v>88</v>
      </c>
      <c r="C491">
        <v>27</v>
      </c>
      <c r="D491" s="1">
        <v>43833</v>
      </c>
      <c r="E491" s="59" t="str" cm="1">
        <f t="array" ref="E49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491" t="s">
        <v>1789</v>
      </c>
      <c r="G491" s="3">
        <v>4403348</v>
      </c>
      <c r="H491" t="s">
        <v>179</v>
      </c>
      <c r="I491" s="4">
        <v>56327031</v>
      </c>
      <c r="J491" t="s">
        <v>155</v>
      </c>
      <c r="K491" s="1">
        <v>43631</v>
      </c>
      <c r="L491">
        <v>78</v>
      </c>
      <c r="M491" s="2" t="str">
        <f>IF(Spotify[[#This Row],[Energie]]&gt;AVERAGE(Spotify[Energie]),"FORTE","FAIBLE")</f>
        <v>FAIBLE</v>
      </c>
      <c r="N491" s="2">
        <v>0.83099999999999996</v>
      </c>
      <c r="O491" s="2">
        <v>0.502</v>
      </c>
      <c r="P491" s="2">
        <v>4.5999999999999999E-2</v>
      </c>
      <c r="Q491" s="2">
        <v>0.10100000000000001</v>
      </c>
      <c r="R491" s="2">
        <v>0.122</v>
      </c>
      <c r="S491" s="2">
        <v>0.10100000000000001</v>
      </c>
      <c r="T491" s="2">
        <v>-4.0449999999999999</v>
      </c>
      <c r="U491">
        <v>205427</v>
      </c>
      <c r="V491">
        <f>YEAR(Spotify[[#This Row],[Date de sortie]])</f>
        <v>2019</v>
      </c>
      <c r="W491" s="2" t="str">
        <f>IF(Spotify[[#This Row],[Popularité]]&gt;=70,"FORTE","FAIBLE")</f>
        <v>FORTE</v>
      </c>
    </row>
    <row r="492" spans="1:23" x14ac:dyDescent="0.25">
      <c r="A492">
        <v>1181</v>
      </c>
      <c r="B492">
        <v>131</v>
      </c>
      <c r="C492">
        <v>21</v>
      </c>
      <c r="D492" s="1">
        <v>43924</v>
      </c>
      <c r="E492" s="59" t="str" cm="1">
        <f t="array" ref="E49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492" t="s">
        <v>1943</v>
      </c>
      <c r="G492" s="3">
        <v>4397385</v>
      </c>
      <c r="H492" t="s">
        <v>1944</v>
      </c>
      <c r="I492" s="4">
        <v>661863</v>
      </c>
      <c r="J492" t="s">
        <v>371</v>
      </c>
      <c r="K492" s="1">
        <v>43343</v>
      </c>
      <c r="L492">
        <v>78</v>
      </c>
      <c r="M492" s="2" t="str">
        <f>IF(Spotify[[#This Row],[Energie]]&gt;AVERAGE(Spotify[Energie]),"FORTE","FAIBLE")</f>
        <v>FAIBLE</v>
      </c>
      <c r="N492" s="2">
        <v>0.52200000000000002</v>
      </c>
      <c r="O492" s="2">
        <v>0.128</v>
      </c>
      <c r="P492" s="2">
        <v>3.5700000000000003E-2</v>
      </c>
      <c r="Q492" s="2">
        <v>0.89400000000000002</v>
      </c>
      <c r="R492" s="2">
        <v>9.4100000000000003E-2</v>
      </c>
      <c r="S492" s="2">
        <v>0.124</v>
      </c>
      <c r="T492" s="2">
        <v>-18.716999999999999</v>
      </c>
      <c r="U492">
        <v>187932</v>
      </c>
      <c r="V492">
        <f>YEAR(Spotify[[#This Row],[Date de sortie]])</f>
        <v>2018</v>
      </c>
      <c r="W492" s="2" t="str">
        <f>IF(Spotify[[#This Row],[Popularité]]&gt;=70,"FORTE","FAIBLE")</f>
        <v>FORTE</v>
      </c>
    </row>
    <row r="493" spans="1:23" x14ac:dyDescent="0.25">
      <c r="A493">
        <v>1431</v>
      </c>
      <c r="B493">
        <v>7</v>
      </c>
      <c r="C493">
        <v>1</v>
      </c>
      <c r="D493" s="1">
        <v>43868</v>
      </c>
      <c r="E493" s="59" t="str" cm="1">
        <f t="array" ref="E49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93" t="s">
        <v>2275</v>
      </c>
      <c r="G493" s="3">
        <v>28509534</v>
      </c>
      <c r="H493" t="s">
        <v>2276</v>
      </c>
      <c r="I493" s="4">
        <v>48544923</v>
      </c>
      <c r="J493" t="s">
        <v>36</v>
      </c>
      <c r="K493" s="1">
        <v>43875</v>
      </c>
      <c r="L493">
        <v>77</v>
      </c>
      <c r="M493" s="2" t="str">
        <f>IF(Spotify[[#This Row],[Energie]]&gt;AVERAGE(Spotify[Energie]),"FORTE","FAIBLE")</f>
        <v>FAIBLE</v>
      </c>
      <c r="N493" s="2">
        <v>0.80600000000000005</v>
      </c>
      <c r="O493" s="2">
        <v>0.54600000000000004</v>
      </c>
      <c r="P493" s="2">
        <v>5.7500000000000002E-2</v>
      </c>
      <c r="Q493" s="2">
        <v>0.3</v>
      </c>
      <c r="R493" s="2">
        <v>0.10199999999999999</v>
      </c>
      <c r="S493" s="2">
        <v>0.874</v>
      </c>
      <c r="T493" s="2">
        <v>-6.6369999999999996</v>
      </c>
      <c r="U493">
        <v>212867</v>
      </c>
      <c r="V493">
        <f>YEAR(Spotify[[#This Row],[Date de sortie]])</f>
        <v>2020</v>
      </c>
      <c r="W493" s="2" t="str">
        <f>IF(Spotify[[#This Row],[Popularité]]&gt;=70,"FORTE","FAIBLE")</f>
        <v>FORTE</v>
      </c>
    </row>
    <row r="494" spans="1:23" x14ac:dyDescent="0.25">
      <c r="A494">
        <v>258</v>
      </c>
      <c r="B494">
        <v>59</v>
      </c>
      <c r="C494">
        <v>1</v>
      </c>
      <c r="D494" s="1">
        <v>44372</v>
      </c>
      <c r="E494" s="59" t="str" cm="1">
        <f t="array" ref="E49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494" t="s">
        <v>518</v>
      </c>
      <c r="G494" s="3">
        <v>9889197</v>
      </c>
      <c r="H494" t="s">
        <v>425</v>
      </c>
      <c r="I494" s="4">
        <v>6777818</v>
      </c>
      <c r="J494" t="s">
        <v>426</v>
      </c>
      <c r="K494" s="1">
        <v>44372</v>
      </c>
      <c r="L494">
        <v>77</v>
      </c>
      <c r="M494" s="2" t="str">
        <f>IF(Spotify[[#This Row],[Energie]]&gt;AVERAGE(Spotify[Energie]),"FORTE","FAIBLE")</f>
        <v>FORTE</v>
      </c>
      <c r="N494" s="2">
        <v>0.371</v>
      </c>
      <c r="O494" s="2">
        <v>0.75</v>
      </c>
      <c r="P494" s="2">
        <v>0.40200000000000002</v>
      </c>
      <c r="Q494" s="2">
        <v>0.60099999999999998</v>
      </c>
      <c r="R494" s="2">
        <v>0.48199999999999998</v>
      </c>
      <c r="S494" s="2">
        <v>0.72899999999999998</v>
      </c>
      <c r="T494" s="2">
        <v>-5.3819999999999997</v>
      </c>
      <c r="U494">
        <v>155293</v>
      </c>
      <c r="V494">
        <f>YEAR(Spotify[[#This Row],[Date de sortie]])</f>
        <v>2021</v>
      </c>
      <c r="W494" s="2" t="str">
        <f>IF(Spotify[[#This Row],[Popularité]]&gt;=70,"FORTE","FAIBLE")</f>
        <v>FORTE</v>
      </c>
    </row>
    <row r="495" spans="1:23" x14ac:dyDescent="0.25">
      <c r="A495">
        <v>259</v>
      </c>
      <c r="B495">
        <v>63</v>
      </c>
      <c r="C495">
        <v>1</v>
      </c>
      <c r="D495" s="1">
        <v>44372</v>
      </c>
      <c r="E495" s="59" t="str" cm="1">
        <f t="array" ref="E49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495" t="s">
        <v>519</v>
      </c>
      <c r="G495" s="3">
        <v>9503981</v>
      </c>
      <c r="H495" t="s">
        <v>425</v>
      </c>
      <c r="I495" s="4">
        <v>6777818</v>
      </c>
      <c r="J495" t="s">
        <v>426</v>
      </c>
      <c r="K495" s="1">
        <v>44372</v>
      </c>
      <c r="L495">
        <v>77</v>
      </c>
      <c r="M495" s="2" t="str">
        <f>IF(Spotify[[#This Row],[Energie]]&gt;AVERAGE(Spotify[Energie]),"FORTE","FAIBLE")</f>
        <v>FORTE</v>
      </c>
      <c r="N495" s="2">
        <v>0.70299999999999996</v>
      </c>
      <c r="O495" s="2">
        <v>0.84499999999999997</v>
      </c>
      <c r="P495" s="2">
        <v>0.33700000000000002</v>
      </c>
      <c r="Q495" s="2">
        <v>0.16900000000000001</v>
      </c>
      <c r="R495" s="2">
        <v>0.122</v>
      </c>
      <c r="S495" s="2">
        <v>0.745</v>
      </c>
      <c r="T495" s="2">
        <v>-4.851</v>
      </c>
      <c r="U495">
        <v>146482</v>
      </c>
      <c r="V495">
        <f>YEAR(Spotify[[#This Row],[Date de sortie]])</f>
        <v>2021</v>
      </c>
      <c r="W495" s="2" t="str">
        <f>IF(Spotify[[#This Row],[Popularité]]&gt;=70,"FORTE","FAIBLE")</f>
        <v>FORTE</v>
      </c>
    </row>
    <row r="496" spans="1:23" x14ac:dyDescent="0.25">
      <c r="A496">
        <v>1149</v>
      </c>
      <c r="B496">
        <v>55</v>
      </c>
      <c r="C496">
        <v>1</v>
      </c>
      <c r="D496" s="1">
        <v>43973</v>
      </c>
      <c r="E496" s="59" t="str" cm="1">
        <f t="array" ref="E49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496" t="s">
        <v>1896</v>
      </c>
      <c r="G496" s="3">
        <v>8908179</v>
      </c>
      <c r="H496" t="s">
        <v>1897</v>
      </c>
      <c r="I496" s="4">
        <v>5564366</v>
      </c>
      <c r="J496" t="s">
        <v>1898</v>
      </c>
      <c r="K496" s="1">
        <v>43973</v>
      </c>
      <c r="L496">
        <v>77</v>
      </c>
      <c r="M496" s="2" t="str">
        <f>IF(Spotify[[#This Row],[Energie]]&gt;AVERAGE(Spotify[Energie]),"FORTE","FAIBLE")</f>
        <v>FORTE</v>
      </c>
      <c r="N496" s="2">
        <v>0.65</v>
      </c>
      <c r="O496" s="2">
        <v>0.82699999999999996</v>
      </c>
      <c r="P496" s="2">
        <v>5.9900000000000002E-2</v>
      </c>
      <c r="Q496" s="2">
        <v>2.29E-2</v>
      </c>
      <c r="R496" s="2">
        <v>0.121</v>
      </c>
      <c r="S496" s="2">
        <v>0.223</v>
      </c>
      <c r="T496" s="2">
        <v>-4.0140000000000002</v>
      </c>
      <c r="U496">
        <v>225668</v>
      </c>
      <c r="V496">
        <f>YEAR(Spotify[[#This Row],[Date de sortie]])</f>
        <v>2020</v>
      </c>
      <c r="W496" s="2" t="str">
        <f>IF(Spotify[[#This Row],[Popularité]]&gt;=70,"FORTE","FAIBLE")</f>
        <v>FORTE</v>
      </c>
    </row>
    <row r="497" spans="1:23" x14ac:dyDescent="0.25">
      <c r="A497">
        <v>738</v>
      </c>
      <c r="B497">
        <v>24</v>
      </c>
      <c r="C497">
        <v>2</v>
      </c>
      <c r="D497" s="1">
        <v>44155</v>
      </c>
      <c r="E497" s="59" t="str" cm="1">
        <f t="array" ref="E49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497" t="s">
        <v>1285</v>
      </c>
      <c r="G497" s="3">
        <v>7703744</v>
      </c>
      <c r="H497" t="s">
        <v>32</v>
      </c>
      <c r="I497" s="4">
        <v>37151476</v>
      </c>
      <c r="J497" t="s">
        <v>33</v>
      </c>
      <c r="K497" s="1">
        <v>44155</v>
      </c>
      <c r="L497">
        <v>77</v>
      </c>
      <c r="M497" s="2" t="str">
        <f>IF(Spotify[[#This Row],[Energie]]&gt;AVERAGE(Spotify[Energie]),"FORTE","FAIBLE")</f>
        <v>FORTE</v>
      </c>
      <c r="N497" s="2">
        <v>0.78700000000000003</v>
      </c>
      <c r="O497" s="2">
        <v>0.66900000000000004</v>
      </c>
      <c r="P497" s="2">
        <v>4.2799999999999998E-2</v>
      </c>
      <c r="Q497" s="2">
        <v>7.8200000000000006E-3</v>
      </c>
      <c r="R497" s="2">
        <v>0.123</v>
      </c>
      <c r="S497" s="2">
        <v>0.56999999999999995</v>
      </c>
      <c r="T497" s="2">
        <v>-4.3330000000000002</v>
      </c>
      <c r="U497">
        <v>202313</v>
      </c>
      <c r="V497">
        <f>YEAR(Spotify[[#This Row],[Date de sortie]])</f>
        <v>2020</v>
      </c>
      <c r="W497" s="2" t="str">
        <f>IF(Spotify[[#This Row],[Popularité]]&gt;=70,"FORTE","FAIBLE")</f>
        <v>FORTE</v>
      </c>
    </row>
    <row r="498" spans="1:23" x14ac:dyDescent="0.25">
      <c r="A498">
        <v>1545</v>
      </c>
      <c r="B498">
        <v>72</v>
      </c>
      <c r="C498">
        <v>1</v>
      </c>
      <c r="D498" s="1">
        <v>43826</v>
      </c>
      <c r="E498" s="59" t="str" cm="1">
        <f t="array" ref="E49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498" t="s">
        <v>2427</v>
      </c>
      <c r="G498" s="3">
        <v>7685470</v>
      </c>
      <c r="H498" t="s">
        <v>2428</v>
      </c>
      <c r="I498" s="4">
        <v>437907</v>
      </c>
      <c r="J498" t="s">
        <v>186</v>
      </c>
      <c r="K498" s="1">
        <v>43826</v>
      </c>
      <c r="L498">
        <v>77</v>
      </c>
      <c r="M498" s="2" t="str">
        <f>IF(Spotify[[#This Row],[Energie]]&gt;AVERAGE(Spotify[Energie]),"FORTE","FAIBLE")</f>
        <v>FORTE</v>
      </c>
      <c r="N498" s="2">
        <v>0.59399999999999997</v>
      </c>
      <c r="O498" s="2">
        <v>0.67600000000000005</v>
      </c>
      <c r="P498" s="2">
        <v>0.34399999999999997</v>
      </c>
      <c r="Q498" s="2">
        <v>0.13500000000000001</v>
      </c>
      <c r="R498" s="2">
        <v>0.16300000000000001</v>
      </c>
      <c r="S498" s="2">
        <v>0.47199999999999998</v>
      </c>
      <c r="T498" s="2">
        <v>-5.8079999999999998</v>
      </c>
      <c r="U498">
        <v>181145</v>
      </c>
      <c r="V498">
        <f>YEAR(Spotify[[#This Row],[Date de sortie]])</f>
        <v>2019</v>
      </c>
      <c r="W498" s="2" t="str">
        <f>IF(Spotify[[#This Row],[Popularité]]&gt;=70,"FORTE","FAIBLE")</f>
        <v>FORTE</v>
      </c>
    </row>
    <row r="499" spans="1:23" x14ac:dyDescent="0.25">
      <c r="A499">
        <v>299</v>
      </c>
      <c r="B499">
        <v>84</v>
      </c>
      <c r="C499">
        <v>3</v>
      </c>
      <c r="D499" s="1">
        <v>44330</v>
      </c>
      <c r="E499" s="59" t="str" cm="1">
        <f t="array" ref="E49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499" t="s">
        <v>586</v>
      </c>
      <c r="G499" s="3">
        <v>7615531</v>
      </c>
      <c r="H499" t="s">
        <v>530</v>
      </c>
      <c r="I499" s="4">
        <v>11690201</v>
      </c>
      <c r="J499" t="s">
        <v>531</v>
      </c>
      <c r="K499" s="1">
        <v>44330</v>
      </c>
      <c r="L499">
        <v>77</v>
      </c>
      <c r="M499" s="2" t="str">
        <f>IF(Spotify[[#This Row],[Energie]]&gt;AVERAGE(Spotify[Energie]),"FORTE","FAIBLE")</f>
        <v>FAIBLE</v>
      </c>
      <c r="N499" s="2">
        <v>0.84699999999999998</v>
      </c>
      <c r="O499" s="2">
        <v>0.629</v>
      </c>
      <c r="P499" s="2">
        <v>0.10199999999999999</v>
      </c>
      <c r="Q499" s="2">
        <v>3.1800000000000002E-2</v>
      </c>
      <c r="R499" s="2">
        <v>0.152</v>
      </c>
      <c r="S499" s="2">
        <v>0.109</v>
      </c>
      <c r="T499" s="2">
        <v>-5.81</v>
      </c>
      <c r="U499">
        <v>255532</v>
      </c>
      <c r="V499">
        <f>YEAR(Spotify[[#This Row],[Date de sortie]])</f>
        <v>2021</v>
      </c>
      <c r="W499" s="2" t="str">
        <f>IF(Spotify[[#This Row],[Popularité]]&gt;=70,"FORTE","FAIBLE")</f>
        <v>FORTE</v>
      </c>
    </row>
    <row r="500" spans="1:23" x14ac:dyDescent="0.25">
      <c r="A500">
        <v>343</v>
      </c>
      <c r="B500">
        <v>53</v>
      </c>
      <c r="C500">
        <v>5</v>
      </c>
      <c r="D500" s="1">
        <v>44295</v>
      </c>
      <c r="E500" s="59" t="str" cm="1">
        <f t="array" ref="E50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500" t="s">
        <v>650</v>
      </c>
      <c r="G500" s="3">
        <v>6634722</v>
      </c>
      <c r="H500" t="s">
        <v>651</v>
      </c>
      <c r="I500" s="4">
        <v>20823062</v>
      </c>
      <c r="J500" t="s">
        <v>227</v>
      </c>
      <c r="K500" s="1">
        <v>44337</v>
      </c>
      <c r="L500">
        <v>77</v>
      </c>
      <c r="M500" s="2" t="str">
        <f>IF(Spotify[[#This Row],[Energie]]&gt;AVERAGE(Spotify[Energie]),"FORTE","FAIBLE")</f>
        <v>FORTE</v>
      </c>
      <c r="N500" s="2">
        <v>0.58799999999999997</v>
      </c>
      <c r="O500" s="2">
        <v>0.85599999999999998</v>
      </c>
      <c r="P500" s="2">
        <v>3.1600000000000003E-2</v>
      </c>
      <c r="Q500" s="2">
        <v>8.1800000000000004E-4</v>
      </c>
      <c r="R500" s="2">
        <v>0.23799999999999999</v>
      </c>
      <c r="S500" s="2">
        <v>0.63500000000000001</v>
      </c>
      <c r="T500" s="2">
        <v>-5.242</v>
      </c>
      <c r="U500">
        <v>175044</v>
      </c>
      <c r="V500">
        <f>YEAR(Spotify[[#This Row],[Date de sortie]])</f>
        <v>2021</v>
      </c>
      <c r="W500" s="2" t="str">
        <f>IF(Spotify[[#This Row],[Popularité]]&gt;=70,"FORTE","FAIBLE")</f>
        <v>FORTE</v>
      </c>
    </row>
    <row r="501" spans="1:23" x14ac:dyDescent="0.25">
      <c r="A501">
        <v>346</v>
      </c>
      <c r="B501">
        <v>67</v>
      </c>
      <c r="C501">
        <v>2</v>
      </c>
      <c r="D501" s="1">
        <v>44330</v>
      </c>
      <c r="E501" s="59" t="str" cm="1">
        <f t="array" ref="E50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01" t="s">
        <v>654</v>
      </c>
      <c r="G501" s="3">
        <v>6299936</v>
      </c>
      <c r="H501" t="s">
        <v>655</v>
      </c>
      <c r="I501" s="4">
        <v>22161310</v>
      </c>
      <c r="J501" t="s">
        <v>19</v>
      </c>
      <c r="K501" s="1">
        <v>44330</v>
      </c>
      <c r="L501">
        <v>77</v>
      </c>
      <c r="M501" s="2" t="str">
        <f>IF(Spotify[[#This Row],[Energie]]&gt;AVERAGE(Spotify[Energie]),"FORTE","FAIBLE")</f>
        <v>FORTE</v>
      </c>
      <c r="N501" s="2">
        <v>0.57299999999999995</v>
      </c>
      <c r="O501" s="2">
        <v>0.86699999999999999</v>
      </c>
      <c r="P501" s="2">
        <v>0.16800000000000001</v>
      </c>
      <c r="Q501" s="2">
        <v>8.5300000000000001E-2</v>
      </c>
      <c r="R501" s="2">
        <v>0.38</v>
      </c>
      <c r="S501" s="2">
        <v>0.23100000000000001</v>
      </c>
      <c r="T501" s="2">
        <v>-2.8759999999999999</v>
      </c>
      <c r="U501">
        <v>339506</v>
      </c>
      <c r="V501">
        <f>YEAR(Spotify[[#This Row],[Date de sortie]])</f>
        <v>2021</v>
      </c>
      <c r="W501" s="2" t="str">
        <f>IF(Spotify[[#This Row],[Popularité]]&gt;=70,"FORTE","FAIBLE")</f>
        <v>FORTE</v>
      </c>
    </row>
    <row r="502" spans="1:23" x14ac:dyDescent="0.25">
      <c r="A502">
        <v>128</v>
      </c>
      <c r="B502">
        <v>128</v>
      </c>
      <c r="C502">
        <v>30</v>
      </c>
      <c r="D502" s="1">
        <v>44400</v>
      </c>
      <c r="E502" s="59" t="str" cm="1">
        <f t="array" ref="E50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02" t="s">
        <v>275</v>
      </c>
      <c r="G502" s="3">
        <v>6065267</v>
      </c>
      <c r="H502" t="s">
        <v>276</v>
      </c>
      <c r="I502" s="4">
        <v>13261089</v>
      </c>
      <c r="J502" t="s">
        <v>277</v>
      </c>
      <c r="K502" s="1">
        <v>33507</v>
      </c>
      <c r="L502">
        <v>77</v>
      </c>
      <c r="M502" s="2" t="str">
        <f>IF(Spotify[[#This Row],[Energie]]&gt;AVERAGE(Spotify[Energie]),"FORTE","FAIBLE")</f>
        <v>FORTE</v>
      </c>
      <c r="N502" s="2">
        <v>0.502</v>
      </c>
      <c r="O502" s="2">
        <v>0.91200000000000003</v>
      </c>
      <c r="P502" s="2">
        <v>5.6399999999999999E-2</v>
      </c>
      <c r="Q502" s="2">
        <v>2.55E-5</v>
      </c>
      <c r="R502" s="2">
        <v>0.106</v>
      </c>
      <c r="S502" s="2">
        <v>0.72</v>
      </c>
      <c r="T502" s="2">
        <v>-4.556</v>
      </c>
      <c r="U502">
        <v>301920</v>
      </c>
      <c r="V502">
        <f>YEAR(Spotify[[#This Row],[Date de sortie]])</f>
        <v>1991</v>
      </c>
      <c r="W502" s="2" t="str">
        <f>IF(Spotify[[#This Row],[Popularité]]&gt;=70,"FORTE","FAIBLE")</f>
        <v>FORTE</v>
      </c>
    </row>
    <row r="503" spans="1:23" x14ac:dyDescent="0.25">
      <c r="A503">
        <v>869</v>
      </c>
      <c r="B503">
        <v>123</v>
      </c>
      <c r="C503">
        <v>1</v>
      </c>
      <c r="D503" s="1">
        <v>44099</v>
      </c>
      <c r="E503" s="59" t="str" cm="1">
        <f t="array" ref="E50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503" t="s">
        <v>1492</v>
      </c>
      <c r="G503" s="3">
        <v>6032935</v>
      </c>
      <c r="H503" t="s">
        <v>566</v>
      </c>
      <c r="I503" s="4">
        <v>3868320</v>
      </c>
      <c r="J503" t="s">
        <v>567</v>
      </c>
      <c r="K503" s="1">
        <v>44099</v>
      </c>
      <c r="L503">
        <v>77</v>
      </c>
      <c r="M503" s="2" t="str">
        <f>IF(Spotify[[#This Row],[Energie]]&gt;AVERAGE(Spotify[Energie]),"FORTE","FAIBLE")</f>
        <v>FORTE</v>
      </c>
      <c r="N503" s="2">
        <v>0.53300000000000003</v>
      </c>
      <c r="O503" s="2">
        <v>0.85799999999999998</v>
      </c>
      <c r="P503" s="2">
        <v>7.6600000000000001E-2</v>
      </c>
      <c r="Q503" s="2">
        <v>2.1000000000000001E-4</v>
      </c>
      <c r="R503" s="2">
        <v>0.14799999999999999</v>
      </c>
      <c r="S503" s="2">
        <v>0.50600000000000001</v>
      </c>
      <c r="T503" s="2">
        <v>-4.2119999999999997</v>
      </c>
      <c r="U503">
        <v>205159</v>
      </c>
      <c r="V503">
        <f>YEAR(Spotify[[#This Row],[Date de sortie]])</f>
        <v>2020</v>
      </c>
      <c r="W503" s="2" t="str">
        <f>IF(Spotify[[#This Row],[Popularité]]&gt;=70,"FORTE","FAIBLE")</f>
        <v>FORTE</v>
      </c>
    </row>
    <row r="504" spans="1:23" x14ac:dyDescent="0.25">
      <c r="A504">
        <v>1416</v>
      </c>
      <c r="B504">
        <v>139</v>
      </c>
      <c r="C504">
        <v>1</v>
      </c>
      <c r="D504" s="1">
        <v>43875</v>
      </c>
      <c r="E504" s="59" t="str" cm="1">
        <f t="array" ref="E50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04" t="s">
        <v>2257</v>
      </c>
      <c r="G504" s="3">
        <v>5921044</v>
      </c>
      <c r="H504" t="s">
        <v>906</v>
      </c>
      <c r="I504" s="4">
        <v>5064200</v>
      </c>
      <c r="J504" t="s">
        <v>907</v>
      </c>
      <c r="K504" s="1">
        <v>43875</v>
      </c>
      <c r="L504">
        <v>77</v>
      </c>
      <c r="M504" s="2" t="str">
        <f>IF(Spotify[[#This Row],[Energie]]&gt;AVERAGE(Spotify[Energie]),"FORTE","FAIBLE")</f>
        <v>FORTE</v>
      </c>
      <c r="N504" s="2">
        <v>0.621</v>
      </c>
      <c r="O504" s="2">
        <v>0.873</v>
      </c>
      <c r="P504" s="2">
        <v>3.6900000000000002E-2</v>
      </c>
      <c r="Q504" s="2">
        <v>4.0599999999999997E-2</v>
      </c>
      <c r="R504" s="2">
        <v>8.2400000000000001E-2</v>
      </c>
      <c r="S504" s="2">
        <v>0.873</v>
      </c>
      <c r="T504" s="2">
        <v>-3.0670000000000002</v>
      </c>
      <c r="U504">
        <v>237800</v>
      </c>
      <c r="V504">
        <f>YEAR(Spotify[[#This Row],[Date de sortie]])</f>
        <v>2020</v>
      </c>
      <c r="W504" s="2" t="str">
        <f>IF(Spotify[[#This Row],[Popularité]]&gt;=70,"FORTE","FAIBLE")</f>
        <v>FORTE</v>
      </c>
    </row>
    <row r="505" spans="1:23" x14ac:dyDescent="0.25">
      <c r="A505">
        <v>721</v>
      </c>
      <c r="B505">
        <v>86</v>
      </c>
      <c r="C505">
        <v>2</v>
      </c>
      <c r="D505" s="1">
        <v>44162</v>
      </c>
      <c r="E505" s="59" t="str" cm="1">
        <f t="array" ref="E50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05" t="s">
        <v>1264</v>
      </c>
      <c r="G505" s="3">
        <v>5884221</v>
      </c>
      <c r="H505" t="s">
        <v>504</v>
      </c>
      <c r="I505" s="4">
        <v>15778531</v>
      </c>
      <c r="J505" t="s">
        <v>19</v>
      </c>
      <c r="K505" s="1">
        <v>44162</v>
      </c>
      <c r="L505">
        <v>77</v>
      </c>
      <c r="M505" s="2" t="str">
        <f>IF(Spotify[[#This Row],[Energie]]&gt;AVERAGE(Spotify[Energie]),"FORTE","FAIBLE")</f>
        <v>FORTE</v>
      </c>
      <c r="N505" s="2">
        <v>0.67200000000000004</v>
      </c>
      <c r="O505" s="2">
        <v>0.64200000000000002</v>
      </c>
      <c r="P505" s="2">
        <v>3.1300000000000001E-2</v>
      </c>
      <c r="Q505" s="2">
        <v>9.8100000000000007E-2</v>
      </c>
      <c r="R505" s="2">
        <v>0.1</v>
      </c>
      <c r="S505" s="2">
        <v>0.49399999999999999</v>
      </c>
      <c r="T505" s="2">
        <v>-4.0350000000000001</v>
      </c>
      <c r="U505">
        <v>196453</v>
      </c>
      <c r="V505">
        <f>YEAR(Spotify[[#This Row],[Date de sortie]])</f>
        <v>2020</v>
      </c>
      <c r="W505" s="2" t="str">
        <f>IF(Spotify[[#This Row],[Popularité]]&gt;=70,"FORTE","FAIBLE")</f>
        <v>FORTE</v>
      </c>
    </row>
    <row r="506" spans="1:23" x14ac:dyDescent="0.25">
      <c r="A506">
        <v>240</v>
      </c>
      <c r="B506">
        <v>132</v>
      </c>
      <c r="C506">
        <v>1</v>
      </c>
      <c r="D506" s="1">
        <v>44379</v>
      </c>
      <c r="E506" s="59" t="str" cm="1">
        <f t="array" ref="E50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06" t="s">
        <v>483</v>
      </c>
      <c r="G506" s="3">
        <v>5876058</v>
      </c>
      <c r="H506" t="s">
        <v>484</v>
      </c>
      <c r="I506" s="4">
        <v>98503</v>
      </c>
      <c r="J506" t="s">
        <v>485</v>
      </c>
      <c r="K506" s="1">
        <v>44379</v>
      </c>
      <c r="L506">
        <v>77</v>
      </c>
      <c r="M506" s="2" t="str">
        <f>IF(Spotify[[#This Row],[Energie]]&gt;AVERAGE(Spotify[Energie]),"FORTE","FAIBLE")</f>
        <v>FORTE</v>
      </c>
      <c r="N506" s="2">
        <v>0.53200000000000003</v>
      </c>
      <c r="O506" s="2">
        <v>0.70799999999999996</v>
      </c>
      <c r="P506" s="2">
        <v>5.0500000000000003E-2</v>
      </c>
      <c r="Q506" s="2">
        <v>0.435</v>
      </c>
      <c r="R506" s="2">
        <v>0.107</v>
      </c>
      <c r="S506" s="2">
        <v>0.58599999999999997</v>
      </c>
      <c r="T506" s="2">
        <v>-8.1210000000000004</v>
      </c>
      <c r="U506">
        <v>254467</v>
      </c>
      <c r="V506">
        <f>YEAR(Spotify[[#This Row],[Date de sortie]])</f>
        <v>2021</v>
      </c>
      <c r="W506" s="2" t="str">
        <f>IF(Spotify[[#This Row],[Popularité]]&gt;=70,"FORTE","FAIBLE")</f>
        <v>FORTE</v>
      </c>
    </row>
    <row r="507" spans="1:23" x14ac:dyDescent="0.25">
      <c r="A507">
        <v>140</v>
      </c>
      <c r="B507">
        <v>2</v>
      </c>
      <c r="C507">
        <v>52</v>
      </c>
      <c r="D507" s="1">
        <v>44078</v>
      </c>
      <c r="E507" s="59" t="str" cm="1">
        <f t="array" ref="E50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07" t="s">
        <v>298</v>
      </c>
      <c r="G507" s="3">
        <v>5769714</v>
      </c>
      <c r="H507" t="s">
        <v>150</v>
      </c>
      <c r="I507" s="4">
        <v>26769304</v>
      </c>
      <c r="J507" t="s">
        <v>25</v>
      </c>
      <c r="K507" s="1">
        <v>44140</v>
      </c>
      <c r="L507">
        <v>77</v>
      </c>
      <c r="M507" s="2" t="str">
        <f>IF(Spotify[[#This Row],[Energie]]&gt;AVERAGE(Spotify[Energie]),"FORTE","FAIBLE")</f>
        <v>FORTE</v>
      </c>
      <c r="N507" s="2">
        <v>0.76600000000000001</v>
      </c>
      <c r="O507" s="2">
        <v>0.78800000000000003</v>
      </c>
      <c r="P507" s="2">
        <v>0.312</v>
      </c>
      <c r="Q507" s="2">
        <v>0.105</v>
      </c>
      <c r="R507" s="2">
        <v>0.14199999999999999</v>
      </c>
      <c r="S507" s="2">
        <v>0.60899999999999999</v>
      </c>
      <c r="T507" s="2">
        <v>-3.1280000000000001</v>
      </c>
      <c r="U507">
        <v>200482</v>
      </c>
      <c r="V507">
        <f>YEAR(Spotify[[#This Row],[Date de sortie]])</f>
        <v>2020</v>
      </c>
      <c r="W507" s="2" t="str">
        <f>IF(Spotify[[#This Row],[Popularité]]&gt;=70,"FORTE","FAIBLE")</f>
        <v>FORTE</v>
      </c>
    </row>
    <row r="508" spans="1:23" x14ac:dyDescent="0.25">
      <c r="A508">
        <v>722</v>
      </c>
      <c r="B508">
        <v>18</v>
      </c>
      <c r="C508">
        <v>3</v>
      </c>
      <c r="D508" s="1">
        <v>44155</v>
      </c>
      <c r="E508" s="59" t="str" cm="1">
        <f t="array" ref="E50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08" t="s">
        <v>1265</v>
      </c>
      <c r="G508" s="3">
        <v>5698275</v>
      </c>
      <c r="H508" t="s">
        <v>32</v>
      </c>
      <c r="I508" s="4">
        <v>37151476</v>
      </c>
      <c r="J508" t="s">
        <v>33</v>
      </c>
      <c r="K508" s="1">
        <v>44155</v>
      </c>
      <c r="L508">
        <v>77</v>
      </c>
      <c r="M508" s="2" t="str">
        <f>IF(Spotify[[#This Row],[Energie]]&gt;AVERAGE(Spotify[Energie]),"FORTE","FAIBLE")</f>
        <v>FAIBLE</v>
      </c>
      <c r="N508" s="2">
        <v>0.54700000000000004</v>
      </c>
      <c r="O508" s="2">
        <v>0.60499999999999998</v>
      </c>
      <c r="P508" s="2">
        <v>4.1500000000000002E-2</v>
      </c>
      <c r="Q508" s="2">
        <v>0.42</v>
      </c>
      <c r="R508" s="2">
        <v>0.125</v>
      </c>
      <c r="S508" s="2">
        <v>0.36399999999999999</v>
      </c>
      <c r="T508" s="2">
        <v>-6.7549999999999999</v>
      </c>
      <c r="U508">
        <v>254950</v>
      </c>
      <c r="V508">
        <f>YEAR(Spotify[[#This Row],[Date de sortie]])</f>
        <v>2020</v>
      </c>
      <c r="W508" s="2" t="str">
        <f>IF(Spotify[[#This Row],[Popularité]]&gt;=70,"FORTE","FAIBLE")</f>
        <v>FORTE</v>
      </c>
    </row>
    <row r="509" spans="1:23" x14ac:dyDescent="0.25">
      <c r="A509">
        <v>159</v>
      </c>
      <c r="B509">
        <v>19</v>
      </c>
      <c r="C509">
        <v>18</v>
      </c>
      <c r="D509" s="1">
        <v>44309</v>
      </c>
      <c r="E509" s="59" t="str" cm="1">
        <f t="array" ref="E50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09" t="s">
        <v>339</v>
      </c>
      <c r="G509" s="3">
        <v>5566150</v>
      </c>
      <c r="H509" t="s">
        <v>340</v>
      </c>
      <c r="I509" s="4">
        <v>1687399</v>
      </c>
      <c r="J509" t="s">
        <v>341</v>
      </c>
      <c r="K509" s="1">
        <v>41640</v>
      </c>
      <c r="L509">
        <v>77</v>
      </c>
      <c r="M509" s="2" t="str">
        <f>IF(Spotify[[#This Row],[Energie]]&gt;AVERAGE(Spotify[Energie]),"FORTE","FAIBLE")</f>
        <v>FAIBLE</v>
      </c>
      <c r="N509" s="2">
        <v>0.52100000000000002</v>
      </c>
      <c r="O509" s="2">
        <v>0.27700000000000002</v>
      </c>
      <c r="P509" s="2">
        <v>3.56E-2</v>
      </c>
      <c r="Q509" s="2">
        <v>0.63400000000000001</v>
      </c>
      <c r="R509" s="2">
        <v>0.10299999999999999</v>
      </c>
      <c r="S509" s="2">
        <v>0.13</v>
      </c>
      <c r="T509" s="2">
        <v>-10.34</v>
      </c>
      <c r="U509">
        <v>248827</v>
      </c>
      <c r="V509">
        <f>YEAR(Spotify[[#This Row],[Date de sortie]])</f>
        <v>2014</v>
      </c>
      <c r="W509" s="2" t="str">
        <f>IF(Spotify[[#This Row],[Popularité]]&gt;=70,"FORTE","FAIBLE")</f>
        <v>FORTE</v>
      </c>
    </row>
    <row r="510" spans="1:23" x14ac:dyDescent="0.25">
      <c r="A510">
        <v>1345</v>
      </c>
      <c r="B510">
        <v>169</v>
      </c>
      <c r="C510">
        <v>2</v>
      </c>
      <c r="D510" s="1">
        <v>43896</v>
      </c>
      <c r="E510" s="59" t="str" cm="1">
        <f t="array" ref="E51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10" t="s">
        <v>2161</v>
      </c>
      <c r="G510" s="3">
        <v>5547770</v>
      </c>
      <c r="H510" t="s">
        <v>2162</v>
      </c>
      <c r="I510" s="4">
        <v>4442273</v>
      </c>
      <c r="J510" t="s">
        <v>19</v>
      </c>
      <c r="K510" s="1">
        <v>43896</v>
      </c>
      <c r="L510">
        <v>77</v>
      </c>
      <c r="M510" s="2" t="str">
        <f>IF(Spotify[[#This Row],[Energie]]&gt;AVERAGE(Spotify[Energie]),"FORTE","FAIBLE")</f>
        <v>FORTE</v>
      </c>
      <c r="N510" s="2">
        <v>0.59899999999999998</v>
      </c>
      <c r="O510" s="2">
        <v>0.73299999999999998</v>
      </c>
      <c r="P510" s="2">
        <v>0.20300000000000001</v>
      </c>
      <c r="Q510" s="2">
        <v>0.17599999999999999</v>
      </c>
      <c r="R510" s="2">
        <v>0.24199999999999999</v>
      </c>
      <c r="S510" s="2">
        <v>0.53400000000000003</v>
      </c>
      <c r="T510" s="2">
        <v>-7.0579999999999998</v>
      </c>
      <c r="U510">
        <v>162583</v>
      </c>
      <c r="V510">
        <f>YEAR(Spotify[[#This Row],[Date de sortie]])</f>
        <v>2020</v>
      </c>
      <c r="W510" s="2" t="str">
        <f>IF(Spotify[[#This Row],[Popularité]]&gt;=70,"FORTE","FAIBLE")</f>
        <v>FORTE</v>
      </c>
    </row>
    <row r="511" spans="1:23" x14ac:dyDescent="0.25">
      <c r="A511">
        <v>493</v>
      </c>
      <c r="B511">
        <v>12</v>
      </c>
      <c r="C511">
        <v>14</v>
      </c>
      <c r="D511" s="1">
        <v>44190</v>
      </c>
      <c r="E511" s="59" t="str" cm="1">
        <f t="array" ref="E51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11" t="s">
        <v>895</v>
      </c>
      <c r="G511" s="3">
        <v>5454807</v>
      </c>
      <c r="H511" t="s">
        <v>896</v>
      </c>
      <c r="I511" s="4">
        <v>20528724</v>
      </c>
      <c r="J511" t="s">
        <v>897</v>
      </c>
      <c r="K511" s="1">
        <v>43405</v>
      </c>
      <c r="L511">
        <v>77</v>
      </c>
      <c r="M511" s="2" t="str">
        <f>IF(Spotify[[#This Row],[Energie]]&gt;AVERAGE(Spotify[Energie]),"FORTE","FAIBLE")</f>
        <v>FAIBLE</v>
      </c>
      <c r="N511" s="2">
        <v>0.71599999999999997</v>
      </c>
      <c r="O511" s="2">
        <v>0.51200000000000001</v>
      </c>
      <c r="P511" s="2">
        <v>3.3099999999999997E-2</v>
      </c>
      <c r="Q511" s="2">
        <v>0.48299999999999998</v>
      </c>
      <c r="R511" s="2">
        <v>9.2799999999999994E-2</v>
      </c>
      <c r="S511" s="2">
        <v>0.32600000000000001</v>
      </c>
      <c r="T511" s="2">
        <v>-6.2569999999999997</v>
      </c>
      <c r="U511">
        <v>165907</v>
      </c>
      <c r="V511">
        <f>YEAR(Spotify[[#This Row],[Date de sortie]])</f>
        <v>2018</v>
      </c>
      <c r="W511" s="2" t="str">
        <f>IF(Spotify[[#This Row],[Popularité]]&gt;=70,"FORTE","FAIBLE")</f>
        <v>FORTE</v>
      </c>
    </row>
    <row r="512" spans="1:23" x14ac:dyDescent="0.25">
      <c r="A512">
        <v>450</v>
      </c>
      <c r="B512">
        <v>160</v>
      </c>
      <c r="C512">
        <v>3</v>
      </c>
      <c r="D512" s="1">
        <v>44288</v>
      </c>
      <c r="E512" s="59" t="str" cm="1">
        <f t="array" ref="E51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12" t="s">
        <v>820</v>
      </c>
      <c r="G512" s="3">
        <v>5413003</v>
      </c>
      <c r="H512" t="s">
        <v>821</v>
      </c>
      <c r="I512" s="4">
        <v>122746</v>
      </c>
      <c r="J512" t="s">
        <v>222</v>
      </c>
      <c r="K512" s="1">
        <v>44231</v>
      </c>
      <c r="L512">
        <v>77</v>
      </c>
      <c r="M512" s="2" t="str">
        <f>IF(Spotify[[#This Row],[Energie]]&gt;AVERAGE(Spotify[Energie]),"FORTE","FAIBLE")</f>
        <v>FAIBLE</v>
      </c>
      <c r="N512" s="2">
        <v>0.65200000000000002</v>
      </c>
      <c r="O512" s="2">
        <v>0.47199999999999998</v>
      </c>
      <c r="P512" s="2">
        <v>3.9899999999999998E-2</v>
      </c>
      <c r="Q512" s="2">
        <v>0.158</v>
      </c>
      <c r="R512" s="2">
        <v>0.121</v>
      </c>
      <c r="S512" s="2">
        <v>0.24</v>
      </c>
      <c r="T512" s="2">
        <v>-8.0839999999999996</v>
      </c>
      <c r="U512">
        <v>194890</v>
      </c>
      <c r="V512">
        <f>YEAR(Spotify[[#This Row],[Date de sortie]])</f>
        <v>2021</v>
      </c>
      <c r="W512" s="2" t="str">
        <f>IF(Spotify[[#This Row],[Popularité]]&gt;=70,"FORTE","FAIBLE")</f>
        <v>FORTE</v>
      </c>
    </row>
    <row r="513" spans="1:23" x14ac:dyDescent="0.25">
      <c r="A513">
        <v>1310</v>
      </c>
      <c r="B513">
        <v>69</v>
      </c>
      <c r="C513">
        <v>3</v>
      </c>
      <c r="D513" s="1">
        <v>43889</v>
      </c>
      <c r="E513" s="59" t="str" cm="1">
        <f t="array" ref="E51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13" t="s">
        <v>2119</v>
      </c>
      <c r="G513" s="3">
        <v>5411302</v>
      </c>
      <c r="H513" t="s">
        <v>2120</v>
      </c>
      <c r="I513" s="4">
        <v>36177712</v>
      </c>
      <c r="J513" t="s">
        <v>25</v>
      </c>
      <c r="K513" s="1">
        <v>43890</v>
      </c>
      <c r="L513">
        <v>77</v>
      </c>
      <c r="M513" s="2" t="str">
        <f>IF(Spotify[[#This Row],[Energie]]&gt;AVERAGE(Spotify[Energie]),"FORTE","FAIBLE")</f>
        <v>FAIBLE</v>
      </c>
      <c r="N513" s="2">
        <v>0.55000000000000004</v>
      </c>
      <c r="O513" s="2">
        <v>0.59799999999999998</v>
      </c>
      <c r="P513" s="2">
        <v>8.3099999999999993E-2</v>
      </c>
      <c r="Q513" s="2">
        <v>0.13200000000000001</v>
      </c>
      <c r="R513" s="2">
        <v>9.5500000000000002E-2</v>
      </c>
      <c r="S513" s="2">
        <v>0.54300000000000004</v>
      </c>
      <c r="T513" s="2">
        <v>-5.4020000000000001</v>
      </c>
      <c r="U513">
        <v>232496</v>
      </c>
      <c r="V513">
        <f>YEAR(Spotify[[#This Row],[Date de sortie]])</f>
        <v>2020</v>
      </c>
      <c r="W513" s="2" t="str">
        <f>IF(Spotify[[#This Row],[Popularité]]&gt;=70,"FORTE","FAIBLE")</f>
        <v>FORTE</v>
      </c>
    </row>
    <row r="514" spans="1:23" x14ac:dyDescent="0.25">
      <c r="A514">
        <v>938</v>
      </c>
      <c r="B514">
        <v>22</v>
      </c>
      <c r="C514">
        <v>6</v>
      </c>
      <c r="D514" s="1">
        <v>43882</v>
      </c>
      <c r="E514" s="59" t="str" cm="1">
        <f t="array" ref="E51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14" t="s">
        <v>1603</v>
      </c>
      <c r="G514" s="3">
        <v>5391018</v>
      </c>
      <c r="H514" t="s">
        <v>32</v>
      </c>
      <c r="I514" s="4">
        <v>37151476</v>
      </c>
      <c r="J514" t="s">
        <v>33</v>
      </c>
      <c r="K514" s="1">
        <v>43882</v>
      </c>
      <c r="L514">
        <v>77</v>
      </c>
      <c r="M514" s="2" t="str">
        <f>IF(Spotify[[#This Row],[Energie]]&gt;AVERAGE(Spotify[Energie]),"FORTE","FAIBLE")</f>
        <v>FORTE</v>
      </c>
      <c r="N514" s="2">
        <v>0.58299999999999996</v>
      </c>
      <c r="O514" s="2">
        <v>0.81699999999999995</v>
      </c>
      <c r="P514" s="2">
        <v>9.8699999999999996E-2</v>
      </c>
      <c r="Q514" s="2">
        <v>0.11799999999999999</v>
      </c>
      <c r="R514" s="2">
        <v>0.33800000000000002</v>
      </c>
      <c r="S514" s="2">
        <v>0.438</v>
      </c>
      <c r="T514" s="2">
        <v>-5.1459999999999999</v>
      </c>
      <c r="U514">
        <v>246381</v>
      </c>
      <c r="V514">
        <f>YEAR(Spotify[[#This Row],[Date de sortie]])</f>
        <v>2020</v>
      </c>
      <c r="W514" s="2" t="str">
        <f>IF(Spotify[[#This Row],[Popularité]]&gt;=70,"FORTE","FAIBLE")</f>
        <v>FORTE</v>
      </c>
    </row>
    <row r="515" spans="1:23" x14ac:dyDescent="0.25">
      <c r="A515">
        <v>1350</v>
      </c>
      <c r="B515">
        <v>41</v>
      </c>
      <c r="C515">
        <v>11</v>
      </c>
      <c r="D515" s="1">
        <v>43833</v>
      </c>
      <c r="E515" s="59" t="str" cm="1">
        <f t="array" ref="E51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15" t="s">
        <v>2169</v>
      </c>
      <c r="G515" s="3">
        <v>5315827</v>
      </c>
      <c r="H515" t="s">
        <v>12</v>
      </c>
      <c r="I515" s="4">
        <v>83337783</v>
      </c>
      <c r="J515" t="s">
        <v>10</v>
      </c>
      <c r="K515" s="1">
        <v>43658</v>
      </c>
      <c r="L515">
        <v>77</v>
      </c>
      <c r="M515" s="2" t="str">
        <f>IF(Spotify[[#This Row],[Energie]]&gt;AVERAGE(Spotify[Energie]),"FORTE","FAIBLE")</f>
        <v>FAIBLE</v>
      </c>
      <c r="N515" s="2">
        <v>0.85699999999999998</v>
      </c>
      <c r="O515" s="2">
        <v>0.621</v>
      </c>
      <c r="P515" s="2">
        <v>8.2500000000000004E-2</v>
      </c>
      <c r="Q515" s="2">
        <v>0.14799999999999999</v>
      </c>
      <c r="R515" s="2">
        <v>8.6499999999999994E-2</v>
      </c>
      <c r="S515" s="2">
        <v>0.66800000000000004</v>
      </c>
      <c r="T515" s="2">
        <v>-6.3760000000000003</v>
      </c>
      <c r="U515">
        <v>204467</v>
      </c>
      <c r="V515">
        <f>YEAR(Spotify[[#This Row],[Date de sortie]])</f>
        <v>2019</v>
      </c>
      <c r="W515" s="2" t="str">
        <f>IF(Spotify[[#This Row],[Popularité]]&gt;=70,"FORTE","FAIBLE")</f>
        <v>FORTE</v>
      </c>
    </row>
    <row r="516" spans="1:23" x14ac:dyDescent="0.25">
      <c r="A516">
        <v>728</v>
      </c>
      <c r="B516">
        <v>35</v>
      </c>
      <c r="C516">
        <v>5</v>
      </c>
      <c r="D516" s="1">
        <v>44141</v>
      </c>
      <c r="E516" s="59" t="str" cm="1">
        <f t="array" ref="E51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516" t="s">
        <v>1274</v>
      </c>
      <c r="G516" s="3">
        <v>5314734</v>
      </c>
      <c r="H516" t="s">
        <v>99</v>
      </c>
      <c r="I516" s="4">
        <v>1276406</v>
      </c>
      <c r="J516" t="s">
        <v>100</v>
      </c>
      <c r="K516" s="1">
        <v>44141</v>
      </c>
      <c r="L516">
        <v>77</v>
      </c>
      <c r="M516" s="2" t="str">
        <f>IF(Spotify[[#This Row],[Energie]]&gt;AVERAGE(Spotify[Energie]),"FORTE","FAIBLE")</f>
        <v>FORTE</v>
      </c>
      <c r="N516" s="2">
        <v>0.72099999999999997</v>
      </c>
      <c r="O516" s="2">
        <v>0.745</v>
      </c>
      <c r="P516" s="2">
        <v>3.6600000000000001E-2</v>
      </c>
      <c r="Q516" s="2">
        <v>0.151</v>
      </c>
      <c r="R516" s="2">
        <v>0.372</v>
      </c>
      <c r="S516" s="2">
        <v>0.69899999999999995</v>
      </c>
      <c r="T516" s="2">
        <v>-3.508</v>
      </c>
      <c r="U516">
        <v>192745</v>
      </c>
      <c r="V516">
        <f>YEAR(Spotify[[#This Row],[Date de sortie]])</f>
        <v>2020</v>
      </c>
      <c r="W516" s="2" t="str">
        <f>IF(Spotify[[#This Row],[Popularité]]&gt;=70,"FORTE","FAIBLE")</f>
        <v>FORTE</v>
      </c>
    </row>
    <row r="517" spans="1:23" x14ac:dyDescent="0.25">
      <c r="A517">
        <v>452</v>
      </c>
      <c r="B517">
        <v>91</v>
      </c>
      <c r="C517">
        <v>12</v>
      </c>
      <c r="D517" s="1">
        <v>44253</v>
      </c>
      <c r="E517" s="59" t="str" cm="1">
        <f t="array" ref="E51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17" t="s">
        <v>823</v>
      </c>
      <c r="G517" s="3">
        <v>5269163</v>
      </c>
      <c r="H517" t="s">
        <v>824</v>
      </c>
      <c r="I517" s="4">
        <v>4026643</v>
      </c>
      <c r="J517" t="s">
        <v>25</v>
      </c>
      <c r="K517" s="1">
        <v>43742</v>
      </c>
      <c r="L517">
        <v>77</v>
      </c>
      <c r="M517" s="2" t="str">
        <f>IF(Spotify[[#This Row],[Energie]]&gt;AVERAGE(Spotify[Energie]),"FORTE","FAIBLE")</f>
        <v>FORTE</v>
      </c>
      <c r="N517" s="2">
        <v>0.71399999999999997</v>
      </c>
      <c r="O517" s="2">
        <v>0.67100000000000004</v>
      </c>
      <c r="P517" s="2">
        <v>0.36199999999999999</v>
      </c>
      <c r="Q517" s="2">
        <v>0.28899999999999998</v>
      </c>
      <c r="R517" s="2">
        <v>0.32500000000000001</v>
      </c>
      <c r="S517" s="2">
        <v>0.64100000000000001</v>
      </c>
      <c r="T517" s="2">
        <v>-5.1189999999999998</v>
      </c>
      <c r="U517">
        <v>229827</v>
      </c>
      <c r="V517">
        <f>YEAR(Spotify[[#This Row],[Date de sortie]])</f>
        <v>2019</v>
      </c>
      <c r="W517" s="2" t="str">
        <f>IF(Spotify[[#This Row],[Popularité]]&gt;=70,"FORTE","FAIBLE")</f>
        <v>FORTE</v>
      </c>
    </row>
    <row r="518" spans="1:23" x14ac:dyDescent="0.25">
      <c r="A518">
        <v>544</v>
      </c>
      <c r="B518">
        <v>83</v>
      </c>
      <c r="C518">
        <v>11</v>
      </c>
      <c r="D518" s="1">
        <v>44197</v>
      </c>
      <c r="E518" s="59" t="str" cm="1">
        <f t="array" ref="E51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518" t="s">
        <v>980</v>
      </c>
      <c r="G518" s="3">
        <v>5232509</v>
      </c>
      <c r="H518" t="s">
        <v>981</v>
      </c>
      <c r="I518" s="4">
        <v>3134041</v>
      </c>
      <c r="J518" t="s">
        <v>110</v>
      </c>
      <c r="K518" s="1">
        <v>44162</v>
      </c>
      <c r="L518">
        <v>77</v>
      </c>
      <c r="M518" s="2" t="str">
        <f>IF(Spotify[[#This Row],[Energie]]&gt;AVERAGE(Spotify[Energie]),"FORTE","FAIBLE")</f>
        <v>FORTE</v>
      </c>
      <c r="N518" s="2">
        <v>0.65</v>
      </c>
      <c r="O518" s="2">
        <v>0.65500000000000003</v>
      </c>
      <c r="P518" s="2">
        <v>0.40500000000000003</v>
      </c>
      <c r="Q518" s="2">
        <v>0.25</v>
      </c>
      <c r="R518" s="2">
        <v>6.9099999999999995E-2</v>
      </c>
      <c r="S518" s="2">
        <v>0.73499999999999999</v>
      </c>
      <c r="T518" s="2">
        <v>-3.71</v>
      </c>
      <c r="U518">
        <v>171215</v>
      </c>
      <c r="V518">
        <f>YEAR(Spotify[[#This Row],[Date de sortie]])</f>
        <v>2020</v>
      </c>
      <c r="W518" s="2" t="str">
        <f>IF(Spotify[[#This Row],[Popularité]]&gt;=70,"FORTE","FAIBLE")</f>
        <v>FORTE</v>
      </c>
    </row>
    <row r="519" spans="1:23" x14ac:dyDescent="0.25">
      <c r="A519">
        <v>479</v>
      </c>
      <c r="B519">
        <v>181</v>
      </c>
      <c r="C519">
        <v>3</v>
      </c>
      <c r="D519" s="1">
        <v>44267</v>
      </c>
      <c r="E519" s="59" t="str" cm="1">
        <f t="array" ref="E51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19" t="s">
        <v>872</v>
      </c>
      <c r="G519" s="3">
        <v>5211351</v>
      </c>
      <c r="H519" t="s">
        <v>873</v>
      </c>
      <c r="I519" s="4">
        <v>435936</v>
      </c>
      <c r="J519" t="s">
        <v>874</v>
      </c>
      <c r="K519" s="1">
        <v>44148</v>
      </c>
      <c r="L519">
        <v>77</v>
      </c>
      <c r="M519" s="2" t="str">
        <f>IF(Spotify[[#This Row],[Energie]]&gt;AVERAGE(Spotify[Energie]),"FORTE","FAIBLE")</f>
        <v>FORTE</v>
      </c>
      <c r="N519" s="2">
        <v>0.76400000000000001</v>
      </c>
      <c r="O519" s="2">
        <v>0.79400000000000004</v>
      </c>
      <c r="P519" s="2">
        <v>5.8900000000000001E-2</v>
      </c>
      <c r="Q519" s="2">
        <v>0.66300000000000003</v>
      </c>
      <c r="R519" s="2">
        <v>0.34</v>
      </c>
      <c r="S519" s="2">
        <v>0.72099999999999997</v>
      </c>
      <c r="T519" s="2">
        <v>-4.0960000000000001</v>
      </c>
      <c r="U519">
        <v>173227</v>
      </c>
      <c r="V519">
        <f>YEAR(Spotify[[#This Row],[Date de sortie]])</f>
        <v>2020</v>
      </c>
      <c r="W519" s="2" t="str">
        <f>IF(Spotify[[#This Row],[Popularité]]&gt;=70,"FORTE","FAIBLE")</f>
        <v>FORTE</v>
      </c>
    </row>
    <row r="520" spans="1:23" x14ac:dyDescent="0.25">
      <c r="A520">
        <v>513</v>
      </c>
      <c r="B520">
        <v>24</v>
      </c>
      <c r="C520">
        <v>25</v>
      </c>
      <c r="D520" s="1">
        <v>44141</v>
      </c>
      <c r="E520" s="59" t="str" cm="1">
        <f t="array" ref="E52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20" t="s">
        <v>933</v>
      </c>
      <c r="G520" s="3">
        <v>5168240</v>
      </c>
      <c r="H520" t="s">
        <v>934</v>
      </c>
      <c r="I520" s="4">
        <v>786461</v>
      </c>
      <c r="J520" t="s">
        <v>88</v>
      </c>
      <c r="K520" s="1">
        <v>44076</v>
      </c>
      <c r="L520">
        <v>77</v>
      </c>
      <c r="M520" s="2" t="str">
        <f>IF(Spotify[[#This Row],[Energie]]&gt;AVERAGE(Spotify[Energie]),"FORTE","FAIBLE")</f>
        <v>FORTE</v>
      </c>
      <c r="N520" s="2">
        <v>0.90500000000000003</v>
      </c>
      <c r="O520" s="2">
        <v>0.68600000000000005</v>
      </c>
      <c r="P520" s="2">
        <v>6.6400000000000001E-2</v>
      </c>
      <c r="Q520" s="2">
        <v>9.0700000000000003E-2</v>
      </c>
      <c r="R520" s="2">
        <v>0.26600000000000001</v>
      </c>
      <c r="S520" s="2">
        <v>0.96299999999999997</v>
      </c>
      <c r="T520" s="2">
        <v>-3.1520000000000001</v>
      </c>
      <c r="U520">
        <v>155825</v>
      </c>
      <c r="V520">
        <f>YEAR(Spotify[[#This Row],[Date de sortie]])</f>
        <v>2020</v>
      </c>
      <c r="W520" s="2" t="str">
        <f>IF(Spotify[[#This Row],[Popularité]]&gt;=70,"FORTE","FAIBLE")</f>
        <v>FORTE</v>
      </c>
    </row>
    <row r="521" spans="1:23" x14ac:dyDescent="0.25">
      <c r="A521">
        <v>545</v>
      </c>
      <c r="B521">
        <v>17</v>
      </c>
      <c r="C521">
        <v>15</v>
      </c>
      <c r="D521" s="1">
        <v>44141</v>
      </c>
      <c r="E521" s="59" t="str" cm="1">
        <f t="array" ref="E52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21" t="s">
        <v>982</v>
      </c>
      <c r="G521" s="3">
        <v>5163323</v>
      </c>
      <c r="H521" t="s">
        <v>983</v>
      </c>
      <c r="I521" s="4">
        <v>26784251</v>
      </c>
      <c r="J521" t="s">
        <v>25</v>
      </c>
      <c r="K521" s="1">
        <v>44140</v>
      </c>
      <c r="L521">
        <v>77</v>
      </c>
      <c r="M521" s="2" t="str">
        <f>IF(Spotify[[#This Row],[Energie]]&gt;AVERAGE(Spotify[Energie]),"FORTE","FAIBLE")</f>
        <v>FORTE</v>
      </c>
      <c r="N521" s="2">
        <v>0.76600000000000001</v>
      </c>
      <c r="O521" s="2">
        <v>0.78800000000000003</v>
      </c>
      <c r="P521" s="2">
        <v>0.312</v>
      </c>
      <c r="Q521" s="2">
        <v>0.105</v>
      </c>
      <c r="R521" s="2">
        <v>0.14199999999999999</v>
      </c>
      <c r="S521" s="2">
        <v>0.60899999999999999</v>
      </c>
      <c r="T521" s="2">
        <v>-3.1280000000000001</v>
      </c>
      <c r="U521">
        <v>200482</v>
      </c>
      <c r="V521">
        <f>YEAR(Spotify[[#This Row],[Date de sortie]])</f>
        <v>2020</v>
      </c>
      <c r="W521" s="2" t="str">
        <f>IF(Spotify[[#This Row],[Popularité]]&gt;=70,"FORTE","FAIBLE")</f>
        <v>FORTE</v>
      </c>
    </row>
    <row r="522" spans="1:23" x14ac:dyDescent="0.25">
      <c r="A522">
        <v>1374</v>
      </c>
      <c r="B522">
        <v>146</v>
      </c>
      <c r="C522">
        <v>8</v>
      </c>
      <c r="D522" s="1">
        <v>43826</v>
      </c>
      <c r="E522" s="59" t="str" cm="1">
        <f t="array" ref="E52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22" t="s">
        <v>2202</v>
      </c>
      <c r="G522" s="3">
        <v>5141047</v>
      </c>
      <c r="H522" t="s">
        <v>793</v>
      </c>
      <c r="I522" s="4">
        <v>29067437</v>
      </c>
      <c r="J522" t="s">
        <v>25</v>
      </c>
      <c r="K522" s="1">
        <v>43644</v>
      </c>
      <c r="L522">
        <v>77</v>
      </c>
      <c r="M522" s="2" t="str">
        <f>IF(Spotify[[#This Row],[Energie]]&gt;AVERAGE(Spotify[Energie]),"FORTE","FAIBLE")</f>
        <v>FORTE</v>
      </c>
      <c r="N522" s="2">
        <v>0.63900000000000001</v>
      </c>
      <c r="O522" s="2">
        <v>0.79100000000000004</v>
      </c>
      <c r="P522" s="2">
        <v>0.253</v>
      </c>
      <c r="Q522" s="2">
        <v>2.75E-2</v>
      </c>
      <c r="R522" s="2">
        <v>0.36199999999999999</v>
      </c>
      <c r="S522" s="2">
        <v>0.93899999999999995</v>
      </c>
      <c r="T522" s="2">
        <v>-4.4429999999999996</v>
      </c>
      <c r="U522">
        <v>222347</v>
      </c>
      <c r="V522">
        <f>YEAR(Spotify[[#This Row],[Date de sortie]])</f>
        <v>2019</v>
      </c>
      <c r="W522" s="2" t="str">
        <f>IF(Spotify[[#This Row],[Popularité]]&gt;=70,"FORTE","FAIBLE")</f>
        <v>FORTE</v>
      </c>
    </row>
    <row r="523" spans="1:23" x14ac:dyDescent="0.25">
      <c r="A523">
        <v>563</v>
      </c>
      <c r="B523">
        <v>140</v>
      </c>
      <c r="C523">
        <v>4</v>
      </c>
      <c r="D523" s="1">
        <v>44218</v>
      </c>
      <c r="E523" s="59" t="str" cm="1">
        <f t="array" ref="E52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23" t="s">
        <v>1006</v>
      </c>
      <c r="G523" s="3">
        <v>5092250</v>
      </c>
      <c r="H523" t="s">
        <v>1007</v>
      </c>
      <c r="I523" s="4">
        <v>3912138</v>
      </c>
      <c r="J523" t="s">
        <v>1008</v>
      </c>
      <c r="K523" s="1">
        <v>41365</v>
      </c>
      <c r="L523">
        <v>77</v>
      </c>
      <c r="M523" s="2" t="str">
        <f>IF(Spotify[[#This Row],[Energie]]&gt;AVERAGE(Spotify[Energie]),"FORTE","FAIBLE")</f>
        <v>FORTE</v>
      </c>
      <c r="N523" s="2">
        <v>0.15</v>
      </c>
      <c r="O523" s="2">
        <v>0.85899999999999999</v>
      </c>
      <c r="P523" s="2">
        <v>5.9499999999999997E-2</v>
      </c>
      <c r="Q523" s="2">
        <v>2.0100000000000001E-3</v>
      </c>
      <c r="R523" s="2">
        <v>0.38700000000000001</v>
      </c>
      <c r="S523" s="2">
        <v>0.35399999999999998</v>
      </c>
      <c r="T523" s="2">
        <v>-2.827</v>
      </c>
      <c r="U523">
        <v>228147</v>
      </c>
      <c r="V523">
        <f>YEAR(Spotify[[#This Row],[Date de sortie]])</f>
        <v>2013</v>
      </c>
      <c r="W523" s="2" t="str">
        <f>IF(Spotify[[#This Row],[Popularité]]&gt;=70,"FORTE","FAIBLE")</f>
        <v>FORTE</v>
      </c>
    </row>
    <row r="524" spans="1:23" x14ac:dyDescent="0.25">
      <c r="A524">
        <v>845</v>
      </c>
      <c r="B524">
        <v>12</v>
      </c>
      <c r="C524">
        <v>32</v>
      </c>
      <c r="D524" s="1">
        <v>43938</v>
      </c>
      <c r="E524" s="59" t="str" cm="1">
        <f t="array" ref="E52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24" t="s">
        <v>1459</v>
      </c>
      <c r="G524" s="3">
        <v>5089970</v>
      </c>
      <c r="H524" t="s">
        <v>1460</v>
      </c>
      <c r="I524" s="4">
        <v>638337</v>
      </c>
      <c r="J524" t="s">
        <v>222</v>
      </c>
      <c r="K524" s="1">
        <v>43784</v>
      </c>
      <c r="L524">
        <v>77</v>
      </c>
      <c r="M524" s="2" t="str">
        <f>IF(Spotify[[#This Row],[Energie]]&gt;AVERAGE(Spotify[Energie]),"FORTE","FAIBLE")</f>
        <v>FAIBLE</v>
      </c>
      <c r="N524" s="2">
        <v>0.86299999999999999</v>
      </c>
      <c r="O524" s="2">
        <v>0.63100000000000001</v>
      </c>
      <c r="P524" s="2">
        <v>5.3400000000000003E-2</v>
      </c>
      <c r="Q524" s="2">
        <v>0.30499999999999999</v>
      </c>
      <c r="R524" s="2">
        <v>0.123</v>
      </c>
      <c r="S524" s="2">
        <v>0.81699999999999995</v>
      </c>
      <c r="T524" s="2">
        <v>-4.6890000000000001</v>
      </c>
      <c r="U524">
        <v>223480</v>
      </c>
      <c r="V524">
        <f>YEAR(Spotify[[#This Row],[Date de sortie]])</f>
        <v>2019</v>
      </c>
      <c r="W524" s="2" t="str">
        <f>IF(Spotify[[#This Row],[Popularité]]&gt;=70,"FORTE","FAIBLE")</f>
        <v>FORTE</v>
      </c>
    </row>
    <row r="525" spans="1:23" x14ac:dyDescent="0.25">
      <c r="A525">
        <v>778</v>
      </c>
      <c r="B525">
        <v>22</v>
      </c>
      <c r="C525">
        <v>18</v>
      </c>
      <c r="D525" s="1">
        <v>44029</v>
      </c>
      <c r="E525" s="59" t="str" cm="1">
        <f t="array" ref="E52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525" t="s">
        <v>1354</v>
      </c>
      <c r="G525" s="3">
        <v>5043665</v>
      </c>
      <c r="H525" t="s">
        <v>489</v>
      </c>
      <c r="I525" s="4">
        <v>6281829</v>
      </c>
      <c r="J525" t="s">
        <v>426</v>
      </c>
      <c r="K525" s="1">
        <v>44028</v>
      </c>
      <c r="L525">
        <v>77</v>
      </c>
      <c r="M525" s="2" t="str">
        <f>IF(Spotify[[#This Row],[Energie]]&gt;AVERAGE(Spotify[Energie]),"FORTE","FAIBLE")</f>
        <v>FAIBLE</v>
      </c>
      <c r="N525" s="2">
        <v>0.69499999999999995</v>
      </c>
      <c r="O525" s="2">
        <v>0.34300000000000003</v>
      </c>
      <c r="P525" s="2">
        <v>4.3200000000000002E-2</v>
      </c>
      <c r="Q525" s="2">
        <v>7.4300000000000005E-2</v>
      </c>
      <c r="R525" s="2">
        <v>0.107</v>
      </c>
      <c r="S525" s="2">
        <v>0.22900000000000001</v>
      </c>
      <c r="T525" s="2">
        <v>-10.798</v>
      </c>
      <c r="U525">
        <v>218902</v>
      </c>
      <c r="V525">
        <f>YEAR(Spotify[[#This Row],[Date de sortie]])</f>
        <v>2020</v>
      </c>
      <c r="W525" s="2" t="str">
        <f>IF(Spotify[[#This Row],[Popularité]]&gt;=70,"FORTE","FAIBLE")</f>
        <v>FORTE</v>
      </c>
    </row>
    <row r="526" spans="1:23" x14ac:dyDescent="0.25">
      <c r="A526">
        <v>247</v>
      </c>
      <c r="B526">
        <v>189</v>
      </c>
      <c r="C526">
        <v>1</v>
      </c>
      <c r="D526" s="1">
        <v>44379</v>
      </c>
      <c r="E526" s="59" t="str" cm="1">
        <f t="array" ref="E52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526" t="s">
        <v>495</v>
      </c>
      <c r="G526" s="3">
        <v>5029898</v>
      </c>
      <c r="H526" t="s">
        <v>496</v>
      </c>
      <c r="I526" s="4">
        <v>558345</v>
      </c>
      <c r="J526" t="s">
        <v>497</v>
      </c>
      <c r="K526" s="1">
        <v>44378</v>
      </c>
      <c r="L526">
        <v>77</v>
      </c>
      <c r="M526" s="2" t="str">
        <f>IF(Spotify[[#This Row],[Energie]]&gt;AVERAGE(Spotify[Energie]),"FORTE","FAIBLE")</f>
        <v>FORTE</v>
      </c>
      <c r="N526" s="2">
        <v>0.871</v>
      </c>
      <c r="O526" s="2">
        <v>0.66900000000000004</v>
      </c>
      <c r="P526" s="2">
        <v>0.32900000000000001</v>
      </c>
      <c r="Q526" s="2">
        <v>1.1299999999999999E-2</v>
      </c>
      <c r="R526" s="2">
        <v>7.9500000000000001E-2</v>
      </c>
      <c r="S526" s="2">
        <v>0.80600000000000005</v>
      </c>
      <c r="T526" s="2">
        <v>-7.62</v>
      </c>
      <c r="U526">
        <v>155363</v>
      </c>
      <c r="V526">
        <f>YEAR(Spotify[[#This Row],[Date de sortie]])</f>
        <v>2021</v>
      </c>
      <c r="W526" s="2" t="str">
        <f>IF(Spotify[[#This Row],[Popularité]]&gt;=70,"FORTE","FAIBLE")</f>
        <v>FORTE</v>
      </c>
    </row>
    <row r="527" spans="1:23" x14ac:dyDescent="0.25">
      <c r="A527">
        <v>1379</v>
      </c>
      <c r="B527">
        <v>82</v>
      </c>
      <c r="C527">
        <v>10</v>
      </c>
      <c r="D527" s="1">
        <v>43826</v>
      </c>
      <c r="E527" s="59" t="str" cm="1">
        <f t="array" ref="E52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27" t="s">
        <v>2210</v>
      </c>
      <c r="G527" s="3">
        <v>5024683</v>
      </c>
      <c r="H527" t="s">
        <v>2043</v>
      </c>
      <c r="I527" s="4">
        <v>3991674</v>
      </c>
      <c r="J527" t="s">
        <v>19</v>
      </c>
      <c r="K527" s="1">
        <v>43574</v>
      </c>
      <c r="L527">
        <v>77</v>
      </c>
      <c r="M527" s="2" t="str">
        <f>IF(Spotify[[#This Row],[Energie]]&gt;AVERAGE(Spotify[Energie]),"FORTE","FAIBLE")</f>
        <v>FAIBLE</v>
      </c>
      <c r="N527" s="2">
        <v>0.71499999999999997</v>
      </c>
      <c r="O527" s="2">
        <v>0.624</v>
      </c>
      <c r="P527" s="2">
        <v>0.114</v>
      </c>
      <c r="Q527" s="2">
        <v>0.11</v>
      </c>
      <c r="R527" s="2">
        <v>0.123</v>
      </c>
      <c r="S527" s="2">
        <v>0.41199999999999998</v>
      </c>
      <c r="T527" s="2">
        <v>-3.0459999999999998</v>
      </c>
      <c r="U527">
        <v>173325</v>
      </c>
      <c r="V527">
        <f>YEAR(Spotify[[#This Row],[Date de sortie]])</f>
        <v>2019</v>
      </c>
      <c r="W527" s="2" t="str">
        <f>IF(Spotify[[#This Row],[Popularité]]&gt;=70,"FORTE","FAIBLE")</f>
        <v>FORTE</v>
      </c>
    </row>
    <row r="528" spans="1:23" x14ac:dyDescent="0.25">
      <c r="A528">
        <v>1443</v>
      </c>
      <c r="B528">
        <v>89</v>
      </c>
      <c r="C528">
        <v>7</v>
      </c>
      <c r="D528" s="1">
        <v>43826</v>
      </c>
      <c r="E528" s="59" t="str" cm="1">
        <f t="array" ref="E52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28" t="s">
        <v>2295</v>
      </c>
      <c r="G528" s="3">
        <v>5013732</v>
      </c>
      <c r="H528" t="s">
        <v>2296</v>
      </c>
      <c r="I528" s="4">
        <v>7408249</v>
      </c>
      <c r="J528" t="s">
        <v>19</v>
      </c>
      <c r="K528" s="1">
        <v>43671</v>
      </c>
      <c r="L528">
        <v>77</v>
      </c>
      <c r="M528" s="2" t="str">
        <f>IF(Spotify[[#This Row],[Energie]]&gt;AVERAGE(Spotify[Energie]),"FORTE","FAIBLE")</f>
        <v>FORTE</v>
      </c>
      <c r="N528" s="2">
        <v>0.69399999999999995</v>
      </c>
      <c r="O528" s="2">
        <v>0.75800000000000001</v>
      </c>
      <c r="P528" s="2">
        <v>0.218</v>
      </c>
      <c r="Q528" s="2">
        <v>0.27800000000000002</v>
      </c>
      <c r="R528" s="2">
        <v>0.10199999999999999</v>
      </c>
      <c r="S528" s="2">
        <v>0.371</v>
      </c>
      <c r="T528" s="2">
        <v>-2.9860000000000002</v>
      </c>
      <c r="U528">
        <v>185195</v>
      </c>
      <c r="V528">
        <f>YEAR(Spotify[[#This Row],[Date de sortie]])</f>
        <v>2019</v>
      </c>
      <c r="W528" s="2" t="str">
        <f>IF(Spotify[[#This Row],[Popularité]]&gt;=70,"FORTE","FAIBLE")</f>
        <v>FORTE</v>
      </c>
    </row>
    <row r="529" spans="1:23" x14ac:dyDescent="0.25">
      <c r="A529">
        <v>527</v>
      </c>
      <c r="B529">
        <v>33</v>
      </c>
      <c r="C529">
        <v>12</v>
      </c>
      <c r="D529" s="1">
        <v>44162</v>
      </c>
      <c r="E529" s="59" t="str" cm="1">
        <f t="array" ref="E52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29" t="s">
        <v>956</v>
      </c>
      <c r="G529" s="3">
        <v>4995965</v>
      </c>
      <c r="H529" t="s">
        <v>24</v>
      </c>
      <c r="I529" s="4">
        <v>36177712</v>
      </c>
      <c r="J529" t="s">
        <v>25</v>
      </c>
      <c r="K529" s="1">
        <v>44162</v>
      </c>
      <c r="L529">
        <v>77</v>
      </c>
      <c r="M529" s="2" t="str">
        <f>IF(Spotify[[#This Row],[Energie]]&gt;AVERAGE(Spotify[Energie]),"FORTE","FAIBLE")</f>
        <v>FAIBLE</v>
      </c>
      <c r="N529" s="2">
        <v>0.88300000000000001</v>
      </c>
      <c r="O529" s="2">
        <v>0.6</v>
      </c>
      <c r="P529" s="2">
        <v>0.37</v>
      </c>
      <c r="Q529" s="2">
        <v>0.114</v>
      </c>
      <c r="R529" s="2">
        <v>9.3100000000000002E-2</v>
      </c>
      <c r="S529" s="2">
        <v>0.69099999999999995</v>
      </c>
      <c r="T529" s="2">
        <v>-7.1879999999999997</v>
      </c>
      <c r="U529">
        <v>156430</v>
      </c>
      <c r="V529">
        <f>YEAR(Spotify[[#This Row],[Date de sortie]])</f>
        <v>2020</v>
      </c>
      <c r="W529" s="2" t="str">
        <f>IF(Spotify[[#This Row],[Popularité]]&gt;=70,"FORTE","FAIBLE")</f>
        <v>FORTE</v>
      </c>
    </row>
    <row r="530" spans="1:23" x14ac:dyDescent="0.25">
      <c r="A530">
        <v>566</v>
      </c>
      <c r="B530">
        <v>18</v>
      </c>
      <c r="C530">
        <v>23</v>
      </c>
      <c r="D530" s="1">
        <v>43910</v>
      </c>
      <c r="E530" s="59" t="str" cm="1">
        <f t="array" ref="E53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30" t="s">
        <v>1013</v>
      </c>
      <c r="G530" s="3">
        <v>4995578</v>
      </c>
      <c r="H530" t="s">
        <v>41</v>
      </c>
      <c r="I530" s="4">
        <v>35340069</v>
      </c>
      <c r="J530" t="s">
        <v>42</v>
      </c>
      <c r="K530" s="1">
        <v>43910</v>
      </c>
      <c r="L530">
        <v>77</v>
      </c>
      <c r="M530" s="2" t="str">
        <f>IF(Spotify[[#This Row],[Energie]]&gt;AVERAGE(Spotify[Energie]),"FORTE","FAIBLE")</f>
        <v>FORTE</v>
      </c>
      <c r="N530" s="2">
        <v>0.53700000000000003</v>
      </c>
      <c r="O530" s="2">
        <v>0.746</v>
      </c>
      <c r="P530" s="2">
        <v>0.15</v>
      </c>
      <c r="Q530" s="2">
        <v>2.3599999999999999E-2</v>
      </c>
      <c r="R530" s="2">
        <v>0.156</v>
      </c>
      <c r="S530" s="2">
        <v>0.252</v>
      </c>
      <c r="T530" s="2">
        <v>-5.5069999999999997</v>
      </c>
      <c r="U530">
        <v>198267</v>
      </c>
      <c r="V530">
        <f>YEAR(Spotify[[#This Row],[Date de sortie]])</f>
        <v>2020</v>
      </c>
      <c r="W530" s="2" t="str">
        <f>IF(Spotify[[#This Row],[Popularité]]&gt;=70,"FORTE","FAIBLE")</f>
        <v>FORTE</v>
      </c>
    </row>
    <row r="531" spans="1:23" x14ac:dyDescent="0.25">
      <c r="A531">
        <v>528</v>
      </c>
      <c r="B531">
        <v>5</v>
      </c>
      <c r="C531">
        <v>53</v>
      </c>
      <c r="D531" s="1">
        <v>43903</v>
      </c>
      <c r="E531" s="59" t="str" cm="1">
        <f t="array" ref="E53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31" t="s">
        <v>957</v>
      </c>
      <c r="G531" s="3">
        <v>4994138</v>
      </c>
      <c r="H531" t="s">
        <v>35</v>
      </c>
      <c r="I531" s="4">
        <v>48544923</v>
      </c>
      <c r="J531" t="s">
        <v>36</v>
      </c>
      <c r="K531" s="1">
        <v>43875</v>
      </c>
      <c r="L531">
        <v>77</v>
      </c>
      <c r="M531" s="2" t="str">
        <f>IF(Spotify[[#This Row],[Energie]]&gt;AVERAGE(Spotify[Energie]),"FORTE","FAIBLE")</f>
        <v>FAIBLE</v>
      </c>
      <c r="N531" s="2">
        <v>0.80600000000000005</v>
      </c>
      <c r="O531" s="2">
        <v>0.54600000000000004</v>
      </c>
      <c r="P531" s="2">
        <v>5.7500000000000002E-2</v>
      </c>
      <c r="Q531" s="2">
        <v>0.3</v>
      </c>
      <c r="R531" s="2">
        <v>0.10199999999999999</v>
      </c>
      <c r="S531" s="2">
        <v>0.874</v>
      </c>
      <c r="T531" s="2">
        <v>-6.6369999999999996</v>
      </c>
      <c r="U531">
        <v>212867</v>
      </c>
      <c r="V531">
        <f>YEAR(Spotify[[#This Row],[Date de sortie]])</f>
        <v>2020</v>
      </c>
      <c r="W531" s="2" t="str">
        <f>IF(Spotify[[#This Row],[Popularité]]&gt;=70,"FORTE","FAIBLE")</f>
        <v>FORTE</v>
      </c>
    </row>
    <row r="532" spans="1:23" x14ac:dyDescent="0.25">
      <c r="A532">
        <v>199</v>
      </c>
      <c r="B532">
        <v>199</v>
      </c>
      <c r="C532">
        <v>1</v>
      </c>
      <c r="D532" s="1">
        <v>44400</v>
      </c>
      <c r="E532" s="59" t="str" cm="1">
        <f t="array" ref="E53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532" t="s">
        <v>410</v>
      </c>
      <c r="G532" s="3">
        <v>4950275</v>
      </c>
      <c r="H532" t="s">
        <v>216</v>
      </c>
      <c r="I532" s="4">
        <v>1427540</v>
      </c>
      <c r="J532" t="s">
        <v>217</v>
      </c>
      <c r="K532" s="1">
        <v>44399</v>
      </c>
      <c r="L532">
        <v>77</v>
      </c>
      <c r="M532" s="2" t="str">
        <f>IF(Spotify[[#This Row],[Energie]]&gt;AVERAGE(Spotify[Energie]),"FORTE","FAIBLE")</f>
        <v>FAIBLE</v>
      </c>
      <c r="N532" s="2">
        <v>0.96099999999999997</v>
      </c>
      <c r="O532" s="2">
        <v>0.502</v>
      </c>
      <c r="P532" s="2">
        <v>0.312</v>
      </c>
      <c r="Q532" s="2">
        <v>0.28000000000000003</v>
      </c>
      <c r="R532" s="2">
        <v>0.14499999999999999</v>
      </c>
      <c r="S532" s="2">
        <v>0.53600000000000003</v>
      </c>
      <c r="T532" s="2">
        <v>-8.6050000000000004</v>
      </c>
      <c r="U532">
        <v>182285</v>
      </c>
      <c r="V532">
        <f>YEAR(Spotify[[#This Row],[Date de sortie]])</f>
        <v>2021</v>
      </c>
      <c r="W532" s="2" t="str">
        <f>IF(Spotify[[#This Row],[Popularité]]&gt;=70,"FORTE","FAIBLE")</f>
        <v>FORTE</v>
      </c>
    </row>
    <row r="533" spans="1:23" x14ac:dyDescent="0.25">
      <c r="A533">
        <v>583</v>
      </c>
      <c r="B533">
        <v>42</v>
      </c>
      <c r="C533">
        <v>17</v>
      </c>
      <c r="D533" s="1">
        <v>44092</v>
      </c>
      <c r="E533" s="59" t="str" cm="1">
        <f t="array" ref="E53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33" t="s">
        <v>1040</v>
      </c>
      <c r="G533" s="3">
        <v>4931163</v>
      </c>
      <c r="H533" t="s">
        <v>1041</v>
      </c>
      <c r="I533" s="4">
        <v>17097317</v>
      </c>
      <c r="J533" t="s">
        <v>19</v>
      </c>
      <c r="K533" s="1">
        <v>44091</v>
      </c>
      <c r="L533">
        <v>77</v>
      </c>
      <c r="M533" s="2" t="str">
        <f>IF(Spotify[[#This Row],[Energie]]&gt;AVERAGE(Spotify[Energie]),"FORTE","FAIBLE")</f>
        <v>FORTE</v>
      </c>
      <c r="N533" s="2">
        <v>0.65300000000000002</v>
      </c>
      <c r="O533" s="2">
        <v>0.66700000000000004</v>
      </c>
      <c r="P533" s="2">
        <v>4.2299999999999997E-2</v>
      </c>
      <c r="Q533" s="2">
        <v>0.154</v>
      </c>
      <c r="R533" s="2">
        <v>0.107</v>
      </c>
      <c r="S533" s="2">
        <v>0.55600000000000005</v>
      </c>
      <c r="T533" s="2">
        <v>-6.7640000000000002</v>
      </c>
      <c r="U533">
        <v>213869</v>
      </c>
      <c r="V533">
        <f>YEAR(Spotify[[#This Row],[Date de sortie]])</f>
        <v>2020</v>
      </c>
      <c r="W533" s="2" t="str">
        <f>IF(Spotify[[#This Row],[Popularité]]&gt;=70,"FORTE","FAIBLE")</f>
        <v>FORTE</v>
      </c>
    </row>
    <row r="534" spans="1:23" x14ac:dyDescent="0.25">
      <c r="A534">
        <v>890</v>
      </c>
      <c r="B534">
        <v>4</v>
      </c>
      <c r="C534">
        <v>9</v>
      </c>
      <c r="D534" s="1">
        <v>44036</v>
      </c>
      <c r="E534" s="59" t="str" cm="1">
        <f t="array" ref="E53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34" t="s">
        <v>1526</v>
      </c>
      <c r="G534" s="3">
        <v>4924533</v>
      </c>
      <c r="H534" t="s">
        <v>746</v>
      </c>
      <c r="I534" s="4">
        <v>42227614</v>
      </c>
      <c r="J534" t="s">
        <v>10</v>
      </c>
      <c r="K534" s="1">
        <v>44036</v>
      </c>
      <c r="L534">
        <v>77</v>
      </c>
      <c r="M534" s="2" t="str">
        <f>IF(Spotify[[#This Row],[Energie]]&gt;AVERAGE(Spotify[Energie]),"FORTE","FAIBLE")</f>
        <v>FAIBLE</v>
      </c>
      <c r="N534" s="2">
        <v>0.29799999999999999</v>
      </c>
      <c r="O534" s="2">
        <v>0.38</v>
      </c>
      <c r="P534" s="2">
        <v>2.87E-2</v>
      </c>
      <c r="Q534" s="2">
        <v>0.77800000000000002</v>
      </c>
      <c r="R534" s="2">
        <v>0.11</v>
      </c>
      <c r="S534" s="2">
        <v>0.152</v>
      </c>
      <c r="T534" s="2">
        <v>-8.4260000000000002</v>
      </c>
      <c r="U534">
        <v>285634</v>
      </c>
      <c r="V534">
        <f>YEAR(Spotify[[#This Row],[Date de sortie]])</f>
        <v>2020</v>
      </c>
      <c r="W534" s="2" t="str">
        <f>IF(Spotify[[#This Row],[Popularité]]&gt;=70,"FORTE","FAIBLE")</f>
        <v>FORTE</v>
      </c>
    </row>
    <row r="535" spans="1:23" x14ac:dyDescent="0.25">
      <c r="A535">
        <v>1483</v>
      </c>
      <c r="B535">
        <v>126</v>
      </c>
      <c r="C535">
        <v>4</v>
      </c>
      <c r="D535" s="1">
        <v>43826</v>
      </c>
      <c r="E535" s="59" t="str" cm="1">
        <f t="array" ref="E53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535" t="s">
        <v>2352</v>
      </c>
      <c r="G535" s="3">
        <v>4922369</v>
      </c>
      <c r="H535" t="s">
        <v>345</v>
      </c>
      <c r="I535" s="4">
        <v>19102888</v>
      </c>
      <c r="J535" t="s">
        <v>79</v>
      </c>
      <c r="K535" s="1">
        <v>43273</v>
      </c>
      <c r="L535">
        <v>77</v>
      </c>
      <c r="M535" s="2" t="str">
        <f>IF(Spotify[[#This Row],[Energie]]&gt;AVERAGE(Spotify[Energie]),"FORTE","FAIBLE")</f>
        <v>FORTE</v>
      </c>
      <c r="N535" s="2">
        <v>0.59399999999999997</v>
      </c>
      <c r="O535" s="2">
        <v>0.79800000000000004</v>
      </c>
      <c r="P535" s="2">
        <v>8.4400000000000003E-2</v>
      </c>
      <c r="Q535" s="2">
        <v>0.115</v>
      </c>
      <c r="R535" s="2">
        <v>0.14299999999999999</v>
      </c>
      <c r="S535" s="2">
        <v>0.38100000000000001</v>
      </c>
      <c r="T535" s="2">
        <v>-5.2439999999999998</v>
      </c>
      <c r="U535">
        <v>191840</v>
      </c>
      <c r="V535">
        <f>YEAR(Spotify[[#This Row],[Date de sortie]])</f>
        <v>2018</v>
      </c>
      <c r="W535" s="2" t="str">
        <f>IF(Spotify[[#This Row],[Popularité]]&gt;=70,"FORTE","FAIBLE")</f>
        <v>FORTE</v>
      </c>
    </row>
    <row r="536" spans="1:23" x14ac:dyDescent="0.25">
      <c r="A536">
        <v>1467</v>
      </c>
      <c r="B536">
        <v>193</v>
      </c>
      <c r="C536">
        <v>1</v>
      </c>
      <c r="D536" s="1">
        <v>43861</v>
      </c>
      <c r="E536" s="59" t="str" cm="1">
        <f t="array" ref="E53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36" t="s">
        <v>2331</v>
      </c>
      <c r="G536" s="3">
        <v>4884909</v>
      </c>
      <c r="H536" t="s">
        <v>746</v>
      </c>
      <c r="I536" s="4">
        <v>42227614</v>
      </c>
      <c r="J536" t="s">
        <v>10</v>
      </c>
      <c r="K536" s="1">
        <v>43700</v>
      </c>
      <c r="L536">
        <v>77</v>
      </c>
      <c r="M536" s="2" t="str">
        <f>IF(Spotify[[#This Row],[Energie]]&gt;AVERAGE(Spotify[Energie]),"FORTE","FAIBLE")</f>
        <v>FORTE</v>
      </c>
      <c r="N536" s="2">
        <v>0.61</v>
      </c>
      <c r="O536" s="2">
        <v>0.83</v>
      </c>
      <c r="P536" s="2">
        <v>5.7099999999999998E-2</v>
      </c>
      <c r="Q536" s="2">
        <v>3.3000000000000002E-2</v>
      </c>
      <c r="R536" s="2">
        <v>0.11799999999999999</v>
      </c>
      <c r="S536" s="2">
        <v>0.72799999999999998</v>
      </c>
      <c r="T536" s="2">
        <v>-4.1050000000000004</v>
      </c>
      <c r="U536">
        <v>193000</v>
      </c>
      <c r="V536">
        <f>YEAR(Spotify[[#This Row],[Date de sortie]])</f>
        <v>2019</v>
      </c>
      <c r="W536" s="2" t="str">
        <f>IF(Spotify[[#This Row],[Popularité]]&gt;=70,"FORTE","FAIBLE")</f>
        <v>FORTE</v>
      </c>
    </row>
    <row r="537" spans="1:23" x14ac:dyDescent="0.25">
      <c r="A537">
        <v>765</v>
      </c>
      <c r="B537">
        <v>9</v>
      </c>
      <c r="C537">
        <v>28</v>
      </c>
      <c r="D537" s="1">
        <v>43994</v>
      </c>
      <c r="E537" s="59" t="str" cm="1">
        <f t="array" ref="E53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537" t="s">
        <v>1330</v>
      </c>
      <c r="G537" s="3">
        <v>4878286</v>
      </c>
      <c r="H537" t="s">
        <v>1331</v>
      </c>
      <c r="I537" s="4">
        <v>150587</v>
      </c>
      <c r="J537" t="s">
        <v>235</v>
      </c>
      <c r="K537" s="1">
        <v>43942</v>
      </c>
      <c r="L537">
        <v>77</v>
      </c>
      <c r="M537" s="2" t="str">
        <f>IF(Spotify[[#This Row],[Energie]]&gt;AVERAGE(Spotify[Energie]),"FORTE","FAIBLE")</f>
        <v>FAIBLE</v>
      </c>
      <c r="N537" s="2">
        <v>0.72799999999999998</v>
      </c>
      <c r="O537" s="2">
        <v>0.43099999999999999</v>
      </c>
      <c r="P537" s="2">
        <v>6.2199999999999998E-2</v>
      </c>
      <c r="Q537" s="2">
        <v>0.749</v>
      </c>
      <c r="R537" s="2">
        <v>9.9599999999999994E-2</v>
      </c>
      <c r="S537" s="2">
        <v>0.629</v>
      </c>
      <c r="T537" s="2">
        <v>-9.9659999999999993</v>
      </c>
      <c r="U537">
        <v>147800</v>
      </c>
      <c r="V537">
        <f>YEAR(Spotify[[#This Row],[Date de sortie]])</f>
        <v>2020</v>
      </c>
      <c r="W537" s="2" t="str">
        <f>IF(Spotify[[#This Row],[Popularité]]&gt;=70,"FORTE","FAIBLE")</f>
        <v>FORTE</v>
      </c>
    </row>
    <row r="538" spans="1:23" x14ac:dyDescent="0.25">
      <c r="A538">
        <v>828</v>
      </c>
      <c r="B538">
        <v>197</v>
      </c>
      <c r="C538">
        <v>1</v>
      </c>
      <c r="D538" s="1">
        <v>44127</v>
      </c>
      <c r="E538" s="59" t="str" cm="1">
        <f t="array" ref="E53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38" t="s">
        <v>1431</v>
      </c>
      <c r="G538" s="3">
        <v>4703672</v>
      </c>
      <c r="H538" t="s">
        <v>1432</v>
      </c>
      <c r="I538" s="4">
        <v>28335338</v>
      </c>
      <c r="J538" t="s">
        <v>1207</v>
      </c>
      <c r="K538" s="1">
        <v>40567</v>
      </c>
      <c r="L538">
        <v>77</v>
      </c>
      <c r="M538" s="2" t="str">
        <f>IF(Spotify[[#This Row],[Energie]]&gt;AVERAGE(Spotify[Energie]),"FORTE","FAIBLE")</f>
        <v>FAIBLE</v>
      </c>
      <c r="N538" s="2">
        <v>0.55600000000000005</v>
      </c>
      <c r="O538" s="2">
        <v>0.31900000000000001</v>
      </c>
      <c r="P538" s="2">
        <v>2.81E-2</v>
      </c>
      <c r="Q538" s="2">
        <v>0.89300000000000002</v>
      </c>
      <c r="R538" s="2">
        <v>9.9599999999999994E-2</v>
      </c>
      <c r="S538" s="2">
        <v>0.29399999999999998</v>
      </c>
      <c r="T538" s="2">
        <v>-8.2509999999999994</v>
      </c>
      <c r="U538">
        <v>285240</v>
      </c>
      <c r="V538">
        <f>YEAR(Spotify[[#This Row],[Date de sortie]])</f>
        <v>2011</v>
      </c>
      <c r="W538" s="2" t="str">
        <f>IF(Spotify[[#This Row],[Popularité]]&gt;=70,"FORTE","FAIBLE")</f>
        <v>FORTE</v>
      </c>
    </row>
    <row r="539" spans="1:23" x14ac:dyDescent="0.25">
      <c r="A539">
        <v>1021</v>
      </c>
      <c r="B539">
        <v>25</v>
      </c>
      <c r="C539">
        <v>30</v>
      </c>
      <c r="D539" s="1">
        <v>43826</v>
      </c>
      <c r="E539" s="59" t="str" cm="1">
        <f t="array" ref="E53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39" t="s">
        <v>1715</v>
      </c>
      <c r="G539" s="3">
        <v>4627026</v>
      </c>
      <c r="H539" t="s">
        <v>1716</v>
      </c>
      <c r="I539" s="4">
        <v>18306226</v>
      </c>
      <c r="J539" t="s">
        <v>25</v>
      </c>
      <c r="K539" s="1">
        <v>43665</v>
      </c>
      <c r="L539">
        <v>77</v>
      </c>
      <c r="M539" s="2" t="str">
        <f>IF(Spotify[[#This Row],[Energie]]&gt;AVERAGE(Spotify[Energie]),"FORTE","FAIBLE")</f>
        <v>FORTE</v>
      </c>
      <c r="N539" s="2">
        <v>0.78600000000000003</v>
      </c>
      <c r="O539" s="2">
        <v>0.80800000000000005</v>
      </c>
      <c r="P539" s="2">
        <v>8.8200000000000001E-2</v>
      </c>
      <c r="Q539" s="2">
        <v>8.4599999999999995E-2</v>
      </c>
      <c r="R539" s="2">
        <v>8.2199999999999995E-2</v>
      </c>
      <c r="S539" s="2">
        <v>0.60899999999999999</v>
      </c>
      <c r="T539" s="2">
        <v>-3.702</v>
      </c>
      <c r="U539">
        <v>301714</v>
      </c>
      <c r="V539">
        <f>YEAR(Spotify[[#This Row],[Date de sortie]])</f>
        <v>2019</v>
      </c>
      <c r="W539" s="2" t="str">
        <f>IF(Spotify[[#This Row],[Popularité]]&gt;=70,"FORTE","FAIBLE")</f>
        <v>FORTE</v>
      </c>
    </row>
    <row r="540" spans="1:23" x14ac:dyDescent="0.25">
      <c r="A540">
        <v>1022</v>
      </c>
      <c r="B540">
        <v>29</v>
      </c>
      <c r="C540">
        <v>30</v>
      </c>
      <c r="D540" s="1">
        <v>43861</v>
      </c>
      <c r="E540" s="59" t="str" cm="1">
        <f t="array" ref="E54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40" t="s">
        <v>1717</v>
      </c>
      <c r="G540" s="3">
        <v>4617726</v>
      </c>
      <c r="H540" t="s">
        <v>1718</v>
      </c>
      <c r="I540" s="4">
        <v>3600989</v>
      </c>
      <c r="J540" t="s">
        <v>25</v>
      </c>
      <c r="K540" s="1">
        <v>43770</v>
      </c>
      <c r="L540">
        <v>77</v>
      </c>
      <c r="M540" s="2" t="str">
        <f>IF(Spotify[[#This Row],[Energie]]&gt;AVERAGE(Spotify[Energie]),"FORTE","FAIBLE")</f>
        <v>FORTE</v>
      </c>
      <c r="N540" s="2">
        <v>0.65400000000000003</v>
      </c>
      <c r="O540" s="2">
        <v>0.67200000000000004</v>
      </c>
      <c r="P540" s="2">
        <v>0.311</v>
      </c>
      <c r="Q540" s="2">
        <v>0.47099999999999997</v>
      </c>
      <c r="R540" s="2">
        <v>7.8100000000000003E-2</v>
      </c>
      <c r="S540" s="2">
        <v>0.34300000000000003</v>
      </c>
      <c r="T540" s="2">
        <v>-5.98</v>
      </c>
      <c r="U540">
        <v>249520</v>
      </c>
      <c r="V540">
        <f>YEAR(Spotify[[#This Row],[Date de sortie]])</f>
        <v>2019</v>
      </c>
      <c r="W540" s="2" t="str">
        <f>IF(Spotify[[#This Row],[Popularité]]&gt;=70,"FORTE","FAIBLE")</f>
        <v>FORTE</v>
      </c>
    </row>
    <row r="541" spans="1:23" x14ac:dyDescent="0.25">
      <c r="A541">
        <v>614</v>
      </c>
      <c r="B541">
        <v>61</v>
      </c>
      <c r="C541">
        <v>39</v>
      </c>
      <c r="D541" s="1">
        <v>43910</v>
      </c>
      <c r="E541" s="59" t="str" cm="1">
        <f t="array" ref="E54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41" t="s">
        <v>1088</v>
      </c>
      <c r="G541" s="3">
        <v>4606011</v>
      </c>
      <c r="H541" t="s">
        <v>852</v>
      </c>
      <c r="I541" s="4">
        <v>29067437</v>
      </c>
      <c r="J541" t="s">
        <v>25</v>
      </c>
      <c r="K541" s="1">
        <v>43909</v>
      </c>
      <c r="L541">
        <v>77</v>
      </c>
      <c r="M541" s="2" t="str">
        <f>IF(Spotify[[#This Row],[Energie]]&gt;AVERAGE(Spotify[Energie]),"FORTE","FAIBLE")</f>
        <v>FORTE</v>
      </c>
      <c r="N541" s="2">
        <v>0.84299999999999997</v>
      </c>
      <c r="O541" s="2">
        <v>0.83599999999999997</v>
      </c>
      <c r="P541" s="2">
        <v>6.9500000000000006E-2</v>
      </c>
      <c r="Q541" s="2">
        <v>8.1600000000000006E-2</v>
      </c>
      <c r="R541" s="2">
        <v>5.3199999999999997E-2</v>
      </c>
      <c r="S541" s="2">
        <v>0.65</v>
      </c>
      <c r="T541" s="2">
        <v>-2.4740000000000002</v>
      </c>
      <c r="U541">
        <v>205933</v>
      </c>
      <c r="V541">
        <f>YEAR(Spotify[[#This Row],[Date de sortie]])</f>
        <v>2020</v>
      </c>
      <c r="W541" s="2" t="str">
        <f>IF(Spotify[[#This Row],[Popularité]]&gt;=70,"FORTE","FAIBLE")</f>
        <v>FORTE</v>
      </c>
    </row>
    <row r="542" spans="1:23" x14ac:dyDescent="0.25">
      <c r="A542">
        <v>896</v>
      </c>
      <c r="B542">
        <v>12</v>
      </c>
      <c r="C542">
        <v>34</v>
      </c>
      <c r="D542" s="1">
        <v>43917</v>
      </c>
      <c r="E542" s="59" t="str" cm="1">
        <f t="array" ref="E54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42" t="s">
        <v>1533</v>
      </c>
      <c r="G542" s="3">
        <v>4599807</v>
      </c>
      <c r="H542" t="s">
        <v>28</v>
      </c>
      <c r="I542" s="4">
        <v>27167675</v>
      </c>
      <c r="J542" t="s">
        <v>19</v>
      </c>
      <c r="K542" s="1">
        <v>43917</v>
      </c>
      <c r="L542">
        <v>77</v>
      </c>
      <c r="M542" s="2" t="str">
        <f>IF(Spotify[[#This Row],[Energie]]&gt;AVERAGE(Spotify[Energie]),"FORTE","FAIBLE")</f>
        <v>FORTE</v>
      </c>
      <c r="N542" s="2">
        <v>0.64700000000000002</v>
      </c>
      <c r="O542" s="2">
        <v>0.84399999999999997</v>
      </c>
      <c r="P542" s="2">
        <v>4.5699999999999998E-2</v>
      </c>
      <c r="Q542" s="2">
        <v>1.37E-2</v>
      </c>
      <c r="R542" s="2">
        <v>0.10199999999999999</v>
      </c>
      <c r="S542" s="2">
        <v>0.746</v>
      </c>
      <c r="T542" s="2">
        <v>-3.7559999999999998</v>
      </c>
      <c r="U542">
        <v>193829</v>
      </c>
      <c r="V542">
        <f>YEAR(Spotify[[#This Row],[Date de sortie]])</f>
        <v>2020</v>
      </c>
      <c r="W542" s="2" t="str">
        <f>IF(Spotify[[#This Row],[Popularité]]&gt;=70,"FORTE","FAIBLE")</f>
        <v>FORTE</v>
      </c>
    </row>
    <row r="543" spans="1:23" x14ac:dyDescent="0.25">
      <c r="A543">
        <v>911</v>
      </c>
      <c r="B543">
        <v>75</v>
      </c>
      <c r="C543">
        <v>14</v>
      </c>
      <c r="D543" s="1">
        <v>44050</v>
      </c>
      <c r="E543" s="59" t="str" cm="1">
        <f t="array" ref="E54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43" t="s">
        <v>1556</v>
      </c>
      <c r="G543" s="3">
        <v>4598325</v>
      </c>
      <c r="H543" t="s">
        <v>1557</v>
      </c>
      <c r="I543" s="4">
        <v>38111</v>
      </c>
      <c r="J543" t="s">
        <v>1558</v>
      </c>
      <c r="K543" s="1">
        <v>43840</v>
      </c>
      <c r="L543">
        <v>77</v>
      </c>
      <c r="M543" s="2" t="str">
        <f>IF(Spotify[[#This Row],[Energie]]&gt;AVERAGE(Spotify[Energie]),"FORTE","FAIBLE")</f>
        <v>FORTE</v>
      </c>
      <c r="N543" s="2">
        <v>0.68200000000000005</v>
      </c>
      <c r="O543" s="2">
        <v>0.7</v>
      </c>
      <c r="P543" s="2">
        <v>3.9699999999999999E-2</v>
      </c>
      <c r="Q543" s="2">
        <v>0.40600000000000003</v>
      </c>
      <c r="R543" s="2">
        <v>0.17399999999999999</v>
      </c>
      <c r="S543" s="2">
        <v>0.63700000000000001</v>
      </c>
      <c r="T543" s="2">
        <v>-5.5910000000000002</v>
      </c>
      <c r="U543">
        <v>186878</v>
      </c>
      <c r="V543">
        <f>YEAR(Spotify[[#This Row],[Date de sortie]])</f>
        <v>2020</v>
      </c>
      <c r="W543" s="2" t="str">
        <f>IF(Spotify[[#This Row],[Popularité]]&gt;=70,"FORTE","FAIBLE")</f>
        <v>FORTE</v>
      </c>
    </row>
    <row r="544" spans="1:23" x14ac:dyDescent="0.25">
      <c r="A544">
        <v>1025</v>
      </c>
      <c r="B544">
        <v>29</v>
      </c>
      <c r="C544">
        <v>28</v>
      </c>
      <c r="D544" s="1">
        <v>43868</v>
      </c>
      <c r="E544" s="59" t="str" cm="1">
        <f t="array" ref="E54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544" t="s">
        <v>1722</v>
      </c>
      <c r="G544" s="3">
        <v>4592772</v>
      </c>
      <c r="H544" t="s">
        <v>409</v>
      </c>
      <c r="I544" s="4">
        <v>6608815</v>
      </c>
      <c r="J544" t="s">
        <v>235</v>
      </c>
      <c r="K544" s="1">
        <v>43805</v>
      </c>
      <c r="L544">
        <v>77</v>
      </c>
      <c r="M544" s="2" t="str">
        <f>IF(Spotify[[#This Row],[Energie]]&gt;AVERAGE(Spotify[Energie]),"FORTE","FAIBLE")</f>
        <v>FAIBLE</v>
      </c>
      <c r="N544" s="2">
        <v>0.83099999999999996</v>
      </c>
      <c r="O544" s="2">
        <v>0.499</v>
      </c>
      <c r="P544" s="2">
        <v>0.114</v>
      </c>
      <c r="Q544" s="2">
        <v>0.26900000000000002</v>
      </c>
      <c r="R544" s="2">
        <v>0.3</v>
      </c>
      <c r="S544" s="2">
        <v>0.51100000000000001</v>
      </c>
      <c r="T544" s="2">
        <v>-8.4420000000000002</v>
      </c>
      <c r="U544">
        <v>220487</v>
      </c>
      <c r="V544">
        <f>YEAR(Spotify[[#This Row],[Date de sortie]])</f>
        <v>2019</v>
      </c>
      <c r="W544" s="2" t="str">
        <f>IF(Spotify[[#This Row],[Popularité]]&gt;=70,"FORTE","FAIBLE")</f>
        <v>FORTE</v>
      </c>
    </row>
    <row r="545" spans="1:23" x14ac:dyDescent="0.25">
      <c r="A545">
        <v>1026</v>
      </c>
      <c r="B545">
        <v>69</v>
      </c>
      <c r="C545">
        <v>19</v>
      </c>
      <c r="D545" s="1">
        <v>43931</v>
      </c>
      <c r="E545" s="59" t="str" cm="1">
        <f t="array" ref="E54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45" t="s">
        <v>1723</v>
      </c>
      <c r="G545" s="3">
        <v>4565377</v>
      </c>
      <c r="H545" t="s">
        <v>18</v>
      </c>
      <c r="I545" s="4">
        <v>8671649</v>
      </c>
      <c r="J545" t="s">
        <v>19</v>
      </c>
      <c r="K545" s="1">
        <v>43776</v>
      </c>
      <c r="L545">
        <v>77</v>
      </c>
      <c r="M545" s="2" t="str">
        <f>IF(Spotify[[#This Row],[Energie]]&gt;AVERAGE(Spotify[Energie]),"FORTE","FAIBLE")</f>
        <v>FAIBLE</v>
      </c>
      <c r="N545" s="2">
        <v>0.879</v>
      </c>
      <c r="O545" s="2">
        <v>0.498</v>
      </c>
      <c r="P545" s="2">
        <v>0.18</v>
      </c>
      <c r="Q545" s="2">
        <v>0.23899999999999999</v>
      </c>
      <c r="R545" s="2">
        <v>9.6699999999999994E-2</v>
      </c>
      <c r="S545" s="2">
        <v>0.40500000000000003</v>
      </c>
      <c r="T545" s="2">
        <v>-6.0270000000000001</v>
      </c>
      <c r="U545">
        <v>163173</v>
      </c>
      <c r="V545">
        <f>YEAR(Spotify[[#This Row],[Date de sortie]])</f>
        <v>2019</v>
      </c>
      <c r="W545" s="2" t="str">
        <f>IF(Spotify[[#This Row],[Popularité]]&gt;=70,"FORTE","FAIBLE")</f>
        <v>FORTE</v>
      </c>
    </row>
    <row r="546" spans="1:23" x14ac:dyDescent="0.25">
      <c r="A546">
        <v>1041</v>
      </c>
      <c r="B546">
        <v>46</v>
      </c>
      <c r="C546">
        <v>29</v>
      </c>
      <c r="D546" s="1">
        <v>43826</v>
      </c>
      <c r="E546" s="59" t="str" cm="1">
        <f t="array" ref="E54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46" t="s">
        <v>1744</v>
      </c>
      <c r="G546" s="3">
        <v>4541965</v>
      </c>
      <c r="H546" t="s">
        <v>1745</v>
      </c>
      <c r="I546" s="4">
        <v>268766</v>
      </c>
      <c r="J546" t="s">
        <v>230</v>
      </c>
      <c r="K546" s="1">
        <v>43644</v>
      </c>
      <c r="L546">
        <v>77</v>
      </c>
      <c r="M546" s="2" t="str">
        <f>IF(Spotify[[#This Row],[Energie]]&gt;AVERAGE(Spotify[Energie]),"FORTE","FAIBLE")</f>
        <v>FAIBLE</v>
      </c>
      <c r="N546" s="2">
        <v>0.84299999999999997</v>
      </c>
      <c r="O546" s="2">
        <v>0.39</v>
      </c>
      <c r="P546" s="2">
        <v>8.4599999999999995E-2</v>
      </c>
      <c r="Q546" s="2">
        <v>0.17799999999999999</v>
      </c>
      <c r="R546" s="2">
        <v>0.13700000000000001</v>
      </c>
      <c r="S546" s="2">
        <v>0.495</v>
      </c>
      <c r="T546" s="2">
        <v>-7.899</v>
      </c>
      <c r="U546">
        <v>160627</v>
      </c>
      <c r="V546">
        <f>YEAR(Spotify[[#This Row],[Date de sortie]])</f>
        <v>2019</v>
      </c>
      <c r="W546" s="2" t="str">
        <f>IF(Spotify[[#This Row],[Popularité]]&gt;=70,"FORTE","FAIBLE")</f>
        <v>FORTE</v>
      </c>
    </row>
    <row r="547" spans="1:23" x14ac:dyDescent="0.25">
      <c r="A547">
        <v>1056</v>
      </c>
      <c r="B547">
        <v>55</v>
      </c>
      <c r="C547">
        <v>28</v>
      </c>
      <c r="D547" s="1">
        <v>43826</v>
      </c>
      <c r="E547" s="59" t="str" cm="1">
        <f t="array" ref="E54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47" t="s">
        <v>1763</v>
      </c>
      <c r="G547" s="3">
        <v>4501188</v>
      </c>
      <c r="H547" t="s">
        <v>1764</v>
      </c>
      <c r="I547" s="4">
        <v>2435159</v>
      </c>
      <c r="J547" t="s">
        <v>25</v>
      </c>
      <c r="K547" s="1">
        <v>43609</v>
      </c>
      <c r="L547">
        <v>77</v>
      </c>
      <c r="M547" s="2" t="str">
        <f>IF(Spotify[[#This Row],[Energie]]&gt;AVERAGE(Spotify[Energie]),"FORTE","FAIBLE")</f>
        <v>FORTE</v>
      </c>
      <c r="N547" s="2">
        <v>0.80600000000000005</v>
      </c>
      <c r="O547" s="2">
        <v>0.78600000000000003</v>
      </c>
      <c r="P547" s="2">
        <v>7.4099999999999999E-2</v>
      </c>
      <c r="Q547" s="2">
        <v>0.14499999999999999</v>
      </c>
      <c r="R547" s="2">
        <v>9.35E-2</v>
      </c>
      <c r="S547" s="2">
        <v>0.57999999999999996</v>
      </c>
      <c r="T547" s="2">
        <v>-3.831</v>
      </c>
      <c r="U547">
        <v>309120</v>
      </c>
      <c r="V547">
        <f>YEAR(Spotify[[#This Row],[Date de sortie]])</f>
        <v>2019</v>
      </c>
      <c r="W547" s="2" t="str">
        <f>IF(Spotify[[#This Row],[Popularité]]&gt;=70,"FORTE","FAIBLE")</f>
        <v>FORTE</v>
      </c>
    </row>
    <row r="548" spans="1:23" x14ac:dyDescent="0.25">
      <c r="A548">
        <v>619</v>
      </c>
      <c r="B548">
        <v>158</v>
      </c>
      <c r="C548">
        <v>5</v>
      </c>
      <c r="D548" s="1">
        <v>44134</v>
      </c>
      <c r="E548" s="59" t="str" cm="1">
        <f t="array" ref="E54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48" t="s">
        <v>1096</v>
      </c>
      <c r="G548" s="3">
        <v>4488125</v>
      </c>
      <c r="H548" t="s">
        <v>1097</v>
      </c>
      <c r="I548" s="4">
        <v>1777797</v>
      </c>
      <c r="J548" t="s">
        <v>677</v>
      </c>
      <c r="K548" s="1">
        <v>44099</v>
      </c>
      <c r="L548">
        <v>77</v>
      </c>
      <c r="M548" s="2" t="str">
        <f>IF(Spotify[[#This Row],[Energie]]&gt;AVERAGE(Spotify[Energie]),"FORTE","FAIBLE")</f>
        <v>FORTE</v>
      </c>
      <c r="N548" s="2">
        <v>0.61399999999999999</v>
      </c>
      <c r="O548" s="2">
        <v>0.93700000000000006</v>
      </c>
      <c r="P548" s="2">
        <v>0.115</v>
      </c>
      <c r="Q548" s="2">
        <v>1.6100000000000001E-3</v>
      </c>
      <c r="R548" s="2">
        <v>0.10299999999999999</v>
      </c>
      <c r="S548" s="2">
        <v>0.38600000000000001</v>
      </c>
      <c r="T548" s="2">
        <v>-7.4429999999999996</v>
      </c>
      <c r="U548">
        <v>105176</v>
      </c>
      <c r="V548">
        <f>YEAR(Spotify[[#This Row],[Date de sortie]])</f>
        <v>2020</v>
      </c>
      <c r="W548" s="2" t="str">
        <f>IF(Spotify[[#This Row],[Popularité]]&gt;=70,"FORTE","FAIBLE")</f>
        <v>FORTE</v>
      </c>
    </row>
    <row r="549" spans="1:23" x14ac:dyDescent="0.25">
      <c r="A549">
        <v>1239</v>
      </c>
      <c r="B549">
        <v>156</v>
      </c>
      <c r="C549">
        <v>13</v>
      </c>
      <c r="D549" s="1">
        <v>43861</v>
      </c>
      <c r="E549" s="59" t="str" cm="1">
        <f t="array" ref="E54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549" t="s">
        <v>2022</v>
      </c>
      <c r="G549" s="3">
        <v>4411998</v>
      </c>
      <c r="H549" t="s">
        <v>2023</v>
      </c>
      <c r="I549" s="4">
        <v>554042</v>
      </c>
      <c r="J549" t="s">
        <v>2024</v>
      </c>
      <c r="K549" s="1">
        <v>43389</v>
      </c>
      <c r="L549">
        <v>77</v>
      </c>
      <c r="M549" s="2" t="str">
        <f>IF(Spotify[[#This Row],[Energie]]&gt;AVERAGE(Spotify[Energie]),"FORTE","FAIBLE")</f>
        <v>FAIBLE</v>
      </c>
      <c r="N549" s="2">
        <v>0.81499999999999995</v>
      </c>
      <c r="O549" s="2">
        <v>0.51800000000000002</v>
      </c>
      <c r="P549" s="2">
        <v>8.9700000000000002E-2</v>
      </c>
      <c r="Q549" s="2">
        <v>0.223</v>
      </c>
      <c r="R549" s="2">
        <v>0.104</v>
      </c>
      <c r="S549" s="2">
        <v>0.877</v>
      </c>
      <c r="T549" s="2">
        <v>-6.5940000000000003</v>
      </c>
      <c r="U549">
        <v>177667</v>
      </c>
      <c r="V549">
        <f>YEAR(Spotify[[#This Row],[Date de sortie]])</f>
        <v>2018</v>
      </c>
      <c r="W549" s="2" t="str">
        <f>IF(Spotify[[#This Row],[Popularité]]&gt;=70,"FORTE","FAIBLE")</f>
        <v>FORTE</v>
      </c>
    </row>
    <row r="550" spans="1:23" x14ac:dyDescent="0.25">
      <c r="A550">
        <v>1193</v>
      </c>
      <c r="B550">
        <v>124</v>
      </c>
      <c r="C550">
        <v>20</v>
      </c>
      <c r="D550" s="1">
        <v>43833</v>
      </c>
      <c r="E550" s="59" t="str" cm="1">
        <f t="array" ref="E55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50" t="s">
        <v>1962</v>
      </c>
      <c r="G550" s="3">
        <v>4397708</v>
      </c>
      <c r="H550" t="s">
        <v>1002</v>
      </c>
      <c r="I550" s="4">
        <v>804613</v>
      </c>
      <c r="J550" t="s">
        <v>115</v>
      </c>
      <c r="K550" s="1">
        <v>43293</v>
      </c>
      <c r="L550">
        <v>77</v>
      </c>
      <c r="M550" s="2" t="str">
        <f>IF(Spotify[[#This Row],[Energie]]&gt;AVERAGE(Spotify[Energie]),"FORTE","FAIBLE")</f>
        <v>FORTE</v>
      </c>
      <c r="N550" s="2">
        <v>0.56000000000000005</v>
      </c>
      <c r="O550" s="2">
        <v>0.68</v>
      </c>
      <c r="P550" s="2">
        <v>0.32100000000000001</v>
      </c>
      <c r="Q550" s="2">
        <v>0.55500000000000005</v>
      </c>
      <c r="R550" s="2">
        <v>0.11600000000000001</v>
      </c>
      <c r="S550" s="2">
        <v>0.31900000000000001</v>
      </c>
      <c r="T550" s="2">
        <v>-7.6479999999999997</v>
      </c>
      <c r="U550">
        <v>173800</v>
      </c>
      <c r="V550">
        <f>YEAR(Spotify[[#This Row],[Date de sortie]])</f>
        <v>2018</v>
      </c>
      <c r="W550" s="2" t="str">
        <f>IF(Spotify[[#This Row],[Popularité]]&gt;=70,"FORTE","FAIBLE")</f>
        <v>FORTE</v>
      </c>
    </row>
    <row r="551" spans="1:23" x14ac:dyDescent="0.25">
      <c r="A551">
        <v>1225</v>
      </c>
      <c r="B551">
        <v>80</v>
      </c>
      <c r="C551">
        <v>18</v>
      </c>
      <c r="D551" s="1">
        <v>43868</v>
      </c>
      <c r="E551" s="59" t="str" cm="1">
        <f t="array" ref="E55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51" t="s">
        <v>2002</v>
      </c>
      <c r="G551" s="3">
        <v>4395061</v>
      </c>
      <c r="H551" t="s">
        <v>2003</v>
      </c>
      <c r="I551" s="4">
        <v>29679430</v>
      </c>
      <c r="J551" t="s">
        <v>630</v>
      </c>
      <c r="K551" s="1">
        <v>43826</v>
      </c>
      <c r="L551">
        <v>77</v>
      </c>
      <c r="M551" s="2" t="str">
        <f>IF(Spotify[[#This Row],[Energie]]&gt;AVERAGE(Spotify[Energie]),"FORTE","FAIBLE")</f>
        <v>FORTE</v>
      </c>
      <c r="N551" s="2">
        <v>0.67</v>
      </c>
      <c r="O551" s="2">
        <v>0.66800000000000004</v>
      </c>
      <c r="P551" s="2">
        <v>4.2200000000000001E-2</v>
      </c>
      <c r="Q551" s="2">
        <v>0.53600000000000003</v>
      </c>
      <c r="R551" s="2">
        <v>0.13300000000000001</v>
      </c>
      <c r="S551" s="2">
        <v>0.60799999999999998</v>
      </c>
      <c r="T551" s="2">
        <v>-4.306</v>
      </c>
      <c r="U551">
        <v>179053</v>
      </c>
      <c r="V551">
        <f>YEAR(Spotify[[#This Row],[Date de sortie]])</f>
        <v>2019</v>
      </c>
      <c r="W551" s="2" t="str">
        <f>IF(Spotify[[#This Row],[Popularité]]&gt;=70,"FORTE","FAIBLE")</f>
        <v>FORTE</v>
      </c>
    </row>
    <row r="552" spans="1:23" x14ac:dyDescent="0.25">
      <c r="A552">
        <v>1122</v>
      </c>
      <c r="B552">
        <v>27</v>
      </c>
      <c r="C552">
        <v>21</v>
      </c>
      <c r="D552" s="1">
        <v>43847</v>
      </c>
      <c r="E552" s="59" t="str" cm="1">
        <f t="array" ref="E55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52" t="s">
        <v>1862</v>
      </c>
      <c r="G552" s="3">
        <v>4360660</v>
      </c>
      <c r="H552" t="s">
        <v>1179</v>
      </c>
      <c r="I552" s="4">
        <v>5436999</v>
      </c>
      <c r="J552" t="s">
        <v>1180</v>
      </c>
      <c r="K552" s="1">
        <v>43847</v>
      </c>
      <c r="L552">
        <v>77</v>
      </c>
      <c r="M552" s="2" t="str">
        <f>IF(Spotify[[#This Row],[Energie]]&gt;AVERAGE(Spotify[Energie]),"FORTE","FAIBLE")</f>
        <v>FORTE</v>
      </c>
      <c r="N552" s="2">
        <v>0.85199999999999998</v>
      </c>
      <c r="O552" s="2">
        <v>0.69799999999999995</v>
      </c>
      <c r="P552" s="2">
        <v>6.2899999999999998E-2</v>
      </c>
      <c r="Q552" s="2">
        <v>8.3899999999999999E-3</v>
      </c>
      <c r="R552" s="2">
        <v>7.7299999999999994E-2</v>
      </c>
      <c r="S552" s="2">
        <v>0.32400000000000001</v>
      </c>
      <c r="T552" s="2">
        <v>-7.2060000000000004</v>
      </c>
      <c r="U552">
        <v>180645</v>
      </c>
      <c r="V552">
        <f>YEAR(Spotify[[#This Row],[Date de sortie]])</f>
        <v>2020</v>
      </c>
      <c r="W552" s="2" t="str">
        <f>IF(Spotify[[#This Row],[Popularité]]&gt;=70,"FORTE","FAIBLE")</f>
        <v>FORTE</v>
      </c>
    </row>
    <row r="553" spans="1:23" x14ac:dyDescent="0.25">
      <c r="A553">
        <v>1246</v>
      </c>
      <c r="B553">
        <v>152</v>
      </c>
      <c r="C553">
        <v>13</v>
      </c>
      <c r="D553" s="1">
        <v>43833</v>
      </c>
      <c r="E553" s="59" t="str" cm="1">
        <f t="array" ref="E55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53" t="s">
        <v>2032</v>
      </c>
      <c r="G553" s="3">
        <v>4359727</v>
      </c>
      <c r="H553" t="s">
        <v>2033</v>
      </c>
      <c r="I553" s="4">
        <v>18195884</v>
      </c>
      <c r="J553" t="s">
        <v>19</v>
      </c>
      <c r="K553" s="1">
        <v>43805</v>
      </c>
      <c r="L553">
        <v>77</v>
      </c>
      <c r="M553" s="2" t="str">
        <f>IF(Spotify[[#This Row],[Energie]]&gt;AVERAGE(Spotify[Energie]),"FORTE","FAIBLE")</f>
        <v>FAIBLE</v>
      </c>
      <c r="N553" s="2">
        <v>0.52800000000000002</v>
      </c>
      <c r="O553" s="2">
        <v>0.51100000000000001</v>
      </c>
      <c r="P553" s="2">
        <v>3.2399999999999998E-2</v>
      </c>
      <c r="Q553" s="2">
        <v>0.126</v>
      </c>
      <c r="R553" s="2">
        <v>0.10100000000000001</v>
      </c>
      <c r="S553" s="2">
        <v>0.35099999999999998</v>
      </c>
      <c r="T553" s="2">
        <v>-8.1440000000000001</v>
      </c>
      <c r="U553">
        <v>209880</v>
      </c>
      <c r="V553">
        <f>YEAR(Spotify[[#This Row],[Date de sortie]])</f>
        <v>2019</v>
      </c>
      <c r="W553" s="2" t="str">
        <f>IF(Spotify[[#This Row],[Popularité]]&gt;=70,"FORTE","FAIBLE")</f>
        <v>FORTE</v>
      </c>
    </row>
    <row r="554" spans="1:23" x14ac:dyDescent="0.25">
      <c r="A554">
        <v>1099</v>
      </c>
      <c r="B554">
        <v>125</v>
      </c>
      <c r="C554">
        <v>15</v>
      </c>
      <c r="D554" s="1">
        <v>43938</v>
      </c>
      <c r="E554" s="59" t="str" cm="1">
        <f t="array" ref="E55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554" t="s">
        <v>1825</v>
      </c>
      <c r="G554" s="3">
        <v>4356213</v>
      </c>
      <c r="H554" t="s">
        <v>1826</v>
      </c>
      <c r="I554" s="4">
        <v>165504</v>
      </c>
      <c r="J554" t="s">
        <v>1827</v>
      </c>
      <c r="K554" s="1">
        <v>43686</v>
      </c>
      <c r="L554">
        <v>77</v>
      </c>
      <c r="M554" s="2" t="str">
        <f>IF(Spotify[[#This Row],[Energie]]&gt;AVERAGE(Spotify[Energie]),"FORTE","FAIBLE")</f>
        <v>FORTE</v>
      </c>
      <c r="N554" s="2">
        <v>0.60599999999999998</v>
      </c>
      <c r="O554" s="2">
        <v>0.79900000000000004</v>
      </c>
      <c r="P554" s="2">
        <v>2.6100000000000002E-2</v>
      </c>
      <c r="Q554" s="2">
        <v>1.2800000000000001E-2</v>
      </c>
      <c r="R554" s="2">
        <v>0.15</v>
      </c>
      <c r="S554" s="2">
        <v>0.63800000000000001</v>
      </c>
      <c r="T554" s="2">
        <v>-4.452</v>
      </c>
      <c r="U554">
        <v>232907</v>
      </c>
      <c r="V554">
        <f>YEAR(Spotify[[#This Row],[Date de sortie]])</f>
        <v>2019</v>
      </c>
      <c r="W554" s="2" t="str">
        <f>IF(Spotify[[#This Row],[Popularité]]&gt;=70,"FORTE","FAIBLE")</f>
        <v>FORTE</v>
      </c>
    </row>
    <row r="555" spans="1:23" x14ac:dyDescent="0.25">
      <c r="A555">
        <v>256</v>
      </c>
      <c r="B555">
        <v>43</v>
      </c>
      <c r="C555">
        <v>2</v>
      </c>
      <c r="D555" s="1">
        <v>44372</v>
      </c>
      <c r="E555" s="59" t="str" cm="1">
        <f t="array" ref="E55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555" t="s">
        <v>516</v>
      </c>
      <c r="G555" s="3">
        <v>11756283</v>
      </c>
      <c r="H555" t="s">
        <v>425</v>
      </c>
      <c r="I555" s="4">
        <v>6777818</v>
      </c>
      <c r="J555" t="s">
        <v>426</v>
      </c>
      <c r="K555" s="1">
        <v>44372</v>
      </c>
      <c r="L555">
        <v>76</v>
      </c>
      <c r="M555" s="2" t="str">
        <f>IF(Spotify[[#This Row],[Energie]]&gt;AVERAGE(Spotify[Energie]),"FORTE","FAIBLE")</f>
        <v>FORTE</v>
      </c>
      <c r="N555" s="2">
        <v>0.38600000000000001</v>
      </c>
      <c r="O555" s="2">
        <v>0.76200000000000001</v>
      </c>
      <c r="P555" s="2">
        <v>0.56399999999999995</v>
      </c>
      <c r="Q555" s="2">
        <v>0.122</v>
      </c>
      <c r="R555" s="2">
        <v>0.52700000000000002</v>
      </c>
      <c r="S555" s="2">
        <v>0.433</v>
      </c>
      <c r="T555" s="2">
        <v>-6.3410000000000002</v>
      </c>
      <c r="U555">
        <v>138312</v>
      </c>
      <c r="V555">
        <f>YEAR(Spotify[[#This Row],[Date de sortie]])</f>
        <v>2021</v>
      </c>
      <c r="W555" s="2" t="str">
        <f>IF(Spotify[[#This Row],[Popularité]]&gt;=70,"FORTE","FAIBLE")</f>
        <v>FORTE</v>
      </c>
    </row>
    <row r="556" spans="1:23" x14ac:dyDescent="0.25">
      <c r="A556">
        <v>732</v>
      </c>
      <c r="B556">
        <v>53</v>
      </c>
      <c r="C556">
        <v>1</v>
      </c>
      <c r="D556" s="1">
        <v>44162</v>
      </c>
      <c r="E556" s="59" t="str" cm="1">
        <f t="array" ref="E55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56" t="s">
        <v>1278</v>
      </c>
      <c r="G556" s="3">
        <v>11298839</v>
      </c>
      <c r="H556" t="s">
        <v>24</v>
      </c>
      <c r="I556" s="4">
        <v>36177712</v>
      </c>
      <c r="J556" t="s">
        <v>25</v>
      </c>
      <c r="K556" s="1">
        <v>44162</v>
      </c>
      <c r="L556">
        <v>76</v>
      </c>
      <c r="M556" s="2" t="str">
        <f>IF(Spotify[[#This Row],[Energie]]&gt;AVERAGE(Spotify[Energie]),"FORTE","FAIBLE")</f>
        <v>FAIBLE</v>
      </c>
      <c r="N556" s="2">
        <v>0.69299999999999995</v>
      </c>
      <c r="O556" s="2">
        <v>0.54900000000000004</v>
      </c>
      <c r="P556" s="2">
        <v>5.7700000000000001E-2</v>
      </c>
      <c r="Q556" s="2">
        <v>0.505</v>
      </c>
      <c r="R556" s="2">
        <v>0.32400000000000001</v>
      </c>
      <c r="S556" s="2">
        <v>0.47299999999999998</v>
      </c>
      <c r="T556" s="2">
        <v>-6.0979999999999999</v>
      </c>
      <c r="U556">
        <v>221187</v>
      </c>
      <c r="V556">
        <f>YEAR(Spotify[[#This Row],[Date de sortie]])</f>
        <v>2020</v>
      </c>
      <c r="W556" s="2" t="str">
        <f>IF(Spotify[[#This Row],[Popularité]]&gt;=70,"FORTE","FAIBLE")</f>
        <v>FORTE</v>
      </c>
    </row>
    <row r="557" spans="1:23" x14ac:dyDescent="0.25">
      <c r="A557">
        <v>737</v>
      </c>
      <c r="B557">
        <v>16</v>
      </c>
      <c r="C557">
        <v>2</v>
      </c>
      <c r="D557" s="1">
        <v>44155</v>
      </c>
      <c r="E557" s="59" t="str" cm="1">
        <f t="array" ref="E55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57" t="s">
        <v>1284</v>
      </c>
      <c r="G557" s="3">
        <v>8413330</v>
      </c>
      <c r="H557" t="s">
        <v>32</v>
      </c>
      <c r="I557" s="4">
        <v>37151476</v>
      </c>
      <c r="J557" t="s">
        <v>33</v>
      </c>
      <c r="K557" s="1">
        <v>44155</v>
      </c>
      <c r="L557">
        <v>76</v>
      </c>
      <c r="M557" s="2" t="str">
        <f>IF(Spotify[[#This Row],[Energie]]&gt;AVERAGE(Spotify[Energie]),"FORTE","FAIBLE")</f>
        <v>FAIBLE</v>
      </c>
      <c r="N557" s="2">
        <v>0.76400000000000001</v>
      </c>
      <c r="O557" s="2">
        <v>0.52600000000000002</v>
      </c>
      <c r="P557" s="2">
        <v>0.21199999999999999</v>
      </c>
      <c r="Q557" s="2">
        <v>4.8399999999999999E-2</v>
      </c>
      <c r="R557" s="2">
        <v>7.1800000000000003E-2</v>
      </c>
      <c r="S557" s="2">
        <v>0.58799999999999997</v>
      </c>
      <c r="T557" s="2">
        <v>-7.3550000000000004</v>
      </c>
      <c r="U557">
        <v>222243</v>
      </c>
      <c r="V557">
        <f>YEAR(Spotify[[#This Row],[Date de sortie]])</f>
        <v>2020</v>
      </c>
      <c r="W557" s="2" t="str">
        <f>IF(Spotify[[#This Row],[Popularité]]&gt;=70,"FORTE","FAIBLE")</f>
        <v>FORTE</v>
      </c>
    </row>
    <row r="558" spans="1:23" x14ac:dyDescent="0.25">
      <c r="A558">
        <v>339</v>
      </c>
      <c r="B558">
        <v>15</v>
      </c>
      <c r="C558">
        <v>3</v>
      </c>
      <c r="D558" s="1">
        <v>44330</v>
      </c>
      <c r="E558" s="59" t="str" cm="1">
        <f t="array" ref="E55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558" t="s">
        <v>644</v>
      </c>
      <c r="G558" s="3">
        <v>7880155</v>
      </c>
      <c r="H558" t="s">
        <v>552</v>
      </c>
      <c r="I558" s="4">
        <v>14097410</v>
      </c>
      <c r="J558" t="s">
        <v>553</v>
      </c>
      <c r="K558" s="1">
        <v>44330</v>
      </c>
      <c r="L558">
        <v>76</v>
      </c>
      <c r="M558" s="2" t="str">
        <f>IF(Spotify[[#This Row],[Energie]]&gt;AVERAGE(Spotify[Energie]),"FORTE","FAIBLE")</f>
        <v>FAIBLE</v>
      </c>
      <c r="N558" s="2">
        <v>0.77</v>
      </c>
      <c r="O558" s="2">
        <v>0.57399999999999995</v>
      </c>
      <c r="P558" s="2">
        <v>0.106</v>
      </c>
      <c r="Q558" s="2">
        <v>6.1699999999999998E-2</v>
      </c>
      <c r="R558" s="2">
        <v>0.104</v>
      </c>
      <c r="S558" s="2">
        <v>0.104</v>
      </c>
      <c r="T558" s="2">
        <v>-5.5250000000000004</v>
      </c>
      <c r="U558">
        <v>133022</v>
      </c>
      <c r="V558">
        <f>YEAR(Spotify[[#This Row],[Date de sortie]])</f>
        <v>2021</v>
      </c>
      <c r="W558" s="2" t="str">
        <f>IF(Spotify[[#This Row],[Popularité]]&gt;=70,"FORTE","FAIBLE")</f>
        <v>FORTE</v>
      </c>
    </row>
    <row r="559" spans="1:23" x14ac:dyDescent="0.25">
      <c r="A559">
        <v>376</v>
      </c>
      <c r="B559">
        <v>47</v>
      </c>
      <c r="C559">
        <v>2</v>
      </c>
      <c r="D559" s="1">
        <v>44316</v>
      </c>
      <c r="E559" s="59" t="str" cm="1">
        <f t="array" ref="E55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559" t="s">
        <v>706</v>
      </c>
      <c r="G559" s="3">
        <v>7347891</v>
      </c>
      <c r="H559" t="s">
        <v>489</v>
      </c>
      <c r="I559" s="4">
        <v>6278835</v>
      </c>
      <c r="J559" t="s">
        <v>426</v>
      </c>
      <c r="K559" s="1">
        <v>44316</v>
      </c>
      <c r="L559">
        <v>76</v>
      </c>
      <c r="M559" s="2" t="str">
        <f>IF(Spotify[[#This Row],[Energie]]&gt;AVERAGE(Spotify[Energie]),"FORTE","FAIBLE")</f>
        <v>FORTE</v>
      </c>
      <c r="N559" s="2">
        <v>0.75700000000000001</v>
      </c>
      <c r="O559" s="2">
        <v>0.72099999999999997</v>
      </c>
      <c r="P559" s="2">
        <v>6.9099999999999995E-2</v>
      </c>
      <c r="Q559" s="2">
        <v>1.9599999999999999E-3</v>
      </c>
      <c r="R559" s="2">
        <v>0.64700000000000002</v>
      </c>
      <c r="S559" s="2">
        <v>0.36399999999999999</v>
      </c>
      <c r="T559" s="2">
        <v>-2.9060000000000001</v>
      </c>
      <c r="U559">
        <v>165366</v>
      </c>
      <c r="V559">
        <f>YEAR(Spotify[[#This Row],[Date de sortie]])</f>
        <v>2021</v>
      </c>
      <c r="W559" s="2" t="str">
        <f>IF(Spotify[[#This Row],[Popularité]]&gt;=70,"FORTE","FAIBLE")</f>
        <v>FORTE</v>
      </c>
    </row>
    <row r="560" spans="1:23" x14ac:dyDescent="0.25">
      <c r="A560">
        <v>740</v>
      </c>
      <c r="B560">
        <v>27</v>
      </c>
      <c r="C560">
        <v>2</v>
      </c>
      <c r="D560" s="1">
        <v>44155</v>
      </c>
      <c r="E560" s="59" t="str" cm="1">
        <f t="array" ref="E56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60" t="s">
        <v>1287</v>
      </c>
      <c r="G560" s="3">
        <v>7010227</v>
      </c>
      <c r="H560" t="s">
        <v>32</v>
      </c>
      <c r="I560" s="4">
        <v>37151476</v>
      </c>
      <c r="J560" t="s">
        <v>33</v>
      </c>
      <c r="K560" s="1">
        <v>44155</v>
      </c>
      <c r="L560">
        <v>76</v>
      </c>
      <c r="M560" s="2" t="str">
        <f>IF(Spotify[[#This Row],[Energie]]&gt;AVERAGE(Spotify[Energie]),"FORTE","FAIBLE")</f>
        <v>FORTE</v>
      </c>
      <c r="N560" s="2">
        <v>0.58199999999999996</v>
      </c>
      <c r="O560" s="2">
        <v>0.69299999999999995</v>
      </c>
      <c r="P560" s="2">
        <v>4.65E-2</v>
      </c>
      <c r="Q560" s="2">
        <v>0.114</v>
      </c>
      <c r="R560" s="2">
        <v>0.13</v>
      </c>
      <c r="S560" s="2">
        <v>0.34100000000000003</v>
      </c>
      <c r="T560" s="2">
        <v>-5.048</v>
      </c>
      <c r="U560">
        <v>204800</v>
      </c>
      <c r="V560">
        <f>YEAR(Spotify[[#This Row],[Date de sortie]])</f>
        <v>2020</v>
      </c>
      <c r="W560" s="2" t="str">
        <f>IF(Spotify[[#This Row],[Popularité]]&gt;=70,"FORTE","FAIBLE")</f>
        <v>FORTE</v>
      </c>
    </row>
    <row r="561" spans="1:23" x14ac:dyDescent="0.25">
      <c r="A561">
        <v>394</v>
      </c>
      <c r="B561">
        <v>113</v>
      </c>
      <c r="C561">
        <v>1</v>
      </c>
      <c r="D561" s="1">
        <v>44316</v>
      </c>
      <c r="E561" s="59" t="str" cm="1">
        <f t="array" ref="E56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561" t="s">
        <v>738</v>
      </c>
      <c r="G561" s="3">
        <v>6325080</v>
      </c>
      <c r="H561" t="s">
        <v>566</v>
      </c>
      <c r="I561" s="4">
        <v>3864419</v>
      </c>
      <c r="J561" t="s">
        <v>567</v>
      </c>
      <c r="K561" s="1">
        <v>44315</v>
      </c>
      <c r="L561">
        <v>76</v>
      </c>
      <c r="M561" s="2" t="str">
        <f>IF(Spotify[[#This Row],[Energie]]&gt;AVERAGE(Spotify[Energie]),"FORTE","FAIBLE")</f>
        <v>FORTE</v>
      </c>
      <c r="N561" s="2">
        <v>0.51700000000000002</v>
      </c>
      <c r="O561" s="2">
        <v>0.84799999999999998</v>
      </c>
      <c r="P561" s="2">
        <v>5.21E-2</v>
      </c>
      <c r="Q561" s="2">
        <v>5.8100000000000001E-3</v>
      </c>
      <c r="R561" s="2">
        <v>0.214</v>
      </c>
      <c r="S561" s="2">
        <v>0.42899999999999999</v>
      </c>
      <c r="T561" s="2">
        <v>-4.0540000000000003</v>
      </c>
      <c r="U561">
        <v>188779</v>
      </c>
      <c r="V561">
        <f>YEAR(Spotify[[#This Row],[Date de sortie]])</f>
        <v>2021</v>
      </c>
      <c r="W561" s="2" t="str">
        <f>IF(Spotify[[#This Row],[Popularité]]&gt;=70,"FORTE","FAIBLE")</f>
        <v>FORTE</v>
      </c>
    </row>
    <row r="562" spans="1:23" x14ac:dyDescent="0.25">
      <c r="A562">
        <v>555</v>
      </c>
      <c r="B562">
        <v>27</v>
      </c>
      <c r="C562">
        <v>4</v>
      </c>
      <c r="D562" s="1">
        <v>44211</v>
      </c>
      <c r="E562" s="59" t="str" cm="1">
        <f t="array" ref="E56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562" t="s">
        <v>996</v>
      </c>
      <c r="G562" s="3">
        <v>6011642</v>
      </c>
      <c r="H562" t="s">
        <v>345</v>
      </c>
      <c r="I562" s="4">
        <v>19102888</v>
      </c>
      <c r="J562" t="s">
        <v>79</v>
      </c>
      <c r="K562" s="1">
        <v>44211</v>
      </c>
      <c r="L562">
        <v>76</v>
      </c>
      <c r="M562" s="2" t="str">
        <f>IF(Spotify[[#This Row],[Energie]]&gt;AVERAGE(Spotify[Energie]),"FORTE","FAIBLE")</f>
        <v>FORTE</v>
      </c>
      <c r="N562" s="2">
        <v>0.69699999999999995</v>
      </c>
      <c r="O562" s="2">
        <v>0.67400000000000004</v>
      </c>
      <c r="P562" s="2">
        <v>5.33E-2</v>
      </c>
      <c r="Q562" s="2">
        <v>2.15E-3</v>
      </c>
      <c r="R562" s="2">
        <v>0.13800000000000001</v>
      </c>
      <c r="S562" s="2">
        <v>0.19800000000000001</v>
      </c>
      <c r="T562" s="2">
        <v>-6.3259999999999996</v>
      </c>
      <c r="U562">
        <v>157355</v>
      </c>
      <c r="V562">
        <f>YEAR(Spotify[[#This Row],[Date de sortie]])</f>
        <v>2021</v>
      </c>
      <c r="W562" s="2" t="str">
        <f>IF(Spotify[[#This Row],[Popularité]]&gt;=70,"FORTE","FAIBLE")</f>
        <v>FORTE</v>
      </c>
    </row>
    <row r="563" spans="1:23" x14ac:dyDescent="0.25">
      <c r="A563">
        <v>466</v>
      </c>
      <c r="B563">
        <v>128</v>
      </c>
      <c r="C563">
        <v>2</v>
      </c>
      <c r="D563" s="1">
        <v>44281</v>
      </c>
      <c r="E563" s="59" t="str" cm="1">
        <f t="array" ref="E56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63" t="s">
        <v>851</v>
      </c>
      <c r="G563" s="3">
        <v>6007541</v>
      </c>
      <c r="H563" t="s">
        <v>852</v>
      </c>
      <c r="I563" s="4">
        <v>29067437</v>
      </c>
      <c r="J563" t="s">
        <v>25</v>
      </c>
      <c r="K563" s="1">
        <v>44274</v>
      </c>
      <c r="L563">
        <v>76</v>
      </c>
      <c r="M563" s="2" t="str">
        <f>IF(Spotify[[#This Row],[Energie]]&gt;AVERAGE(Spotify[Energie]),"FORTE","FAIBLE")</f>
        <v>FORTE</v>
      </c>
      <c r="N563" s="2">
        <v>0.66400000000000003</v>
      </c>
      <c r="O563" s="2">
        <v>0.65900000000000003</v>
      </c>
      <c r="P563" s="2">
        <v>8.7300000000000003E-2</v>
      </c>
      <c r="Q563" s="2">
        <v>6.25E-2</v>
      </c>
      <c r="R563" s="2">
        <v>8.7400000000000005E-2</v>
      </c>
      <c r="S563" s="2">
        <v>0.79700000000000004</v>
      </c>
      <c r="T563" s="2">
        <v>-4.2320000000000002</v>
      </c>
      <c r="U563">
        <v>157320</v>
      </c>
      <c r="V563">
        <f>YEAR(Spotify[[#This Row],[Date de sortie]])</f>
        <v>2021</v>
      </c>
      <c r="W563" s="2" t="str">
        <f>IF(Spotify[[#This Row],[Popularité]]&gt;=70,"FORTE","FAIBLE")</f>
        <v>FORTE</v>
      </c>
    </row>
    <row r="564" spans="1:23" x14ac:dyDescent="0.25">
      <c r="A564">
        <v>483</v>
      </c>
      <c r="B564">
        <v>82</v>
      </c>
      <c r="C564">
        <v>18</v>
      </c>
      <c r="D564" s="1">
        <v>44232</v>
      </c>
      <c r="E564" s="59" t="str" cm="1">
        <f t="array" ref="E56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64" t="s">
        <v>879</v>
      </c>
      <c r="G564" s="3">
        <v>5528508</v>
      </c>
      <c r="H564" t="s">
        <v>880</v>
      </c>
      <c r="I564" s="4">
        <v>14831925</v>
      </c>
      <c r="J564" t="s">
        <v>25</v>
      </c>
      <c r="K564" s="1">
        <v>44155</v>
      </c>
      <c r="L564">
        <v>76</v>
      </c>
      <c r="M564" s="2" t="str">
        <f>IF(Spotify[[#This Row],[Energie]]&gt;AVERAGE(Spotify[Energie]),"FORTE","FAIBLE")</f>
        <v>FAIBLE</v>
      </c>
      <c r="N564" s="2">
        <v>0.76300000000000001</v>
      </c>
      <c r="O564" s="2">
        <v>0.621</v>
      </c>
      <c r="P564" s="2">
        <v>6.6000000000000003E-2</v>
      </c>
      <c r="Q564" s="2">
        <v>1.0500000000000001E-2</v>
      </c>
      <c r="R564" s="2">
        <v>0.106</v>
      </c>
      <c r="S564" s="2">
        <v>0.58199999999999996</v>
      </c>
      <c r="T564" s="2">
        <v>-6.1689999999999996</v>
      </c>
      <c r="U564">
        <v>211130</v>
      </c>
      <c r="V564">
        <f>YEAR(Spotify[[#This Row],[Date de sortie]])</f>
        <v>2020</v>
      </c>
      <c r="W564" s="2" t="str">
        <f>IF(Spotify[[#This Row],[Popularité]]&gt;=70,"FORTE","FAIBLE")</f>
        <v>FORTE</v>
      </c>
    </row>
    <row r="565" spans="1:23" x14ac:dyDescent="0.25">
      <c r="A565">
        <v>535</v>
      </c>
      <c r="B565">
        <v>50</v>
      </c>
      <c r="C565">
        <v>5</v>
      </c>
      <c r="D565" s="1">
        <v>44218</v>
      </c>
      <c r="E565" s="59" t="str" cm="1">
        <f t="array" ref="E56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65" t="s">
        <v>967</v>
      </c>
      <c r="G565" s="3">
        <v>5497942</v>
      </c>
      <c r="H565" t="s">
        <v>968</v>
      </c>
      <c r="I565" s="4">
        <v>3689546</v>
      </c>
      <c r="J565" t="s">
        <v>222</v>
      </c>
      <c r="K565" s="1">
        <v>44218</v>
      </c>
      <c r="L565">
        <v>76</v>
      </c>
      <c r="M565" s="2" t="str">
        <f>IF(Spotify[[#This Row],[Energie]]&gt;AVERAGE(Spotify[Energie]),"FORTE","FAIBLE")</f>
        <v>FAIBLE</v>
      </c>
      <c r="N565" s="2">
        <v>0.55700000000000005</v>
      </c>
      <c r="O565" s="2">
        <v>0.45700000000000002</v>
      </c>
      <c r="P565" s="2">
        <v>3.3500000000000002E-2</v>
      </c>
      <c r="Q565" s="2">
        <v>0.42799999999999999</v>
      </c>
      <c r="R565" s="2">
        <v>5.67E-2</v>
      </c>
      <c r="S565" s="2">
        <v>0.32800000000000001</v>
      </c>
      <c r="T565" s="2">
        <v>-5.3719999999999999</v>
      </c>
      <c r="U565">
        <v>177500</v>
      </c>
      <c r="V565">
        <f>YEAR(Spotify[[#This Row],[Date de sortie]])</f>
        <v>2021</v>
      </c>
      <c r="W565" s="2" t="str">
        <f>IF(Spotify[[#This Row],[Popularité]]&gt;=70,"FORTE","FAIBLE")</f>
        <v>FORTE</v>
      </c>
    </row>
    <row r="566" spans="1:23" x14ac:dyDescent="0.25">
      <c r="A566">
        <v>226</v>
      </c>
      <c r="B566">
        <v>164</v>
      </c>
      <c r="C566">
        <v>1</v>
      </c>
      <c r="D566" s="1">
        <v>44386</v>
      </c>
      <c r="E566" s="59" t="str" cm="1">
        <f t="array" ref="E56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566" t="s">
        <v>455</v>
      </c>
      <c r="G566" s="3">
        <v>5454994</v>
      </c>
      <c r="H566" t="s">
        <v>456</v>
      </c>
      <c r="I566" s="4">
        <v>386757</v>
      </c>
      <c r="J566" t="s">
        <v>426</v>
      </c>
      <c r="K566" s="1">
        <v>44386</v>
      </c>
      <c r="L566">
        <v>76</v>
      </c>
      <c r="M566" s="2" t="str">
        <f>IF(Spotify[[#This Row],[Energie]]&gt;AVERAGE(Spotify[Energie]),"FORTE","FAIBLE")</f>
        <v>FAIBLE</v>
      </c>
      <c r="N566" s="2">
        <v>0.78400000000000003</v>
      </c>
      <c r="O566" s="2">
        <v>0.47399999999999998</v>
      </c>
      <c r="P566" s="2">
        <v>5.2400000000000002E-2</v>
      </c>
      <c r="Q566" s="2">
        <v>0.33300000000000002</v>
      </c>
      <c r="R566" s="2">
        <v>0.27800000000000002</v>
      </c>
      <c r="S566" s="2">
        <v>0.64</v>
      </c>
      <c r="T566" s="2">
        <v>-6.1390000000000002</v>
      </c>
      <c r="U566">
        <v>204434</v>
      </c>
      <c r="V566">
        <f>YEAR(Spotify[[#This Row],[Date de sortie]])</f>
        <v>2021</v>
      </c>
      <c r="W566" s="2" t="str">
        <f>IF(Spotify[[#This Row],[Popularité]]&gt;=70,"FORTE","FAIBLE")</f>
        <v>FORTE</v>
      </c>
    </row>
    <row r="567" spans="1:23" x14ac:dyDescent="0.25">
      <c r="A567">
        <v>723</v>
      </c>
      <c r="B567">
        <v>46</v>
      </c>
      <c r="C567">
        <v>14</v>
      </c>
      <c r="D567" s="1">
        <v>44092</v>
      </c>
      <c r="E567" s="59" t="str" cm="1">
        <f t="array" ref="E56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67" t="s">
        <v>1266</v>
      </c>
      <c r="G567" s="3">
        <v>5436450</v>
      </c>
      <c r="H567" t="s">
        <v>1267</v>
      </c>
      <c r="I567" s="4">
        <v>133998</v>
      </c>
      <c r="J567" t="s">
        <v>222</v>
      </c>
      <c r="K567" s="1">
        <v>44036</v>
      </c>
      <c r="L567">
        <v>76</v>
      </c>
      <c r="M567" s="2" t="str">
        <f>IF(Spotify[[#This Row],[Energie]]&gt;AVERAGE(Spotify[Energie]),"FORTE","FAIBLE")</f>
        <v>FAIBLE</v>
      </c>
      <c r="N567" s="2">
        <v>0.73799999999999999</v>
      </c>
      <c r="O567" s="2">
        <v>0.621</v>
      </c>
      <c r="P567" s="2">
        <v>4.8599999999999997E-2</v>
      </c>
      <c r="Q567" s="2">
        <v>0.42399999999999999</v>
      </c>
      <c r="R567" s="2">
        <v>0.69199999999999995</v>
      </c>
      <c r="S567" s="2">
        <v>0.71499999999999997</v>
      </c>
      <c r="T567" s="2">
        <v>-7.3129999999999997</v>
      </c>
      <c r="U567">
        <v>136839</v>
      </c>
      <c r="V567">
        <f>YEAR(Spotify[[#This Row],[Date de sortie]])</f>
        <v>2020</v>
      </c>
      <c r="W567" s="2" t="str">
        <f>IF(Spotify[[#This Row],[Popularité]]&gt;=70,"FORTE","FAIBLE")</f>
        <v>FORTE</v>
      </c>
    </row>
    <row r="568" spans="1:23" x14ac:dyDescent="0.25">
      <c r="A568">
        <v>328</v>
      </c>
      <c r="B568">
        <v>170</v>
      </c>
      <c r="C568">
        <v>1</v>
      </c>
      <c r="D568" s="1">
        <v>44344</v>
      </c>
      <c r="E568" s="59" t="str" cm="1">
        <f t="array" ref="E56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568" t="s">
        <v>627</v>
      </c>
      <c r="G568" s="3">
        <v>5404939</v>
      </c>
      <c r="H568" t="s">
        <v>412</v>
      </c>
      <c r="I568" s="4">
        <v>46785561</v>
      </c>
      <c r="J568" t="s">
        <v>413</v>
      </c>
      <c r="K568" s="1">
        <v>44344</v>
      </c>
      <c r="L568">
        <v>76</v>
      </c>
      <c r="M568" s="2" t="str">
        <f>IF(Spotify[[#This Row],[Energie]]&gt;AVERAGE(Spotify[Energie]),"FORTE","FAIBLE")</f>
        <v>FORTE</v>
      </c>
      <c r="N568" s="2">
        <v>0.92400000000000004</v>
      </c>
      <c r="O568" s="2">
        <v>0.73</v>
      </c>
      <c r="P568" s="2">
        <v>0.27400000000000002</v>
      </c>
      <c r="Q568" s="2">
        <v>5.2499999999999998E-2</v>
      </c>
      <c r="R568" s="2">
        <v>0.113</v>
      </c>
      <c r="S568" s="2">
        <v>0.84799999999999998</v>
      </c>
      <c r="T568" s="2">
        <v>-6.125</v>
      </c>
      <c r="U568">
        <v>236666</v>
      </c>
      <c r="V568">
        <f>YEAR(Spotify[[#This Row],[Date de sortie]])</f>
        <v>2021</v>
      </c>
      <c r="W568" s="2" t="str">
        <f>IF(Spotify[[#This Row],[Popularité]]&gt;=70,"FORTE","FAIBLE")</f>
        <v>FORTE</v>
      </c>
    </row>
    <row r="569" spans="1:23" x14ac:dyDescent="0.25">
      <c r="A569">
        <v>473</v>
      </c>
      <c r="B569">
        <v>17</v>
      </c>
      <c r="C569">
        <v>4</v>
      </c>
      <c r="D569" s="1">
        <v>44260</v>
      </c>
      <c r="E569" s="59" t="str" cm="1">
        <f t="array" ref="E56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569" t="s">
        <v>863</v>
      </c>
      <c r="G569" s="3">
        <v>5365747</v>
      </c>
      <c r="H569" t="s">
        <v>179</v>
      </c>
      <c r="I569" s="4">
        <v>56327031</v>
      </c>
      <c r="J569" t="s">
        <v>155</v>
      </c>
      <c r="K569" s="1">
        <v>44260</v>
      </c>
      <c r="L569">
        <v>76</v>
      </c>
      <c r="M569" s="2" t="str">
        <f>IF(Spotify[[#This Row],[Energie]]&gt;AVERAGE(Spotify[Energie]),"FORTE","FAIBLE")</f>
        <v>FORTE</v>
      </c>
      <c r="N569" s="2">
        <v>0.77</v>
      </c>
      <c r="O569" s="2">
        <v>0.63700000000000001</v>
      </c>
      <c r="P569" s="2">
        <v>0.34499999999999997</v>
      </c>
      <c r="Q569" s="2">
        <v>0.10299999999999999</v>
      </c>
      <c r="R569" s="2">
        <v>0.17100000000000001</v>
      </c>
      <c r="S569" s="2">
        <v>0.43099999999999999</v>
      </c>
      <c r="T569" s="2">
        <v>-5.53</v>
      </c>
      <c r="U569">
        <v>383037</v>
      </c>
      <c r="V569">
        <f>YEAR(Spotify[[#This Row],[Date de sortie]])</f>
        <v>2021</v>
      </c>
      <c r="W569" s="2" t="str">
        <f>IF(Spotify[[#This Row],[Popularité]]&gt;=70,"FORTE","FAIBLE")</f>
        <v>FORTE</v>
      </c>
    </row>
    <row r="570" spans="1:23" x14ac:dyDescent="0.25">
      <c r="A570">
        <v>379</v>
      </c>
      <c r="B570">
        <v>169</v>
      </c>
      <c r="C570">
        <v>1</v>
      </c>
      <c r="D570" s="1">
        <v>44323</v>
      </c>
      <c r="E570" s="59" t="str" cm="1">
        <f t="array" ref="E57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570" t="s">
        <v>710</v>
      </c>
      <c r="G570" s="3">
        <v>5346005</v>
      </c>
      <c r="H570" t="s">
        <v>711</v>
      </c>
      <c r="I570" s="4">
        <v>1605329</v>
      </c>
      <c r="J570" t="s">
        <v>186</v>
      </c>
      <c r="K570" s="1">
        <v>44320</v>
      </c>
      <c r="L570">
        <v>76</v>
      </c>
      <c r="M570" s="2" t="str">
        <f>IF(Spotify[[#This Row],[Energie]]&gt;AVERAGE(Spotify[Energie]),"FORTE","FAIBLE")</f>
        <v>FORTE</v>
      </c>
      <c r="N570" s="2">
        <v>0.66400000000000003</v>
      </c>
      <c r="O570" s="2">
        <v>0.65500000000000003</v>
      </c>
      <c r="P570" s="2">
        <v>4.6100000000000002E-2</v>
      </c>
      <c r="Q570" s="2">
        <v>5.8999999999999997E-2</v>
      </c>
      <c r="R570" s="2">
        <v>0.17</v>
      </c>
      <c r="S570" s="2">
        <v>0.13</v>
      </c>
      <c r="T570" s="2">
        <v>-7.327</v>
      </c>
      <c r="U570">
        <v>217609</v>
      </c>
      <c r="V570">
        <f>YEAR(Spotify[[#This Row],[Date de sortie]])</f>
        <v>2021</v>
      </c>
      <c r="W570" s="2" t="str">
        <f>IF(Spotify[[#This Row],[Popularité]]&gt;=70,"FORTE","FAIBLE")</f>
        <v>FORTE</v>
      </c>
    </row>
    <row r="571" spans="1:23" x14ac:dyDescent="0.25">
      <c r="A571">
        <v>793</v>
      </c>
      <c r="B571">
        <v>168</v>
      </c>
      <c r="C571">
        <v>1</v>
      </c>
      <c r="D571" s="1">
        <v>44141</v>
      </c>
      <c r="E571" s="59" t="str" cm="1">
        <f t="array" ref="E57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571" t="s">
        <v>1380</v>
      </c>
      <c r="G571" s="3">
        <v>5226940</v>
      </c>
      <c r="H571" t="s">
        <v>6</v>
      </c>
      <c r="I571" s="4">
        <v>2238190</v>
      </c>
      <c r="J571" t="s">
        <v>7</v>
      </c>
      <c r="K571" s="1">
        <v>44141</v>
      </c>
      <c r="L571">
        <v>76</v>
      </c>
      <c r="M571" s="2" t="str">
        <f>IF(Spotify[[#This Row],[Energie]]&gt;AVERAGE(Spotify[Energie]),"FORTE","FAIBLE")</f>
        <v>FORTE</v>
      </c>
      <c r="N571" s="2">
        <v>0.77900000000000003</v>
      </c>
      <c r="O571" s="2">
        <v>0.64200000000000002</v>
      </c>
      <c r="P571" s="2">
        <v>0.11600000000000001</v>
      </c>
      <c r="Q571" s="2">
        <v>3.8300000000000001E-2</v>
      </c>
      <c r="R571" s="2">
        <v>0.2</v>
      </c>
      <c r="S571" s="2">
        <v>0.38800000000000001</v>
      </c>
      <c r="T571" s="2">
        <v>-6.3209999999999997</v>
      </c>
      <c r="U571">
        <v>153147</v>
      </c>
      <c r="V571">
        <f>YEAR(Spotify[[#This Row],[Date de sortie]])</f>
        <v>2020</v>
      </c>
      <c r="W571" s="2" t="str">
        <f>IF(Spotify[[#This Row],[Popularité]]&gt;=70,"FORTE","FAIBLE")</f>
        <v>FORTE</v>
      </c>
    </row>
    <row r="572" spans="1:23" x14ac:dyDescent="0.25">
      <c r="A572">
        <v>651</v>
      </c>
      <c r="B572">
        <v>54</v>
      </c>
      <c r="C572">
        <v>3</v>
      </c>
      <c r="D572" s="1">
        <v>44176</v>
      </c>
      <c r="E572" s="59" t="str" cm="1">
        <f t="array" ref="E57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572" t="s">
        <v>1164</v>
      </c>
      <c r="G572" s="3">
        <v>5209372</v>
      </c>
      <c r="H572" t="s">
        <v>1092</v>
      </c>
      <c r="I572" s="4">
        <v>5002317</v>
      </c>
      <c r="J572" t="s">
        <v>426</v>
      </c>
      <c r="K572" s="1">
        <v>44176</v>
      </c>
      <c r="L572">
        <v>76</v>
      </c>
      <c r="M572" s="2" t="str">
        <f>IF(Spotify[[#This Row],[Energie]]&gt;AVERAGE(Spotify[Energie]),"FORTE","FAIBLE")</f>
        <v>FAIBLE</v>
      </c>
      <c r="N572" s="2">
        <v>0.61899999999999999</v>
      </c>
      <c r="O572" s="2">
        <v>0.58899999999999997</v>
      </c>
      <c r="P572" s="2">
        <v>0.124</v>
      </c>
      <c r="Q572" s="2">
        <v>0.43</v>
      </c>
      <c r="R572" s="2">
        <v>0.378</v>
      </c>
      <c r="S572" s="2">
        <v>0.158</v>
      </c>
      <c r="T572" s="2">
        <v>-6.5309999999999997</v>
      </c>
      <c r="U572">
        <v>174960</v>
      </c>
      <c r="V572">
        <f>YEAR(Spotify[[#This Row],[Date de sortie]])</f>
        <v>2020</v>
      </c>
      <c r="W572" s="2" t="str">
        <f>IF(Spotify[[#This Row],[Popularité]]&gt;=70,"FORTE","FAIBLE")</f>
        <v>FORTE</v>
      </c>
    </row>
    <row r="573" spans="1:23" x14ac:dyDescent="0.25">
      <c r="A573">
        <v>561</v>
      </c>
      <c r="B573">
        <v>14</v>
      </c>
      <c r="C573">
        <v>26</v>
      </c>
      <c r="D573" s="1">
        <v>44057</v>
      </c>
      <c r="E573" s="59" t="str" cm="1">
        <f t="array" ref="E57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73" t="s">
        <v>1004</v>
      </c>
      <c r="G573" s="3">
        <v>5208100</v>
      </c>
      <c r="H573" t="s">
        <v>504</v>
      </c>
      <c r="I573" s="4">
        <v>15778531</v>
      </c>
      <c r="J573" t="s">
        <v>19</v>
      </c>
      <c r="K573" s="1">
        <v>44057</v>
      </c>
      <c r="L573">
        <v>76</v>
      </c>
      <c r="M573" s="2" t="str">
        <f>IF(Spotify[[#This Row],[Energie]]&gt;AVERAGE(Spotify[Energie]),"FORTE","FAIBLE")</f>
        <v>FORTE</v>
      </c>
      <c r="N573" s="2">
        <v>0.70499999999999996</v>
      </c>
      <c r="O573" s="2">
        <v>0.81399999999999995</v>
      </c>
      <c r="P573" s="2">
        <v>3.4599999999999999E-2</v>
      </c>
      <c r="Q573" s="2">
        <v>1.15E-3</v>
      </c>
      <c r="R573" s="2">
        <v>0.20300000000000001</v>
      </c>
      <c r="S573" s="2">
        <v>0.25900000000000001</v>
      </c>
      <c r="T573" s="2">
        <v>-5.4660000000000002</v>
      </c>
      <c r="U573">
        <v>223279</v>
      </c>
      <c r="V573">
        <f>YEAR(Spotify[[#This Row],[Date de sortie]])</f>
        <v>2020</v>
      </c>
      <c r="W573" s="2" t="str">
        <f>IF(Spotify[[#This Row],[Popularité]]&gt;=70,"FORTE","FAIBLE")</f>
        <v>FORTE</v>
      </c>
    </row>
    <row r="574" spans="1:23" x14ac:dyDescent="0.25">
      <c r="A574">
        <v>562</v>
      </c>
      <c r="B574">
        <v>175</v>
      </c>
      <c r="C574">
        <v>1</v>
      </c>
      <c r="D574" s="1">
        <v>44232</v>
      </c>
      <c r="E574" s="59" t="str" cm="1">
        <f t="array" ref="E57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74" t="s">
        <v>1005</v>
      </c>
      <c r="G574" s="3">
        <v>5197587</v>
      </c>
      <c r="H574" t="s">
        <v>573</v>
      </c>
      <c r="I574" s="4">
        <v>14921269</v>
      </c>
      <c r="J574" t="s">
        <v>19</v>
      </c>
      <c r="K574" s="1">
        <v>44232</v>
      </c>
      <c r="L574">
        <v>76</v>
      </c>
      <c r="M574" s="2" t="str">
        <f>IF(Spotify[[#This Row],[Energie]]&gt;AVERAGE(Spotify[Energie]),"FORTE","FAIBLE")</f>
        <v>FAIBLE</v>
      </c>
      <c r="N574" s="2">
        <v>0.85899999999999999</v>
      </c>
      <c r="O574" s="2">
        <v>0.55800000000000005</v>
      </c>
      <c r="P574" s="2">
        <v>9.0200000000000002E-2</v>
      </c>
      <c r="Q574" s="2">
        <v>0.65900000000000003</v>
      </c>
      <c r="R574" s="2">
        <v>0.124</v>
      </c>
      <c r="S574" s="2">
        <v>0.35699999999999998</v>
      </c>
      <c r="T574" s="2">
        <v>-8.9909999999999997</v>
      </c>
      <c r="U574">
        <v>144391</v>
      </c>
      <c r="V574">
        <f>YEAR(Spotify[[#This Row],[Date de sortie]])</f>
        <v>2021</v>
      </c>
      <c r="W574" s="2" t="str">
        <f>IF(Spotify[[#This Row],[Popularité]]&gt;=70,"FORTE","FAIBLE")</f>
        <v>FORTE</v>
      </c>
    </row>
    <row r="575" spans="1:23" x14ac:dyDescent="0.25">
      <c r="A575">
        <v>754</v>
      </c>
      <c r="B575">
        <v>140</v>
      </c>
      <c r="C575">
        <v>3</v>
      </c>
      <c r="D575" s="1">
        <v>44141</v>
      </c>
      <c r="E575" s="59" t="str" cm="1">
        <f t="array" ref="E57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575" t="s">
        <v>1312</v>
      </c>
      <c r="G575" s="3">
        <v>5196635</v>
      </c>
      <c r="H575" t="s">
        <v>6</v>
      </c>
      <c r="I575" s="4">
        <v>2238190</v>
      </c>
      <c r="J575" t="s">
        <v>7</v>
      </c>
      <c r="K575" s="1">
        <v>44141</v>
      </c>
      <c r="L575">
        <v>76</v>
      </c>
      <c r="M575" s="2" t="str">
        <f>IF(Spotify[[#This Row],[Energie]]&gt;AVERAGE(Spotify[Energie]),"FORTE","FAIBLE")</f>
        <v>FAIBLE</v>
      </c>
      <c r="N575" s="2">
        <v>0.76200000000000001</v>
      </c>
      <c r="O575" s="2">
        <v>0.42599999999999999</v>
      </c>
      <c r="P575" s="2">
        <v>0.113</v>
      </c>
      <c r="Q575" s="2">
        <v>4.4200000000000003E-2</v>
      </c>
      <c r="R575" s="2">
        <v>8.5800000000000001E-2</v>
      </c>
      <c r="S575" s="2">
        <v>0.58199999999999996</v>
      </c>
      <c r="T575" s="2">
        <v>-6.8650000000000002</v>
      </c>
      <c r="U575">
        <v>151705</v>
      </c>
      <c r="V575">
        <f>YEAR(Spotify[[#This Row],[Date de sortie]])</f>
        <v>2020</v>
      </c>
      <c r="W575" s="2" t="str">
        <f>IF(Spotify[[#This Row],[Popularité]]&gt;=70,"FORTE","FAIBLE")</f>
        <v>FORTE</v>
      </c>
    </row>
    <row r="576" spans="1:23" x14ac:dyDescent="0.25">
      <c r="A576">
        <v>1425</v>
      </c>
      <c r="B576">
        <v>141</v>
      </c>
      <c r="C576">
        <v>6</v>
      </c>
      <c r="D576" s="1">
        <v>43854</v>
      </c>
      <c r="E576" s="59" t="str" cm="1">
        <f t="array" ref="E57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76" t="s">
        <v>2269</v>
      </c>
      <c r="G576" s="3">
        <v>5187997</v>
      </c>
      <c r="H576" t="s">
        <v>114</v>
      </c>
      <c r="I576" s="4">
        <v>47061119</v>
      </c>
      <c r="J576" t="s">
        <v>115</v>
      </c>
      <c r="K576" s="1">
        <v>43553</v>
      </c>
      <c r="L576">
        <v>76</v>
      </c>
      <c r="M576" s="2" t="str">
        <f>IF(Spotify[[#This Row],[Energie]]&gt;AVERAGE(Spotify[Energie]),"FORTE","FAIBLE")</f>
        <v>FAIBLE</v>
      </c>
      <c r="N576" s="2">
        <v>0.85299999999999998</v>
      </c>
      <c r="O576" s="2">
        <v>0.35099999999999998</v>
      </c>
      <c r="P576" s="2">
        <v>0.24099999999999999</v>
      </c>
      <c r="Q576" s="2">
        <v>0.39</v>
      </c>
      <c r="R576" s="2">
        <v>0.752</v>
      </c>
      <c r="S576" s="2">
        <v>0.28199999999999997</v>
      </c>
      <c r="T576" s="2">
        <v>-10.198</v>
      </c>
      <c r="U576">
        <v>221543</v>
      </c>
      <c r="V576">
        <f>YEAR(Spotify[[#This Row],[Date de sortie]])</f>
        <v>2019</v>
      </c>
      <c r="W576" s="2" t="str">
        <f>IF(Spotify[[#This Row],[Popularité]]&gt;=70,"FORTE","FAIBLE")</f>
        <v>FORTE</v>
      </c>
    </row>
    <row r="577" spans="1:23" x14ac:dyDescent="0.25">
      <c r="A577">
        <v>217</v>
      </c>
      <c r="B577">
        <v>193</v>
      </c>
      <c r="C577">
        <v>1</v>
      </c>
      <c r="D577" s="1">
        <v>44393</v>
      </c>
      <c r="E577" s="59" t="str" cm="1">
        <f t="array" ref="E57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77" t="s">
        <v>442</v>
      </c>
      <c r="G577" s="3">
        <v>5173308</v>
      </c>
      <c r="H577" t="s">
        <v>443</v>
      </c>
      <c r="I577" s="4">
        <v>5178156</v>
      </c>
      <c r="J577" t="s">
        <v>444</v>
      </c>
      <c r="K577" s="1">
        <v>44393</v>
      </c>
      <c r="L577">
        <v>76</v>
      </c>
      <c r="M577" s="2" t="str">
        <f>IF(Spotify[[#This Row],[Energie]]&gt;AVERAGE(Spotify[Energie]),"FORTE","FAIBLE")</f>
        <v>FAIBLE</v>
      </c>
      <c r="N577" s="2">
        <v>0.74099999999999999</v>
      </c>
      <c r="O577" s="2">
        <v>0.55600000000000005</v>
      </c>
      <c r="P577" s="2">
        <v>2.6599999999999999E-2</v>
      </c>
      <c r="Q577" s="2">
        <v>6.2899999999999998E-2</v>
      </c>
      <c r="R577" s="2">
        <v>0.10299999999999999</v>
      </c>
      <c r="S577" s="2">
        <v>0.58699999999999997</v>
      </c>
      <c r="T577" s="2">
        <v>-9.1839999999999993</v>
      </c>
      <c r="U577">
        <v>249080</v>
      </c>
      <c r="V577">
        <f>YEAR(Spotify[[#This Row],[Date de sortie]])</f>
        <v>2021</v>
      </c>
      <c r="W577" s="2" t="str">
        <f>IF(Spotify[[#This Row],[Popularité]]&gt;=70,"FORTE","FAIBLE")</f>
        <v>FORTE</v>
      </c>
    </row>
    <row r="578" spans="1:23" x14ac:dyDescent="0.25">
      <c r="A578">
        <v>536</v>
      </c>
      <c r="B578">
        <v>62</v>
      </c>
      <c r="C578">
        <v>17</v>
      </c>
      <c r="D578" s="1">
        <v>44127</v>
      </c>
      <c r="E578" s="59" t="str" cm="1">
        <f t="array" ref="E57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578" t="s">
        <v>969</v>
      </c>
      <c r="G578" s="3">
        <v>5168107</v>
      </c>
      <c r="H578" t="s">
        <v>842</v>
      </c>
      <c r="I578" s="4">
        <v>1053324</v>
      </c>
      <c r="J578" t="s">
        <v>843</v>
      </c>
      <c r="K578" s="1">
        <v>44126</v>
      </c>
      <c r="L578">
        <v>76</v>
      </c>
      <c r="M578" s="2" t="str">
        <f>IF(Spotify[[#This Row],[Energie]]&gt;AVERAGE(Spotify[Energie]),"FORTE","FAIBLE")</f>
        <v>FORTE</v>
      </c>
      <c r="N578" s="2">
        <v>0.79400000000000004</v>
      </c>
      <c r="O578" s="2">
        <v>0.75600000000000001</v>
      </c>
      <c r="P578" s="2">
        <v>0.13600000000000001</v>
      </c>
      <c r="Q578" s="2">
        <v>0.11</v>
      </c>
      <c r="R578" s="2">
        <v>0.247</v>
      </c>
      <c r="S578" s="2">
        <v>0.77500000000000002</v>
      </c>
      <c r="T578" s="2">
        <v>-7.16</v>
      </c>
      <c r="U578">
        <v>156498</v>
      </c>
      <c r="V578">
        <f>YEAR(Spotify[[#This Row],[Date de sortie]])</f>
        <v>2020</v>
      </c>
      <c r="W578" s="2" t="str">
        <f>IF(Spotify[[#This Row],[Popularité]]&gt;=70,"FORTE","FAIBLE")</f>
        <v>FORTE</v>
      </c>
    </row>
    <row r="579" spans="1:23" x14ac:dyDescent="0.25">
      <c r="A579">
        <v>356</v>
      </c>
      <c r="B579">
        <v>198</v>
      </c>
      <c r="C579">
        <v>1</v>
      </c>
      <c r="D579" s="1">
        <v>44337</v>
      </c>
      <c r="E579" s="59" t="str" cm="1">
        <f t="array" ref="E57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79" t="s">
        <v>675</v>
      </c>
      <c r="G579" s="3">
        <v>5156496</v>
      </c>
      <c r="H579" t="s">
        <v>676</v>
      </c>
      <c r="I579" s="4">
        <v>727731</v>
      </c>
      <c r="J579" t="s">
        <v>677</v>
      </c>
      <c r="K579" s="1">
        <v>44337</v>
      </c>
      <c r="L579">
        <v>76</v>
      </c>
      <c r="M579" s="2" t="str">
        <f>IF(Spotify[[#This Row],[Energie]]&gt;AVERAGE(Spotify[Energie]),"FORTE","FAIBLE")</f>
        <v>FORTE</v>
      </c>
      <c r="N579" s="2">
        <v>0.63600000000000001</v>
      </c>
      <c r="O579" s="2">
        <v>0.749</v>
      </c>
      <c r="P579" s="2">
        <v>6.3100000000000003E-2</v>
      </c>
      <c r="Q579" s="2">
        <v>0.19500000000000001</v>
      </c>
      <c r="R579" s="2">
        <v>0.107</v>
      </c>
      <c r="S579" s="2">
        <v>0.65300000000000002</v>
      </c>
      <c r="T579" s="2">
        <v>-4.1970000000000001</v>
      </c>
      <c r="U579">
        <v>174936</v>
      </c>
      <c r="V579">
        <f>YEAR(Spotify[[#This Row],[Date de sortie]])</f>
        <v>2021</v>
      </c>
      <c r="W579" s="2" t="str">
        <f>IF(Spotify[[#This Row],[Popularité]]&gt;=70,"FORTE","FAIBLE")</f>
        <v>FORTE</v>
      </c>
    </row>
    <row r="580" spans="1:23" x14ac:dyDescent="0.25">
      <c r="A580">
        <v>572</v>
      </c>
      <c r="B580">
        <v>176</v>
      </c>
      <c r="C580">
        <v>1</v>
      </c>
      <c r="D580" s="1">
        <v>44225</v>
      </c>
      <c r="E580" s="59" t="str" cm="1">
        <f t="array" ref="E58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580" t="s">
        <v>1023</v>
      </c>
      <c r="G580" s="3">
        <v>5136895</v>
      </c>
      <c r="H580" t="s">
        <v>1024</v>
      </c>
      <c r="I580" s="4">
        <v>1726216</v>
      </c>
      <c r="J580" t="s">
        <v>481</v>
      </c>
      <c r="K580" s="1">
        <v>44225</v>
      </c>
      <c r="L580">
        <v>76</v>
      </c>
      <c r="M580" s="2" t="str">
        <f>IF(Spotify[[#This Row],[Energie]]&gt;AVERAGE(Spotify[Energie]),"FORTE","FAIBLE")</f>
        <v>FAIBLE</v>
      </c>
      <c r="N580" s="2">
        <v>0.53900000000000003</v>
      </c>
      <c r="O580" s="2">
        <v>0.61499999999999999</v>
      </c>
      <c r="P580" s="2">
        <v>0.252</v>
      </c>
      <c r="Q580" s="2">
        <v>0.17299999999999999</v>
      </c>
      <c r="R580" s="2">
        <v>0.14399999999999999</v>
      </c>
      <c r="S580" s="2">
        <v>0.49299999999999999</v>
      </c>
      <c r="T580" s="2">
        <v>-8.7460000000000004</v>
      </c>
      <c r="U580">
        <v>214693</v>
      </c>
      <c r="V580">
        <f>YEAR(Spotify[[#This Row],[Date de sortie]])</f>
        <v>2021</v>
      </c>
      <c r="W580" s="2" t="str">
        <f>IF(Spotify[[#This Row],[Popularité]]&gt;=70,"FORTE","FAIBLE")</f>
        <v>FORTE</v>
      </c>
    </row>
    <row r="581" spans="1:23" x14ac:dyDescent="0.25">
      <c r="A581">
        <v>1156</v>
      </c>
      <c r="B581">
        <v>59</v>
      </c>
      <c r="C581">
        <v>3</v>
      </c>
      <c r="D581" s="1">
        <v>43959</v>
      </c>
      <c r="E581" s="59" t="str" cm="1">
        <f t="array" ref="E58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81" t="s">
        <v>1906</v>
      </c>
      <c r="G581" s="3">
        <v>5132247</v>
      </c>
      <c r="H581" t="s">
        <v>1907</v>
      </c>
      <c r="I581" s="4">
        <v>36177712</v>
      </c>
      <c r="J581" t="s">
        <v>25</v>
      </c>
      <c r="K581" s="1">
        <v>43961</v>
      </c>
      <c r="L581">
        <v>76</v>
      </c>
      <c r="M581" s="2" t="str">
        <f>IF(Spotify[[#This Row],[Energie]]&gt;AVERAGE(Spotify[Energie]),"FORTE","FAIBLE")</f>
        <v>FORTE</v>
      </c>
      <c r="N581" s="2">
        <v>0.75</v>
      </c>
      <c r="O581" s="2">
        <v>0.74099999999999999</v>
      </c>
      <c r="P581" s="2">
        <v>0.40200000000000002</v>
      </c>
      <c r="Q581" s="2">
        <v>0.44700000000000001</v>
      </c>
      <c r="R581" s="2">
        <v>0.121</v>
      </c>
      <c r="S581" s="2">
        <v>0.495</v>
      </c>
      <c r="T581" s="2">
        <v>-4.43</v>
      </c>
      <c r="U581">
        <v>209180</v>
      </c>
      <c r="V581">
        <f>YEAR(Spotify[[#This Row],[Date de sortie]])</f>
        <v>2020</v>
      </c>
      <c r="W581" s="2" t="str">
        <f>IF(Spotify[[#This Row],[Popularité]]&gt;=70,"FORTE","FAIBLE")</f>
        <v>FORTE</v>
      </c>
    </row>
    <row r="582" spans="1:23" x14ac:dyDescent="0.25">
      <c r="A582">
        <v>489</v>
      </c>
      <c r="B582">
        <v>141</v>
      </c>
      <c r="C582">
        <v>13</v>
      </c>
      <c r="D582" s="1">
        <v>44232</v>
      </c>
      <c r="E582" s="59" t="str" cm="1">
        <f t="array" ref="E58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82" t="s">
        <v>889</v>
      </c>
      <c r="G582" s="3">
        <v>5082870</v>
      </c>
      <c r="H582" t="s">
        <v>890</v>
      </c>
      <c r="I582" s="4">
        <v>2897862</v>
      </c>
      <c r="J582" t="s">
        <v>25</v>
      </c>
      <c r="K582" s="1">
        <v>44155</v>
      </c>
      <c r="L582">
        <v>76</v>
      </c>
      <c r="M582" s="2" t="str">
        <f>IF(Spotify[[#This Row],[Energie]]&gt;AVERAGE(Spotify[Energie]),"FORTE","FAIBLE")</f>
        <v>FORTE</v>
      </c>
      <c r="N582" s="2">
        <v>0.878</v>
      </c>
      <c r="O582" s="2">
        <v>0.71299999999999997</v>
      </c>
      <c r="P582" s="2">
        <v>9.4799999999999995E-2</v>
      </c>
      <c r="Q582" s="2">
        <v>5.8099999999999999E-2</v>
      </c>
      <c r="R582" s="2">
        <v>8.2199999999999995E-2</v>
      </c>
      <c r="S582" s="2">
        <v>0.61499999999999999</v>
      </c>
      <c r="T582" s="2">
        <v>-4.5659999999999998</v>
      </c>
      <c r="U582">
        <v>202373</v>
      </c>
      <c r="V582">
        <f>YEAR(Spotify[[#This Row],[Date de sortie]])</f>
        <v>2020</v>
      </c>
      <c r="W582" s="2" t="str">
        <f>IF(Spotify[[#This Row],[Popularité]]&gt;=70,"FORTE","FAIBLE")</f>
        <v>FORTE</v>
      </c>
    </row>
    <row r="583" spans="1:23" x14ac:dyDescent="0.25">
      <c r="A583">
        <v>336</v>
      </c>
      <c r="B583">
        <v>129</v>
      </c>
      <c r="C583">
        <v>14</v>
      </c>
      <c r="D583" s="1">
        <v>44288</v>
      </c>
      <c r="E583" s="59" t="str" cm="1">
        <f t="array" ref="E58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83" t="s">
        <v>639</v>
      </c>
      <c r="G583" s="3">
        <v>5068972</v>
      </c>
      <c r="H583" t="s">
        <v>640</v>
      </c>
      <c r="I583" s="4">
        <v>2263960</v>
      </c>
      <c r="J583" t="s">
        <v>176</v>
      </c>
      <c r="K583" s="1">
        <v>40544</v>
      </c>
      <c r="L583">
        <v>76</v>
      </c>
      <c r="M583" s="2" t="str">
        <f>IF(Spotify[[#This Row],[Energie]]&gt;AVERAGE(Spotify[Energie]),"FORTE","FAIBLE")</f>
        <v>FAIBLE</v>
      </c>
      <c r="N583" s="2">
        <v>0.86399999999999999</v>
      </c>
      <c r="O583" s="2">
        <v>0.495</v>
      </c>
      <c r="P583" s="2">
        <v>3.6999999999999998E-2</v>
      </c>
      <c r="Q583" s="2">
        <v>0.59099999999999997</v>
      </c>
      <c r="R583" s="2">
        <v>9.9199999999999997E-2</v>
      </c>
      <c r="S583" s="2">
        <v>0.72</v>
      </c>
      <c r="T583" s="2">
        <v>-7.0359999999999996</v>
      </c>
      <c r="U583">
        <v>244973</v>
      </c>
      <c r="V583">
        <f>YEAR(Spotify[[#This Row],[Date de sortie]])</f>
        <v>2011</v>
      </c>
      <c r="W583" s="2" t="str">
        <f>IF(Spotify[[#This Row],[Popularité]]&gt;=70,"FORTE","FAIBLE")</f>
        <v>FORTE</v>
      </c>
    </row>
    <row r="584" spans="1:23" x14ac:dyDescent="0.25">
      <c r="A584">
        <v>388</v>
      </c>
      <c r="B584">
        <v>66</v>
      </c>
      <c r="C584">
        <v>10</v>
      </c>
      <c r="D584" s="1">
        <v>44260</v>
      </c>
      <c r="E584" s="59" t="str" cm="1">
        <f t="array" ref="E58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84" t="s">
        <v>727</v>
      </c>
      <c r="G584" s="3">
        <v>5062404</v>
      </c>
      <c r="H584" t="s">
        <v>728</v>
      </c>
      <c r="I584" s="4">
        <v>10561047</v>
      </c>
      <c r="J584" t="s">
        <v>72</v>
      </c>
      <c r="K584" s="1">
        <v>44256</v>
      </c>
      <c r="L584">
        <v>76</v>
      </c>
      <c r="M584" s="2" t="str">
        <f>IF(Spotify[[#This Row],[Energie]]&gt;AVERAGE(Spotify[Energie]),"FORTE","FAIBLE")</f>
        <v>FORTE</v>
      </c>
      <c r="N584" s="2">
        <v>0.78800000000000003</v>
      </c>
      <c r="O584" s="2">
        <v>0.78900000000000003</v>
      </c>
      <c r="P584" s="2">
        <v>0.124</v>
      </c>
      <c r="Q584" s="2">
        <v>0.39700000000000002</v>
      </c>
      <c r="R584" s="2">
        <v>0.22600000000000001</v>
      </c>
      <c r="S584" s="2">
        <v>0.86699999999999999</v>
      </c>
      <c r="T584" s="2">
        <v>-2.39</v>
      </c>
      <c r="U584">
        <v>179005</v>
      </c>
      <c r="V584">
        <f>YEAR(Spotify[[#This Row],[Date de sortie]])</f>
        <v>2021</v>
      </c>
      <c r="W584" s="2" t="str">
        <f>IF(Spotify[[#This Row],[Popularité]]&gt;=70,"FORTE","FAIBLE")</f>
        <v>FORTE</v>
      </c>
    </row>
    <row r="585" spans="1:23" x14ac:dyDescent="0.25">
      <c r="A585">
        <v>574</v>
      </c>
      <c r="B585">
        <v>103</v>
      </c>
      <c r="C585">
        <v>12</v>
      </c>
      <c r="D585" s="1">
        <v>44211</v>
      </c>
      <c r="E585" s="59" t="str" cm="1">
        <f t="array" ref="E58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85" t="s">
        <v>1027</v>
      </c>
      <c r="G585" s="3">
        <v>5052801</v>
      </c>
      <c r="H585" t="s">
        <v>9</v>
      </c>
      <c r="I585" s="4">
        <v>6313514</v>
      </c>
      <c r="J585" t="s">
        <v>10</v>
      </c>
      <c r="K585" s="1">
        <v>43796</v>
      </c>
      <c r="L585">
        <v>76</v>
      </c>
      <c r="M585" s="2" t="str">
        <f>IF(Spotify[[#This Row],[Energie]]&gt;AVERAGE(Spotify[Energie]),"FORTE","FAIBLE")</f>
        <v>FAIBLE</v>
      </c>
      <c r="N585" s="2">
        <v>0.376</v>
      </c>
      <c r="O585" s="2">
        <v>0.43</v>
      </c>
      <c r="P585" s="2">
        <v>3.2800000000000003E-2</v>
      </c>
      <c r="Q585" s="2">
        <v>9.0200000000000002E-2</v>
      </c>
      <c r="R585" s="2">
        <v>9.1200000000000003E-2</v>
      </c>
      <c r="S585" s="2">
        <v>0.129</v>
      </c>
      <c r="T585" s="2">
        <v>-6.585</v>
      </c>
      <c r="U585">
        <v>177323</v>
      </c>
      <c r="V585">
        <f>YEAR(Spotify[[#This Row],[Date de sortie]])</f>
        <v>2019</v>
      </c>
      <c r="W585" s="2" t="str">
        <f>IF(Spotify[[#This Row],[Popularité]]&gt;=70,"FORTE","FAIBLE")</f>
        <v>FORTE</v>
      </c>
    </row>
    <row r="586" spans="1:23" x14ac:dyDescent="0.25">
      <c r="A586">
        <v>575</v>
      </c>
      <c r="B586">
        <v>45</v>
      </c>
      <c r="C586">
        <v>20</v>
      </c>
      <c r="D586" s="1">
        <v>44127</v>
      </c>
      <c r="E586" s="59" t="str" cm="1">
        <f t="array" ref="E58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86" t="s">
        <v>1028</v>
      </c>
      <c r="G586" s="3">
        <v>5030670</v>
      </c>
      <c r="H586" t="s">
        <v>626</v>
      </c>
      <c r="I586" s="4">
        <v>1248499</v>
      </c>
      <c r="J586" t="s">
        <v>115</v>
      </c>
      <c r="K586" s="1">
        <v>44021</v>
      </c>
      <c r="L586">
        <v>76</v>
      </c>
      <c r="M586" s="2" t="str">
        <f>IF(Spotify[[#This Row],[Energie]]&gt;AVERAGE(Spotify[Energie]),"FORTE","FAIBLE")</f>
        <v>FORTE</v>
      </c>
      <c r="N586" s="2">
        <v>0.83399999999999996</v>
      </c>
      <c r="O586" s="2">
        <v>0.66300000000000003</v>
      </c>
      <c r="P586" s="2">
        <v>0.13300000000000001</v>
      </c>
      <c r="Q586" s="2">
        <v>0.23499999999999999</v>
      </c>
      <c r="R586" s="2">
        <v>0.372</v>
      </c>
      <c r="S586" s="2">
        <v>0.77400000000000002</v>
      </c>
      <c r="T586" s="2">
        <v>-6.1429999999999998</v>
      </c>
      <c r="U586">
        <v>146523</v>
      </c>
      <c r="V586">
        <f>YEAR(Spotify[[#This Row],[Date de sortie]])</f>
        <v>2020</v>
      </c>
      <c r="W586" s="2" t="str">
        <f>IF(Spotify[[#This Row],[Popularité]]&gt;=70,"FORTE","FAIBLE")</f>
        <v>FORTE</v>
      </c>
    </row>
    <row r="587" spans="1:23" x14ac:dyDescent="0.25">
      <c r="A587">
        <v>757</v>
      </c>
      <c r="B587">
        <v>41</v>
      </c>
      <c r="C587">
        <v>7</v>
      </c>
      <c r="D587" s="1">
        <v>44106</v>
      </c>
      <c r="E587" s="59" t="str" cm="1">
        <f t="array" ref="E58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87" t="s">
        <v>1315</v>
      </c>
      <c r="G587" s="3">
        <v>4995203</v>
      </c>
      <c r="H587" t="s">
        <v>540</v>
      </c>
      <c r="I587" s="4">
        <v>100635</v>
      </c>
      <c r="J587" t="s">
        <v>541</v>
      </c>
      <c r="K587" s="1">
        <v>44106</v>
      </c>
      <c r="L587">
        <v>76</v>
      </c>
      <c r="M587" s="2" t="str">
        <f>IF(Spotify[[#This Row],[Energie]]&gt;AVERAGE(Spotify[Energie]),"FORTE","FAIBLE")</f>
        <v>FAIBLE</v>
      </c>
      <c r="N587" s="2">
        <v>0.75800000000000001</v>
      </c>
      <c r="O587" s="2">
        <v>0.59799999999999998</v>
      </c>
      <c r="P587" s="2">
        <v>8.6800000000000002E-2</v>
      </c>
      <c r="Q587" s="2">
        <v>0.16</v>
      </c>
      <c r="R587" s="2">
        <v>0.29499999999999998</v>
      </c>
      <c r="S587" s="2">
        <v>0.65800000000000003</v>
      </c>
      <c r="T587" s="2">
        <v>-5.6950000000000003</v>
      </c>
      <c r="U587">
        <v>184905</v>
      </c>
      <c r="V587">
        <f>YEAR(Spotify[[#This Row],[Date de sortie]])</f>
        <v>2020</v>
      </c>
      <c r="W587" s="2" t="str">
        <f>IF(Spotify[[#This Row],[Popularité]]&gt;=70,"FORTE","FAIBLE")</f>
        <v>FORTE</v>
      </c>
    </row>
    <row r="588" spans="1:23" x14ac:dyDescent="0.25">
      <c r="A588">
        <v>1444</v>
      </c>
      <c r="B588">
        <v>54</v>
      </c>
      <c r="C588">
        <v>7</v>
      </c>
      <c r="D588" s="1">
        <v>43826</v>
      </c>
      <c r="E588" s="59" t="str" cm="1">
        <f t="array" ref="E58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88" t="s">
        <v>2297</v>
      </c>
      <c r="G588" s="3">
        <v>4991751</v>
      </c>
      <c r="H588" t="s">
        <v>2298</v>
      </c>
      <c r="I588" s="4">
        <v>5688315</v>
      </c>
      <c r="J588" t="s">
        <v>33</v>
      </c>
      <c r="K588" s="1">
        <v>43822</v>
      </c>
      <c r="L588">
        <v>76</v>
      </c>
      <c r="M588" s="2" t="str">
        <f>IF(Spotify[[#This Row],[Energie]]&gt;AVERAGE(Spotify[Energie]),"FORTE","FAIBLE")</f>
        <v>FORTE</v>
      </c>
      <c r="N588" s="2">
        <v>0.66400000000000003</v>
      </c>
      <c r="O588" s="2">
        <v>0.66600000000000004</v>
      </c>
      <c r="P588" s="2">
        <v>4.4600000000000001E-2</v>
      </c>
      <c r="Q588" s="2">
        <v>0.193</v>
      </c>
      <c r="R588" s="2">
        <v>8.5400000000000004E-2</v>
      </c>
      <c r="S588" s="2">
        <v>0.40500000000000003</v>
      </c>
      <c r="T588" s="2">
        <v>-2.2029999999999998</v>
      </c>
      <c r="U588">
        <v>210560</v>
      </c>
      <c r="V588">
        <f>YEAR(Spotify[[#This Row],[Date de sortie]])</f>
        <v>2019</v>
      </c>
      <c r="W588" s="2" t="str">
        <f>IF(Spotify[[#This Row],[Popularité]]&gt;=70,"FORTE","FAIBLE")</f>
        <v>FORTE</v>
      </c>
    </row>
    <row r="589" spans="1:23" x14ac:dyDescent="0.25">
      <c r="A589">
        <v>1445</v>
      </c>
      <c r="B589">
        <v>113</v>
      </c>
      <c r="C589">
        <v>7</v>
      </c>
      <c r="D589" s="1">
        <v>43833</v>
      </c>
      <c r="E589" s="59" t="str" cm="1">
        <f t="array" ref="E58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589" t="s">
        <v>2299</v>
      </c>
      <c r="G589" s="3">
        <v>4986299</v>
      </c>
      <c r="H589" t="s">
        <v>264</v>
      </c>
      <c r="I589" s="4">
        <v>7601122</v>
      </c>
      <c r="J589" t="s">
        <v>265</v>
      </c>
      <c r="K589" s="1">
        <v>43525</v>
      </c>
      <c r="L589">
        <v>76</v>
      </c>
      <c r="M589" s="2" t="str">
        <f>IF(Spotify[[#This Row],[Energie]]&gt;AVERAGE(Spotify[Energie]),"FORTE","FAIBLE")</f>
        <v>FORTE</v>
      </c>
      <c r="N589" s="2">
        <v>0.876</v>
      </c>
      <c r="O589" s="2">
        <v>0.66200000000000003</v>
      </c>
      <c r="P589" s="2">
        <v>0.42599999999999999</v>
      </c>
      <c r="Q589" s="2">
        <v>6.08E-2</v>
      </c>
      <c r="R589" s="2">
        <v>0.127</v>
      </c>
      <c r="S589" s="2">
        <v>0.84399999999999997</v>
      </c>
      <c r="T589" s="2">
        <v>-6.4820000000000002</v>
      </c>
      <c r="U589">
        <v>163320</v>
      </c>
      <c r="V589">
        <f>YEAR(Spotify[[#This Row],[Date de sortie]])</f>
        <v>2019</v>
      </c>
      <c r="W589" s="2" t="str">
        <f>IF(Spotify[[#This Row],[Popularité]]&gt;=70,"FORTE","FAIBLE")</f>
        <v>FORTE</v>
      </c>
    </row>
    <row r="590" spans="1:23" x14ac:dyDescent="0.25">
      <c r="A590">
        <v>576</v>
      </c>
      <c r="B590">
        <v>83</v>
      </c>
      <c r="C590">
        <v>4</v>
      </c>
      <c r="D590" s="1">
        <v>44204</v>
      </c>
      <c r="E590" s="59" t="str" cm="1">
        <f t="array" ref="E59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COUNTRY</v>
      </c>
      <c r="F590" t="s">
        <v>1029</v>
      </c>
      <c r="G590" s="3">
        <v>4948563</v>
      </c>
      <c r="H590" t="s">
        <v>1030</v>
      </c>
      <c r="I590" s="4">
        <v>2147875</v>
      </c>
      <c r="J590" t="s">
        <v>382</v>
      </c>
      <c r="K590" s="1">
        <v>44204</v>
      </c>
      <c r="L590">
        <v>76</v>
      </c>
      <c r="M590" s="2" t="str">
        <f>IF(Spotify[[#This Row],[Energie]]&gt;AVERAGE(Spotify[Energie]),"FORTE","FAIBLE")</f>
        <v>FORTE</v>
      </c>
      <c r="N590" s="2">
        <v>0.505</v>
      </c>
      <c r="O590" s="2">
        <v>0.65700000000000003</v>
      </c>
      <c r="P590" s="2">
        <v>3.1800000000000002E-2</v>
      </c>
      <c r="Q590" s="2">
        <v>0.373</v>
      </c>
      <c r="R590" s="2">
        <v>0.126</v>
      </c>
      <c r="S590" s="2">
        <v>0.252</v>
      </c>
      <c r="T590" s="2">
        <v>-5.24</v>
      </c>
      <c r="U590">
        <v>178520</v>
      </c>
      <c r="V590">
        <f>YEAR(Spotify[[#This Row],[Date de sortie]])</f>
        <v>2021</v>
      </c>
      <c r="W590" s="2" t="str">
        <f>IF(Spotify[[#This Row],[Popularité]]&gt;=70,"FORTE","FAIBLE")</f>
        <v>FORTE</v>
      </c>
    </row>
    <row r="591" spans="1:23" x14ac:dyDescent="0.25">
      <c r="A591">
        <v>1463</v>
      </c>
      <c r="B591">
        <v>131</v>
      </c>
      <c r="C591">
        <v>6</v>
      </c>
      <c r="D591" s="1">
        <v>43826</v>
      </c>
      <c r="E591" s="59" t="str" cm="1">
        <f t="array" ref="E59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91" t="s">
        <v>2324</v>
      </c>
      <c r="G591" s="3">
        <v>4925843</v>
      </c>
      <c r="H591" t="s">
        <v>2325</v>
      </c>
      <c r="I591" s="4">
        <v>83743</v>
      </c>
      <c r="J591" t="s">
        <v>19</v>
      </c>
      <c r="K591" s="1">
        <v>43721</v>
      </c>
      <c r="L591">
        <v>76</v>
      </c>
      <c r="M591" s="2" t="str">
        <f>IF(Spotify[[#This Row],[Energie]]&gt;AVERAGE(Spotify[Energie]),"FORTE","FAIBLE")</f>
        <v>FORTE</v>
      </c>
      <c r="N591" s="2">
        <v>0.73699999999999999</v>
      </c>
      <c r="O591" s="2">
        <v>0.82799999999999996</v>
      </c>
      <c r="P591" s="2">
        <v>3.9600000000000003E-2</v>
      </c>
      <c r="Q591" s="2">
        <v>1.49E-2</v>
      </c>
      <c r="R591" s="2">
        <v>8.6199999999999999E-2</v>
      </c>
      <c r="S591" s="2">
        <v>0.51700000000000002</v>
      </c>
      <c r="T591" s="2">
        <v>-4.7110000000000003</v>
      </c>
      <c r="U591">
        <v>208474</v>
      </c>
      <c r="V591">
        <f>YEAR(Spotify[[#This Row],[Date de sortie]])</f>
        <v>2019</v>
      </c>
      <c r="W591" s="2" t="str">
        <f>IF(Spotify[[#This Row],[Popularité]]&gt;=70,"FORTE","FAIBLE")</f>
        <v>FORTE</v>
      </c>
    </row>
    <row r="592" spans="1:23" x14ac:dyDescent="0.25">
      <c r="A592">
        <v>781</v>
      </c>
      <c r="B592">
        <v>32</v>
      </c>
      <c r="C592">
        <v>25</v>
      </c>
      <c r="D592" s="1">
        <v>43994</v>
      </c>
      <c r="E592" s="59" t="str" cm="1">
        <f t="array" ref="E59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92" t="s">
        <v>1359</v>
      </c>
      <c r="G592" s="3">
        <v>4899099</v>
      </c>
      <c r="H592" t="s">
        <v>1360</v>
      </c>
      <c r="I592" s="4">
        <v>18306226</v>
      </c>
      <c r="J592" t="s">
        <v>25</v>
      </c>
      <c r="K592" s="1">
        <v>43980</v>
      </c>
      <c r="L592">
        <v>76</v>
      </c>
      <c r="M592" s="2" t="str">
        <f>IF(Spotify[[#This Row],[Energie]]&gt;AVERAGE(Spotify[Energie]),"FORTE","FAIBLE")</f>
        <v>FORTE</v>
      </c>
      <c r="N592" s="2">
        <v>0.69099999999999995</v>
      </c>
      <c r="O592" s="2">
        <v>0.76500000000000001</v>
      </c>
      <c r="P592" s="2">
        <v>0.111</v>
      </c>
      <c r="Q592" s="2">
        <v>0.46400000000000002</v>
      </c>
      <c r="R592" s="2">
        <v>0.20300000000000001</v>
      </c>
      <c r="S592" s="2">
        <v>0.85499999999999998</v>
      </c>
      <c r="T592" s="2">
        <v>-4.7270000000000003</v>
      </c>
      <c r="U592">
        <v>246000</v>
      </c>
      <c r="V592">
        <f>YEAR(Spotify[[#This Row],[Date de sortie]])</f>
        <v>2020</v>
      </c>
      <c r="W592" s="2" t="str">
        <f>IF(Spotify[[#This Row],[Popularité]]&gt;=70,"FORTE","FAIBLE")</f>
        <v>FORTE</v>
      </c>
    </row>
    <row r="593" spans="1:23" x14ac:dyDescent="0.25">
      <c r="A593">
        <v>1484</v>
      </c>
      <c r="B593">
        <v>157</v>
      </c>
      <c r="C593">
        <v>4</v>
      </c>
      <c r="D593" s="1">
        <v>43826</v>
      </c>
      <c r="E593" s="59" t="str" cm="1">
        <f t="array" ref="E59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93" t="s">
        <v>2353</v>
      </c>
      <c r="G593" s="3">
        <v>4891989</v>
      </c>
      <c r="H593" t="s">
        <v>150</v>
      </c>
      <c r="I593" s="4">
        <v>26784251</v>
      </c>
      <c r="J593" t="s">
        <v>25</v>
      </c>
      <c r="K593" s="1">
        <v>43602</v>
      </c>
      <c r="L593">
        <v>76</v>
      </c>
      <c r="M593" s="2" t="str">
        <f>IF(Spotify[[#This Row],[Energie]]&gt;AVERAGE(Spotify[Energie]),"FORTE","FAIBLE")</f>
        <v>FORTE</v>
      </c>
      <c r="N593" s="2">
        <v>0.77700000000000002</v>
      </c>
      <c r="O593" s="2">
        <v>0.71199999999999997</v>
      </c>
      <c r="P593" s="2">
        <v>0.27700000000000002</v>
      </c>
      <c r="Q593" s="2">
        <v>0.217</v>
      </c>
      <c r="R593" s="2">
        <v>9.0999999999999998E-2</v>
      </c>
      <c r="S593" s="2">
        <v>0.68</v>
      </c>
      <c r="T593" s="2">
        <v>-4.84</v>
      </c>
      <c r="U593">
        <v>175733</v>
      </c>
      <c r="V593">
        <f>YEAR(Spotify[[#This Row],[Date de sortie]])</f>
        <v>2019</v>
      </c>
      <c r="W593" s="2" t="str">
        <f>IF(Spotify[[#This Row],[Popularité]]&gt;=70,"FORTE","FAIBLE")</f>
        <v>FORTE</v>
      </c>
    </row>
    <row r="594" spans="1:23" x14ac:dyDescent="0.25">
      <c r="A594">
        <v>569</v>
      </c>
      <c r="B594">
        <v>174</v>
      </c>
      <c r="C594">
        <v>3</v>
      </c>
      <c r="D594" s="1">
        <v>44204</v>
      </c>
      <c r="E594" s="59" t="str" cm="1">
        <f t="array" ref="E59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594" t="s">
        <v>1017</v>
      </c>
      <c r="G594" s="3">
        <v>4884711</v>
      </c>
      <c r="H594" t="s">
        <v>134</v>
      </c>
      <c r="I594" s="4">
        <v>4794212</v>
      </c>
      <c r="J594" t="s">
        <v>135</v>
      </c>
      <c r="K594" s="1">
        <v>44155</v>
      </c>
      <c r="L594">
        <v>76</v>
      </c>
      <c r="M594" s="2" t="str">
        <f>IF(Spotify[[#This Row],[Energie]]&gt;AVERAGE(Spotify[Energie]),"FORTE","FAIBLE")</f>
        <v>FAIBLE</v>
      </c>
      <c r="N594" s="2">
        <v>0.95699999999999996</v>
      </c>
      <c r="O594" s="2">
        <v>0.437</v>
      </c>
      <c r="P594" s="2">
        <v>0.35899999999999999</v>
      </c>
      <c r="Q594" s="2">
        <v>4.0200000000000001E-3</v>
      </c>
      <c r="R594" s="2">
        <v>0.219</v>
      </c>
      <c r="S594" s="2">
        <v>0.61599999999999999</v>
      </c>
      <c r="T594" s="2">
        <v>-7.8819999999999997</v>
      </c>
      <c r="U594">
        <v>137984</v>
      </c>
      <c r="V594">
        <f>YEAR(Spotify[[#This Row],[Date de sortie]])</f>
        <v>2020</v>
      </c>
      <c r="W594" s="2" t="str">
        <f>IF(Spotify[[#This Row],[Popularité]]&gt;=70,"FORTE","FAIBLE")</f>
        <v>FORTE</v>
      </c>
    </row>
    <row r="595" spans="1:23" x14ac:dyDescent="0.25">
      <c r="A595">
        <v>1528</v>
      </c>
      <c r="B595">
        <v>133</v>
      </c>
      <c r="C595">
        <v>3</v>
      </c>
      <c r="D595" s="1">
        <v>43826</v>
      </c>
      <c r="E595" s="59" t="str" cm="1">
        <f t="array" ref="E59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95" t="s">
        <v>2404</v>
      </c>
      <c r="G595" s="3">
        <v>4879713</v>
      </c>
      <c r="H595" t="s">
        <v>2405</v>
      </c>
      <c r="I595" s="4">
        <v>1353049</v>
      </c>
      <c r="J595" t="s">
        <v>25</v>
      </c>
      <c r="K595" s="1">
        <v>43378</v>
      </c>
      <c r="L595">
        <v>76</v>
      </c>
      <c r="M595" s="2" t="str">
        <f>IF(Spotify[[#This Row],[Energie]]&gt;AVERAGE(Spotify[Energie]),"FORTE","FAIBLE")</f>
        <v>FORTE</v>
      </c>
      <c r="N595" s="2">
        <v>0.82599999999999996</v>
      </c>
      <c r="O595" s="2">
        <v>0.77300000000000002</v>
      </c>
      <c r="P595" s="2">
        <v>5.2400000000000002E-2</v>
      </c>
      <c r="Q595" s="2">
        <v>0.32300000000000001</v>
      </c>
      <c r="R595" s="2">
        <v>0.14299999999999999</v>
      </c>
      <c r="S595" s="2">
        <v>0.76100000000000001</v>
      </c>
      <c r="T595" s="2">
        <v>-4.218</v>
      </c>
      <c r="U595">
        <v>238200</v>
      </c>
      <c r="V595">
        <f>YEAR(Spotify[[#This Row],[Date de sortie]])</f>
        <v>2018</v>
      </c>
      <c r="W595" s="2" t="str">
        <f>IF(Spotify[[#This Row],[Popularité]]&gt;=70,"FORTE","FAIBLE")</f>
        <v>FORTE</v>
      </c>
    </row>
    <row r="596" spans="1:23" x14ac:dyDescent="0.25">
      <c r="A596">
        <v>570</v>
      </c>
      <c r="B596">
        <v>47</v>
      </c>
      <c r="C596">
        <v>25</v>
      </c>
      <c r="D596" s="1">
        <v>44099</v>
      </c>
      <c r="E596" s="59" t="str" cm="1">
        <f t="array" ref="E59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96" t="s">
        <v>1018</v>
      </c>
      <c r="G596" s="3">
        <v>4873380</v>
      </c>
      <c r="H596" t="s">
        <v>1019</v>
      </c>
      <c r="I596" s="4">
        <v>149682</v>
      </c>
      <c r="J596" t="s">
        <v>1020</v>
      </c>
      <c r="K596" s="1">
        <v>43924</v>
      </c>
      <c r="L596">
        <v>76</v>
      </c>
      <c r="M596" s="2" t="str">
        <f>IF(Spotify[[#This Row],[Energie]]&gt;AVERAGE(Spotify[Energie]),"FORTE","FAIBLE")</f>
        <v>FAIBLE</v>
      </c>
      <c r="N596" s="2">
        <v>0.85399999999999998</v>
      </c>
      <c r="O596" s="2">
        <v>0.52500000000000002</v>
      </c>
      <c r="P596" s="2">
        <v>0.214</v>
      </c>
      <c r="Q596" s="2">
        <v>0.81899999999999995</v>
      </c>
      <c r="R596" s="2">
        <v>0.14599999999999999</v>
      </c>
      <c r="S596" s="2">
        <v>0.63</v>
      </c>
      <c r="T596" s="2">
        <v>-4.4260000000000002</v>
      </c>
      <c r="U596">
        <v>197587</v>
      </c>
      <c r="V596">
        <f>YEAR(Spotify[[#This Row],[Date de sortie]])</f>
        <v>2020</v>
      </c>
      <c r="W596" s="2" t="str">
        <f>IF(Spotify[[#This Row],[Popularité]]&gt;=70,"FORTE","FAIBLE")</f>
        <v>FORTE</v>
      </c>
    </row>
    <row r="597" spans="1:23" x14ac:dyDescent="0.25">
      <c r="A597">
        <v>906</v>
      </c>
      <c r="B597">
        <v>68</v>
      </c>
      <c r="C597">
        <v>13</v>
      </c>
      <c r="D597" s="1">
        <v>44008</v>
      </c>
      <c r="E597" s="59" t="str" cm="1">
        <f t="array" ref="E59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597" t="s">
        <v>1549</v>
      </c>
      <c r="G597" s="3">
        <v>4776686</v>
      </c>
      <c r="H597" t="s">
        <v>932</v>
      </c>
      <c r="I597" s="4">
        <v>7816213</v>
      </c>
      <c r="J597" t="s">
        <v>531</v>
      </c>
      <c r="K597" s="1">
        <v>43952</v>
      </c>
      <c r="L597">
        <v>76</v>
      </c>
      <c r="M597" s="2" t="str">
        <f>IF(Spotify[[#This Row],[Energie]]&gt;AVERAGE(Spotify[Energie]),"FORTE","FAIBLE")</f>
        <v>FAIBLE</v>
      </c>
      <c r="N597" s="2">
        <v>0.92600000000000005</v>
      </c>
      <c r="O597" s="2">
        <v>0.54200000000000004</v>
      </c>
      <c r="P597" s="2">
        <v>0.29299999999999998</v>
      </c>
      <c r="Q597" s="2">
        <v>0.13500000000000001</v>
      </c>
      <c r="R597" s="2">
        <v>8.77E-2</v>
      </c>
      <c r="S597" s="2">
        <v>0.56399999999999995</v>
      </c>
      <c r="T597" s="2">
        <v>-5.0640000000000001</v>
      </c>
      <c r="U597">
        <v>181929</v>
      </c>
      <c r="V597">
        <f>YEAR(Spotify[[#This Row],[Date de sortie]])</f>
        <v>2020</v>
      </c>
      <c r="W597" s="2" t="str">
        <f>IF(Spotify[[#This Row],[Popularité]]&gt;=70,"FORTE","FAIBLE")</f>
        <v>FORTE</v>
      </c>
    </row>
    <row r="598" spans="1:23" x14ac:dyDescent="0.25">
      <c r="A598">
        <v>1161</v>
      </c>
      <c r="B598">
        <v>16</v>
      </c>
      <c r="C598">
        <v>20</v>
      </c>
      <c r="D598" s="1">
        <v>43847</v>
      </c>
      <c r="E598" s="59" t="str" cm="1">
        <f t="array" ref="E59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598" t="s">
        <v>1914</v>
      </c>
      <c r="G598" s="3">
        <v>4761908</v>
      </c>
      <c r="H598" t="s">
        <v>955</v>
      </c>
      <c r="I598" s="4">
        <v>15663384</v>
      </c>
      <c r="J598" t="s">
        <v>19</v>
      </c>
      <c r="K598" s="1">
        <v>43847</v>
      </c>
      <c r="L598">
        <v>76</v>
      </c>
      <c r="M598" s="2" t="str">
        <f>IF(Spotify[[#This Row],[Energie]]&gt;AVERAGE(Spotify[Energie]),"FORTE","FAIBLE")</f>
        <v>FAIBLE</v>
      </c>
      <c r="N598" s="2">
        <v>0.59099999999999997</v>
      </c>
      <c r="O598" s="2">
        <v>0.58499999999999996</v>
      </c>
      <c r="P598" s="2">
        <v>2.7699999999999999E-2</v>
      </c>
      <c r="Q598" s="2">
        <v>0.14299999999999999</v>
      </c>
      <c r="R598" s="2">
        <v>0.109</v>
      </c>
      <c r="S598" s="2">
        <v>0.32400000000000001</v>
      </c>
      <c r="T598" s="2">
        <v>-6.35</v>
      </c>
      <c r="U598">
        <v>205473</v>
      </c>
      <c r="V598">
        <f>YEAR(Spotify[[#This Row],[Date de sortie]])</f>
        <v>2020</v>
      </c>
      <c r="W598" s="2" t="str">
        <f>IF(Spotify[[#This Row],[Popularité]]&gt;=70,"FORTE","FAIBLE")</f>
        <v>FORTE</v>
      </c>
    </row>
    <row r="599" spans="1:23" x14ac:dyDescent="0.25">
      <c r="A599">
        <v>789</v>
      </c>
      <c r="B599">
        <v>163</v>
      </c>
      <c r="C599">
        <v>4</v>
      </c>
      <c r="D599" s="1">
        <v>44127</v>
      </c>
      <c r="E599" s="59" t="str" cm="1">
        <f t="array" ref="E59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599" t="s">
        <v>1374</v>
      </c>
      <c r="G599" s="3">
        <v>4713873</v>
      </c>
      <c r="H599" t="s">
        <v>1375</v>
      </c>
      <c r="I599" s="4">
        <v>3152313</v>
      </c>
      <c r="J599" t="s">
        <v>1376</v>
      </c>
      <c r="K599" s="1">
        <v>44057</v>
      </c>
      <c r="L599">
        <v>76</v>
      </c>
      <c r="M599" s="2" t="str">
        <f>IF(Spotify[[#This Row],[Energie]]&gt;AVERAGE(Spotify[Energie]),"FORTE","FAIBLE")</f>
        <v>FORTE</v>
      </c>
      <c r="N599" s="2">
        <v>0.68400000000000005</v>
      </c>
      <c r="O599" s="2">
        <v>0.80800000000000005</v>
      </c>
      <c r="P599" s="2">
        <v>6.0999999999999999E-2</v>
      </c>
      <c r="Q599" s="2">
        <v>5.1799999999999999E-2</v>
      </c>
      <c r="R599" s="2">
        <v>8.5800000000000001E-2</v>
      </c>
      <c r="S599" s="2">
        <v>0.71199999999999997</v>
      </c>
      <c r="T599" s="2">
        <v>-2.7370000000000001</v>
      </c>
      <c r="U599">
        <v>174027</v>
      </c>
      <c r="V599">
        <f>YEAR(Spotify[[#This Row],[Date de sortie]])</f>
        <v>2020</v>
      </c>
      <c r="W599" s="2" t="str">
        <f>IF(Spotify[[#This Row],[Popularité]]&gt;=70,"FORTE","FAIBLE")</f>
        <v>FORTE</v>
      </c>
    </row>
    <row r="600" spans="1:23" x14ac:dyDescent="0.25">
      <c r="A600">
        <v>1550</v>
      </c>
      <c r="B600">
        <v>187</v>
      </c>
      <c r="C600">
        <v>1</v>
      </c>
      <c r="D600" s="1">
        <v>43826</v>
      </c>
      <c r="E600" s="59" t="str" cm="1">
        <f t="array" ref="E60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600" t="s">
        <v>2434</v>
      </c>
      <c r="G600" s="3">
        <v>4701532</v>
      </c>
      <c r="H600" t="s">
        <v>345</v>
      </c>
      <c r="I600" s="4">
        <v>19102888</v>
      </c>
      <c r="J600" t="s">
        <v>79</v>
      </c>
      <c r="K600" s="1">
        <v>43806</v>
      </c>
      <c r="L600">
        <v>76</v>
      </c>
      <c r="M600" s="2" t="str">
        <f>IF(Spotify[[#This Row],[Energie]]&gt;AVERAGE(Spotify[Energie]),"FORTE","FAIBLE")</f>
        <v>FAIBLE</v>
      </c>
      <c r="N600" s="2">
        <v>0.63500000000000001</v>
      </c>
      <c r="O600" s="2">
        <v>0.53700000000000003</v>
      </c>
      <c r="P600" s="2">
        <v>8.3199999999999996E-2</v>
      </c>
      <c r="Q600" s="2">
        <v>0.17199999999999999</v>
      </c>
      <c r="R600" s="2">
        <v>0.41799999999999998</v>
      </c>
      <c r="S600" s="2">
        <v>0.38300000000000001</v>
      </c>
      <c r="T600" s="2">
        <v>-7.8949999999999996</v>
      </c>
      <c r="U600">
        <v>215381</v>
      </c>
      <c r="V600">
        <f>YEAR(Spotify[[#This Row],[Date de sortie]])</f>
        <v>2019</v>
      </c>
      <c r="W600" s="2" t="str">
        <f>IF(Spotify[[#This Row],[Popularité]]&gt;=70,"FORTE","FAIBLE")</f>
        <v>FORTE</v>
      </c>
    </row>
    <row r="601" spans="1:23" x14ac:dyDescent="0.25">
      <c r="A601">
        <v>953</v>
      </c>
      <c r="B601">
        <v>79</v>
      </c>
      <c r="C601">
        <v>13</v>
      </c>
      <c r="D601" s="1">
        <v>43973</v>
      </c>
      <c r="E601" s="59" t="str" cm="1">
        <f t="array" ref="E60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601" t="s">
        <v>1624</v>
      </c>
      <c r="G601" s="3">
        <v>4664281</v>
      </c>
      <c r="H601" t="s">
        <v>78</v>
      </c>
      <c r="I601" s="4">
        <v>4849204</v>
      </c>
      <c r="J601" t="s">
        <v>79</v>
      </c>
      <c r="K601" s="1">
        <v>43966</v>
      </c>
      <c r="L601">
        <v>76</v>
      </c>
      <c r="M601" s="2" t="str">
        <f>IF(Spotify[[#This Row],[Energie]]&gt;AVERAGE(Spotify[Energie]),"FORTE","FAIBLE")</f>
        <v>FORTE</v>
      </c>
      <c r="N601" s="2">
        <v>0.752</v>
      </c>
      <c r="O601" s="2">
        <v>0.67300000000000004</v>
      </c>
      <c r="P601" s="2">
        <v>0.153</v>
      </c>
      <c r="Q601" s="2">
        <v>5.3800000000000001E-2</v>
      </c>
      <c r="R601" s="2">
        <v>0.13300000000000001</v>
      </c>
      <c r="S601" s="2">
        <v>0.35</v>
      </c>
      <c r="T601" s="2">
        <v>-5.7919999999999998</v>
      </c>
      <c r="U601">
        <v>163902</v>
      </c>
      <c r="V601">
        <f>YEAR(Spotify[[#This Row],[Date de sortie]])</f>
        <v>2020</v>
      </c>
      <c r="W601" s="2" t="str">
        <f>IF(Spotify[[#This Row],[Popularité]]&gt;=70,"FORTE","FAIBLE")</f>
        <v>FORTE</v>
      </c>
    </row>
    <row r="602" spans="1:23" x14ac:dyDescent="0.25">
      <c r="A602">
        <v>840</v>
      </c>
      <c r="B602">
        <v>69</v>
      </c>
      <c r="C602">
        <v>22</v>
      </c>
      <c r="D602" s="1">
        <v>43973</v>
      </c>
      <c r="E602" s="59" t="str" cm="1">
        <f t="array" ref="E60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602" t="s">
        <v>1451</v>
      </c>
      <c r="G602" s="3">
        <v>4652712</v>
      </c>
      <c r="H602" t="s">
        <v>1452</v>
      </c>
      <c r="I602" s="4">
        <v>3337982</v>
      </c>
      <c r="J602" t="s">
        <v>531</v>
      </c>
      <c r="K602" s="1">
        <v>43973</v>
      </c>
      <c r="L602">
        <v>76</v>
      </c>
      <c r="M602" s="2" t="str">
        <f>IF(Spotify[[#This Row],[Energie]]&gt;AVERAGE(Spotify[Energie]),"FORTE","FAIBLE")</f>
        <v>FAIBLE</v>
      </c>
      <c r="N602" s="2">
        <v>0.82499999999999996</v>
      </c>
      <c r="O602" s="2">
        <v>0.45800000000000002</v>
      </c>
      <c r="P602" s="2">
        <v>5.7700000000000001E-2</v>
      </c>
      <c r="Q602" s="2">
        <v>0.114</v>
      </c>
      <c r="R602" s="2">
        <v>0.10199999999999999</v>
      </c>
      <c r="S602" s="2">
        <v>0.161</v>
      </c>
      <c r="T602" s="2">
        <v>-7.47</v>
      </c>
      <c r="U602">
        <v>197760</v>
      </c>
      <c r="V602">
        <f>YEAR(Spotify[[#This Row],[Date de sortie]])</f>
        <v>2020</v>
      </c>
      <c r="W602" s="2" t="str">
        <f>IF(Spotify[[#This Row],[Popularité]]&gt;=70,"FORTE","FAIBLE")</f>
        <v>FORTE</v>
      </c>
    </row>
    <row r="603" spans="1:23" x14ac:dyDescent="0.25">
      <c r="A603">
        <v>1162</v>
      </c>
      <c r="B603">
        <v>54</v>
      </c>
      <c r="C603">
        <v>14</v>
      </c>
      <c r="D603" s="1">
        <v>43903</v>
      </c>
      <c r="E603" s="59" t="str" cm="1">
        <f t="array" ref="E60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603" t="s">
        <v>1915</v>
      </c>
      <c r="G603" s="3">
        <v>4645541</v>
      </c>
      <c r="H603" t="s">
        <v>99</v>
      </c>
      <c r="I603" s="4">
        <v>1276406</v>
      </c>
      <c r="J603" t="s">
        <v>100</v>
      </c>
      <c r="K603" s="1">
        <v>43791</v>
      </c>
      <c r="L603">
        <v>76</v>
      </c>
      <c r="M603" s="2" t="str">
        <f>IF(Spotify[[#This Row],[Energie]]&gt;AVERAGE(Spotify[Energie]),"FORTE","FAIBLE")</f>
        <v>FAIBLE</v>
      </c>
      <c r="N603" s="2">
        <v>0.68600000000000005</v>
      </c>
      <c r="O603" s="2">
        <v>0.54100000000000004</v>
      </c>
      <c r="P603" s="2">
        <v>4.9299999999999997E-2</v>
      </c>
      <c r="Q603" s="2">
        <v>4.2000000000000003E-2</v>
      </c>
      <c r="R603" s="2">
        <v>6.7500000000000004E-2</v>
      </c>
      <c r="S603" s="2">
        <v>0.72399999999999998</v>
      </c>
      <c r="T603" s="2">
        <v>-4.9930000000000003</v>
      </c>
      <c r="U603">
        <v>112493</v>
      </c>
      <c r="V603">
        <f>YEAR(Spotify[[#This Row],[Date de sortie]])</f>
        <v>2019</v>
      </c>
      <c r="W603" s="2" t="str">
        <f>IF(Spotify[[#This Row],[Popularité]]&gt;=70,"FORTE","FAIBLE")</f>
        <v>FORTE</v>
      </c>
    </row>
    <row r="604" spans="1:23" x14ac:dyDescent="0.25">
      <c r="A604">
        <v>1106</v>
      </c>
      <c r="B604">
        <v>154</v>
      </c>
      <c r="C604">
        <v>6</v>
      </c>
      <c r="D604" s="1">
        <v>43987</v>
      </c>
      <c r="E604" s="59" t="str" cm="1">
        <f t="array" ref="E60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04" t="s">
        <v>1837</v>
      </c>
      <c r="G604" s="3">
        <v>4627942</v>
      </c>
      <c r="H604" t="s">
        <v>1838</v>
      </c>
      <c r="I604" s="4">
        <v>120208</v>
      </c>
      <c r="J604"/>
      <c r="K604" s="1">
        <v>43767</v>
      </c>
      <c r="L604">
        <v>76</v>
      </c>
      <c r="M604" s="2" t="str">
        <f>IF(Spotify[[#This Row],[Energie]]&gt;AVERAGE(Spotify[Energie]),"FORTE","FAIBLE")</f>
        <v>FAIBLE</v>
      </c>
      <c r="N604" s="2">
        <v>0.39</v>
      </c>
      <c r="O604" s="2">
        <v>0.44800000000000001</v>
      </c>
      <c r="P604" s="2">
        <v>2.76E-2</v>
      </c>
      <c r="Q604" s="2">
        <v>0.8</v>
      </c>
      <c r="R604" s="2">
        <v>0.107</v>
      </c>
      <c r="S604" s="2">
        <v>7.6999999999999999E-2</v>
      </c>
      <c r="T604" s="2">
        <v>-8.57</v>
      </c>
      <c r="U604">
        <v>183103</v>
      </c>
      <c r="V604">
        <f>YEAR(Spotify[[#This Row],[Date de sortie]])</f>
        <v>2019</v>
      </c>
      <c r="W604" s="2" t="str">
        <f>IF(Spotify[[#This Row],[Popularité]]&gt;=70,"FORTE","FAIBLE")</f>
        <v>FORTE</v>
      </c>
    </row>
    <row r="605" spans="1:23" x14ac:dyDescent="0.25">
      <c r="A605">
        <v>921</v>
      </c>
      <c r="B605">
        <v>103</v>
      </c>
      <c r="C605">
        <v>12</v>
      </c>
      <c r="D605" s="1">
        <v>44029</v>
      </c>
      <c r="E605" s="59" t="str" cm="1">
        <f t="array" ref="E60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05" t="s">
        <v>1572</v>
      </c>
      <c r="G605" s="3">
        <v>4593366</v>
      </c>
      <c r="H605" t="s">
        <v>1573</v>
      </c>
      <c r="I605" s="4">
        <v>177972</v>
      </c>
      <c r="J605" t="s">
        <v>761</v>
      </c>
      <c r="K605" s="1">
        <v>43705</v>
      </c>
      <c r="L605">
        <v>76</v>
      </c>
      <c r="M605" s="2" t="str">
        <f>IF(Spotify[[#This Row],[Energie]]&gt;AVERAGE(Spotify[Energie]),"FORTE","FAIBLE")</f>
        <v>FAIBLE</v>
      </c>
      <c r="N605" s="2">
        <v>0.67600000000000005</v>
      </c>
      <c r="O605" s="2">
        <v>0.52500000000000002</v>
      </c>
      <c r="P605" s="2">
        <v>2.8000000000000001E-2</v>
      </c>
      <c r="Q605" s="2">
        <v>0.61699999999999999</v>
      </c>
      <c r="R605" s="2">
        <v>0.35599999999999998</v>
      </c>
      <c r="S605" s="2">
        <v>0.42099999999999999</v>
      </c>
      <c r="T605" s="2">
        <v>-5.88</v>
      </c>
      <c r="U605">
        <v>210000</v>
      </c>
      <c r="V605">
        <f>YEAR(Spotify[[#This Row],[Date de sortie]])</f>
        <v>2019</v>
      </c>
      <c r="W605" s="2" t="str">
        <f>IF(Spotify[[#This Row],[Popularité]]&gt;=70,"FORTE","FAIBLE")</f>
        <v>FORTE</v>
      </c>
    </row>
    <row r="606" spans="1:23" x14ac:dyDescent="0.25">
      <c r="A606">
        <v>1067</v>
      </c>
      <c r="B606">
        <v>32</v>
      </c>
      <c r="C606">
        <v>16</v>
      </c>
      <c r="D606" s="1">
        <v>43903</v>
      </c>
      <c r="E606" s="59" t="str" cm="1">
        <f t="array" ref="E60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606" t="s">
        <v>1779</v>
      </c>
      <c r="G606" s="3">
        <v>4593309</v>
      </c>
      <c r="H606" t="s">
        <v>1780</v>
      </c>
      <c r="I606" s="4">
        <v>11821805</v>
      </c>
      <c r="J606" t="s">
        <v>235</v>
      </c>
      <c r="K606" s="1">
        <v>43903</v>
      </c>
      <c r="L606">
        <v>76</v>
      </c>
      <c r="M606" s="2" t="str">
        <f>IF(Spotify[[#This Row],[Energie]]&gt;AVERAGE(Spotify[Energie]),"FORTE","FAIBLE")</f>
        <v>FORTE</v>
      </c>
      <c r="N606" s="2">
        <v>0.77100000000000002</v>
      </c>
      <c r="O606" s="2">
        <v>0.65400000000000003</v>
      </c>
      <c r="P606" s="2">
        <v>0.29799999999999999</v>
      </c>
      <c r="Q606" s="2">
        <v>5.5E-2</v>
      </c>
      <c r="R606" s="2">
        <v>0.214</v>
      </c>
      <c r="S606" s="2">
        <v>0.57299999999999995</v>
      </c>
      <c r="T606" s="2">
        <v>-6.976</v>
      </c>
      <c r="U606">
        <v>224955</v>
      </c>
      <c r="V606">
        <f>YEAR(Spotify[[#This Row],[Date de sortie]])</f>
        <v>2020</v>
      </c>
      <c r="W606" s="2" t="str">
        <f>IF(Spotify[[#This Row],[Popularité]]&gt;=70,"FORTE","FAIBLE")</f>
        <v>FORTE</v>
      </c>
    </row>
    <row r="607" spans="1:23" x14ac:dyDescent="0.25">
      <c r="A607">
        <v>943</v>
      </c>
      <c r="B607">
        <v>11</v>
      </c>
      <c r="C607">
        <v>5</v>
      </c>
      <c r="D607" s="1">
        <v>44036</v>
      </c>
      <c r="E607" s="59" t="str" cm="1">
        <f t="array" ref="E60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07" t="s">
        <v>1610</v>
      </c>
      <c r="G607" s="3">
        <v>4586236</v>
      </c>
      <c r="H607" t="s">
        <v>746</v>
      </c>
      <c r="I607" s="4">
        <v>42227614</v>
      </c>
      <c r="J607" t="s">
        <v>10</v>
      </c>
      <c r="K607" s="1">
        <v>44036</v>
      </c>
      <c r="L607">
        <v>76</v>
      </c>
      <c r="M607" s="2" t="str">
        <f>IF(Spotify[[#This Row],[Energie]]&gt;AVERAGE(Spotify[Energie]),"FORTE","FAIBLE")</f>
        <v>FAIBLE</v>
      </c>
      <c r="N607" s="2">
        <v>0.53200000000000003</v>
      </c>
      <c r="O607" s="2">
        <v>0.623</v>
      </c>
      <c r="P607" s="2">
        <v>3.3099999999999997E-2</v>
      </c>
      <c r="Q607" s="2">
        <v>0.53800000000000003</v>
      </c>
      <c r="R607" s="2">
        <v>9.2499999999999999E-2</v>
      </c>
      <c r="S607" s="2">
        <v>0.40300000000000002</v>
      </c>
      <c r="T607" s="2">
        <v>-9.2080000000000002</v>
      </c>
      <c r="U607">
        <v>261923</v>
      </c>
      <c r="V607">
        <f>YEAR(Spotify[[#This Row],[Date de sortie]])</f>
        <v>2020</v>
      </c>
      <c r="W607" s="2" t="str">
        <f>IF(Spotify[[#This Row],[Popularité]]&gt;=70,"FORTE","FAIBLE")</f>
        <v>FORTE</v>
      </c>
    </row>
    <row r="608" spans="1:23" x14ac:dyDescent="0.25">
      <c r="A608">
        <v>618</v>
      </c>
      <c r="B608">
        <v>68</v>
      </c>
      <c r="C608">
        <v>8</v>
      </c>
      <c r="D608" s="1">
        <v>44134</v>
      </c>
      <c r="E608" s="59" t="str" cm="1">
        <f t="array" ref="E60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08" t="s">
        <v>1095</v>
      </c>
      <c r="G608" s="3">
        <v>4504304</v>
      </c>
      <c r="H608" t="s">
        <v>461</v>
      </c>
      <c r="I608" s="4">
        <v>9998991</v>
      </c>
      <c r="J608" t="s">
        <v>33</v>
      </c>
      <c r="K608" s="1">
        <v>44130</v>
      </c>
      <c r="L608">
        <v>76</v>
      </c>
      <c r="M608" s="2" t="str">
        <f>IF(Spotify[[#This Row],[Energie]]&gt;AVERAGE(Spotify[Energie]),"FORTE","FAIBLE")</f>
        <v>FORTE</v>
      </c>
      <c r="N608" s="2">
        <v>0.65700000000000003</v>
      </c>
      <c r="O608" s="2">
        <v>0.88</v>
      </c>
      <c r="P608" s="2">
        <v>0.10199999999999999</v>
      </c>
      <c r="Q608" s="2">
        <v>0.121</v>
      </c>
      <c r="R608" s="2">
        <v>0.46300000000000002</v>
      </c>
      <c r="S608" s="2">
        <v>0.76900000000000002</v>
      </c>
      <c r="T608" s="2">
        <v>-3.6720000000000002</v>
      </c>
      <c r="U608">
        <v>205493</v>
      </c>
      <c r="V608">
        <f>YEAR(Spotify[[#This Row],[Date de sortie]])</f>
        <v>2020</v>
      </c>
      <c r="W608" s="2" t="str">
        <f>IF(Spotify[[#This Row],[Popularité]]&gt;=70,"FORTE","FAIBLE")</f>
        <v>FORTE</v>
      </c>
    </row>
    <row r="609" spans="1:23" x14ac:dyDescent="0.25">
      <c r="A609">
        <v>1179</v>
      </c>
      <c r="B609">
        <v>126</v>
      </c>
      <c r="C609">
        <v>9</v>
      </c>
      <c r="D609" s="1">
        <v>43931</v>
      </c>
      <c r="E609" s="59" t="str" cm="1">
        <f t="array" ref="E60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09" t="s">
        <v>1938</v>
      </c>
      <c r="G609" s="3">
        <v>4500903</v>
      </c>
      <c r="H609" t="s">
        <v>1939</v>
      </c>
      <c r="I609" s="4">
        <v>1253138</v>
      </c>
      <c r="J609" t="s">
        <v>1940</v>
      </c>
      <c r="K609" s="1">
        <v>43889</v>
      </c>
      <c r="L609">
        <v>76</v>
      </c>
      <c r="M609" s="2" t="str">
        <f>IF(Spotify[[#This Row],[Energie]]&gt;AVERAGE(Spotify[Energie]),"FORTE","FAIBLE")</f>
        <v>FORTE</v>
      </c>
      <c r="N609" s="2">
        <v>0.88300000000000001</v>
      </c>
      <c r="O609" s="2">
        <v>0.80800000000000005</v>
      </c>
      <c r="P609" s="2">
        <v>0.182</v>
      </c>
      <c r="Q609" s="2">
        <v>3.1300000000000001E-2</v>
      </c>
      <c r="R609" s="2">
        <v>0.20699999999999999</v>
      </c>
      <c r="S609" s="2">
        <v>0.80600000000000005</v>
      </c>
      <c r="T609" s="2">
        <v>-3.1579999999999999</v>
      </c>
      <c r="U609">
        <v>232065</v>
      </c>
      <c r="V609">
        <f>YEAR(Spotify[[#This Row],[Date de sortie]])</f>
        <v>2020</v>
      </c>
      <c r="W609" s="2" t="str">
        <f>IF(Spotify[[#This Row],[Popularité]]&gt;=70,"FORTE","FAIBLE")</f>
        <v>FORTE</v>
      </c>
    </row>
    <row r="610" spans="1:23" x14ac:dyDescent="0.25">
      <c r="A610">
        <v>1192</v>
      </c>
      <c r="B610">
        <v>46</v>
      </c>
      <c r="C610">
        <v>3</v>
      </c>
      <c r="D610" s="1">
        <v>43945</v>
      </c>
      <c r="E610" s="59" t="str" cm="1">
        <f t="array" ref="E61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610" t="s">
        <v>1961</v>
      </c>
      <c r="G610" s="3">
        <v>4499820</v>
      </c>
      <c r="H610" t="s">
        <v>310</v>
      </c>
      <c r="I610" s="4">
        <v>17732077</v>
      </c>
      <c r="J610" t="s">
        <v>186</v>
      </c>
      <c r="K610" s="1">
        <v>43315</v>
      </c>
      <c r="L610">
        <v>76</v>
      </c>
      <c r="M610" s="2" t="str">
        <f>IF(Spotify[[#This Row],[Energie]]&gt;AVERAGE(Spotify[Energie]),"FORTE","FAIBLE")</f>
        <v>FORTE</v>
      </c>
      <c r="N610" s="2">
        <v>0.48699999999999999</v>
      </c>
      <c r="O610" s="2">
        <v>0.78900000000000003</v>
      </c>
      <c r="P610" s="2">
        <v>4.3999999999999997E-2</v>
      </c>
      <c r="Q610" s="2">
        <v>9.4699999999999993E-3</v>
      </c>
      <c r="R610" s="2">
        <v>0.189</v>
      </c>
      <c r="S610" s="2">
        <v>5.6399999999999999E-2</v>
      </c>
      <c r="T610" s="2">
        <v>-3.69</v>
      </c>
      <c r="U610">
        <v>270715</v>
      </c>
      <c r="V610">
        <f>YEAR(Spotify[[#This Row],[Date de sortie]])</f>
        <v>2018</v>
      </c>
      <c r="W610" s="2" t="str">
        <f>IF(Spotify[[#This Row],[Popularité]]&gt;=70,"FORTE","FAIBLE")</f>
        <v>FORTE</v>
      </c>
    </row>
    <row r="611" spans="1:23" x14ac:dyDescent="0.25">
      <c r="A611">
        <v>957</v>
      </c>
      <c r="B611">
        <v>100</v>
      </c>
      <c r="C611">
        <v>15</v>
      </c>
      <c r="D611" s="1">
        <v>43987</v>
      </c>
      <c r="E611" s="59" t="str" cm="1">
        <f t="array" ref="E61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11" t="s">
        <v>1630</v>
      </c>
      <c r="G611" s="3">
        <v>4466143</v>
      </c>
      <c r="H611" t="s">
        <v>1631</v>
      </c>
      <c r="I611" s="4">
        <v>6096559</v>
      </c>
      <c r="J611" t="s">
        <v>22</v>
      </c>
      <c r="K611" s="1">
        <v>43539</v>
      </c>
      <c r="L611">
        <v>76</v>
      </c>
      <c r="M611" s="2" t="str">
        <f>IF(Spotify[[#This Row],[Energie]]&gt;AVERAGE(Spotify[Energie]),"FORTE","FAIBLE")</f>
        <v>FORTE</v>
      </c>
      <c r="N611" s="2">
        <v>0.84899999999999998</v>
      </c>
      <c r="O611" s="2">
        <v>0.78100000000000003</v>
      </c>
      <c r="P611" s="2">
        <v>0.159</v>
      </c>
      <c r="Q611" s="2">
        <v>0.40600000000000003</v>
      </c>
      <c r="R611" s="2">
        <v>8.0100000000000005E-2</v>
      </c>
      <c r="S611" s="2">
        <v>0.89300000000000002</v>
      </c>
      <c r="T611" s="2">
        <v>-4.6349999999999998</v>
      </c>
      <c r="U611">
        <v>217143</v>
      </c>
      <c r="V611">
        <f>YEAR(Spotify[[#This Row],[Date de sortie]])</f>
        <v>2019</v>
      </c>
      <c r="W611" s="2" t="str">
        <f>IF(Spotify[[#This Row],[Popularité]]&gt;=70,"FORTE","FAIBLE")</f>
        <v>FORTE</v>
      </c>
    </row>
    <row r="612" spans="1:23" x14ac:dyDescent="0.25">
      <c r="A612">
        <v>1077</v>
      </c>
      <c r="B612">
        <v>36</v>
      </c>
      <c r="C612">
        <v>21</v>
      </c>
      <c r="D612" s="1">
        <v>43868</v>
      </c>
      <c r="E612" s="59" t="str" cm="1">
        <f t="array" ref="E61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12" t="s">
        <v>1793</v>
      </c>
      <c r="G612" s="3">
        <v>4374392</v>
      </c>
      <c r="H612" t="s">
        <v>1794</v>
      </c>
      <c r="I612" s="4">
        <v>14190858</v>
      </c>
      <c r="J612" t="s">
        <v>10</v>
      </c>
      <c r="K612" s="1">
        <v>43865</v>
      </c>
      <c r="L612">
        <v>76</v>
      </c>
      <c r="M612" s="2" t="str">
        <f>IF(Spotify[[#This Row],[Energie]]&gt;AVERAGE(Spotify[Energie]),"FORTE","FAIBLE")</f>
        <v>FORTE</v>
      </c>
      <c r="N612" s="2">
        <v>0.79</v>
      </c>
      <c r="O612" s="2">
        <v>0.69399999999999995</v>
      </c>
      <c r="P612" s="2">
        <v>7.0800000000000002E-2</v>
      </c>
      <c r="Q612" s="2">
        <v>0.14499999999999999</v>
      </c>
      <c r="R612" s="2">
        <v>0.28100000000000003</v>
      </c>
      <c r="S612" s="2">
        <v>0.50800000000000001</v>
      </c>
      <c r="T612" s="2">
        <v>-7.726</v>
      </c>
      <c r="U612">
        <v>181436</v>
      </c>
      <c r="V612">
        <f>YEAR(Spotify[[#This Row],[Date de sortie]])</f>
        <v>2020</v>
      </c>
      <c r="W612" s="2" t="str">
        <f>IF(Spotify[[#This Row],[Popularité]]&gt;=70,"FORTE","FAIBLE")</f>
        <v>FORTE</v>
      </c>
    </row>
    <row r="613" spans="1:23" x14ac:dyDescent="0.25">
      <c r="A613">
        <v>1227</v>
      </c>
      <c r="B613">
        <v>85</v>
      </c>
      <c r="C613">
        <v>17</v>
      </c>
      <c r="D613" s="1">
        <v>43826</v>
      </c>
      <c r="E613" s="59" t="str" cm="1">
        <f t="array" ref="E61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13" t="s">
        <v>2006</v>
      </c>
      <c r="G613" s="3">
        <v>4367368</v>
      </c>
      <c r="H613" t="s">
        <v>2007</v>
      </c>
      <c r="I613" s="4">
        <v>9747805</v>
      </c>
      <c r="J613" t="s">
        <v>19</v>
      </c>
      <c r="K613" s="1">
        <v>43642</v>
      </c>
      <c r="L613">
        <v>76</v>
      </c>
      <c r="M613" s="2" t="str">
        <f>IF(Spotify[[#This Row],[Energie]]&gt;AVERAGE(Spotify[Energie]),"FORTE","FAIBLE")</f>
        <v>FORTE</v>
      </c>
      <c r="N613" s="2">
        <v>0.65700000000000003</v>
      </c>
      <c r="O613" s="2">
        <v>0.76800000000000002</v>
      </c>
      <c r="P613" s="2">
        <v>5.0700000000000002E-2</v>
      </c>
      <c r="Q613" s="2">
        <v>0.108</v>
      </c>
      <c r="R613" s="2">
        <v>0.14399999999999999</v>
      </c>
      <c r="S613" s="2">
        <v>0.75900000000000001</v>
      </c>
      <c r="T613" s="2">
        <v>-4.6280000000000001</v>
      </c>
      <c r="U613">
        <v>186223</v>
      </c>
      <c r="V613">
        <f>YEAR(Spotify[[#This Row],[Date de sortie]])</f>
        <v>2019</v>
      </c>
      <c r="W613" s="2" t="str">
        <f>IF(Spotify[[#This Row],[Popularité]]&gt;=70,"FORTE","FAIBLE")</f>
        <v>FORTE</v>
      </c>
    </row>
    <row r="614" spans="1:23" x14ac:dyDescent="0.25">
      <c r="A614">
        <v>1121</v>
      </c>
      <c r="B614">
        <v>145</v>
      </c>
      <c r="C614">
        <v>17</v>
      </c>
      <c r="D614" s="1">
        <v>43833</v>
      </c>
      <c r="E614" s="59" t="str" cm="1">
        <f t="array" ref="E61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14" t="s">
        <v>1861</v>
      </c>
      <c r="G614" s="3">
        <v>4364166</v>
      </c>
      <c r="H614" t="s">
        <v>771</v>
      </c>
      <c r="I614" s="4">
        <v>33893352</v>
      </c>
      <c r="J614" t="s">
        <v>36</v>
      </c>
      <c r="K614" s="1">
        <v>43588</v>
      </c>
      <c r="L614">
        <v>76</v>
      </c>
      <c r="M614" s="2" t="str">
        <f>IF(Spotify[[#This Row],[Energie]]&gt;AVERAGE(Spotify[Energie]),"FORTE","FAIBLE")</f>
        <v>FORTE</v>
      </c>
      <c r="N614" s="2">
        <v>0.69199999999999995</v>
      </c>
      <c r="O614" s="2">
        <v>0.80900000000000005</v>
      </c>
      <c r="P614" s="2">
        <v>6.0199999999999997E-2</v>
      </c>
      <c r="Q614" s="2">
        <v>0.52400000000000002</v>
      </c>
      <c r="R614" s="2">
        <v>0.14699999999999999</v>
      </c>
      <c r="S614" s="2">
        <v>0.86399999999999999</v>
      </c>
      <c r="T614" s="2">
        <v>-4.1980000000000004</v>
      </c>
      <c r="U614">
        <v>190800</v>
      </c>
      <c r="V614">
        <f>YEAR(Spotify[[#This Row],[Date de sortie]])</f>
        <v>2019</v>
      </c>
      <c r="W614" s="2" t="str">
        <f>IF(Spotify[[#This Row],[Popularité]]&gt;=70,"FORTE","FAIBLE")</f>
        <v>FORTE</v>
      </c>
    </row>
    <row r="615" spans="1:23" x14ac:dyDescent="0.25">
      <c r="A615">
        <v>1080</v>
      </c>
      <c r="B615">
        <v>196</v>
      </c>
      <c r="C615">
        <v>1</v>
      </c>
      <c r="D615" s="1">
        <v>44008</v>
      </c>
      <c r="E615" s="59" t="str" cm="1">
        <f t="array" ref="E61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15" t="s">
        <v>1797</v>
      </c>
      <c r="G615" s="3">
        <v>4341050</v>
      </c>
      <c r="H615" t="s">
        <v>917</v>
      </c>
      <c r="I615" s="4">
        <v>23848461</v>
      </c>
      <c r="J615" t="s">
        <v>33</v>
      </c>
      <c r="K615" s="1">
        <v>43560</v>
      </c>
      <c r="L615">
        <v>76</v>
      </c>
      <c r="M615" s="2" t="str">
        <f>IF(Spotify[[#This Row],[Energie]]&gt;AVERAGE(Spotify[Energie]),"FORTE","FAIBLE")</f>
        <v>FORTE</v>
      </c>
      <c r="N615" s="2">
        <v>0.76300000000000001</v>
      </c>
      <c r="O615" s="2">
        <v>0.83499999999999996</v>
      </c>
      <c r="P615" s="2">
        <v>0.191</v>
      </c>
      <c r="Q615" s="2">
        <v>0.32300000000000001</v>
      </c>
      <c r="R615" s="2">
        <v>0.22500000000000001</v>
      </c>
      <c r="S615" s="2">
        <v>0.64500000000000002</v>
      </c>
      <c r="T615" s="2">
        <v>-5.234</v>
      </c>
      <c r="U615">
        <v>191050</v>
      </c>
      <c r="V615">
        <f>YEAR(Spotify[[#This Row],[Date de sortie]])</f>
        <v>2019</v>
      </c>
      <c r="W615" s="2" t="str">
        <f>IF(Spotify[[#This Row],[Popularité]]&gt;=70,"FORTE","FAIBLE")</f>
        <v>FORTE</v>
      </c>
    </row>
    <row r="616" spans="1:23" x14ac:dyDescent="0.25">
      <c r="A616">
        <v>1194</v>
      </c>
      <c r="B616">
        <v>23</v>
      </c>
      <c r="C616">
        <v>20</v>
      </c>
      <c r="D616" s="1">
        <v>43854</v>
      </c>
      <c r="E616" s="59" t="str" cm="1">
        <f t="array" ref="E61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616" t="s">
        <v>1963</v>
      </c>
      <c r="G616" s="3">
        <v>4320116</v>
      </c>
      <c r="H616" t="s">
        <v>1869</v>
      </c>
      <c r="I616" s="4">
        <v>6332535</v>
      </c>
      <c r="J616" t="s">
        <v>235</v>
      </c>
      <c r="K616" s="1">
        <v>43903</v>
      </c>
      <c r="L616">
        <v>76</v>
      </c>
      <c r="M616" s="2" t="str">
        <f>IF(Spotify[[#This Row],[Energie]]&gt;AVERAGE(Spotify[Energie]),"FORTE","FAIBLE")</f>
        <v>FAIBLE</v>
      </c>
      <c r="N616" s="2">
        <v>0.65500000000000003</v>
      </c>
      <c r="O616" s="2">
        <v>0.441</v>
      </c>
      <c r="P616" s="2">
        <v>6.2899999999999998E-2</v>
      </c>
      <c r="Q616" s="2">
        <v>0.47399999999999998</v>
      </c>
      <c r="R616" s="2">
        <v>9.9000000000000005E-2</v>
      </c>
      <c r="S616" s="2">
        <v>0.27300000000000002</v>
      </c>
      <c r="T616" s="2">
        <v>-5.2450000000000001</v>
      </c>
      <c r="U616">
        <v>225857</v>
      </c>
      <c r="V616">
        <f>YEAR(Spotify[[#This Row],[Date de sortie]])</f>
        <v>2020</v>
      </c>
      <c r="W616" s="2" t="str">
        <f>IF(Spotify[[#This Row],[Popularité]]&gt;=70,"FORTE","FAIBLE")</f>
        <v>FORTE</v>
      </c>
    </row>
    <row r="617" spans="1:23" x14ac:dyDescent="0.25">
      <c r="A617">
        <v>1195</v>
      </c>
      <c r="B617">
        <v>39</v>
      </c>
      <c r="C617">
        <v>20</v>
      </c>
      <c r="D617" s="1">
        <v>43833</v>
      </c>
      <c r="E617" s="59" t="str" cm="1">
        <f t="array" ref="E61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17" t="s">
        <v>1964</v>
      </c>
      <c r="G617" s="3">
        <v>4313625</v>
      </c>
      <c r="H617" t="s">
        <v>1041</v>
      </c>
      <c r="I617" s="4">
        <v>17097317</v>
      </c>
      <c r="J617" t="s">
        <v>19</v>
      </c>
      <c r="K617" s="1">
        <v>43665</v>
      </c>
      <c r="L617">
        <v>76</v>
      </c>
      <c r="M617" s="2" t="str">
        <f>IF(Spotify[[#This Row],[Energie]]&gt;AVERAGE(Spotify[Energie]),"FORTE","FAIBLE")</f>
        <v>FORTE</v>
      </c>
      <c r="N617" s="2">
        <v>0.47699999999999998</v>
      </c>
      <c r="O617" s="2">
        <v>0.68200000000000005</v>
      </c>
      <c r="P617" s="2">
        <v>9.2499999999999999E-2</v>
      </c>
      <c r="Q617" s="2">
        <v>0.153</v>
      </c>
      <c r="R617" s="2">
        <v>7.6300000000000007E-2</v>
      </c>
      <c r="S617" s="2">
        <v>0.34499999999999997</v>
      </c>
      <c r="T617" s="2">
        <v>-4.931</v>
      </c>
      <c r="U617">
        <v>202205</v>
      </c>
      <c r="V617">
        <f>YEAR(Spotify[[#This Row],[Date de sortie]])</f>
        <v>2019</v>
      </c>
      <c r="W617" s="2" t="str">
        <f>IF(Spotify[[#This Row],[Popularité]]&gt;=70,"FORTE","FAIBLE")</f>
        <v>FORTE</v>
      </c>
    </row>
    <row r="618" spans="1:23" x14ac:dyDescent="0.25">
      <c r="A618">
        <v>1228</v>
      </c>
      <c r="B618">
        <v>109</v>
      </c>
      <c r="C618">
        <v>9</v>
      </c>
      <c r="D618" s="1">
        <v>43875</v>
      </c>
      <c r="E618" s="59" t="str" cm="1">
        <f t="array" ref="E61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618" t="s">
        <v>2008</v>
      </c>
      <c r="G618" s="3">
        <v>4299422</v>
      </c>
      <c r="H618" t="s">
        <v>1439</v>
      </c>
      <c r="I618" s="4">
        <v>4894656</v>
      </c>
      <c r="J618" t="s">
        <v>426</v>
      </c>
      <c r="K618" s="1">
        <v>43868</v>
      </c>
      <c r="L618">
        <v>76</v>
      </c>
      <c r="M618" s="2" t="str">
        <f>IF(Spotify[[#This Row],[Energie]]&gt;AVERAGE(Spotify[Energie]),"FORTE","FAIBLE")</f>
        <v>FORTE</v>
      </c>
      <c r="N618" s="2">
        <v>0.80300000000000005</v>
      </c>
      <c r="O618" s="2">
        <v>0.75900000000000001</v>
      </c>
      <c r="P618" s="2">
        <v>4.9399999999999999E-2</v>
      </c>
      <c r="Q618" s="2">
        <v>5.0899999999999999E-3</v>
      </c>
      <c r="R618" s="2">
        <v>9.2100000000000001E-2</v>
      </c>
      <c r="S618" s="2">
        <v>0.28399999999999997</v>
      </c>
      <c r="T618" s="2">
        <v>-4.6920000000000002</v>
      </c>
      <c r="U618">
        <v>213308</v>
      </c>
      <c r="V618">
        <f>YEAR(Spotify[[#This Row],[Date de sortie]])</f>
        <v>2020</v>
      </c>
      <c r="W618" s="2" t="str">
        <f>IF(Spotify[[#This Row],[Popularité]]&gt;=70,"FORTE","FAIBLE")</f>
        <v>FORTE</v>
      </c>
    </row>
    <row r="619" spans="1:23" x14ac:dyDescent="0.25">
      <c r="A619">
        <v>1127</v>
      </c>
      <c r="B619">
        <v>66</v>
      </c>
      <c r="C619">
        <v>11</v>
      </c>
      <c r="D619" s="1">
        <v>43903</v>
      </c>
      <c r="E619" s="59" t="str" cm="1">
        <f t="array" ref="E61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619" t="s">
        <v>1868</v>
      </c>
      <c r="G619" s="3">
        <v>4296154</v>
      </c>
      <c r="H619" t="s">
        <v>1869</v>
      </c>
      <c r="I619" s="4">
        <v>6332535</v>
      </c>
      <c r="J619" t="s">
        <v>235</v>
      </c>
      <c r="K619" s="1">
        <v>43903</v>
      </c>
      <c r="L619">
        <v>76</v>
      </c>
      <c r="M619" s="2" t="str">
        <f>IF(Spotify[[#This Row],[Energie]]&gt;AVERAGE(Spotify[Energie]),"FORTE","FAIBLE")</f>
        <v>FAIBLE</v>
      </c>
      <c r="N619" s="2">
        <v>0.65500000000000003</v>
      </c>
      <c r="O619" s="2">
        <v>0.441</v>
      </c>
      <c r="P619" s="2">
        <v>6.2899999999999998E-2</v>
      </c>
      <c r="Q619" s="2">
        <v>0.47399999999999998</v>
      </c>
      <c r="R619" s="2">
        <v>9.9000000000000005E-2</v>
      </c>
      <c r="S619" s="2">
        <v>0.27300000000000002</v>
      </c>
      <c r="T619" s="2">
        <v>-5.2450000000000001</v>
      </c>
      <c r="U619">
        <v>225857</v>
      </c>
      <c r="V619">
        <f>YEAR(Spotify[[#This Row],[Date de sortie]])</f>
        <v>2020</v>
      </c>
      <c r="W619" s="2" t="str">
        <f>IF(Spotify[[#This Row],[Popularité]]&gt;=70,"FORTE","FAIBLE")</f>
        <v>FORTE</v>
      </c>
    </row>
    <row r="620" spans="1:23" x14ac:dyDescent="0.25">
      <c r="A620">
        <v>1260</v>
      </c>
      <c r="B620">
        <v>170</v>
      </c>
      <c r="C620">
        <v>10</v>
      </c>
      <c r="D620" s="1">
        <v>43868</v>
      </c>
      <c r="E620" s="59" t="str" cm="1">
        <f t="array" ref="E62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20" t="s">
        <v>2052</v>
      </c>
      <c r="G620" s="3">
        <v>4284951</v>
      </c>
      <c r="H620" t="s">
        <v>2053</v>
      </c>
      <c r="I620" s="4">
        <v>4421378</v>
      </c>
      <c r="J620" t="s">
        <v>19</v>
      </c>
      <c r="K620" s="1">
        <v>43686</v>
      </c>
      <c r="L620">
        <v>76</v>
      </c>
      <c r="M620" s="2" t="str">
        <f>IF(Spotify[[#This Row],[Energie]]&gt;AVERAGE(Spotify[Energie]),"FORTE","FAIBLE")</f>
        <v>FAIBLE</v>
      </c>
      <c r="N620" s="2">
        <v>0.81200000000000006</v>
      </c>
      <c r="O620" s="2">
        <v>0.51900000000000002</v>
      </c>
      <c r="P620" s="2">
        <v>3.85E-2</v>
      </c>
      <c r="Q620" s="2">
        <v>0.379</v>
      </c>
      <c r="R620" s="2">
        <v>0.13</v>
      </c>
      <c r="S620" s="2">
        <v>0.55400000000000005</v>
      </c>
      <c r="T620" s="2">
        <v>-4.8230000000000004</v>
      </c>
      <c r="U620">
        <v>165714</v>
      </c>
      <c r="V620">
        <f>YEAR(Spotify[[#This Row],[Date de sortie]])</f>
        <v>2019</v>
      </c>
      <c r="W620" s="2" t="str">
        <f>IF(Spotify[[#This Row],[Popularité]]&gt;=70,"FORTE","FAIBLE")</f>
        <v>FORTE</v>
      </c>
    </row>
    <row r="621" spans="1:23" x14ac:dyDescent="0.25">
      <c r="A621">
        <v>261</v>
      </c>
      <c r="B621">
        <v>73</v>
      </c>
      <c r="C621">
        <v>1</v>
      </c>
      <c r="D621" s="1">
        <v>44372</v>
      </c>
      <c r="E621" s="59" t="str" cm="1">
        <f t="array" ref="E62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621" t="s">
        <v>521</v>
      </c>
      <c r="G621" s="3">
        <v>8884283</v>
      </c>
      <c r="H621" t="s">
        <v>425</v>
      </c>
      <c r="I621" s="4">
        <v>6777818</v>
      </c>
      <c r="J621" t="s">
        <v>426</v>
      </c>
      <c r="K621" s="1">
        <v>44372</v>
      </c>
      <c r="L621">
        <v>75</v>
      </c>
      <c r="M621" s="2" t="str">
        <f>IF(Spotify[[#This Row],[Energie]]&gt;AVERAGE(Spotify[Energie]),"FORTE","FAIBLE")</f>
        <v>FORTE</v>
      </c>
      <c r="N621" s="2">
        <v>0.46700000000000003</v>
      </c>
      <c r="O621" s="2">
        <v>0.63500000000000001</v>
      </c>
      <c r="P621" s="2">
        <v>0.154</v>
      </c>
      <c r="Q621" s="2">
        <v>0.314</v>
      </c>
      <c r="R621" s="2">
        <v>0.84399999999999997</v>
      </c>
      <c r="S621" s="2">
        <v>0.51</v>
      </c>
      <c r="T621" s="2">
        <v>-6.1150000000000002</v>
      </c>
      <c r="U621">
        <v>88625</v>
      </c>
      <c r="V621">
        <f>YEAR(Spotify[[#This Row],[Date de sortie]])</f>
        <v>2021</v>
      </c>
      <c r="W621" s="2" t="str">
        <f>IF(Spotify[[#This Row],[Popularité]]&gt;=70,"FORTE","FAIBLE")</f>
        <v>FORTE</v>
      </c>
    </row>
    <row r="622" spans="1:23" x14ac:dyDescent="0.25">
      <c r="A622">
        <v>393</v>
      </c>
      <c r="B622">
        <v>72</v>
      </c>
      <c r="C622">
        <v>1</v>
      </c>
      <c r="D622" s="1">
        <v>44316</v>
      </c>
      <c r="E622" s="59" t="str" cm="1">
        <f t="array" ref="E62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622" t="s">
        <v>736</v>
      </c>
      <c r="G622" s="3">
        <v>7939784</v>
      </c>
      <c r="H622" t="s">
        <v>737</v>
      </c>
      <c r="I622" s="4">
        <v>279741</v>
      </c>
      <c r="J622" t="s">
        <v>426</v>
      </c>
      <c r="K622" s="1">
        <v>44316</v>
      </c>
      <c r="L622">
        <v>75</v>
      </c>
      <c r="M622" s="2" t="str">
        <f>IF(Spotify[[#This Row],[Energie]]&gt;AVERAGE(Spotify[Energie]),"FORTE","FAIBLE")</f>
        <v>FORTE</v>
      </c>
      <c r="N622" s="2">
        <v>0.89</v>
      </c>
      <c r="O622" s="2">
        <v>0.70099999999999996</v>
      </c>
      <c r="P622" s="2">
        <v>0.34200000000000003</v>
      </c>
      <c r="Q622" s="2">
        <v>3.0599999999999998E-3</v>
      </c>
      <c r="R622" s="2">
        <v>8.9499999999999996E-2</v>
      </c>
      <c r="S622" s="2">
        <v>0.505</v>
      </c>
      <c r="T622" s="2">
        <v>-5.7119999999999997</v>
      </c>
      <c r="U622">
        <v>225020</v>
      </c>
      <c r="V622">
        <f>YEAR(Spotify[[#This Row],[Date de sortie]])</f>
        <v>2021</v>
      </c>
      <c r="W622" s="2" t="str">
        <f>IF(Spotify[[#This Row],[Popularité]]&gt;=70,"FORTE","FAIBLE")</f>
        <v>FORTE</v>
      </c>
    </row>
    <row r="623" spans="1:23" x14ac:dyDescent="0.25">
      <c r="A623">
        <v>263</v>
      </c>
      <c r="B623">
        <v>85</v>
      </c>
      <c r="C623">
        <v>1</v>
      </c>
      <c r="D623" s="1">
        <v>44372</v>
      </c>
      <c r="E623" s="59" t="str" cm="1">
        <f t="array" ref="E62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623" t="s">
        <v>523</v>
      </c>
      <c r="G623" s="3">
        <v>7917707</v>
      </c>
      <c r="H623" t="s">
        <v>425</v>
      </c>
      <c r="I623" s="4">
        <v>6777818</v>
      </c>
      <c r="J623" t="s">
        <v>426</v>
      </c>
      <c r="K623" s="1">
        <v>44372</v>
      </c>
      <c r="L623">
        <v>75</v>
      </c>
      <c r="M623" s="2" t="str">
        <f>IF(Spotify[[#This Row],[Energie]]&gt;AVERAGE(Spotify[Energie]),"FORTE","FAIBLE")</f>
        <v>FAIBLE</v>
      </c>
      <c r="N623" s="2">
        <v>0.66500000000000004</v>
      </c>
      <c r="O623" s="2">
        <v>0.46899999999999997</v>
      </c>
      <c r="P623" s="2">
        <v>0.13</v>
      </c>
      <c r="Q623" s="2">
        <v>0.56499999999999995</v>
      </c>
      <c r="R623" s="2">
        <v>0.219</v>
      </c>
      <c r="S623" s="2">
        <v>0.14199999999999999</v>
      </c>
      <c r="T623" s="2">
        <v>-7.7779999999999996</v>
      </c>
      <c r="U623">
        <v>229565</v>
      </c>
      <c r="V623">
        <f>YEAR(Spotify[[#This Row],[Date de sortie]])</f>
        <v>2021</v>
      </c>
      <c r="W623" s="2" t="str">
        <f>IF(Spotify[[#This Row],[Popularité]]&gt;=70,"FORTE","FAIBLE")</f>
        <v>FORTE</v>
      </c>
    </row>
    <row r="624" spans="1:23" x14ac:dyDescent="0.25">
      <c r="A624">
        <v>739</v>
      </c>
      <c r="B624">
        <v>26</v>
      </c>
      <c r="C624">
        <v>2</v>
      </c>
      <c r="D624" s="1">
        <v>44155</v>
      </c>
      <c r="E624" s="59" t="str" cm="1">
        <f t="array" ref="E62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24" t="s">
        <v>1286</v>
      </c>
      <c r="G624" s="3">
        <v>7165808</v>
      </c>
      <c r="H624" t="s">
        <v>32</v>
      </c>
      <c r="I624" s="4">
        <v>37151476</v>
      </c>
      <c r="J624" t="s">
        <v>33</v>
      </c>
      <c r="K624" s="1">
        <v>44155</v>
      </c>
      <c r="L624">
        <v>75</v>
      </c>
      <c r="M624" s="2" t="str">
        <f>IF(Spotify[[#This Row],[Energie]]&gt;AVERAGE(Spotify[Energie]),"FORTE","FAIBLE")</f>
        <v>FORTE</v>
      </c>
      <c r="N624" s="2">
        <v>0.73099999999999998</v>
      </c>
      <c r="O624" s="2">
        <v>0.84499999999999997</v>
      </c>
      <c r="P624" s="2">
        <v>0.13200000000000001</v>
      </c>
      <c r="Q624" s="2">
        <v>1.32E-2</v>
      </c>
      <c r="R624" s="2">
        <v>7.8200000000000006E-2</v>
      </c>
      <c r="S624" s="2">
        <v>0.48399999999999999</v>
      </c>
      <c r="T624" s="2">
        <v>-5.3520000000000003</v>
      </c>
      <c r="U624">
        <v>239722</v>
      </c>
      <c r="V624">
        <f>YEAR(Spotify[[#This Row],[Date de sortie]])</f>
        <v>2020</v>
      </c>
      <c r="W624" s="2" t="str">
        <f>IF(Spotify[[#This Row],[Popularité]]&gt;=70,"FORTE","FAIBLE")</f>
        <v>FORTE</v>
      </c>
    </row>
    <row r="625" spans="1:23" x14ac:dyDescent="0.25">
      <c r="A625">
        <v>1474</v>
      </c>
      <c r="B625">
        <v>38</v>
      </c>
      <c r="C625">
        <v>2</v>
      </c>
      <c r="D625" s="1">
        <v>43847</v>
      </c>
      <c r="E625" s="59" t="str" cm="1">
        <f t="array" ref="E62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625" t="s">
        <v>2339</v>
      </c>
      <c r="G625" s="3">
        <v>7060589</v>
      </c>
      <c r="H625" t="s">
        <v>2268</v>
      </c>
      <c r="I625" s="4">
        <v>6189454</v>
      </c>
      <c r="J625" t="s">
        <v>426</v>
      </c>
      <c r="K625" s="1">
        <v>43847</v>
      </c>
      <c r="L625">
        <v>75</v>
      </c>
      <c r="M625" s="2" t="str">
        <f>IF(Spotify[[#This Row],[Energie]]&gt;AVERAGE(Spotify[Energie]),"FORTE","FAIBLE")</f>
        <v>FAIBLE</v>
      </c>
      <c r="N625" s="2">
        <v>0.74199999999999999</v>
      </c>
      <c r="O625" s="2">
        <v>0.55300000000000005</v>
      </c>
      <c r="P625" s="2">
        <v>0.41899999999999998</v>
      </c>
      <c r="Q625" s="2">
        <v>0.38900000000000001</v>
      </c>
      <c r="R625" s="2">
        <v>6.9400000000000003E-2</v>
      </c>
      <c r="S625" s="2">
        <v>0.50800000000000001</v>
      </c>
      <c r="T625" s="2">
        <v>-8.98</v>
      </c>
      <c r="U625">
        <v>209440</v>
      </c>
      <c r="V625">
        <f>YEAR(Spotify[[#This Row],[Date de sortie]])</f>
        <v>2020</v>
      </c>
      <c r="W625" s="2" t="str">
        <f>IF(Spotify[[#This Row],[Popularité]]&gt;=70,"FORTE","FAIBLE")</f>
        <v>FORTE</v>
      </c>
    </row>
    <row r="626" spans="1:23" x14ac:dyDescent="0.25">
      <c r="A626">
        <v>301</v>
      </c>
      <c r="B626">
        <v>106</v>
      </c>
      <c r="C626">
        <v>1</v>
      </c>
      <c r="D626" s="1">
        <v>44358</v>
      </c>
      <c r="E626" s="59" t="str" cm="1">
        <f t="array" ref="E62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626" t="s">
        <v>588</v>
      </c>
      <c r="G626" s="3">
        <v>6989528</v>
      </c>
      <c r="H626" t="s">
        <v>78</v>
      </c>
      <c r="I626" s="4">
        <v>4840346</v>
      </c>
      <c r="J626" t="s">
        <v>79</v>
      </c>
      <c r="K626" s="1">
        <v>44358</v>
      </c>
      <c r="L626">
        <v>75</v>
      </c>
      <c r="M626" s="2" t="str">
        <f>IF(Spotify[[#This Row],[Energie]]&gt;AVERAGE(Spotify[Energie]),"FORTE","FAIBLE")</f>
        <v>FAIBLE</v>
      </c>
      <c r="N626" s="2">
        <v>0.50600000000000001</v>
      </c>
      <c r="O626" s="2">
        <v>0.56299999999999994</v>
      </c>
      <c r="P626" s="2">
        <v>0.41099999999999998</v>
      </c>
      <c r="Q626" s="2">
        <v>3.2599999999999997E-2</v>
      </c>
      <c r="R626" s="2">
        <v>8.5599999999999996E-2</v>
      </c>
      <c r="S626" s="2">
        <v>0.153</v>
      </c>
      <c r="T626" s="2">
        <v>-7.6639999999999997</v>
      </c>
      <c r="U626">
        <v>190509</v>
      </c>
      <c r="V626">
        <f>YEAR(Spotify[[#This Row],[Date de sortie]])</f>
        <v>2021</v>
      </c>
      <c r="W626" s="2" t="str">
        <f>IF(Spotify[[#This Row],[Popularité]]&gt;=70,"FORTE","FAIBLE")</f>
        <v>FORTE</v>
      </c>
    </row>
    <row r="627" spans="1:23" x14ac:dyDescent="0.25">
      <c r="A627">
        <v>344</v>
      </c>
      <c r="B627">
        <v>118</v>
      </c>
      <c r="C627">
        <v>1</v>
      </c>
      <c r="D627" s="1">
        <v>44337</v>
      </c>
      <c r="E627" s="59" t="str" cm="1">
        <f t="array" ref="E62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627" t="s">
        <v>652</v>
      </c>
      <c r="G627" s="3">
        <v>6628638</v>
      </c>
      <c r="H627" t="s">
        <v>651</v>
      </c>
      <c r="I627" s="4">
        <v>20823062</v>
      </c>
      <c r="J627" t="s">
        <v>227</v>
      </c>
      <c r="K627" s="1">
        <v>44337</v>
      </c>
      <c r="L627">
        <v>75</v>
      </c>
      <c r="M627" s="2" t="str">
        <f>IF(Spotify[[#This Row],[Energie]]&gt;AVERAGE(Spotify[Energie]),"FORTE","FAIBLE")</f>
        <v>FORTE</v>
      </c>
      <c r="N627" s="2">
        <v>0.68700000000000006</v>
      </c>
      <c r="O627" s="2">
        <v>0.89</v>
      </c>
      <c r="P627" s="2">
        <v>3.44E-2</v>
      </c>
      <c r="Q627" s="2">
        <v>3.96E-3</v>
      </c>
      <c r="R627" s="2">
        <v>4.36E-2</v>
      </c>
      <c r="S627" s="2">
        <v>0.85399999999999998</v>
      </c>
      <c r="T627" s="2">
        <v>-5.99</v>
      </c>
      <c r="U627">
        <v>172232</v>
      </c>
      <c r="V627">
        <f>YEAR(Spotify[[#This Row],[Date de sortie]])</f>
        <v>2021</v>
      </c>
      <c r="W627" s="2" t="str">
        <f>IF(Spotify[[#This Row],[Popularité]]&gt;=70,"FORTE","FAIBLE")</f>
        <v>FORTE</v>
      </c>
    </row>
    <row r="628" spans="1:23" x14ac:dyDescent="0.25">
      <c r="A628">
        <v>317</v>
      </c>
      <c r="B628">
        <v>117</v>
      </c>
      <c r="C628">
        <v>1</v>
      </c>
      <c r="D628" s="1">
        <v>44351</v>
      </c>
      <c r="E628" s="59" t="str" cm="1">
        <f t="array" ref="E62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28" t="s">
        <v>610</v>
      </c>
      <c r="G628" s="3">
        <v>6439718</v>
      </c>
      <c r="H628" t="s">
        <v>443</v>
      </c>
      <c r="I628" s="4">
        <v>5178156</v>
      </c>
      <c r="J628" t="s">
        <v>444</v>
      </c>
      <c r="K628" s="1">
        <v>44393</v>
      </c>
      <c r="L628">
        <v>75</v>
      </c>
      <c r="M628" s="2" t="str">
        <f>IF(Spotify[[#This Row],[Energie]]&gt;AVERAGE(Spotify[Energie]),"FORTE","FAIBLE")</f>
        <v>FORTE</v>
      </c>
      <c r="N628" s="2">
        <v>0.59099999999999997</v>
      </c>
      <c r="O628" s="2">
        <v>0.83099999999999996</v>
      </c>
      <c r="P628" s="2">
        <v>3.5499999999999997E-2</v>
      </c>
      <c r="Q628" s="2">
        <v>0.23499999999999999</v>
      </c>
      <c r="R628" s="2">
        <v>5.7099999999999998E-2</v>
      </c>
      <c r="S628" s="2">
        <v>0.67800000000000005</v>
      </c>
      <c r="T628" s="2">
        <v>-6.6120000000000001</v>
      </c>
      <c r="U628">
        <v>187307</v>
      </c>
      <c r="V628">
        <f>YEAR(Spotify[[#This Row],[Date de sortie]])</f>
        <v>2021</v>
      </c>
      <c r="W628" s="2" t="str">
        <f>IF(Spotify[[#This Row],[Popularité]]&gt;=70,"FORTE","FAIBLE")</f>
        <v>FORTE</v>
      </c>
    </row>
    <row r="629" spans="1:23" x14ac:dyDescent="0.25">
      <c r="A629">
        <v>345</v>
      </c>
      <c r="B629">
        <v>18</v>
      </c>
      <c r="C629">
        <v>2</v>
      </c>
      <c r="D629" s="1">
        <v>44330</v>
      </c>
      <c r="E629" s="59" t="str" cm="1">
        <f t="array" ref="E62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629" t="s">
        <v>653</v>
      </c>
      <c r="G629" s="3">
        <v>6333126</v>
      </c>
      <c r="H629" t="s">
        <v>552</v>
      </c>
      <c r="I629" s="4">
        <v>14097410</v>
      </c>
      <c r="J629" t="s">
        <v>553</v>
      </c>
      <c r="K629" s="1">
        <v>44330</v>
      </c>
      <c r="L629">
        <v>75</v>
      </c>
      <c r="M629" s="2" t="str">
        <f>IF(Spotify[[#This Row],[Energie]]&gt;AVERAGE(Spotify[Energie]),"FORTE","FAIBLE")</f>
        <v>FORTE</v>
      </c>
      <c r="N629" s="2">
        <v>0.71299999999999997</v>
      </c>
      <c r="O629" s="2">
        <v>0.79300000000000004</v>
      </c>
      <c r="P629" s="2">
        <v>0.39700000000000002</v>
      </c>
      <c r="Q629" s="2">
        <v>0.27100000000000002</v>
      </c>
      <c r="R629" s="2">
        <v>0.72699999999999998</v>
      </c>
      <c r="S629" s="2">
        <v>0.20300000000000001</v>
      </c>
      <c r="T629" s="2">
        <v>-5.2770000000000001</v>
      </c>
      <c r="U629">
        <v>196946</v>
      </c>
      <c r="V629">
        <f>YEAR(Spotify[[#This Row],[Date de sortie]])</f>
        <v>2021</v>
      </c>
      <c r="W629" s="2" t="str">
        <f>IF(Spotify[[#This Row],[Popularité]]&gt;=70,"FORTE","FAIBLE")</f>
        <v>FORTE</v>
      </c>
    </row>
    <row r="630" spans="1:23" x14ac:dyDescent="0.25">
      <c r="A630">
        <v>348</v>
      </c>
      <c r="B630">
        <v>137</v>
      </c>
      <c r="C630">
        <v>1</v>
      </c>
      <c r="D630" s="1">
        <v>44337</v>
      </c>
      <c r="E630" s="59" t="str" cm="1">
        <f t="array" ref="E63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30" t="s">
        <v>658</v>
      </c>
      <c r="G630" s="3">
        <v>6237019</v>
      </c>
      <c r="H630" t="s">
        <v>659</v>
      </c>
      <c r="I630" s="4">
        <v>107553</v>
      </c>
      <c r="J630" t="s">
        <v>649</v>
      </c>
      <c r="K630" s="1">
        <v>44265</v>
      </c>
      <c r="L630">
        <v>75</v>
      </c>
      <c r="M630" s="2" t="str">
        <f>IF(Spotify[[#This Row],[Energie]]&gt;AVERAGE(Spotify[Energie]),"FORTE","FAIBLE")</f>
        <v>FORTE</v>
      </c>
      <c r="N630" s="2">
        <v>0.52700000000000002</v>
      </c>
      <c r="O630" s="2">
        <v>0.73699999999999999</v>
      </c>
      <c r="P630" s="2">
        <v>6.4199999999999993E-2</v>
      </c>
      <c r="Q630" s="2">
        <v>0.05</v>
      </c>
      <c r="R630" s="2">
        <v>0.105</v>
      </c>
      <c r="S630" s="2">
        <v>0.499</v>
      </c>
      <c r="T630" s="2">
        <v>-5.34</v>
      </c>
      <c r="U630">
        <v>172675</v>
      </c>
      <c r="V630">
        <f>YEAR(Spotify[[#This Row],[Date de sortie]])</f>
        <v>2021</v>
      </c>
      <c r="W630" s="2" t="str">
        <f>IF(Spotify[[#This Row],[Popularité]]&gt;=70,"FORTE","FAIBLE")</f>
        <v>FORTE</v>
      </c>
    </row>
    <row r="631" spans="1:23" x14ac:dyDescent="0.25">
      <c r="A631">
        <v>748</v>
      </c>
      <c r="B631">
        <v>139</v>
      </c>
      <c r="C631">
        <v>1</v>
      </c>
      <c r="D631" s="1">
        <v>44155</v>
      </c>
      <c r="E631" s="59" t="str" cm="1">
        <f t="array" ref="E63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31" t="s">
        <v>1299</v>
      </c>
      <c r="G631" s="3">
        <v>6152821</v>
      </c>
      <c r="H631" t="s">
        <v>1300</v>
      </c>
      <c r="I631" s="4">
        <v>8123757</v>
      </c>
      <c r="J631" t="s">
        <v>1301</v>
      </c>
      <c r="K631" s="1">
        <v>44148</v>
      </c>
      <c r="L631">
        <v>75</v>
      </c>
      <c r="M631" s="2" t="str">
        <f>IF(Spotify[[#This Row],[Energie]]&gt;AVERAGE(Spotify[Energie]),"FORTE","FAIBLE")</f>
        <v>FORTE</v>
      </c>
      <c r="N631" s="2">
        <v>0.83899999999999997</v>
      </c>
      <c r="O631" s="2">
        <v>0.66700000000000004</v>
      </c>
      <c r="P631" s="2">
        <v>3.1E-2</v>
      </c>
      <c r="Q631" s="2">
        <v>0.32200000000000001</v>
      </c>
      <c r="R631" s="2">
        <v>0.24399999999999999</v>
      </c>
      <c r="S631" s="2">
        <v>0.878</v>
      </c>
      <c r="T631" s="2">
        <v>-3.9609999999999999</v>
      </c>
      <c r="U631">
        <v>171360</v>
      </c>
      <c r="V631">
        <f>YEAR(Spotify[[#This Row],[Date de sortie]])</f>
        <v>2020</v>
      </c>
      <c r="W631" s="2" t="str">
        <f>IF(Spotify[[#This Row],[Popularité]]&gt;=70,"FORTE","FAIBLE")</f>
        <v>FORTE</v>
      </c>
    </row>
    <row r="632" spans="1:23" x14ac:dyDescent="0.25">
      <c r="A632">
        <v>396</v>
      </c>
      <c r="B632">
        <v>122</v>
      </c>
      <c r="C632">
        <v>1</v>
      </c>
      <c r="D632" s="1">
        <v>44316</v>
      </c>
      <c r="E632" s="59" t="str" cm="1">
        <f t="array" ref="E63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632" t="s">
        <v>740</v>
      </c>
      <c r="G632" s="3">
        <v>6083338</v>
      </c>
      <c r="H632" t="s">
        <v>489</v>
      </c>
      <c r="I632" s="4">
        <v>6278835</v>
      </c>
      <c r="J632" t="s">
        <v>426</v>
      </c>
      <c r="K632" s="1">
        <v>44316</v>
      </c>
      <c r="L632">
        <v>75</v>
      </c>
      <c r="M632" s="2" t="str">
        <f>IF(Spotify[[#This Row],[Energie]]&gt;AVERAGE(Spotify[Energie]),"FORTE","FAIBLE")</f>
        <v>FAIBLE</v>
      </c>
      <c r="N632" s="2">
        <v>0.877</v>
      </c>
      <c r="O632" s="2">
        <v>0.44400000000000001</v>
      </c>
      <c r="P632" s="2">
        <v>0.17199999999999999</v>
      </c>
      <c r="Q632" s="2">
        <v>0.24</v>
      </c>
      <c r="R632" s="2">
        <v>0.16900000000000001</v>
      </c>
      <c r="S632" s="2">
        <v>0.65800000000000003</v>
      </c>
      <c r="T632" s="2">
        <v>-7.5469999999999997</v>
      </c>
      <c r="U632">
        <v>165527</v>
      </c>
      <c r="V632">
        <f>YEAR(Spotify[[#This Row],[Date de sortie]])</f>
        <v>2021</v>
      </c>
      <c r="W632" s="2" t="str">
        <f>IF(Spotify[[#This Row],[Popularité]]&gt;=70,"FORTE","FAIBLE")</f>
        <v>FORTE</v>
      </c>
    </row>
    <row r="633" spans="1:23" x14ac:dyDescent="0.25">
      <c r="A633">
        <v>588</v>
      </c>
      <c r="B633">
        <v>73</v>
      </c>
      <c r="C633">
        <v>6</v>
      </c>
      <c r="D633" s="1">
        <v>44176</v>
      </c>
      <c r="E633" s="59" t="str" cm="1">
        <f t="array" ref="E63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633" t="s">
        <v>1049</v>
      </c>
      <c r="G633" s="3">
        <v>5942551</v>
      </c>
      <c r="H633" t="s">
        <v>1050</v>
      </c>
      <c r="I633" s="4">
        <v>19102888</v>
      </c>
      <c r="J633" t="s">
        <v>79</v>
      </c>
      <c r="K633" s="1">
        <v>44173</v>
      </c>
      <c r="L633">
        <v>75</v>
      </c>
      <c r="M633" s="2" t="str">
        <f>IF(Spotify[[#This Row],[Energie]]&gt;AVERAGE(Spotify[Energie]),"FORTE","FAIBLE")</f>
        <v>FAIBLE</v>
      </c>
      <c r="N633" s="2">
        <v>0.61299999999999999</v>
      </c>
      <c r="O633" s="2">
        <v>0.63100000000000001</v>
      </c>
      <c r="P633" s="2">
        <v>0.12</v>
      </c>
      <c r="Q633" s="2">
        <v>6.6299999999999998E-2</v>
      </c>
      <c r="R633" s="2">
        <v>0.16900000000000001</v>
      </c>
      <c r="S633" s="2">
        <v>0.33</v>
      </c>
      <c r="T633" s="2">
        <v>-6.9649999999999999</v>
      </c>
      <c r="U633">
        <v>158033</v>
      </c>
      <c r="V633">
        <f>YEAR(Spotify[[#This Row],[Date de sortie]])</f>
        <v>2020</v>
      </c>
      <c r="W633" s="2" t="str">
        <f>IF(Spotify[[#This Row],[Popularité]]&gt;=70,"FORTE","FAIBLE")</f>
        <v>FORTE</v>
      </c>
    </row>
    <row r="634" spans="1:23" x14ac:dyDescent="0.25">
      <c r="A634">
        <v>520</v>
      </c>
      <c r="B634">
        <v>42</v>
      </c>
      <c r="C634">
        <v>12</v>
      </c>
      <c r="D634" s="1">
        <v>44141</v>
      </c>
      <c r="E634" s="59" t="str" cm="1">
        <f t="array" ref="E63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34" t="s">
        <v>944</v>
      </c>
      <c r="G634" s="3">
        <v>5874460</v>
      </c>
      <c r="H634" t="s">
        <v>945</v>
      </c>
      <c r="I634" s="4">
        <v>1453875</v>
      </c>
      <c r="J634" t="s">
        <v>946</v>
      </c>
      <c r="K634" s="1">
        <v>44253</v>
      </c>
      <c r="L634">
        <v>75</v>
      </c>
      <c r="M634" s="2" t="str">
        <f>IF(Spotify[[#This Row],[Energie]]&gt;AVERAGE(Spotify[Energie]),"FORTE","FAIBLE")</f>
        <v>FORTE</v>
      </c>
      <c r="N634" s="2">
        <v>0.82299999999999995</v>
      </c>
      <c r="O634" s="2">
        <v>0.72299999999999998</v>
      </c>
      <c r="P634" s="2">
        <v>0.22900000000000001</v>
      </c>
      <c r="Q634" s="2">
        <v>0.311</v>
      </c>
      <c r="R634" s="2">
        <v>9.98E-2</v>
      </c>
      <c r="S634" s="2">
        <v>0.505</v>
      </c>
      <c r="T634" s="2">
        <v>-4.7779999999999996</v>
      </c>
      <c r="U634">
        <v>198493</v>
      </c>
      <c r="V634">
        <f>YEAR(Spotify[[#This Row],[Date de sortie]])</f>
        <v>2021</v>
      </c>
      <c r="W634" s="2" t="str">
        <f>IF(Spotify[[#This Row],[Popularité]]&gt;=70,"FORTE","FAIBLE")</f>
        <v>FORTE</v>
      </c>
    </row>
    <row r="635" spans="1:23" x14ac:dyDescent="0.25">
      <c r="A635">
        <v>1220</v>
      </c>
      <c r="B635">
        <v>115</v>
      </c>
      <c r="C635">
        <v>1</v>
      </c>
      <c r="D635" s="1">
        <v>43945</v>
      </c>
      <c r="E635" s="59" t="str" cm="1">
        <f t="array" ref="E63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635" t="s">
        <v>1995</v>
      </c>
      <c r="G635" s="3">
        <v>5686981</v>
      </c>
      <c r="H635" t="s">
        <v>310</v>
      </c>
      <c r="I635" s="4">
        <v>17732077</v>
      </c>
      <c r="J635" t="s">
        <v>186</v>
      </c>
      <c r="K635" s="1">
        <v>43315</v>
      </c>
      <c r="L635">
        <v>75</v>
      </c>
      <c r="M635" s="2" t="str">
        <f>IF(Spotify[[#This Row],[Energie]]&gt;AVERAGE(Spotify[Energie]),"FORTE","FAIBLE")</f>
        <v>FAIBLE</v>
      </c>
      <c r="N635" s="2">
        <v>0.78500000000000003</v>
      </c>
      <c r="O635" s="2">
        <v>0.55400000000000005</v>
      </c>
      <c r="P635" s="2">
        <v>4.0899999999999999E-2</v>
      </c>
      <c r="Q635" s="2">
        <v>0.28299999999999997</v>
      </c>
      <c r="R635" s="2">
        <v>0.11600000000000001</v>
      </c>
      <c r="S635" s="2">
        <v>0.14399999999999999</v>
      </c>
      <c r="T635" s="2">
        <v>-6.5709999999999997</v>
      </c>
      <c r="U635">
        <v>150043</v>
      </c>
      <c r="V635">
        <f>YEAR(Spotify[[#This Row],[Date de sortie]])</f>
        <v>2018</v>
      </c>
      <c r="W635" s="2" t="str">
        <f>IF(Spotify[[#This Row],[Popularité]]&gt;=70,"FORTE","FAIBLE")</f>
        <v>FORTE</v>
      </c>
    </row>
    <row r="636" spans="1:23" x14ac:dyDescent="0.25">
      <c r="A636">
        <v>268</v>
      </c>
      <c r="B636">
        <v>165</v>
      </c>
      <c r="C636">
        <v>1</v>
      </c>
      <c r="D636" s="1">
        <v>44372</v>
      </c>
      <c r="E636" s="59" t="str" cm="1">
        <f t="array" ref="E63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36" t="s">
        <v>528</v>
      </c>
      <c r="G636" s="3">
        <v>5527865</v>
      </c>
      <c r="H636" t="s">
        <v>18</v>
      </c>
      <c r="I636" s="4">
        <v>8640063</v>
      </c>
      <c r="J636" t="s">
        <v>19</v>
      </c>
      <c r="K636" s="1">
        <v>44372</v>
      </c>
      <c r="L636">
        <v>75</v>
      </c>
      <c r="M636" s="2" t="str">
        <f>IF(Spotify[[#This Row],[Energie]]&gt;AVERAGE(Spotify[Energie]),"FORTE","FAIBLE")</f>
        <v>FORTE</v>
      </c>
      <c r="N636" s="2">
        <v>0.73299999999999998</v>
      </c>
      <c r="O636" s="2">
        <v>0.86199999999999999</v>
      </c>
      <c r="P636" s="2">
        <v>0.19700000000000001</v>
      </c>
      <c r="Q636" s="2">
        <v>0.374</v>
      </c>
      <c r="R636" s="2">
        <v>0.13100000000000001</v>
      </c>
      <c r="S636" s="2">
        <v>0.53600000000000003</v>
      </c>
      <c r="T636" s="2">
        <v>-5.7359999999999998</v>
      </c>
      <c r="U636">
        <v>223560</v>
      </c>
      <c r="V636">
        <f>YEAR(Spotify[[#This Row],[Date de sortie]])</f>
        <v>2021</v>
      </c>
      <c r="W636" s="2" t="str">
        <f>IF(Spotify[[#This Row],[Popularité]]&gt;=70,"FORTE","FAIBLE")</f>
        <v>FORTE</v>
      </c>
    </row>
    <row r="637" spans="1:23" x14ac:dyDescent="0.25">
      <c r="A637">
        <v>873</v>
      </c>
      <c r="B637">
        <v>112</v>
      </c>
      <c r="C637">
        <v>5</v>
      </c>
      <c r="D637" s="1">
        <v>44085</v>
      </c>
      <c r="E637" s="59" t="str" cm="1">
        <f t="array" ref="E63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37" t="s">
        <v>1496</v>
      </c>
      <c r="G637" s="3">
        <v>5463424</v>
      </c>
      <c r="H637" t="s">
        <v>1497</v>
      </c>
      <c r="I637" s="4">
        <v>2396662</v>
      </c>
      <c r="J637" t="s">
        <v>222</v>
      </c>
      <c r="K637" s="1">
        <v>43637</v>
      </c>
      <c r="L637">
        <v>75</v>
      </c>
      <c r="M637" s="2" t="str">
        <f>IF(Spotify[[#This Row],[Energie]]&gt;AVERAGE(Spotify[Energie]),"FORTE","FAIBLE")</f>
        <v>FAIBLE</v>
      </c>
      <c r="N637" s="2">
        <v>0.74</v>
      </c>
      <c r="O637" s="2">
        <v>0.41499999999999998</v>
      </c>
      <c r="P637" s="2">
        <v>7.0699999999999999E-2</v>
      </c>
      <c r="Q637" s="2">
        <v>0.24199999999999999</v>
      </c>
      <c r="R637" s="2">
        <v>0.31900000000000001</v>
      </c>
      <c r="S637" s="2">
        <v>0.156</v>
      </c>
      <c r="T637" s="2">
        <v>-8.9139999999999997</v>
      </c>
      <c r="U637">
        <v>180161</v>
      </c>
      <c r="V637">
        <f>YEAR(Spotify[[#This Row],[Date de sortie]])</f>
        <v>2019</v>
      </c>
      <c r="W637" s="2" t="str">
        <f>IF(Spotify[[#This Row],[Popularité]]&gt;=70,"FORTE","FAIBLE")</f>
        <v>FORTE</v>
      </c>
    </row>
    <row r="638" spans="1:23" x14ac:dyDescent="0.25">
      <c r="A638">
        <v>507</v>
      </c>
      <c r="B638">
        <v>64</v>
      </c>
      <c r="C638">
        <v>2</v>
      </c>
      <c r="D638" s="1">
        <v>44253</v>
      </c>
      <c r="E638" s="59" t="str" cm="1">
        <f t="array" ref="E63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38" t="s">
        <v>922</v>
      </c>
      <c r="G638" s="3">
        <v>5462333</v>
      </c>
      <c r="H638" t="s">
        <v>338</v>
      </c>
      <c r="I638" s="4">
        <v>6852509</v>
      </c>
      <c r="J638" t="s">
        <v>158</v>
      </c>
      <c r="K638" s="1">
        <v>44253</v>
      </c>
      <c r="L638">
        <v>75</v>
      </c>
      <c r="M638" s="2" t="str">
        <f>IF(Spotify[[#This Row],[Energie]]&gt;AVERAGE(Spotify[Energie]),"FORTE","FAIBLE")</f>
        <v>FORTE</v>
      </c>
      <c r="N638" s="2">
        <v>0.751</v>
      </c>
      <c r="O638" s="2">
        <v>0.74399999999999999</v>
      </c>
      <c r="P638" s="2">
        <v>0.17699999999999999</v>
      </c>
      <c r="Q638" s="2">
        <v>0.152</v>
      </c>
      <c r="R638" s="2">
        <v>0.252</v>
      </c>
      <c r="S638" s="2">
        <v>0.63400000000000001</v>
      </c>
      <c r="T638" s="2">
        <v>-6.859</v>
      </c>
      <c r="U638">
        <v>171892</v>
      </c>
      <c r="V638">
        <f>YEAR(Spotify[[#This Row],[Date de sortie]])</f>
        <v>2021</v>
      </c>
      <c r="W638" s="2" t="str">
        <f>IF(Spotify[[#This Row],[Popularité]]&gt;=70,"FORTE","FAIBLE")</f>
        <v>FORTE</v>
      </c>
    </row>
    <row r="639" spans="1:23" x14ac:dyDescent="0.25">
      <c r="A639">
        <v>596</v>
      </c>
      <c r="B639">
        <v>158</v>
      </c>
      <c r="C639">
        <v>1</v>
      </c>
      <c r="D639" s="1">
        <v>44204</v>
      </c>
      <c r="E639" s="59" t="str" cm="1">
        <f t="array" ref="E63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COUNTRY</v>
      </c>
      <c r="F639" t="s">
        <v>1064</v>
      </c>
      <c r="G639" s="3">
        <v>5446609</v>
      </c>
      <c r="H639" t="s">
        <v>1030</v>
      </c>
      <c r="I639" s="4">
        <v>2147875</v>
      </c>
      <c r="J639" t="s">
        <v>382</v>
      </c>
      <c r="K639" s="1">
        <v>44204</v>
      </c>
      <c r="L639">
        <v>75</v>
      </c>
      <c r="M639" s="2" t="str">
        <f>IF(Spotify[[#This Row],[Energie]]&gt;AVERAGE(Spotify[Energie]),"FORTE","FAIBLE")</f>
        <v>FAIBLE</v>
      </c>
      <c r="N639" s="2">
        <v>0.40300000000000002</v>
      </c>
      <c r="O639" s="2">
        <v>0.53700000000000003</v>
      </c>
      <c r="P639" s="2">
        <v>3.1E-2</v>
      </c>
      <c r="Q639" s="2">
        <v>0.59</v>
      </c>
      <c r="R639" s="2">
        <v>0.112</v>
      </c>
      <c r="S639" s="2">
        <v>0.41399999999999998</v>
      </c>
      <c r="T639" s="2">
        <v>-6.6280000000000001</v>
      </c>
      <c r="U639">
        <v>202133</v>
      </c>
      <c r="V639">
        <f>YEAR(Spotify[[#This Row],[Date de sortie]])</f>
        <v>2021</v>
      </c>
      <c r="W639" s="2" t="str">
        <f>IF(Spotify[[#This Row],[Popularité]]&gt;=70,"FORTE","FAIBLE")</f>
        <v>FORTE</v>
      </c>
    </row>
    <row r="640" spans="1:23" x14ac:dyDescent="0.25">
      <c r="A640">
        <v>170</v>
      </c>
      <c r="B640">
        <v>155</v>
      </c>
      <c r="C640">
        <v>22</v>
      </c>
      <c r="D640" s="1">
        <v>44379</v>
      </c>
      <c r="E640" s="59" t="str" cm="1">
        <f t="array" ref="E64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640" t="s">
        <v>355</v>
      </c>
      <c r="G640" s="3">
        <v>5382191</v>
      </c>
      <c r="H640" t="s">
        <v>356</v>
      </c>
      <c r="I640" s="4">
        <v>6118063</v>
      </c>
      <c r="J640" t="s">
        <v>357</v>
      </c>
      <c r="K640" s="1">
        <v>38153</v>
      </c>
      <c r="L640">
        <v>75</v>
      </c>
      <c r="M640" s="2" t="str">
        <f>IF(Spotify[[#This Row],[Energie]]&gt;AVERAGE(Spotify[Energie]),"FORTE","FAIBLE")</f>
        <v>FORTE</v>
      </c>
      <c r="N640" s="2">
        <v>0.35599999999999998</v>
      </c>
      <c r="O640" s="2">
        <v>0.92400000000000004</v>
      </c>
      <c r="P640" s="2">
        <v>8.0799999999999997E-2</v>
      </c>
      <c r="Q640" s="2">
        <v>1.01E-3</v>
      </c>
      <c r="R640" s="2">
        <v>9.5299999999999996E-2</v>
      </c>
      <c r="S640" s="2">
        <v>0.23200000000000001</v>
      </c>
      <c r="T640" s="2">
        <v>-3.74</v>
      </c>
      <c r="U640">
        <v>222587</v>
      </c>
      <c r="V640">
        <f>YEAR(Spotify[[#This Row],[Date de sortie]])</f>
        <v>2004</v>
      </c>
      <c r="W640" s="2" t="str">
        <f>IF(Spotify[[#This Row],[Popularité]]&gt;=70,"FORTE","FAIBLE")</f>
        <v>FORTE</v>
      </c>
    </row>
    <row r="641" spans="1:23" x14ac:dyDescent="0.25">
      <c r="A641">
        <v>331</v>
      </c>
      <c r="B641">
        <v>175</v>
      </c>
      <c r="C641">
        <v>1</v>
      </c>
      <c r="D641" s="1">
        <v>44344</v>
      </c>
      <c r="E641" s="59" t="str" cm="1">
        <f t="array" ref="E64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641" t="s">
        <v>632</v>
      </c>
      <c r="G641" s="3">
        <v>5368759</v>
      </c>
      <c r="H641" t="s">
        <v>345</v>
      </c>
      <c r="I641" s="4">
        <v>19085118</v>
      </c>
      <c r="J641" t="s">
        <v>79</v>
      </c>
      <c r="K641" s="1">
        <v>44344</v>
      </c>
      <c r="L641">
        <v>75</v>
      </c>
      <c r="M641" s="2" t="str">
        <f>IF(Spotify[[#This Row],[Energie]]&gt;AVERAGE(Spotify[Energie]),"FORTE","FAIBLE")</f>
        <v>FAIBLE</v>
      </c>
      <c r="N641" s="2">
        <v>0.66300000000000003</v>
      </c>
      <c r="O641" s="2">
        <v>0.54500000000000004</v>
      </c>
      <c r="P641" s="2">
        <v>3.5999999999999997E-2</v>
      </c>
      <c r="Q641" s="2">
        <v>0.123</v>
      </c>
      <c r="R641" s="2">
        <v>0.106</v>
      </c>
      <c r="S641" s="2">
        <v>0.34399999999999997</v>
      </c>
      <c r="T641" s="2">
        <v>-3.93</v>
      </c>
      <c r="U641">
        <v>196147</v>
      </c>
      <c r="V641">
        <f>YEAR(Spotify[[#This Row],[Date de sortie]])</f>
        <v>2021</v>
      </c>
      <c r="W641" s="2" t="str">
        <f>IF(Spotify[[#This Row],[Popularité]]&gt;=70,"FORTE","FAIBLE")</f>
        <v>FORTE</v>
      </c>
    </row>
    <row r="642" spans="1:23" x14ac:dyDescent="0.25">
      <c r="A642">
        <v>174</v>
      </c>
      <c r="B642">
        <v>110</v>
      </c>
      <c r="C642">
        <v>2</v>
      </c>
      <c r="D642" s="1">
        <v>44393</v>
      </c>
      <c r="E642" s="59" t="str" cm="1">
        <f t="array" ref="E64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42" t="s">
        <v>365</v>
      </c>
      <c r="G642" s="3">
        <v>5366242</v>
      </c>
      <c r="H642" t="s">
        <v>366</v>
      </c>
      <c r="I642" s="4">
        <v>1304510</v>
      </c>
      <c r="J642" t="s">
        <v>19</v>
      </c>
      <c r="K642" s="1">
        <v>44399</v>
      </c>
      <c r="L642">
        <v>75</v>
      </c>
      <c r="M642" s="2" t="str">
        <f>IF(Spotify[[#This Row],[Energie]]&gt;AVERAGE(Spotify[Energie]),"FORTE","FAIBLE")</f>
        <v>FAIBLE</v>
      </c>
      <c r="N642" s="2">
        <v>0.74</v>
      </c>
      <c r="O642" s="2">
        <v>0.57599999999999996</v>
      </c>
      <c r="P642" s="2">
        <v>0.14599999999999999</v>
      </c>
      <c r="Q642" s="2">
        <v>2.4899999999999999E-2</v>
      </c>
      <c r="R642" s="2">
        <v>0.104</v>
      </c>
      <c r="S642" s="2">
        <v>0.315</v>
      </c>
      <c r="T642" s="2">
        <v>-6.7439999999999998</v>
      </c>
      <c r="U642">
        <v>209476</v>
      </c>
      <c r="V642">
        <f>YEAR(Spotify[[#This Row],[Date de sortie]])</f>
        <v>2021</v>
      </c>
      <c r="W642" s="2" t="str">
        <f>IF(Spotify[[#This Row],[Popularité]]&gt;=70,"FORTE","FAIBLE")</f>
        <v>FORTE</v>
      </c>
    </row>
    <row r="643" spans="1:23" x14ac:dyDescent="0.25">
      <c r="A643">
        <v>1424</v>
      </c>
      <c r="B643">
        <v>14</v>
      </c>
      <c r="C643">
        <v>6</v>
      </c>
      <c r="D643" s="1">
        <v>43847</v>
      </c>
      <c r="E643" s="59" t="str" cm="1">
        <f t="array" ref="E64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643" t="s">
        <v>2267</v>
      </c>
      <c r="G643" s="3">
        <v>5210780</v>
      </c>
      <c r="H643" t="s">
        <v>2268</v>
      </c>
      <c r="I643" s="4">
        <v>6189454</v>
      </c>
      <c r="J643" t="s">
        <v>426</v>
      </c>
      <c r="K643" s="1">
        <v>43847</v>
      </c>
      <c r="L643">
        <v>75</v>
      </c>
      <c r="M643" s="2" t="str">
        <f>IF(Spotify[[#This Row],[Energie]]&gt;AVERAGE(Spotify[Energie]),"FORTE","FAIBLE")</f>
        <v>FAIBLE</v>
      </c>
      <c r="N643" s="2">
        <v>0.79400000000000004</v>
      </c>
      <c r="O643" s="2">
        <v>0.32</v>
      </c>
      <c r="P643" s="2">
        <v>0.17299999999999999</v>
      </c>
      <c r="Q643" s="2">
        <v>0.85299999999999998</v>
      </c>
      <c r="R643" s="2">
        <v>0.112</v>
      </c>
      <c r="S643" s="2">
        <v>0.24099999999999999</v>
      </c>
      <c r="T643" s="2">
        <v>-12.92</v>
      </c>
      <c r="U643">
        <v>342040</v>
      </c>
      <c r="V643">
        <f>YEAR(Spotify[[#This Row],[Date de sortie]])</f>
        <v>2020</v>
      </c>
      <c r="W643" s="2" t="str">
        <f>IF(Spotify[[#This Row],[Popularité]]&gt;=70,"FORTE","FAIBLE")</f>
        <v>FORTE</v>
      </c>
    </row>
    <row r="644" spans="1:23" x14ac:dyDescent="0.25">
      <c r="A644">
        <v>1312</v>
      </c>
      <c r="B644">
        <v>163</v>
      </c>
      <c r="C644">
        <v>1</v>
      </c>
      <c r="D644" s="1">
        <v>43903</v>
      </c>
      <c r="E644" s="59" t="str" cm="1">
        <f t="array" ref="E64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44" t="s">
        <v>2122</v>
      </c>
      <c r="G644" s="3">
        <v>5204120</v>
      </c>
      <c r="H644" t="s">
        <v>2087</v>
      </c>
      <c r="I644" s="4">
        <v>7564659</v>
      </c>
      <c r="J644" t="s">
        <v>19</v>
      </c>
      <c r="K644" s="1">
        <v>43903</v>
      </c>
      <c r="L644">
        <v>75</v>
      </c>
      <c r="M644" s="2" t="str">
        <f>IF(Spotify[[#This Row],[Energie]]&gt;AVERAGE(Spotify[Energie]),"FORTE","FAIBLE")</f>
        <v>FAIBLE</v>
      </c>
      <c r="N644" s="2">
        <v>0.443</v>
      </c>
      <c r="O644" s="2">
        <v>0.58199999999999996</v>
      </c>
      <c r="P644" s="2">
        <v>4.82E-2</v>
      </c>
      <c r="Q644" s="2">
        <v>3.0099999999999998E-2</v>
      </c>
      <c r="R644" s="2">
        <v>0.127</v>
      </c>
      <c r="S644" s="2">
        <v>0.23899999999999999</v>
      </c>
      <c r="T644" s="2">
        <v>-6.02</v>
      </c>
      <c r="U644">
        <v>193090</v>
      </c>
      <c r="V644">
        <f>YEAR(Spotify[[#This Row],[Date de sortie]])</f>
        <v>2020</v>
      </c>
      <c r="W644" s="2" t="str">
        <f>IF(Spotify[[#This Row],[Popularité]]&gt;=70,"FORTE","FAIBLE")</f>
        <v>FORTE</v>
      </c>
    </row>
    <row r="645" spans="1:23" x14ac:dyDescent="0.25">
      <c r="A645">
        <v>1522</v>
      </c>
      <c r="B645">
        <v>138</v>
      </c>
      <c r="C645">
        <v>3</v>
      </c>
      <c r="D645" s="1">
        <v>43833</v>
      </c>
      <c r="E645" s="59" t="str" cm="1">
        <f t="array" ref="E64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645" t="s">
        <v>2396</v>
      </c>
      <c r="G645" s="3">
        <v>5199618</v>
      </c>
      <c r="H645" t="s">
        <v>59</v>
      </c>
      <c r="I645" s="4">
        <v>33663701</v>
      </c>
      <c r="J645" t="s">
        <v>60</v>
      </c>
      <c r="K645" s="1">
        <v>43714</v>
      </c>
      <c r="L645">
        <v>75</v>
      </c>
      <c r="M645" s="2" t="str">
        <f>IF(Spotify[[#This Row],[Energie]]&gt;AVERAGE(Spotify[Energie]),"FORTE","FAIBLE")</f>
        <v>FORTE</v>
      </c>
      <c r="N645" s="2">
        <v>0.499</v>
      </c>
      <c r="O645" s="2">
        <v>0.8</v>
      </c>
      <c r="P645" s="2">
        <v>5.0200000000000002E-2</v>
      </c>
      <c r="Q645" s="2">
        <v>9.06E-2</v>
      </c>
      <c r="R645" s="2">
        <v>0.14699999999999999</v>
      </c>
      <c r="S645" s="2">
        <v>0.27200000000000002</v>
      </c>
      <c r="T645" s="2">
        <v>-2.665</v>
      </c>
      <c r="U645">
        <v>229573</v>
      </c>
      <c r="V645">
        <f>YEAR(Spotify[[#This Row],[Date de sortie]])</f>
        <v>2019</v>
      </c>
      <c r="W645" s="2" t="str">
        <f>IF(Spotify[[#This Row],[Popularité]]&gt;=70,"FORTE","FAIBLE")</f>
        <v>FORTE</v>
      </c>
    </row>
    <row r="646" spans="1:23" x14ac:dyDescent="0.25">
      <c r="A646">
        <v>403</v>
      </c>
      <c r="B646">
        <v>100</v>
      </c>
      <c r="C646">
        <v>11</v>
      </c>
      <c r="D646" s="1">
        <v>44274</v>
      </c>
      <c r="E646" s="59" t="str" cm="1">
        <f t="array" ref="E64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646" t="s">
        <v>752</v>
      </c>
      <c r="G646" s="3">
        <v>5198209</v>
      </c>
      <c r="H646" t="s">
        <v>753</v>
      </c>
      <c r="I646" s="4">
        <v>423237</v>
      </c>
      <c r="J646" t="s">
        <v>754</v>
      </c>
      <c r="K646" s="1">
        <v>44141</v>
      </c>
      <c r="L646">
        <v>75</v>
      </c>
      <c r="M646" s="2" t="str">
        <f>IF(Spotify[[#This Row],[Energie]]&gt;AVERAGE(Spotify[Energie]),"FORTE","FAIBLE")</f>
        <v>FAIBLE</v>
      </c>
      <c r="N646" s="2">
        <v>0.75900000000000001</v>
      </c>
      <c r="O646" s="2">
        <v>0.53800000000000003</v>
      </c>
      <c r="P646" s="2">
        <v>0.38400000000000001</v>
      </c>
      <c r="Q646" s="2">
        <v>0.151</v>
      </c>
      <c r="R646" s="2">
        <v>0.126</v>
      </c>
      <c r="S646" s="2">
        <v>0.83099999999999996</v>
      </c>
      <c r="T646" s="2">
        <v>-8.2560000000000002</v>
      </c>
      <c r="U646">
        <v>184490</v>
      </c>
      <c r="V646">
        <f>YEAR(Spotify[[#This Row],[Date de sortie]])</f>
        <v>2020</v>
      </c>
      <c r="W646" s="2" t="str">
        <f>IF(Spotify[[#This Row],[Popularité]]&gt;=70,"FORTE","FAIBLE")</f>
        <v>FORTE</v>
      </c>
    </row>
    <row r="647" spans="1:23" x14ac:dyDescent="0.25">
      <c r="A647">
        <v>447</v>
      </c>
      <c r="B647">
        <v>153</v>
      </c>
      <c r="C647">
        <v>2</v>
      </c>
      <c r="D647" s="1">
        <v>44288</v>
      </c>
      <c r="E647" s="59" t="str" cm="1">
        <f t="array" ref="E64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647" t="s">
        <v>816</v>
      </c>
      <c r="G647" s="3">
        <v>5172999</v>
      </c>
      <c r="H647" t="s">
        <v>817</v>
      </c>
      <c r="I647" s="4">
        <v>3198705</v>
      </c>
      <c r="J647" t="s">
        <v>110</v>
      </c>
      <c r="K647" s="1">
        <v>44287</v>
      </c>
      <c r="L647">
        <v>75</v>
      </c>
      <c r="M647" s="2" t="str">
        <f>IF(Spotify[[#This Row],[Energie]]&gt;AVERAGE(Spotify[Energie]),"FORTE","FAIBLE")</f>
        <v>FORTE</v>
      </c>
      <c r="N647" s="2">
        <v>0.73699999999999999</v>
      </c>
      <c r="O647" s="2">
        <v>0.63400000000000001</v>
      </c>
      <c r="P647" s="2">
        <v>4.24E-2</v>
      </c>
      <c r="Q647" s="2">
        <v>0.34499999999999997</v>
      </c>
      <c r="R647" s="2">
        <v>0.111</v>
      </c>
      <c r="S647" s="2">
        <v>0.52800000000000002</v>
      </c>
      <c r="T647" s="2">
        <v>-4.25</v>
      </c>
      <c r="U647">
        <v>206360</v>
      </c>
      <c r="V647">
        <f>YEAR(Spotify[[#This Row],[Date de sortie]])</f>
        <v>2021</v>
      </c>
      <c r="W647" s="2" t="str">
        <f>IF(Spotify[[#This Row],[Popularité]]&gt;=70,"FORTE","FAIBLE")</f>
        <v>FORTE</v>
      </c>
    </row>
    <row r="648" spans="1:23" x14ac:dyDescent="0.25">
      <c r="A648">
        <v>755</v>
      </c>
      <c r="B648">
        <v>7</v>
      </c>
      <c r="C648">
        <v>16</v>
      </c>
      <c r="D648" s="1">
        <v>44050</v>
      </c>
      <c r="E648" s="59" t="str" cm="1">
        <f t="array" ref="E64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648" t="s">
        <v>1313</v>
      </c>
      <c r="G648" s="3">
        <v>5164187</v>
      </c>
      <c r="H648" t="s">
        <v>345</v>
      </c>
      <c r="I648" s="4">
        <v>19102888</v>
      </c>
      <c r="J648" t="s">
        <v>79</v>
      </c>
      <c r="K648" s="1">
        <v>44022</v>
      </c>
      <c r="L648">
        <v>75</v>
      </c>
      <c r="M648" s="2" t="str">
        <f>IF(Spotify[[#This Row],[Energie]]&gt;AVERAGE(Spotify[Energie]),"FORTE","FAIBLE")</f>
        <v>FORTE</v>
      </c>
      <c r="N648" s="2">
        <v>0.69399999999999995</v>
      </c>
      <c r="O648" s="2">
        <v>0.68500000000000005</v>
      </c>
      <c r="P648" s="2">
        <v>0.13300000000000001</v>
      </c>
      <c r="Q648" s="2">
        <v>0.224</v>
      </c>
      <c r="R648" s="2">
        <v>0.124</v>
      </c>
      <c r="S648" s="2">
        <v>0.30599999999999999</v>
      </c>
      <c r="T648" s="2">
        <v>-6.5350000000000001</v>
      </c>
      <c r="U648">
        <v>196180</v>
      </c>
      <c r="V648">
        <f>YEAR(Spotify[[#This Row],[Date de sortie]])</f>
        <v>2020</v>
      </c>
      <c r="W648" s="2" t="str">
        <f>IF(Spotify[[#This Row],[Popularité]]&gt;=70,"FORTE","FAIBLE")</f>
        <v>FORTE</v>
      </c>
    </row>
    <row r="649" spans="1:23" x14ac:dyDescent="0.25">
      <c r="A649">
        <v>522</v>
      </c>
      <c r="B649">
        <v>35</v>
      </c>
      <c r="C649">
        <v>27</v>
      </c>
      <c r="D649" s="1">
        <v>44148</v>
      </c>
      <c r="E649" s="59" t="str" cm="1">
        <f t="array" ref="E64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49" t="s">
        <v>948</v>
      </c>
      <c r="G649" s="3">
        <v>5145966</v>
      </c>
      <c r="H649" t="s">
        <v>890</v>
      </c>
      <c r="I649" s="4">
        <v>2897862</v>
      </c>
      <c r="J649" t="s">
        <v>25</v>
      </c>
      <c r="K649" s="1">
        <v>44057</v>
      </c>
      <c r="L649">
        <v>75</v>
      </c>
      <c r="M649" s="2" t="str">
        <f>IF(Spotify[[#This Row],[Energie]]&gt;AVERAGE(Spotify[Energie]),"FORTE","FAIBLE")</f>
        <v>FORTE</v>
      </c>
      <c r="N649" s="2">
        <v>0.80700000000000005</v>
      </c>
      <c r="O649" s="2">
        <v>0.65600000000000003</v>
      </c>
      <c r="P649" s="2">
        <v>0.105</v>
      </c>
      <c r="Q649" s="2">
        <v>1.6500000000000001E-2</v>
      </c>
      <c r="R649" s="2">
        <v>6.93E-2</v>
      </c>
      <c r="S649" s="2">
        <v>0.89</v>
      </c>
      <c r="T649" s="2">
        <v>-4.3949999999999996</v>
      </c>
      <c r="U649">
        <v>185840</v>
      </c>
      <c r="V649">
        <f>YEAR(Spotify[[#This Row],[Date de sortie]])</f>
        <v>2020</v>
      </c>
      <c r="W649" s="2" t="str">
        <f>IF(Spotify[[#This Row],[Popularité]]&gt;=70,"FORTE","FAIBLE")</f>
        <v>FORTE</v>
      </c>
    </row>
    <row r="650" spans="1:23" x14ac:dyDescent="0.25">
      <c r="A650">
        <v>1355</v>
      </c>
      <c r="B650">
        <v>69</v>
      </c>
      <c r="C650">
        <v>11</v>
      </c>
      <c r="D650" s="1">
        <v>43840</v>
      </c>
      <c r="E650" s="59" t="str" cm="1">
        <f t="array" ref="E65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650" t="s">
        <v>2175</v>
      </c>
      <c r="G650" s="3">
        <v>5121486</v>
      </c>
      <c r="H650" t="s">
        <v>264</v>
      </c>
      <c r="I650" s="4">
        <v>7601122</v>
      </c>
      <c r="J650" t="s">
        <v>265</v>
      </c>
      <c r="K650" s="1">
        <v>43735</v>
      </c>
      <c r="L650">
        <v>75</v>
      </c>
      <c r="M650" s="2" t="str">
        <f>IF(Spotify[[#This Row],[Energie]]&gt;AVERAGE(Spotify[Energie]),"FORTE","FAIBLE")</f>
        <v>FORTE</v>
      </c>
      <c r="N650" s="2">
        <v>0.76800000000000002</v>
      </c>
      <c r="O650" s="2">
        <v>0.65200000000000002</v>
      </c>
      <c r="P650" s="2">
        <v>0.307</v>
      </c>
      <c r="Q650" s="2">
        <v>0.113</v>
      </c>
      <c r="R650" s="2">
        <v>0.107</v>
      </c>
      <c r="S650" s="2">
        <v>0.77700000000000002</v>
      </c>
      <c r="T650" s="2">
        <v>-2.7080000000000002</v>
      </c>
      <c r="U650">
        <v>144935</v>
      </c>
      <c r="V650">
        <f>YEAR(Spotify[[#This Row],[Date de sortie]])</f>
        <v>2019</v>
      </c>
      <c r="W650" s="2" t="str">
        <f>IF(Spotify[[#This Row],[Popularité]]&gt;=70,"FORTE","FAIBLE")</f>
        <v>FORTE</v>
      </c>
    </row>
    <row r="651" spans="1:23" x14ac:dyDescent="0.25">
      <c r="A651">
        <v>1393</v>
      </c>
      <c r="B651">
        <v>129</v>
      </c>
      <c r="C651">
        <v>3</v>
      </c>
      <c r="D651" s="1">
        <v>43868</v>
      </c>
      <c r="E651" s="59" t="str" cm="1">
        <f t="array" ref="E65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651" t="s">
        <v>2227</v>
      </c>
      <c r="G651" s="3">
        <v>5118004</v>
      </c>
      <c r="H651" t="s">
        <v>412</v>
      </c>
      <c r="I651" s="4">
        <v>46814751</v>
      </c>
      <c r="J651" t="s">
        <v>413</v>
      </c>
      <c r="K651" s="1">
        <v>38692</v>
      </c>
      <c r="L651">
        <v>75</v>
      </c>
      <c r="M651" s="2" t="str">
        <f>IF(Spotify[[#This Row],[Energie]]&gt;AVERAGE(Spotify[Energie]),"FORTE","FAIBLE")</f>
        <v>FORTE</v>
      </c>
      <c r="N651" s="2">
        <v>0.69199999999999995</v>
      </c>
      <c r="O651" s="2">
        <v>0.74399999999999999</v>
      </c>
      <c r="P651" s="2">
        <v>0.25700000000000001</v>
      </c>
      <c r="Q651" s="2">
        <v>8.6800000000000002E-3</v>
      </c>
      <c r="R651" s="2">
        <v>0.35899999999999999</v>
      </c>
      <c r="S651" s="2">
        <v>6.1199999999999997E-2</v>
      </c>
      <c r="T651" s="2">
        <v>-4.5650000000000004</v>
      </c>
      <c r="U651">
        <v>326467</v>
      </c>
      <c r="V651">
        <f>YEAR(Spotify[[#This Row],[Date de sortie]])</f>
        <v>2005</v>
      </c>
      <c r="W651" s="2" t="str">
        <f>IF(Spotify[[#This Row],[Popularité]]&gt;=70,"FORTE","FAIBLE")</f>
        <v>FORTE</v>
      </c>
    </row>
    <row r="652" spans="1:23" x14ac:dyDescent="0.25">
      <c r="A652">
        <v>1377</v>
      </c>
      <c r="B652">
        <v>106</v>
      </c>
      <c r="C652">
        <v>10</v>
      </c>
      <c r="D652" s="1">
        <v>43826</v>
      </c>
      <c r="E652" s="59" t="str" cm="1">
        <f t="array" ref="E65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52" t="s">
        <v>2206</v>
      </c>
      <c r="G652" s="3">
        <v>5078459</v>
      </c>
      <c r="H652" t="s">
        <v>2207</v>
      </c>
      <c r="I652" s="4">
        <v>4963516</v>
      </c>
      <c r="J652" t="s">
        <v>25</v>
      </c>
      <c r="K652" s="1">
        <v>43595</v>
      </c>
      <c r="L652">
        <v>75</v>
      </c>
      <c r="M652" s="2" t="str">
        <f>IF(Spotify[[#This Row],[Energie]]&gt;AVERAGE(Spotify[Energie]),"FORTE","FAIBLE")</f>
        <v>FORTE</v>
      </c>
      <c r="N652" s="2">
        <v>0.79500000000000004</v>
      </c>
      <c r="O652" s="2">
        <v>0.78300000000000003</v>
      </c>
      <c r="P652" s="2">
        <v>4.3200000000000002E-2</v>
      </c>
      <c r="Q652" s="2">
        <v>0.36099999999999999</v>
      </c>
      <c r="R652" s="2">
        <v>0.437</v>
      </c>
      <c r="S652" s="2">
        <v>0.79900000000000004</v>
      </c>
      <c r="T652" s="2">
        <v>-4.2709999999999999</v>
      </c>
      <c r="U652">
        <v>266087</v>
      </c>
      <c r="V652">
        <f>YEAR(Spotify[[#This Row],[Date de sortie]])</f>
        <v>2019</v>
      </c>
      <c r="W652" s="2" t="str">
        <f>IF(Spotify[[#This Row],[Popularité]]&gt;=70,"FORTE","FAIBLE")</f>
        <v>FORTE</v>
      </c>
    </row>
    <row r="653" spans="1:23" x14ac:dyDescent="0.25">
      <c r="A653">
        <v>1394</v>
      </c>
      <c r="B653">
        <v>118</v>
      </c>
      <c r="C653">
        <v>8</v>
      </c>
      <c r="D653" s="1">
        <v>43854</v>
      </c>
      <c r="E653" s="59" t="str" cm="1">
        <f t="array" ref="E65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53" t="s">
        <v>2228</v>
      </c>
      <c r="G653" s="3">
        <v>5074485</v>
      </c>
      <c r="H653" t="s">
        <v>114</v>
      </c>
      <c r="I653" s="4">
        <v>47061119</v>
      </c>
      <c r="J653" t="s">
        <v>115</v>
      </c>
      <c r="K653" s="1">
        <v>43553</v>
      </c>
      <c r="L653">
        <v>75</v>
      </c>
      <c r="M653" s="2" t="str">
        <f>IF(Spotify[[#This Row],[Energie]]&gt;AVERAGE(Spotify[Energie]),"FORTE","FAIBLE")</f>
        <v>FAIBLE</v>
      </c>
      <c r="N653" s="2">
        <v>0.72599999999999998</v>
      </c>
      <c r="O653" s="2">
        <v>0.44400000000000001</v>
      </c>
      <c r="P653" s="2">
        <v>0.372</v>
      </c>
      <c r="Q653" s="2">
        <v>0.28299999999999997</v>
      </c>
      <c r="R653" s="2">
        <v>0.17699999999999999</v>
      </c>
      <c r="S653" s="2">
        <v>0.56899999999999995</v>
      </c>
      <c r="T653" s="2">
        <v>-8.9220000000000006</v>
      </c>
      <c r="U653">
        <v>168840</v>
      </c>
      <c r="V653">
        <f>YEAR(Spotify[[#This Row],[Date de sortie]])</f>
        <v>2019</v>
      </c>
      <c r="W653" s="2" t="str">
        <f>IF(Spotify[[#This Row],[Popularité]]&gt;=70,"FORTE","FAIBLE")</f>
        <v>FORTE</v>
      </c>
    </row>
    <row r="654" spans="1:23" x14ac:dyDescent="0.25">
      <c r="A654">
        <v>564</v>
      </c>
      <c r="B654">
        <v>167</v>
      </c>
      <c r="C654">
        <v>2</v>
      </c>
      <c r="D654" s="1">
        <v>44225</v>
      </c>
      <c r="E654" s="59" t="str" cm="1">
        <f t="array" ref="E65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54" t="s">
        <v>1009</v>
      </c>
      <c r="G654" s="3">
        <v>5072462</v>
      </c>
      <c r="H654" t="s">
        <v>150</v>
      </c>
      <c r="I654" s="4">
        <v>26784251</v>
      </c>
      <c r="J654" t="s">
        <v>25</v>
      </c>
      <c r="K654" s="1">
        <v>44224</v>
      </c>
      <c r="L654">
        <v>75</v>
      </c>
      <c r="M654" s="2" t="str">
        <f>IF(Spotify[[#This Row],[Energie]]&gt;AVERAGE(Spotify[Energie]),"FORTE","FAIBLE")</f>
        <v>FORTE</v>
      </c>
      <c r="N654" s="2">
        <v>0.66400000000000003</v>
      </c>
      <c r="O654" s="2">
        <v>0.66500000000000004</v>
      </c>
      <c r="P654" s="2">
        <v>8.7900000000000006E-2</v>
      </c>
      <c r="Q654" s="2">
        <v>0.123</v>
      </c>
      <c r="R654" s="2">
        <v>0.41099999999999998</v>
      </c>
      <c r="S654" s="2">
        <v>0.72599999999999998</v>
      </c>
      <c r="T654" s="2">
        <v>-3.6160000000000001</v>
      </c>
      <c r="U654">
        <v>176970</v>
      </c>
      <c r="V654">
        <f>YEAR(Spotify[[#This Row],[Date de sortie]])</f>
        <v>2021</v>
      </c>
      <c r="W654" s="2" t="str">
        <f>IF(Spotify[[#This Row],[Popularité]]&gt;=70,"FORTE","FAIBLE")</f>
        <v>FORTE</v>
      </c>
    </row>
    <row r="655" spans="1:23" x14ac:dyDescent="0.25">
      <c r="A655">
        <v>996</v>
      </c>
      <c r="B655">
        <v>37</v>
      </c>
      <c r="C655">
        <v>3</v>
      </c>
      <c r="D655" s="1">
        <v>44022</v>
      </c>
      <c r="E655" s="59" t="str" cm="1">
        <f t="array" ref="E65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655" t="s">
        <v>1680</v>
      </c>
      <c r="G655" s="3">
        <v>5047752</v>
      </c>
      <c r="H655" t="s">
        <v>345</v>
      </c>
      <c r="I655" s="4">
        <v>19102888</v>
      </c>
      <c r="J655" t="s">
        <v>79</v>
      </c>
      <c r="K655" s="1">
        <v>44022</v>
      </c>
      <c r="L655">
        <v>75</v>
      </c>
      <c r="M655" s="2" t="str">
        <f>IF(Spotify[[#This Row],[Energie]]&gt;AVERAGE(Spotify[Energie]),"FORTE","FAIBLE")</f>
        <v>FAIBLE</v>
      </c>
      <c r="N655" s="2">
        <v>0.745</v>
      </c>
      <c r="O655" s="2">
        <v>0.5</v>
      </c>
      <c r="P655" s="2">
        <v>0.13500000000000001</v>
      </c>
      <c r="Q655" s="2">
        <v>0.439</v>
      </c>
      <c r="R655" s="2">
        <v>9.4299999999999995E-2</v>
      </c>
      <c r="S655" s="2">
        <v>0.433</v>
      </c>
      <c r="T655" s="2">
        <v>-6.1840000000000002</v>
      </c>
      <c r="U655">
        <v>168685</v>
      </c>
      <c r="V655">
        <f>YEAR(Spotify[[#This Row],[Date de sortie]])</f>
        <v>2020</v>
      </c>
      <c r="W655" s="2" t="str">
        <f>IF(Spotify[[#This Row],[Popularité]]&gt;=70,"FORTE","FAIBLE")</f>
        <v>FORTE</v>
      </c>
    </row>
    <row r="656" spans="1:23" x14ac:dyDescent="0.25">
      <c r="A656">
        <v>756</v>
      </c>
      <c r="B656">
        <v>22</v>
      </c>
      <c r="C656">
        <v>8</v>
      </c>
      <c r="D656" s="1">
        <v>44106</v>
      </c>
      <c r="E656" s="59" t="str" cm="1">
        <f t="array" ref="E65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56" t="s">
        <v>1314</v>
      </c>
      <c r="G656" s="3">
        <v>5039047</v>
      </c>
      <c r="H656" t="s">
        <v>917</v>
      </c>
      <c r="I656" s="4">
        <v>23848461</v>
      </c>
      <c r="J656" t="s">
        <v>33</v>
      </c>
      <c r="K656" s="1">
        <v>44106</v>
      </c>
      <c r="L656">
        <v>75</v>
      </c>
      <c r="M656" s="2" t="str">
        <f>IF(Spotify[[#This Row],[Energie]]&gt;AVERAGE(Spotify[Energie]),"FORTE","FAIBLE")</f>
        <v>FAIBLE</v>
      </c>
      <c r="N656" s="2">
        <v>0.70099999999999996</v>
      </c>
      <c r="O656" s="2">
        <v>0.55600000000000005</v>
      </c>
      <c r="P656" s="2">
        <v>4.1399999999999999E-2</v>
      </c>
      <c r="Q656" s="2">
        <v>8.8599999999999998E-3</v>
      </c>
      <c r="R656" s="2">
        <v>0.106</v>
      </c>
      <c r="S656" s="2">
        <v>0.33300000000000002</v>
      </c>
      <c r="T656" s="2">
        <v>-7.42</v>
      </c>
      <c r="U656">
        <v>201122</v>
      </c>
      <c r="V656">
        <f>YEAR(Spotify[[#This Row],[Date de sortie]])</f>
        <v>2020</v>
      </c>
      <c r="W656" s="2" t="str">
        <f>IF(Spotify[[#This Row],[Popularité]]&gt;=70,"FORTE","FAIBLE")</f>
        <v>FORTE</v>
      </c>
    </row>
    <row r="657" spans="1:23" x14ac:dyDescent="0.25">
      <c r="A657">
        <v>540</v>
      </c>
      <c r="B657">
        <v>37</v>
      </c>
      <c r="C657">
        <v>25</v>
      </c>
      <c r="D657" s="1">
        <v>44113</v>
      </c>
      <c r="E657" s="59" t="str" cm="1">
        <f t="array" ref="E65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57" t="s">
        <v>975</v>
      </c>
      <c r="G657" s="3">
        <v>5004462</v>
      </c>
      <c r="H657" t="s">
        <v>976</v>
      </c>
      <c r="I657" s="4">
        <v>29238936</v>
      </c>
      <c r="J657" t="s">
        <v>25</v>
      </c>
      <c r="K657" s="1">
        <v>44078</v>
      </c>
      <c r="L657">
        <v>75</v>
      </c>
      <c r="M657" s="2" t="str">
        <f>IF(Spotify[[#This Row],[Energie]]&gt;AVERAGE(Spotify[Energie]),"FORTE","FAIBLE")</f>
        <v>FORTE</v>
      </c>
      <c r="N657" s="2">
        <v>0.73399999999999999</v>
      </c>
      <c r="O657" s="2">
        <v>0.77500000000000002</v>
      </c>
      <c r="P657" s="2">
        <v>6.1400000000000003E-2</v>
      </c>
      <c r="Q657" s="2">
        <v>0.186</v>
      </c>
      <c r="R657" s="2">
        <v>0.123</v>
      </c>
      <c r="S657" s="2">
        <v>0.72</v>
      </c>
      <c r="T657" s="2">
        <v>-3.855</v>
      </c>
      <c r="U657">
        <v>224187</v>
      </c>
      <c r="V657">
        <f>YEAR(Spotify[[#This Row],[Date de sortie]])</f>
        <v>2020</v>
      </c>
      <c r="W657" s="2" t="str">
        <f>IF(Spotify[[#This Row],[Popularité]]&gt;=70,"FORTE","FAIBLE")</f>
        <v>FORTE</v>
      </c>
    </row>
    <row r="658" spans="1:23" x14ac:dyDescent="0.25">
      <c r="A658">
        <v>461</v>
      </c>
      <c r="B658">
        <v>37</v>
      </c>
      <c r="C658">
        <v>3</v>
      </c>
      <c r="D658" s="1">
        <v>44274</v>
      </c>
      <c r="E658" s="59" t="str" cm="1">
        <f t="array" ref="E65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58" t="s">
        <v>840</v>
      </c>
      <c r="G658" s="3">
        <v>5004111</v>
      </c>
      <c r="H658" t="s">
        <v>35</v>
      </c>
      <c r="I658" s="4">
        <v>48544923</v>
      </c>
      <c r="J658" t="s">
        <v>36</v>
      </c>
      <c r="K658" s="1">
        <v>44274</v>
      </c>
      <c r="L658">
        <v>75</v>
      </c>
      <c r="M658" s="2" t="str">
        <f>IF(Spotify[[#This Row],[Energie]]&gt;AVERAGE(Spotify[Energie]),"FORTE","FAIBLE")</f>
        <v>FAIBLE</v>
      </c>
      <c r="N658" s="2">
        <v>0.50900000000000001</v>
      </c>
      <c r="O658" s="2">
        <v>0.22800000000000001</v>
      </c>
      <c r="P658" s="2">
        <v>3.32E-2</v>
      </c>
      <c r="Q658" s="2">
        <v>0.92</v>
      </c>
      <c r="R658" s="2">
        <v>0.104</v>
      </c>
      <c r="S658" s="2">
        <v>0.58599999999999997</v>
      </c>
      <c r="T658" s="2">
        <v>-8.68</v>
      </c>
      <c r="U658">
        <v>156468</v>
      </c>
      <c r="V658">
        <f>YEAR(Spotify[[#This Row],[Date de sortie]])</f>
        <v>2021</v>
      </c>
      <c r="W658" s="2" t="str">
        <f>IF(Spotify[[#This Row],[Popularité]]&gt;=70,"FORTE","FAIBLE")</f>
        <v>FORTE</v>
      </c>
    </row>
    <row r="659" spans="1:23" x14ac:dyDescent="0.25">
      <c r="A659">
        <v>1446</v>
      </c>
      <c r="B659">
        <v>101</v>
      </c>
      <c r="C659">
        <v>7</v>
      </c>
      <c r="D659" s="1">
        <v>43826</v>
      </c>
      <c r="E659" s="59" t="str" cm="1">
        <f t="array" ref="E65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59" t="s">
        <v>2300</v>
      </c>
      <c r="G659" s="3">
        <v>4961249</v>
      </c>
      <c r="H659" t="s">
        <v>2301</v>
      </c>
      <c r="I659" s="4">
        <v>4769627</v>
      </c>
      <c r="J659" t="s">
        <v>1447</v>
      </c>
      <c r="K659" s="1">
        <v>43552</v>
      </c>
      <c r="L659">
        <v>75</v>
      </c>
      <c r="M659" s="2" t="str">
        <f>IF(Spotify[[#This Row],[Energie]]&gt;AVERAGE(Spotify[Energie]),"FORTE","FAIBLE")</f>
        <v>FORTE</v>
      </c>
      <c r="N659" s="2">
        <v>0.88200000000000001</v>
      </c>
      <c r="O659" s="2">
        <v>0.68899999999999995</v>
      </c>
      <c r="P659" s="2">
        <v>0.124</v>
      </c>
      <c r="Q659" s="2">
        <v>0.39</v>
      </c>
      <c r="R659" s="2">
        <v>5.0099999999999999E-2</v>
      </c>
      <c r="S659" s="2">
        <v>0.746</v>
      </c>
      <c r="T659" s="2">
        <v>-4.0270000000000001</v>
      </c>
      <c r="U659">
        <v>161627</v>
      </c>
      <c r="V659">
        <f>YEAR(Spotify[[#This Row],[Date de sortie]])</f>
        <v>2019</v>
      </c>
      <c r="W659" s="2" t="str">
        <f>IF(Spotify[[#This Row],[Popularité]]&gt;=70,"FORTE","FAIBLE")</f>
        <v>FORTE</v>
      </c>
    </row>
    <row r="660" spans="1:23" x14ac:dyDescent="0.25">
      <c r="A660">
        <v>797</v>
      </c>
      <c r="B660">
        <v>25</v>
      </c>
      <c r="C660">
        <v>6</v>
      </c>
      <c r="D660" s="1">
        <v>44106</v>
      </c>
      <c r="E660" s="59" t="str" cm="1">
        <f t="array" ref="E66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660" t="s">
        <v>1386</v>
      </c>
      <c r="G660" s="3">
        <v>4951481</v>
      </c>
      <c r="H660" t="s">
        <v>1320</v>
      </c>
      <c r="I660" s="4">
        <v>9949044</v>
      </c>
      <c r="J660" t="s">
        <v>531</v>
      </c>
      <c r="K660" s="1">
        <v>44106</v>
      </c>
      <c r="L660">
        <v>75</v>
      </c>
      <c r="M660" s="2" t="str">
        <f>IF(Spotify[[#This Row],[Energie]]&gt;AVERAGE(Spotify[Energie]),"FORTE","FAIBLE")</f>
        <v>FORTE</v>
      </c>
      <c r="N660" s="2">
        <v>0.64700000000000002</v>
      </c>
      <c r="O660" s="2">
        <v>0.66700000000000004</v>
      </c>
      <c r="P660" s="2">
        <v>0.30399999999999999</v>
      </c>
      <c r="Q660" s="2">
        <v>0.23100000000000001</v>
      </c>
      <c r="R660" s="2">
        <v>0.13300000000000001</v>
      </c>
      <c r="S660" s="2">
        <v>0.70399999999999996</v>
      </c>
      <c r="T660" s="2">
        <v>-5.5629999999999997</v>
      </c>
      <c r="U660">
        <v>193839</v>
      </c>
      <c r="V660">
        <f>YEAR(Spotify[[#This Row],[Date de sortie]])</f>
        <v>2020</v>
      </c>
      <c r="W660" s="2" t="str">
        <f>IF(Spotify[[#This Row],[Popularité]]&gt;=70,"FORTE","FAIBLE")</f>
        <v>FORTE</v>
      </c>
    </row>
    <row r="661" spans="1:23" x14ac:dyDescent="0.25">
      <c r="A661">
        <v>1275</v>
      </c>
      <c r="B661">
        <v>44</v>
      </c>
      <c r="C661">
        <v>5</v>
      </c>
      <c r="D661" s="1">
        <v>43889</v>
      </c>
      <c r="E661" s="59" t="str" cm="1">
        <f t="array" ref="E66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61" t="s">
        <v>2071</v>
      </c>
      <c r="G661" s="3">
        <v>4946613</v>
      </c>
      <c r="H661" t="s">
        <v>2072</v>
      </c>
      <c r="I661" s="4">
        <v>36177712</v>
      </c>
      <c r="J661" t="s">
        <v>25</v>
      </c>
      <c r="K661" s="1">
        <v>43890</v>
      </c>
      <c r="L661">
        <v>75</v>
      </c>
      <c r="M661" s="2" t="str">
        <f>IF(Spotify[[#This Row],[Energie]]&gt;AVERAGE(Spotify[Energie]),"FORTE","FAIBLE")</f>
        <v>FORTE</v>
      </c>
      <c r="N661" s="2">
        <v>0.73699999999999999</v>
      </c>
      <c r="O661" s="2">
        <v>0.76600000000000001</v>
      </c>
      <c r="P661" s="2">
        <v>4.58E-2</v>
      </c>
      <c r="Q661" s="2">
        <v>0.31</v>
      </c>
      <c r="R661" s="2">
        <v>0.114</v>
      </c>
      <c r="S661" s="2">
        <v>0.66200000000000003</v>
      </c>
      <c r="T661" s="2">
        <v>-4.242</v>
      </c>
      <c r="U661">
        <v>196500</v>
      </c>
      <c r="V661">
        <f>YEAR(Spotify[[#This Row],[Date de sortie]])</f>
        <v>2020</v>
      </c>
      <c r="W661" s="2" t="str">
        <f>IF(Spotify[[#This Row],[Popularité]]&gt;=70,"FORTE","FAIBLE")</f>
        <v>FORTE</v>
      </c>
    </row>
    <row r="662" spans="1:23" x14ac:dyDescent="0.25">
      <c r="A662">
        <v>577</v>
      </c>
      <c r="B662">
        <v>13</v>
      </c>
      <c r="C662">
        <v>38</v>
      </c>
      <c r="D662" s="1">
        <v>44043</v>
      </c>
      <c r="E662" s="59" t="str" cm="1">
        <f t="array" ref="E66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62" t="s">
        <v>1031</v>
      </c>
      <c r="G662" s="3">
        <v>4942545</v>
      </c>
      <c r="H662" t="s">
        <v>1032</v>
      </c>
      <c r="I662" s="4">
        <v>2127531</v>
      </c>
      <c r="J662" t="s">
        <v>25</v>
      </c>
      <c r="K662" s="1">
        <v>43945</v>
      </c>
      <c r="L662">
        <v>75</v>
      </c>
      <c r="M662" s="2" t="str">
        <f>IF(Spotify[[#This Row],[Energie]]&gt;AVERAGE(Spotify[Energie]),"FORTE","FAIBLE")</f>
        <v>FORTE</v>
      </c>
      <c r="N662" s="2">
        <v>0.81499999999999995</v>
      </c>
      <c r="O662" s="2">
        <v>0.71499999999999997</v>
      </c>
      <c r="P662" s="2">
        <v>0.20699999999999999</v>
      </c>
      <c r="Q662" s="2">
        <v>0.3</v>
      </c>
      <c r="R662" s="2">
        <v>9.0999999999999998E-2</v>
      </c>
      <c r="S662" s="2">
        <v>0.78600000000000003</v>
      </c>
      <c r="T662" s="2">
        <v>-4.6500000000000004</v>
      </c>
      <c r="U662">
        <v>345241</v>
      </c>
      <c r="V662">
        <f>YEAR(Spotify[[#This Row],[Date de sortie]])</f>
        <v>2020</v>
      </c>
      <c r="W662" s="2" t="str">
        <f>IF(Spotify[[#This Row],[Popularité]]&gt;=70,"FORTE","FAIBLE")</f>
        <v>FORTE</v>
      </c>
    </row>
    <row r="663" spans="1:23" x14ac:dyDescent="0.25">
      <c r="A663">
        <v>602</v>
      </c>
      <c r="B663">
        <v>188</v>
      </c>
      <c r="C663">
        <v>1</v>
      </c>
      <c r="D663" s="1">
        <v>44204</v>
      </c>
      <c r="E663" s="59" t="str" cm="1">
        <f t="array" ref="E66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COUNTRY</v>
      </c>
      <c r="F663" t="s">
        <v>1071</v>
      </c>
      <c r="G663" s="3">
        <v>4879971</v>
      </c>
      <c r="H663" t="s">
        <v>1030</v>
      </c>
      <c r="I663" s="4">
        <v>2147875</v>
      </c>
      <c r="J663" t="s">
        <v>382</v>
      </c>
      <c r="K663" s="1">
        <v>44204</v>
      </c>
      <c r="L663">
        <v>75</v>
      </c>
      <c r="M663" s="2" t="str">
        <f>IF(Spotify[[#This Row],[Energie]]&gt;AVERAGE(Spotify[Energie]),"FORTE","FAIBLE")</f>
        <v>FORTE</v>
      </c>
      <c r="N663" s="2">
        <v>0.62</v>
      </c>
      <c r="O663" s="2">
        <v>0.86899999999999999</v>
      </c>
      <c r="P663" s="2">
        <v>4.6199999999999998E-2</v>
      </c>
      <c r="Q663" s="2">
        <v>0.61499999999999999</v>
      </c>
      <c r="R663" s="2">
        <v>0.13100000000000001</v>
      </c>
      <c r="S663" s="2">
        <v>0.59699999999999998</v>
      </c>
      <c r="T663" s="2">
        <v>-5.4790000000000001</v>
      </c>
      <c r="U663">
        <v>216573</v>
      </c>
      <c r="V663">
        <f>YEAR(Spotify[[#This Row],[Date de sortie]])</f>
        <v>2021</v>
      </c>
      <c r="W663" s="2" t="str">
        <f>IF(Spotify[[#This Row],[Popularité]]&gt;=70,"FORTE","FAIBLE")</f>
        <v>FORTE</v>
      </c>
    </row>
    <row r="664" spans="1:23" x14ac:dyDescent="0.25">
      <c r="A664">
        <v>586</v>
      </c>
      <c r="B664">
        <v>10</v>
      </c>
      <c r="C664">
        <v>7</v>
      </c>
      <c r="D664" s="1">
        <v>44176</v>
      </c>
      <c r="E664" s="59" t="str" cm="1">
        <f t="array" ref="E66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64" t="s">
        <v>1046</v>
      </c>
      <c r="G664" s="3">
        <v>4848954</v>
      </c>
      <c r="H664" t="s">
        <v>746</v>
      </c>
      <c r="I664" s="4">
        <v>42227614</v>
      </c>
      <c r="J664" t="s">
        <v>10</v>
      </c>
      <c r="K664" s="1">
        <v>44176</v>
      </c>
      <c r="L664">
        <v>75</v>
      </c>
      <c r="M664" s="2" t="str">
        <f>IF(Spotify[[#This Row],[Energie]]&gt;AVERAGE(Spotify[Energie]),"FORTE","FAIBLE")</f>
        <v>FAIBLE</v>
      </c>
      <c r="N664" s="2">
        <v>0.46200000000000002</v>
      </c>
      <c r="O664" s="2">
        <v>0.24</v>
      </c>
      <c r="P664" s="2">
        <v>3.7699999999999997E-2</v>
      </c>
      <c r="Q664" s="2">
        <v>0.92</v>
      </c>
      <c r="R664" s="2">
        <v>0.113</v>
      </c>
      <c r="S664" s="2">
        <v>0.32</v>
      </c>
      <c r="T664" s="2">
        <v>-12.077</v>
      </c>
      <c r="U664">
        <v>244000</v>
      </c>
      <c r="V664">
        <f>YEAR(Spotify[[#This Row],[Date de sortie]])</f>
        <v>2020</v>
      </c>
      <c r="W664" s="2" t="str">
        <f>IF(Spotify[[#This Row],[Popularité]]&gt;=70,"FORTE","FAIBLE")</f>
        <v>FORTE</v>
      </c>
    </row>
    <row r="665" spans="1:23" x14ac:dyDescent="0.25">
      <c r="A665">
        <v>824</v>
      </c>
      <c r="B665">
        <v>37</v>
      </c>
      <c r="C665">
        <v>14</v>
      </c>
      <c r="D665" s="1">
        <v>44043</v>
      </c>
      <c r="E665" s="59" t="str" cm="1">
        <f t="array" ref="E66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665" t="s">
        <v>1423</v>
      </c>
      <c r="G665" s="3">
        <v>4817969</v>
      </c>
      <c r="H665" t="s">
        <v>1424</v>
      </c>
      <c r="I665" s="4">
        <v>2172969</v>
      </c>
      <c r="J665" t="s">
        <v>110</v>
      </c>
      <c r="K665" s="1">
        <v>44035</v>
      </c>
      <c r="L665">
        <v>75</v>
      </c>
      <c r="M665" s="2" t="str">
        <f>IF(Spotify[[#This Row],[Energie]]&gt;AVERAGE(Spotify[Energie]),"FORTE","FAIBLE")</f>
        <v>FORTE</v>
      </c>
      <c r="N665" s="2">
        <v>0.69599999999999995</v>
      </c>
      <c r="O665" s="2">
        <v>0.67800000000000005</v>
      </c>
      <c r="P665" s="2">
        <v>7.3499999999999996E-2</v>
      </c>
      <c r="Q665" s="2">
        <v>0.58199999999999996</v>
      </c>
      <c r="R665" s="2">
        <v>0.13400000000000001</v>
      </c>
      <c r="S665" s="2">
        <v>0.34599999999999997</v>
      </c>
      <c r="T665" s="2">
        <v>-5.8929999999999998</v>
      </c>
      <c r="U665">
        <v>219202</v>
      </c>
      <c r="V665">
        <f>YEAR(Spotify[[#This Row],[Date de sortie]])</f>
        <v>2020</v>
      </c>
      <c r="W665" s="2" t="str">
        <f>IF(Spotify[[#This Row],[Popularité]]&gt;=70,"FORTE","FAIBLE")</f>
        <v>FORTE</v>
      </c>
    </row>
    <row r="666" spans="1:23" x14ac:dyDescent="0.25">
      <c r="A666">
        <v>892</v>
      </c>
      <c r="B666">
        <v>9</v>
      </c>
      <c r="C666">
        <v>11</v>
      </c>
      <c r="D666" s="1">
        <v>44022</v>
      </c>
      <c r="E666" s="59" t="str" cm="1">
        <f t="array" ref="E66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666" t="s">
        <v>1528</v>
      </c>
      <c r="G666" s="3">
        <v>4805366</v>
      </c>
      <c r="H666" t="s">
        <v>345</v>
      </c>
      <c r="I666" s="4">
        <v>19102888</v>
      </c>
      <c r="J666" t="s">
        <v>79</v>
      </c>
      <c r="K666" s="1">
        <v>44022</v>
      </c>
      <c r="L666">
        <v>75</v>
      </c>
      <c r="M666" s="2" t="str">
        <f>IF(Spotify[[#This Row],[Energie]]&gt;AVERAGE(Spotify[Energie]),"FORTE","FAIBLE")</f>
        <v>FAIBLE</v>
      </c>
      <c r="N666" s="2">
        <v>0.747</v>
      </c>
      <c r="O666" s="2">
        <v>0.622</v>
      </c>
      <c r="P666" s="2">
        <v>8.3799999999999999E-2</v>
      </c>
      <c r="Q666" s="2">
        <v>0.17599999999999999</v>
      </c>
      <c r="R666" s="2">
        <v>0.151</v>
      </c>
      <c r="S666" s="2">
        <v>0.56999999999999995</v>
      </c>
      <c r="T666" s="2">
        <v>-5.8250000000000002</v>
      </c>
      <c r="U666">
        <v>181661</v>
      </c>
      <c r="V666">
        <f>YEAR(Spotify[[#This Row],[Date de sortie]])</f>
        <v>2020</v>
      </c>
      <c r="W666" s="2" t="str">
        <f>IF(Spotify[[#This Row],[Popularité]]&gt;=70,"FORTE","FAIBLE")</f>
        <v>FORTE</v>
      </c>
    </row>
    <row r="667" spans="1:23" x14ac:dyDescent="0.25">
      <c r="A667">
        <v>593</v>
      </c>
      <c r="B667">
        <v>6</v>
      </c>
      <c r="C667">
        <v>15</v>
      </c>
      <c r="D667" s="1">
        <v>44106</v>
      </c>
      <c r="E667" s="59" t="str" cm="1">
        <f t="array" ref="E66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67" t="s">
        <v>1059</v>
      </c>
      <c r="G667" s="3">
        <v>4796365</v>
      </c>
      <c r="H667" t="s">
        <v>917</v>
      </c>
      <c r="I667" s="4">
        <v>23848461</v>
      </c>
      <c r="J667" t="s">
        <v>33</v>
      </c>
      <c r="K667" s="1">
        <v>44106</v>
      </c>
      <c r="L667">
        <v>75</v>
      </c>
      <c r="M667" s="2" t="str">
        <f>IF(Spotify[[#This Row],[Energie]]&gt;AVERAGE(Spotify[Energie]),"FORTE","FAIBLE")</f>
        <v>FORTE</v>
      </c>
      <c r="N667" s="2">
        <v>0.65400000000000003</v>
      </c>
      <c r="O667" s="2">
        <v>0.70699999999999996</v>
      </c>
      <c r="P667" s="2">
        <v>6.6400000000000001E-2</v>
      </c>
      <c r="Q667" s="2">
        <v>5.5900000000000004E-3</v>
      </c>
      <c r="R667" s="2">
        <v>8.7300000000000003E-2</v>
      </c>
      <c r="S667" s="2">
        <v>0.44800000000000001</v>
      </c>
      <c r="T667" s="2">
        <v>-5.6609999999999996</v>
      </c>
      <c r="U667">
        <v>194765</v>
      </c>
      <c r="V667">
        <f>YEAR(Spotify[[#This Row],[Date de sortie]])</f>
        <v>2020</v>
      </c>
      <c r="W667" s="2" t="str">
        <f>IF(Spotify[[#This Row],[Popularité]]&gt;=70,"FORTE","FAIBLE")</f>
        <v>FORTE</v>
      </c>
    </row>
    <row r="668" spans="1:23" x14ac:dyDescent="0.25">
      <c r="A668">
        <v>1325</v>
      </c>
      <c r="B668">
        <v>61</v>
      </c>
      <c r="C668">
        <v>12</v>
      </c>
      <c r="D668" s="1">
        <v>43826</v>
      </c>
      <c r="E668" s="59" t="str" cm="1">
        <f t="array" ref="E66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68" t="s">
        <v>2137</v>
      </c>
      <c r="G668" s="3">
        <v>4785720</v>
      </c>
      <c r="H668" t="s">
        <v>1307</v>
      </c>
      <c r="I668" s="4">
        <v>509411</v>
      </c>
      <c r="J668" t="s">
        <v>25</v>
      </c>
      <c r="K668" s="1">
        <v>43699</v>
      </c>
      <c r="L668">
        <v>75</v>
      </c>
      <c r="M668" s="2" t="str">
        <f>IF(Spotify[[#This Row],[Energie]]&gt;AVERAGE(Spotify[Energie]),"FORTE","FAIBLE")</f>
        <v>FORTE</v>
      </c>
      <c r="N668" s="2">
        <v>0.73399999999999999</v>
      </c>
      <c r="O668" s="2">
        <v>0.83599999999999997</v>
      </c>
      <c r="P668" s="2">
        <v>7.3499999999999996E-2</v>
      </c>
      <c r="Q668" s="2">
        <v>1.7000000000000001E-2</v>
      </c>
      <c r="R668" s="2">
        <v>0.17899999999999999</v>
      </c>
      <c r="S668" s="2">
        <v>0.623</v>
      </c>
      <c r="T668" s="2">
        <v>-4.8029999999999999</v>
      </c>
      <c r="U668">
        <v>270741</v>
      </c>
      <c r="V668">
        <f>YEAR(Spotify[[#This Row],[Date de sortie]])</f>
        <v>2019</v>
      </c>
      <c r="W668" s="2" t="str">
        <f>IF(Spotify[[#This Row],[Popularité]]&gt;=70,"FORTE","FAIBLE")</f>
        <v>FORTE</v>
      </c>
    </row>
    <row r="669" spans="1:23" x14ac:dyDescent="0.25">
      <c r="A669">
        <v>825</v>
      </c>
      <c r="B669">
        <v>172</v>
      </c>
      <c r="C669">
        <v>14</v>
      </c>
      <c r="D669" s="1">
        <v>44057</v>
      </c>
      <c r="E669" s="59" t="str" cm="1">
        <f t="array" ref="E66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69" t="s">
        <v>1425</v>
      </c>
      <c r="G669" s="3">
        <v>4765198</v>
      </c>
      <c r="H669" t="s">
        <v>1426</v>
      </c>
      <c r="I669" s="4">
        <v>2819406</v>
      </c>
      <c r="J669" t="s">
        <v>274</v>
      </c>
      <c r="K669" s="1">
        <v>41322</v>
      </c>
      <c r="L669">
        <v>75</v>
      </c>
      <c r="M669" s="2" t="str">
        <f>IF(Spotify[[#This Row],[Energie]]&gt;AVERAGE(Spotify[Energie]),"FORTE","FAIBLE")</f>
        <v>FAIBLE</v>
      </c>
      <c r="N669" s="2">
        <v>0.47899999999999998</v>
      </c>
      <c r="O669" s="2">
        <v>0.54500000000000004</v>
      </c>
      <c r="P669" s="2">
        <v>6.88E-2</v>
      </c>
      <c r="Q669" s="2">
        <v>0.36499999999999999</v>
      </c>
      <c r="R669" s="2">
        <v>9.6299999999999997E-2</v>
      </c>
      <c r="S669" s="2">
        <v>0.24299999999999999</v>
      </c>
      <c r="T669" s="2">
        <v>-7.3460000000000001</v>
      </c>
      <c r="U669">
        <v>252733</v>
      </c>
      <c r="V669">
        <f>YEAR(Spotify[[#This Row],[Date de sortie]])</f>
        <v>2013</v>
      </c>
      <c r="W669" s="2" t="str">
        <f>IF(Spotify[[#This Row],[Popularité]]&gt;=70,"FORTE","FAIBLE")</f>
        <v>FORTE</v>
      </c>
    </row>
    <row r="670" spans="1:23" x14ac:dyDescent="0.25">
      <c r="A670">
        <v>1160</v>
      </c>
      <c r="B670">
        <v>62</v>
      </c>
      <c r="C670">
        <v>4</v>
      </c>
      <c r="D670" s="1">
        <v>43959</v>
      </c>
      <c r="E670" s="59" t="str" cm="1">
        <f t="array" ref="E67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70" t="s">
        <v>1912</v>
      </c>
      <c r="G670" s="3">
        <v>4764954</v>
      </c>
      <c r="H670" t="s">
        <v>1913</v>
      </c>
      <c r="I670" s="4">
        <v>4939593</v>
      </c>
      <c r="J670" t="s">
        <v>33</v>
      </c>
      <c r="K670" s="1">
        <v>43957</v>
      </c>
      <c r="L670">
        <v>75</v>
      </c>
      <c r="M670" s="2" t="str">
        <f>IF(Spotify[[#This Row],[Energie]]&gt;AVERAGE(Spotify[Energie]),"FORTE","FAIBLE")</f>
        <v>FORTE</v>
      </c>
      <c r="N670" s="2">
        <v>0.67600000000000005</v>
      </c>
      <c r="O670" s="2">
        <v>0.86899999999999999</v>
      </c>
      <c r="P670" s="2">
        <v>4.2299999999999997E-2</v>
      </c>
      <c r="Q670" s="2">
        <v>0.115</v>
      </c>
      <c r="R670" s="2">
        <v>0.13200000000000001</v>
      </c>
      <c r="S670" s="2">
        <v>0.59399999999999997</v>
      </c>
      <c r="T670" s="2">
        <v>-1.573</v>
      </c>
      <c r="U670">
        <v>167573</v>
      </c>
      <c r="V670">
        <f>YEAR(Spotify[[#This Row],[Date de sortie]])</f>
        <v>2020</v>
      </c>
      <c r="W670" s="2" t="str">
        <f>IF(Spotify[[#This Row],[Popularité]]&gt;=70,"FORTE","FAIBLE")</f>
        <v>FORTE</v>
      </c>
    </row>
    <row r="671" spans="1:23" x14ac:dyDescent="0.25">
      <c r="A671">
        <v>836</v>
      </c>
      <c r="B671">
        <v>15</v>
      </c>
      <c r="C671">
        <v>21</v>
      </c>
      <c r="D671" s="1">
        <v>43980</v>
      </c>
      <c r="E671" s="59" t="str" cm="1">
        <f t="array" ref="E67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71" t="s">
        <v>1445</v>
      </c>
      <c r="G671" s="3">
        <v>4752289</v>
      </c>
      <c r="H671" t="s">
        <v>1446</v>
      </c>
      <c r="I671" s="4">
        <v>4769627</v>
      </c>
      <c r="J671" t="s">
        <v>1447</v>
      </c>
      <c r="K671" s="1">
        <v>43979</v>
      </c>
      <c r="L671">
        <v>75</v>
      </c>
      <c r="M671" s="2" t="str">
        <f>IF(Spotify[[#This Row],[Energie]]&gt;AVERAGE(Spotify[Energie]),"FORTE","FAIBLE")</f>
        <v>FAIBLE</v>
      </c>
      <c r="N671" s="2">
        <v>0.77600000000000002</v>
      </c>
      <c r="O671" s="2">
        <v>0.50900000000000001</v>
      </c>
      <c r="P671" s="2">
        <v>0.46700000000000003</v>
      </c>
      <c r="Q671" s="2">
        <v>0.192</v>
      </c>
      <c r="R671" s="2">
        <v>0.115</v>
      </c>
      <c r="S671" s="2">
        <v>0.48499999999999999</v>
      </c>
      <c r="T671" s="2">
        <v>-6.266</v>
      </c>
      <c r="U671">
        <v>129371</v>
      </c>
      <c r="V671">
        <f>YEAR(Spotify[[#This Row],[Date de sortie]])</f>
        <v>2020</v>
      </c>
      <c r="W671" s="2" t="str">
        <f>IF(Spotify[[#This Row],[Popularité]]&gt;=70,"FORTE","FAIBLE")</f>
        <v>FORTE</v>
      </c>
    </row>
    <row r="672" spans="1:23" x14ac:dyDescent="0.25">
      <c r="A672">
        <v>972</v>
      </c>
      <c r="B672">
        <v>170</v>
      </c>
      <c r="C672">
        <v>1</v>
      </c>
      <c r="D672" s="1">
        <v>44050</v>
      </c>
      <c r="E672" s="59" t="str" cm="1">
        <f t="array" ref="E67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72" t="s">
        <v>1652</v>
      </c>
      <c r="G672" s="3">
        <v>4736059</v>
      </c>
      <c r="H672" t="s">
        <v>18</v>
      </c>
      <c r="I672" s="4">
        <v>8671649</v>
      </c>
      <c r="J672" t="s">
        <v>19</v>
      </c>
      <c r="K672" s="1">
        <v>44050</v>
      </c>
      <c r="L672">
        <v>75</v>
      </c>
      <c r="M672" s="2" t="str">
        <f>IF(Spotify[[#This Row],[Energie]]&gt;AVERAGE(Spotify[Energie]),"FORTE","FAIBLE")</f>
        <v>FORTE</v>
      </c>
      <c r="N672" s="2">
        <v>0.68799999999999994</v>
      </c>
      <c r="O672" s="2">
        <v>0.71599999999999997</v>
      </c>
      <c r="P672" s="2">
        <v>3.85E-2</v>
      </c>
      <c r="Q672" s="2">
        <v>9.69E-2</v>
      </c>
      <c r="R672" s="2">
        <v>9.8900000000000002E-2</v>
      </c>
      <c r="S672" s="2">
        <v>0.373</v>
      </c>
      <c r="T672" s="2">
        <v>-5.702</v>
      </c>
      <c r="U672">
        <v>284480</v>
      </c>
      <c r="V672">
        <f>YEAR(Spotify[[#This Row],[Date de sortie]])</f>
        <v>2020</v>
      </c>
      <c r="W672" s="2" t="str">
        <f>IF(Spotify[[#This Row],[Popularité]]&gt;=70,"FORTE","FAIBLE")</f>
        <v>FORTE</v>
      </c>
    </row>
    <row r="673" spans="1:23" x14ac:dyDescent="0.25">
      <c r="A673">
        <v>827</v>
      </c>
      <c r="B673">
        <v>32</v>
      </c>
      <c r="C673">
        <v>23</v>
      </c>
      <c r="D673" s="1">
        <v>43980</v>
      </c>
      <c r="E673" s="59" t="str" cm="1">
        <f t="array" ref="E67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73" t="s">
        <v>1429</v>
      </c>
      <c r="G673" s="3">
        <v>4709053</v>
      </c>
      <c r="H673" t="s">
        <v>1430</v>
      </c>
      <c r="I673" s="4">
        <v>7593792</v>
      </c>
      <c r="J673" t="s">
        <v>313</v>
      </c>
      <c r="K673" s="1">
        <v>43980</v>
      </c>
      <c r="L673">
        <v>75</v>
      </c>
      <c r="M673" s="2" t="str">
        <f>IF(Spotify[[#This Row],[Energie]]&gt;AVERAGE(Spotify[Energie]),"FORTE","FAIBLE")</f>
        <v>FAIBLE</v>
      </c>
      <c r="N673" s="2">
        <v>0.57999999999999996</v>
      </c>
      <c r="O673" s="2">
        <v>0.58599999999999997</v>
      </c>
      <c r="P673" s="2">
        <v>3.5700000000000003E-2</v>
      </c>
      <c r="Q673" s="2">
        <v>0.34399999999999997</v>
      </c>
      <c r="R673" s="2">
        <v>7.5499999999999998E-2</v>
      </c>
      <c r="S673" s="2">
        <v>0.50700000000000001</v>
      </c>
      <c r="T673" s="2">
        <v>-6.883</v>
      </c>
      <c r="U673">
        <v>199549</v>
      </c>
      <c r="V673">
        <f>YEAR(Spotify[[#This Row],[Date de sortie]])</f>
        <v>2020</v>
      </c>
      <c r="W673" s="2" t="str">
        <f>IF(Spotify[[#This Row],[Popularité]]&gt;=70,"FORTE","FAIBLE")</f>
        <v>FORTE</v>
      </c>
    </row>
    <row r="674" spans="1:23" x14ac:dyDescent="0.25">
      <c r="A674">
        <v>837</v>
      </c>
      <c r="B674">
        <v>135</v>
      </c>
      <c r="C674">
        <v>15</v>
      </c>
      <c r="D674" s="1">
        <v>44071</v>
      </c>
      <c r="E674" s="59" t="str" cm="1">
        <f t="array" ref="E67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74" t="s">
        <v>1448</v>
      </c>
      <c r="G674" s="3">
        <v>4705484</v>
      </c>
      <c r="H674" t="s">
        <v>885</v>
      </c>
      <c r="I674" s="4">
        <v>10580764</v>
      </c>
      <c r="J674" t="s">
        <v>72</v>
      </c>
      <c r="K674" s="1">
        <v>43992</v>
      </c>
      <c r="L674">
        <v>75</v>
      </c>
      <c r="M674" s="2" t="str">
        <f>IF(Spotify[[#This Row],[Energie]]&gt;AVERAGE(Spotify[Energie]),"FORTE","FAIBLE")</f>
        <v>FAIBLE</v>
      </c>
      <c r="N674" s="2">
        <v>0.48299999999999998</v>
      </c>
      <c r="O674" s="2">
        <v>0.49199999999999999</v>
      </c>
      <c r="P674" s="2">
        <v>0.29499999999999998</v>
      </c>
      <c r="Q674" s="2">
        <v>0.60299999999999998</v>
      </c>
      <c r="R674" s="2">
        <v>0.32300000000000001</v>
      </c>
      <c r="S674" s="2">
        <v>0.66</v>
      </c>
      <c r="T674" s="2">
        <v>-6.5910000000000002</v>
      </c>
      <c r="U674">
        <v>188213</v>
      </c>
      <c r="V674">
        <f>YEAR(Spotify[[#This Row],[Date de sortie]])</f>
        <v>2020</v>
      </c>
      <c r="W674" s="2" t="str">
        <f>IF(Spotify[[#This Row],[Popularité]]&gt;=70,"FORTE","FAIBLE")</f>
        <v>FORTE</v>
      </c>
    </row>
    <row r="675" spans="1:23" x14ac:dyDescent="0.25">
      <c r="A675">
        <v>883</v>
      </c>
      <c r="B675">
        <v>143</v>
      </c>
      <c r="C675">
        <v>7</v>
      </c>
      <c r="D675" s="1">
        <v>44071</v>
      </c>
      <c r="E675" s="59" t="str" cm="1">
        <f t="array" ref="E67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675" t="s">
        <v>1512</v>
      </c>
      <c r="G675" s="3">
        <v>4632724</v>
      </c>
      <c r="H675" t="s">
        <v>1513</v>
      </c>
      <c r="I675" s="4">
        <v>17931101</v>
      </c>
      <c r="J675" t="s">
        <v>553</v>
      </c>
      <c r="K675" s="1">
        <v>40909</v>
      </c>
      <c r="L675">
        <v>75</v>
      </c>
      <c r="M675" s="2" t="str">
        <f>IF(Spotify[[#This Row],[Energie]]&gt;AVERAGE(Spotify[Energie]),"FORTE","FAIBLE")</f>
        <v>FAIBLE</v>
      </c>
      <c r="N675" s="2">
        <v>0.71599999999999997</v>
      </c>
      <c r="O675" s="2">
        <v>0.53100000000000003</v>
      </c>
      <c r="P675" s="2">
        <v>0.122</v>
      </c>
      <c r="Q675" s="2">
        <v>7.0300000000000001E-2</v>
      </c>
      <c r="R675" s="2">
        <v>0.224</v>
      </c>
      <c r="S675" s="2">
        <v>0.34399999999999997</v>
      </c>
      <c r="T675" s="2">
        <v>-7.3550000000000004</v>
      </c>
      <c r="U675">
        <v>386907</v>
      </c>
      <c r="V675">
        <f>YEAR(Spotify[[#This Row],[Date de sortie]])</f>
        <v>2012</v>
      </c>
      <c r="W675" s="2" t="str">
        <f>IF(Spotify[[#This Row],[Popularité]]&gt;=70,"FORTE","FAIBLE")</f>
        <v>FORTE</v>
      </c>
    </row>
    <row r="676" spans="1:23" x14ac:dyDescent="0.25">
      <c r="A676">
        <v>1190</v>
      </c>
      <c r="B676">
        <v>42</v>
      </c>
      <c r="C676">
        <v>12</v>
      </c>
      <c r="D676" s="1">
        <v>43889</v>
      </c>
      <c r="E676" s="59" t="str" cm="1">
        <f t="array" ref="E67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76" t="s">
        <v>1957</v>
      </c>
      <c r="G676" s="3">
        <v>4609358</v>
      </c>
      <c r="H676" t="s">
        <v>1958</v>
      </c>
      <c r="I676" s="4">
        <v>644479</v>
      </c>
      <c r="J676" t="s">
        <v>222</v>
      </c>
      <c r="K676" s="1">
        <v>43510</v>
      </c>
      <c r="L676">
        <v>75</v>
      </c>
      <c r="M676" s="2" t="str">
        <f>IF(Spotify[[#This Row],[Energie]]&gt;AVERAGE(Spotify[Energie]),"FORTE","FAIBLE")</f>
        <v>FAIBLE</v>
      </c>
      <c r="N676" s="2">
        <v>0.57199999999999995</v>
      </c>
      <c r="O676" s="2">
        <v>0.40600000000000003</v>
      </c>
      <c r="P676" s="2">
        <v>4.2700000000000002E-2</v>
      </c>
      <c r="Q676" s="2">
        <v>0.58699999999999997</v>
      </c>
      <c r="R676" s="2">
        <v>0.10199999999999999</v>
      </c>
      <c r="S676" s="2">
        <v>0.26500000000000001</v>
      </c>
      <c r="T676" s="2">
        <v>-8.6240000000000006</v>
      </c>
      <c r="U676">
        <v>201084</v>
      </c>
      <c r="V676">
        <f>YEAR(Spotify[[#This Row],[Date de sortie]])</f>
        <v>2019</v>
      </c>
      <c r="W676" s="2" t="str">
        <f>IF(Spotify[[#This Row],[Popularité]]&gt;=70,"FORTE","FAIBLE")</f>
        <v>FORTE</v>
      </c>
    </row>
    <row r="677" spans="1:23" x14ac:dyDescent="0.25">
      <c r="A677">
        <v>841</v>
      </c>
      <c r="B677">
        <v>54</v>
      </c>
      <c r="C677">
        <v>29</v>
      </c>
      <c r="D677" s="1">
        <v>43987</v>
      </c>
      <c r="E677" s="59" t="str" cm="1">
        <f t="array" ref="E67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77" t="s">
        <v>1453</v>
      </c>
      <c r="G677" s="3">
        <v>4607003</v>
      </c>
      <c r="H677" t="s">
        <v>1454</v>
      </c>
      <c r="I677" s="4">
        <v>6096559</v>
      </c>
      <c r="J677" t="s">
        <v>22</v>
      </c>
      <c r="K677" s="1">
        <v>43916</v>
      </c>
      <c r="L677">
        <v>75</v>
      </c>
      <c r="M677" s="2" t="str">
        <f>IF(Spotify[[#This Row],[Energie]]&gt;AVERAGE(Spotify[Energie]),"FORTE","FAIBLE")</f>
        <v>FAIBLE</v>
      </c>
      <c r="N677" s="2">
        <v>0.82399999999999995</v>
      </c>
      <c r="O677" s="2">
        <v>0.63100000000000001</v>
      </c>
      <c r="P677" s="2">
        <v>8.09E-2</v>
      </c>
      <c r="Q677" s="2">
        <v>0.23699999999999999</v>
      </c>
      <c r="R677" s="2">
        <v>5.3100000000000001E-2</v>
      </c>
      <c r="S677" s="2">
        <v>0.67800000000000005</v>
      </c>
      <c r="T677" s="2">
        <v>-2.7909999999999999</v>
      </c>
      <c r="U677">
        <v>197721</v>
      </c>
      <c r="V677">
        <f>YEAR(Spotify[[#This Row],[Date de sortie]])</f>
        <v>2020</v>
      </c>
      <c r="W677" s="2" t="str">
        <f>IF(Spotify[[#This Row],[Popularité]]&gt;=70,"FORTE","FAIBLE")</f>
        <v>FORTE</v>
      </c>
    </row>
    <row r="678" spans="1:23" x14ac:dyDescent="0.25">
      <c r="A678">
        <v>922</v>
      </c>
      <c r="B678">
        <v>5</v>
      </c>
      <c r="C678">
        <v>7</v>
      </c>
      <c r="D678" s="1">
        <v>44036</v>
      </c>
      <c r="E678" s="59" t="str" cm="1">
        <f t="array" ref="E67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78" t="s">
        <v>1574</v>
      </c>
      <c r="G678" s="3">
        <v>4587573</v>
      </c>
      <c r="H678" t="s">
        <v>746</v>
      </c>
      <c r="I678" s="4">
        <v>42227614</v>
      </c>
      <c r="J678" t="s">
        <v>10</v>
      </c>
      <c r="K678" s="1">
        <v>44036</v>
      </c>
      <c r="L678">
        <v>75</v>
      </c>
      <c r="M678" s="2" t="str">
        <f>IF(Spotify[[#This Row],[Energie]]&gt;AVERAGE(Spotify[Energie]),"FORTE","FAIBLE")</f>
        <v>FAIBLE</v>
      </c>
      <c r="N678" s="2">
        <v>0.77700000000000002</v>
      </c>
      <c r="O678" s="2">
        <v>0.35699999999999998</v>
      </c>
      <c r="P678" s="2">
        <v>5.2200000000000003E-2</v>
      </c>
      <c r="Q678" s="2">
        <v>0.75700000000000001</v>
      </c>
      <c r="R678" s="2">
        <v>0.108</v>
      </c>
      <c r="S678" s="2">
        <v>0.17199999999999999</v>
      </c>
      <c r="T678" s="2">
        <v>-6.9420000000000002</v>
      </c>
      <c r="U678">
        <v>210252</v>
      </c>
      <c r="V678">
        <f>YEAR(Spotify[[#This Row],[Date de sortie]])</f>
        <v>2020</v>
      </c>
      <c r="W678" s="2" t="str">
        <f>IF(Spotify[[#This Row],[Popularité]]&gt;=70,"FORTE","FAIBLE")</f>
        <v>FORTE</v>
      </c>
    </row>
    <row r="679" spans="1:23" x14ac:dyDescent="0.25">
      <c r="A679">
        <v>1164</v>
      </c>
      <c r="B679">
        <v>7</v>
      </c>
      <c r="C679">
        <v>15</v>
      </c>
      <c r="D679" s="1">
        <v>43882</v>
      </c>
      <c r="E679" s="59" t="str" cm="1">
        <f t="array" ref="E67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79" t="s">
        <v>1918</v>
      </c>
      <c r="G679" s="3">
        <v>4559855</v>
      </c>
      <c r="H679" t="s">
        <v>41</v>
      </c>
      <c r="I679" s="4">
        <v>35340069</v>
      </c>
      <c r="J679" t="s">
        <v>42</v>
      </c>
      <c r="K679" s="1">
        <v>43910</v>
      </c>
      <c r="L679">
        <v>75</v>
      </c>
      <c r="M679" s="2" t="str">
        <f>IF(Spotify[[#This Row],[Energie]]&gt;AVERAGE(Spotify[Energie]),"FORTE","FAIBLE")</f>
        <v>FAIBLE</v>
      </c>
      <c r="N679" s="2">
        <v>0.66400000000000003</v>
      </c>
      <c r="O679" s="2">
        <v>0.57199999999999995</v>
      </c>
      <c r="P679" s="2">
        <v>3.0499999999999999E-2</v>
      </c>
      <c r="Q679" s="2">
        <v>8.1100000000000005E-2</v>
      </c>
      <c r="R679" s="2">
        <v>0.121</v>
      </c>
      <c r="S679" s="2">
        <v>0.14299999999999999</v>
      </c>
      <c r="T679" s="2">
        <v>-6.0990000000000002</v>
      </c>
      <c r="U679">
        <v>361027</v>
      </c>
      <c r="V679">
        <f>YEAR(Spotify[[#This Row],[Date de sortie]])</f>
        <v>2020</v>
      </c>
      <c r="W679" s="2" t="str">
        <f>IF(Spotify[[#This Row],[Popularité]]&gt;=70,"FORTE","FAIBLE")</f>
        <v>FORTE</v>
      </c>
    </row>
    <row r="680" spans="1:23" x14ac:dyDescent="0.25">
      <c r="A680">
        <v>976</v>
      </c>
      <c r="B680">
        <v>16</v>
      </c>
      <c r="C680">
        <v>20</v>
      </c>
      <c r="D680" s="1">
        <v>43938</v>
      </c>
      <c r="E680" s="59" t="str" cm="1">
        <f t="array" ref="E68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680" t="s">
        <v>1657</v>
      </c>
      <c r="G680" s="3">
        <v>4510218</v>
      </c>
      <c r="H680" t="s">
        <v>134</v>
      </c>
      <c r="I680" s="4">
        <v>4794212</v>
      </c>
      <c r="J680" t="s">
        <v>135</v>
      </c>
      <c r="K680" s="1">
        <v>43896</v>
      </c>
      <c r="L680">
        <v>75</v>
      </c>
      <c r="M680" s="2" t="str">
        <f>IF(Spotify[[#This Row],[Energie]]&gt;AVERAGE(Spotify[Energie]),"FORTE","FAIBLE")</f>
        <v>FORTE</v>
      </c>
      <c r="N680" s="2">
        <v>0.84299999999999997</v>
      </c>
      <c r="O680" s="2">
        <v>0.74099999999999999</v>
      </c>
      <c r="P680" s="2">
        <v>0.33400000000000002</v>
      </c>
      <c r="Q680" s="2">
        <v>2.52E-2</v>
      </c>
      <c r="R680" s="2">
        <v>9.6000000000000002E-2</v>
      </c>
      <c r="S680" s="2">
        <v>0.68</v>
      </c>
      <c r="T680" s="2">
        <v>-5.609</v>
      </c>
      <c r="U680">
        <v>155497</v>
      </c>
      <c r="V680">
        <f>YEAR(Spotify[[#This Row],[Date de sortie]])</f>
        <v>2020</v>
      </c>
      <c r="W680" s="2" t="str">
        <f>IF(Spotify[[#This Row],[Popularité]]&gt;=70,"FORTE","FAIBLE")</f>
        <v>FORTE</v>
      </c>
    </row>
    <row r="681" spans="1:23" x14ac:dyDescent="0.25">
      <c r="A681">
        <v>1029</v>
      </c>
      <c r="B681">
        <v>21</v>
      </c>
      <c r="C681">
        <v>30</v>
      </c>
      <c r="D681" s="1">
        <v>43861</v>
      </c>
      <c r="E681" s="59" t="str" cm="1">
        <f t="array" ref="E68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81" t="s">
        <v>1726</v>
      </c>
      <c r="G681" s="3">
        <v>4485060</v>
      </c>
      <c r="H681" t="s">
        <v>1727</v>
      </c>
      <c r="I681" s="4">
        <v>231580</v>
      </c>
      <c r="J681" t="s">
        <v>25</v>
      </c>
      <c r="K681" s="1">
        <v>43812</v>
      </c>
      <c r="L681">
        <v>75</v>
      </c>
      <c r="M681" s="2" t="str">
        <f>IF(Spotify[[#This Row],[Energie]]&gt;AVERAGE(Spotify[Energie]),"FORTE","FAIBLE")</f>
        <v>FORTE</v>
      </c>
      <c r="N681" s="2">
        <v>0.88300000000000001</v>
      </c>
      <c r="O681" s="2">
        <v>0.66800000000000004</v>
      </c>
      <c r="P681" s="2">
        <v>0.113</v>
      </c>
      <c r="Q681" s="2">
        <v>0.11</v>
      </c>
      <c r="R681" s="2">
        <v>7.3400000000000007E-2</v>
      </c>
      <c r="S681" s="2">
        <v>0.67600000000000005</v>
      </c>
      <c r="T681" s="2">
        <v>-2.9569999999999999</v>
      </c>
      <c r="U681">
        <v>226533</v>
      </c>
      <c r="V681">
        <f>YEAR(Spotify[[#This Row],[Date de sortie]])</f>
        <v>2019</v>
      </c>
      <c r="W681" s="2" t="str">
        <f>IF(Spotify[[#This Row],[Popularité]]&gt;=70,"FORTE","FAIBLE")</f>
        <v>FORTE</v>
      </c>
    </row>
    <row r="682" spans="1:23" x14ac:dyDescent="0.25">
      <c r="A682">
        <v>1119</v>
      </c>
      <c r="B682">
        <v>33</v>
      </c>
      <c r="C682">
        <v>24</v>
      </c>
      <c r="D682" s="1">
        <v>43833</v>
      </c>
      <c r="E682" s="59" t="str" cm="1">
        <f t="array" ref="E68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82" t="s">
        <v>1857</v>
      </c>
      <c r="G682" s="3">
        <v>4432324</v>
      </c>
      <c r="H682" t="s">
        <v>1858</v>
      </c>
      <c r="I682" s="4">
        <v>6096559</v>
      </c>
      <c r="J682" t="s">
        <v>22</v>
      </c>
      <c r="K682" s="1">
        <v>43706</v>
      </c>
      <c r="L682">
        <v>75</v>
      </c>
      <c r="M682" s="2" t="str">
        <f>IF(Spotify[[#This Row],[Energie]]&gt;AVERAGE(Spotify[Energie]),"FORTE","FAIBLE")</f>
        <v>FORTE</v>
      </c>
      <c r="N682" s="2">
        <v>0.879</v>
      </c>
      <c r="O682" s="2">
        <v>0.70299999999999996</v>
      </c>
      <c r="P682" s="2">
        <v>7.0099999999999996E-2</v>
      </c>
      <c r="Q682" s="2">
        <v>0.14299999999999999</v>
      </c>
      <c r="R682" s="2">
        <v>5.6899999999999999E-2</v>
      </c>
      <c r="S682" s="2">
        <v>0.78800000000000003</v>
      </c>
      <c r="T682" s="2">
        <v>-4.2190000000000003</v>
      </c>
      <c r="U682">
        <v>199711</v>
      </c>
      <c r="V682">
        <f>YEAR(Spotify[[#This Row],[Date de sortie]])</f>
        <v>2019</v>
      </c>
      <c r="W682" s="2" t="str">
        <f>IF(Spotify[[#This Row],[Popularité]]&gt;=70,"FORTE","FAIBLE")</f>
        <v>FORTE</v>
      </c>
    </row>
    <row r="683" spans="1:23" x14ac:dyDescent="0.25">
      <c r="A683">
        <v>1216</v>
      </c>
      <c r="B683">
        <v>109</v>
      </c>
      <c r="C683">
        <v>5</v>
      </c>
      <c r="D683" s="1">
        <v>43931</v>
      </c>
      <c r="E683" s="59" t="str" cm="1">
        <f t="array" ref="E68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683" t="s">
        <v>1988</v>
      </c>
      <c r="G683" s="3">
        <v>4402281</v>
      </c>
      <c r="H683" t="s">
        <v>1989</v>
      </c>
      <c r="I683" s="4">
        <v>3828418</v>
      </c>
      <c r="J683" t="s">
        <v>155</v>
      </c>
      <c r="K683" s="1">
        <v>43931</v>
      </c>
      <c r="L683">
        <v>75</v>
      </c>
      <c r="M683" s="2" t="str">
        <f>IF(Spotify[[#This Row],[Energie]]&gt;AVERAGE(Spotify[Energie]),"FORTE","FAIBLE")</f>
        <v>FORTE</v>
      </c>
      <c r="N683" s="2">
        <v>0.92900000000000005</v>
      </c>
      <c r="O683" s="2">
        <v>0.7</v>
      </c>
      <c r="P683" s="2">
        <v>9.06E-2</v>
      </c>
      <c r="Q683" s="2">
        <v>0.14399999999999999</v>
      </c>
      <c r="R683" s="2">
        <v>0.34899999999999998</v>
      </c>
      <c r="S683" s="2">
        <v>0.80200000000000005</v>
      </c>
      <c r="T683" s="2">
        <v>-5.5949999999999998</v>
      </c>
      <c r="U683">
        <v>132024</v>
      </c>
      <c r="V683">
        <f>YEAR(Spotify[[#This Row],[Date de sortie]])</f>
        <v>2020</v>
      </c>
      <c r="W683" s="2" t="str">
        <f>IF(Spotify[[#This Row],[Popularité]]&gt;=70,"FORTE","FAIBLE")</f>
        <v>FORTE</v>
      </c>
    </row>
    <row r="684" spans="1:23" x14ac:dyDescent="0.25">
      <c r="A684">
        <v>1245</v>
      </c>
      <c r="B684">
        <v>86</v>
      </c>
      <c r="C684">
        <v>5</v>
      </c>
      <c r="D684" s="1">
        <v>43903</v>
      </c>
      <c r="E684" s="59" t="str" cm="1">
        <f t="array" ref="E68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84" t="s">
        <v>2031</v>
      </c>
      <c r="G684" s="3">
        <v>4383521</v>
      </c>
      <c r="H684" t="s">
        <v>661</v>
      </c>
      <c r="I684" s="4">
        <v>2384076</v>
      </c>
      <c r="J684" t="s">
        <v>662</v>
      </c>
      <c r="K684" s="1">
        <v>43899</v>
      </c>
      <c r="L684">
        <v>75</v>
      </c>
      <c r="M684" s="2" t="str">
        <f>IF(Spotify[[#This Row],[Energie]]&gt;AVERAGE(Spotify[Energie]),"FORTE","FAIBLE")</f>
        <v>FORTE</v>
      </c>
      <c r="N684" s="2">
        <v>0.80900000000000005</v>
      </c>
      <c r="O684" s="2">
        <v>0.91100000000000003</v>
      </c>
      <c r="P684" s="2">
        <v>6.1699999999999998E-2</v>
      </c>
      <c r="Q684" s="2">
        <v>7.9500000000000005E-3</v>
      </c>
      <c r="R684" s="2">
        <v>0.18099999999999999</v>
      </c>
      <c r="S684" s="2">
        <v>0.64</v>
      </c>
      <c r="T684" s="2">
        <v>-4.41</v>
      </c>
      <c r="U684">
        <v>191242</v>
      </c>
      <c r="V684">
        <f>YEAR(Spotify[[#This Row],[Date de sortie]])</f>
        <v>2020</v>
      </c>
      <c r="W684" s="2" t="str">
        <f>IF(Spotify[[#This Row],[Popularité]]&gt;=70,"FORTE","FAIBLE")</f>
        <v>FORTE</v>
      </c>
    </row>
    <row r="685" spans="1:23" x14ac:dyDescent="0.25">
      <c r="A685">
        <v>1218</v>
      </c>
      <c r="B685">
        <v>38</v>
      </c>
      <c r="C685">
        <v>18</v>
      </c>
      <c r="D685" s="1">
        <v>43861</v>
      </c>
      <c r="E685" s="59" t="str" cm="1">
        <f t="array" ref="E68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85" t="s">
        <v>1992</v>
      </c>
      <c r="G685" s="3">
        <v>4362442</v>
      </c>
      <c r="H685" t="s">
        <v>1993</v>
      </c>
      <c r="I685" s="4">
        <v>1836564</v>
      </c>
      <c r="J685" t="s">
        <v>1180</v>
      </c>
      <c r="K685" s="1">
        <v>43700</v>
      </c>
      <c r="L685">
        <v>75</v>
      </c>
      <c r="M685" s="2" t="str">
        <f>IF(Spotify[[#This Row],[Energie]]&gt;AVERAGE(Spotify[Energie]),"FORTE","FAIBLE")</f>
        <v>FAIBLE</v>
      </c>
      <c r="N685" s="2">
        <v>0.45300000000000001</v>
      </c>
      <c r="O685" s="2">
        <v>0.53800000000000003</v>
      </c>
      <c r="P685" s="2">
        <v>6.3799999999999996E-2</v>
      </c>
      <c r="Q685" s="2">
        <v>0.44900000000000001</v>
      </c>
      <c r="R685" s="2">
        <v>0.19</v>
      </c>
      <c r="S685" s="2">
        <v>0.51600000000000001</v>
      </c>
      <c r="T685" s="2">
        <v>-8.2119999999999997</v>
      </c>
      <c r="U685">
        <v>204533</v>
      </c>
      <c r="V685">
        <f>YEAR(Spotify[[#This Row],[Date de sortie]])</f>
        <v>2019</v>
      </c>
      <c r="W685" s="2" t="str">
        <f>IF(Spotify[[#This Row],[Popularité]]&gt;=70,"FORTE","FAIBLE")</f>
        <v>FORTE</v>
      </c>
    </row>
    <row r="686" spans="1:23" x14ac:dyDescent="0.25">
      <c r="A686">
        <v>1081</v>
      </c>
      <c r="B686">
        <v>68</v>
      </c>
      <c r="C686">
        <v>24</v>
      </c>
      <c r="D686" s="1">
        <v>43826</v>
      </c>
      <c r="E686" s="59" t="str" cm="1">
        <f t="array" ref="E68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86" t="s">
        <v>1798</v>
      </c>
      <c r="G686" s="3">
        <v>4325411</v>
      </c>
      <c r="H686" t="s">
        <v>74</v>
      </c>
      <c r="I686" s="4">
        <v>16127908</v>
      </c>
      <c r="J686" t="s">
        <v>10</v>
      </c>
      <c r="K686" s="1">
        <v>43812</v>
      </c>
      <c r="L686">
        <v>75</v>
      </c>
      <c r="M686" s="2" t="str">
        <f>IF(Spotify[[#This Row],[Energie]]&gt;AVERAGE(Spotify[Energie]),"FORTE","FAIBLE")</f>
        <v>FAIBLE</v>
      </c>
      <c r="N686" s="2">
        <v>0.57499999999999996</v>
      </c>
      <c r="O686" s="2">
        <v>0.621</v>
      </c>
      <c r="P686" s="2">
        <v>3.2000000000000001E-2</v>
      </c>
      <c r="Q686" s="2">
        <v>3.9199999999999999E-2</v>
      </c>
      <c r="R686" s="2">
        <v>0.14099999999999999</v>
      </c>
      <c r="S686" s="2">
        <v>0.27</v>
      </c>
      <c r="T686" s="2">
        <v>-8.1649999999999991</v>
      </c>
      <c r="U686">
        <v>172213</v>
      </c>
      <c r="V686">
        <f>YEAR(Spotify[[#This Row],[Date de sortie]])</f>
        <v>2019</v>
      </c>
      <c r="W686" s="2" t="str">
        <f>IF(Spotify[[#This Row],[Popularité]]&gt;=70,"FORTE","FAIBLE")</f>
        <v>FORTE</v>
      </c>
    </row>
    <row r="687" spans="1:23" x14ac:dyDescent="0.25">
      <c r="A687">
        <v>1196</v>
      </c>
      <c r="B687">
        <v>4</v>
      </c>
      <c r="C687">
        <v>13</v>
      </c>
      <c r="D687" s="1">
        <v>43875</v>
      </c>
      <c r="E687" s="59" t="str" cm="1">
        <f t="array" ref="E68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87" t="s">
        <v>1965</v>
      </c>
      <c r="G687" s="3">
        <v>4293009</v>
      </c>
      <c r="H687" t="s">
        <v>114</v>
      </c>
      <c r="I687" s="4">
        <v>47061119</v>
      </c>
      <c r="J687" t="s">
        <v>115</v>
      </c>
      <c r="K687" s="1">
        <v>43874</v>
      </c>
      <c r="L687">
        <v>75</v>
      </c>
      <c r="M687" s="2" t="str">
        <f>IF(Spotify[[#This Row],[Energie]]&gt;AVERAGE(Spotify[Energie]),"FORTE","FAIBLE")</f>
        <v>FAIBLE</v>
      </c>
      <c r="N687" s="2">
        <v>0.38</v>
      </c>
      <c r="O687" s="2">
        <v>0.219</v>
      </c>
      <c r="P687" s="2">
        <v>3.5799999999999998E-2</v>
      </c>
      <c r="Q687" s="2">
        <v>0.91700000000000004</v>
      </c>
      <c r="R687" s="2">
        <v>8.2699999999999996E-2</v>
      </c>
      <c r="S687" s="2">
        <v>5.1700000000000003E-2</v>
      </c>
      <c r="T687" s="2">
        <v>-13.273</v>
      </c>
      <c r="U687">
        <v>242265</v>
      </c>
      <c r="V687">
        <f>YEAR(Spotify[[#This Row],[Date de sortie]])</f>
        <v>2020</v>
      </c>
      <c r="W687" s="2" t="str">
        <f>IF(Spotify[[#This Row],[Popularité]]&gt;=70,"FORTE","FAIBLE")</f>
        <v>FORTE</v>
      </c>
    </row>
    <row r="688" spans="1:23" x14ac:dyDescent="0.25">
      <c r="A688">
        <v>262</v>
      </c>
      <c r="B688">
        <v>82</v>
      </c>
      <c r="C688">
        <v>1</v>
      </c>
      <c r="D688" s="1">
        <v>44372</v>
      </c>
      <c r="E688" s="59" t="str" cm="1">
        <f t="array" ref="E68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688" t="s">
        <v>522</v>
      </c>
      <c r="G688" s="3">
        <v>8218423</v>
      </c>
      <c r="H688" t="s">
        <v>425</v>
      </c>
      <c r="I688" s="4">
        <v>6777818</v>
      </c>
      <c r="J688" t="s">
        <v>426</v>
      </c>
      <c r="K688" s="1">
        <v>44372</v>
      </c>
      <c r="L688">
        <v>74</v>
      </c>
      <c r="M688" s="2" t="str">
        <f>IF(Spotify[[#This Row],[Energie]]&gt;AVERAGE(Spotify[Energie]),"FORTE","FAIBLE")</f>
        <v>FORTE</v>
      </c>
      <c r="N688" s="2">
        <v>0.68500000000000005</v>
      </c>
      <c r="O688" s="2">
        <v>0.85499999999999998</v>
      </c>
      <c r="P688" s="2">
        <v>0.438</v>
      </c>
      <c r="Q688" s="2">
        <v>0.32900000000000001</v>
      </c>
      <c r="R688" s="2">
        <v>0.30099999999999999</v>
      </c>
      <c r="S688" s="2">
        <v>0.46</v>
      </c>
      <c r="T688" s="2">
        <v>-6.7240000000000002</v>
      </c>
      <c r="U688">
        <v>223719</v>
      </c>
      <c r="V688">
        <f>YEAR(Spotify[[#This Row],[Date de sortie]])</f>
        <v>2021</v>
      </c>
      <c r="W688" s="2" t="str">
        <f>IF(Spotify[[#This Row],[Popularité]]&gt;=70,"FORTE","FAIBLE")</f>
        <v>FORTE</v>
      </c>
    </row>
    <row r="689" spans="1:23" x14ac:dyDescent="0.25">
      <c r="A689">
        <v>1455</v>
      </c>
      <c r="B689">
        <v>113</v>
      </c>
      <c r="C689">
        <v>5</v>
      </c>
      <c r="D689" s="1">
        <v>43861</v>
      </c>
      <c r="E689" s="59" t="str" cm="1">
        <f t="array" ref="E68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89" t="s">
        <v>2313</v>
      </c>
      <c r="G689" s="3">
        <v>6350496</v>
      </c>
      <c r="H689" t="s">
        <v>950</v>
      </c>
      <c r="I689" s="4">
        <v>621200</v>
      </c>
      <c r="J689" t="s">
        <v>230</v>
      </c>
      <c r="K689" s="1">
        <v>43254</v>
      </c>
      <c r="L689">
        <v>74</v>
      </c>
      <c r="M689" s="2" t="str">
        <f>IF(Spotify[[#This Row],[Energie]]&gt;AVERAGE(Spotify[Energie]),"FORTE","FAIBLE")</f>
        <v>FAIBLE</v>
      </c>
      <c r="N689" s="2">
        <v>0.82199999999999995</v>
      </c>
      <c r="O689" s="2">
        <v>0.57499999999999996</v>
      </c>
      <c r="P689" s="2">
        <v>9.3399999999999997E-2</v>
      </c>
      <c r="Q689" s="2">
        <v>0.113</v>
      </c>
      <c r="R689" s="2">
        <v>0.106</v>
      </c>
      <c r="S689" s="2">
        <v>0.61599999999999999</v>
      </c>
      <c r="T689" s="2">
        <v>-5.95</v>
      </c>
      <c r="U689">
        <v>223000</v>
      </c>
      <c r="V689">
        <f>YEAR(Spotify[[#This Row],[Date de sortie]])</f>
        <v>2018</v>
      </c>
      <c r="W689" s="2" t="str">
        <f>IF(Spotify[[#This Row],[Popularité]]&gt;=70,"FORTE","FAIBLE")</f>
        <v>FORTE</v>
      </c>
    </row>
    <row r="690" spans="1:23" x14ac:dyDescent="0.25">
      <c r="A690">
        <v>492</v>
      </c>
      <c r="B690">
        <v>56</v>
      </c>
      <c r="C690">
        <v>2</v>
      </c>
      <c r="D690" s="1">
        <v>44260</v>
      </c>
      <c r="E690" s="59" t="str" cm="1">
        <f t="array" ref="E69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90" t="s">
        <v>893</v>
      </c>
      <c r="G690" s="3">
        <v>6020785</v>
      </c>
      <c r="H690" t="s">
        <v>894</v>
      </c>
      <c r="I690" s="4">
        <v>7408249</v>
      </c>
      <c r="J690" t="s">
        <v>19</v>
      </c>
      <c r="K690" s="1">
        <v>44259</v>
      </c>
      <c r="L690">
        <v>74</v>
      </c>
      <c r="M690" s="2" t="str">
        <f>IF(Spotify[[#This Row],[Energie]]&gt;AVERAGE(Spotify[Energie]),"FORTE","FAIBLE")</f>
        <v>FORTE</v>
      </c>
      <c r="N690" s="2">
        <v>0.72299999999999998</v>
      </c>
      <c r="O690" s="2">
        <v>0.64600000000000002</v>
      </c>
      <c r="P690" s="2">
        <v>0.10199999999999999</v>
      </c>
      <c r="Q690" s="2">
        <v>2.06E-2</v>
      </c>
      <c r="R690" s="2">
        <v>9.9400000000000002E-2</v>
      </c>
      <c r="S690" s="2">
        <v>0.443</v>
      </c>
      <c r="T690" s="2">
        <v>-7.9729999999999999</v>
      </c>
      <c r="U690">
        <v>168649</v>
      </c>
      <c r="V690">
        <f>YEAR(Spotify[[#This Row],[Date de sortie]])</f>
        <v>2021</v>
      </c>
      <c r="W690" s="2" t="str">
        <f>IF(Spotify[[#This Row],[Popularité]]&gt;=70,"FORTE","FAIBLE")</f>
        <v>FORTE</v>
      </c>
    </row>
    <row r="691" spans="1:23" x14ac:dyDescent="0.25">
      <c r="A691">
        <v>136</v>
      </c>
      <c r="B691">
        <v>108</v>
      </c>
      <c r="C691">
        <v>37</v>
      </c>
      <c r="D691" s="1">
        <v>44316</v>
      </c>
      <c r="E691" s="59" t="str" cm="1">
        <f t="array" ref="E69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91" t="s">
        <v>289</v>
      </c>
      <c r="G691" s="3">
        <v>5907750</v>
      </c>
      <c r="H691" t="s">
        <v>290</v>
      </c>
      <c r="I691" s="4">
        <v>4781906</v>
      </c>
      <c r="J691" t="s">
        <v>291</v>
      </c>
      <c r="K691" s="1">
        <v>41901</v>
      </c>
      <c r="L691">
        <v>74</v>
      </c>
      <c r="M691" s="2" t="str">
        <f>IF(Spotify[[#This Row],[Energie]]&gt;AVERAGE(Spotify[Energie]),"FORTE","FAIBLE")</f>
        <v>FORTE</v>
      </c>
      <c r="N691" s="2">
        <v>0.56599999999999995</v>
      </c>
      <c r="O691" s="2">
        <v>0.66400000000000003</v>
      </c>
      <c r="P691" s="2">
        <v>4.6399999999999997E-2</v>
      </c>
      <c r="Q691" s="2">
        <v>0.63400000000000001</v>
      </c>
      <c r="R691" s="2">
        <v>0.11600000000000001</v>
      </c>
      <c r="S691" s="2">
        <v>0.437</v>
      </c>
      <c r="T691" s="2">
        <v>-5.3029999999999999</v>
      </c>
      <c r="U691">
        <v>241693</v>
      </c>
      <c r="V691">
        <f>YEAR(Spotify[[#This Row],[Date de sortie]])</f>
        <v>2014</v>
      </c>
      <c r="W691" s="2" t="str">
        <f>IF(Spotify[[#This Row],[Popularité]]&gt;=70,"FORTE","FAIBLE")</f>
        <v>FORTE</v>
      </c>
    </row>
    <row r="692" spans="1:23" x14ac:dyDescent="0.25">
      <c r="A692">
        <v>743</v>
      </c>
      <c r="B692">
        <v>172</v>
      </c>
      <c r="C692">
        <v>1</v>
      </c>
      <c r="D692" s="1">
        <v>44162</v>
      </c>
      <c r="E692" s="59" t="str" cm="1">
        <f t="array" ref="E69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92" t="s">
        <v>1291</v>
      </c>
      <c r="G692" s="3">
        <v>5816739</v>
      </c>
      <c r="H692" t="s">
        <v>504</v>
      </c>
      <c r="I692" s="4">
        <v>15778531</v>
      </c>
      <c r="J692" t="s">
        <v>19</v>
      </c>
      <c r="K692" s="1">
        <v>44162</v>
      </c>
      <c r="L692">
        <v>74</v>
      </c>
      <c r="M692" s="2" t="str">
        <f>IF(Spotify[[#This Row],[Energie]]&gt;AVERAGE(Spotify[Energie]),"FORTE","FAIBLE")</f>
        <v>FORTE</v>
      </c>
      <c r="N692" s="2">
        <v>0.55100000000000005</v>
      </c>
      <c r="O692" s="2">
        <v>0.75600000000000001</v>
      </c>
      <c r="P692" s="2">
        <v>6.5199999999999994E-2</v>
      </c>
      <c r="Q692" s="2">
        <v>5.11E-2</v>
      </c>
      <c r="R692" s="2">
        <v>7.6499999999999999E-2</v>
      </c>
      <c r="S692" s="2">
        <v>0.61799999999999999</v>
      </c>
      <c r="T692" s="2">
        <v>-4.9480000000000004</v>
      </c>
      <c r="U692">
        <v>205733</v>
      </c>
      <c r="V692">
        <f>YEAR(Spotify[[#This Row],[Date de sortie]])</f>
        <v>2020</v>
      </c>
      <c r="W692" s="2" t="str">
        <f>IF(Spotify[[#This Row],[Popularité]]&gt;=70,"FORTE","FAIBLE")</f>
        <v>FORTE</v>
      </c>
    </row>
    <row r="693" spans="1:23" x14ac:dyDescent="0.25">
      <c r="A693">
        <v>142</v>
      </c>
      <c r="B693">
        <v>81</v>
      </c>
      <c r="C693">
        <v>81</v>
      </c>
      <c r="D693" s="1">
        <v>43826</v>
      </c>
      <c r="E693" s="59" t="str" cm="1">
        <f t="array" ref="E69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693" t="s">
        <v>301</v>
      </c>
      <c r="G693" s="3">
        <v>5756583</v>
      </c>
      <c r="H693" t="s">
        <v>302</v>
      </c>
      <c r="I693" s="4">
        <v>35888760</v>
      </c>
      <c r="J693" t="s">
        <v>303</v>
      </c>
      <c r="K693" s="1">
        <v>27719</v>
      </c>
      <c r="L693">
        <v>74</v>
      </c>
      <c r="M693" s="2" t="str">
        <f>IF(Spotify[[#This Row],[Energie]]&gt;AVERAGE(Spotify[Energie]),"FORTE","FAIBLE")</f>
        <v>FAIBLE</v>
      </c>
      <c r="N693" s="2">
        <v>0.39200000000000002</v>
      </c>
      <c r="O693" s="2">
        <v>0.40200000000000002</v>
      </c>
      <c r="P693" s="2">
        <v>5.3600000000000002E-2</v>
      </c>
      <c r="Q693" s="2">
        <v>0.28799999999999998</v>
      </c>
      <c r="R693" s="2">
        <v>0.24299999999999999</v>
      </c>
      <c r="S693" s="2">
        <v>0.22800000000000001</v>
      </c>
      <c r="T693" s="2">
        <v>-9.9610000000000003</v>
      </c>
      <c r="U693">
        <v>354320</v>
      </c>
      <c r="V693">
        <f>YEAR(Spotify[[#This Row],[Date de sortie]])</f>
        <v>1975</v>
      </c>
      <c r="W693" s="2" t="str">
        <f>IF(Spotify[[#This Row],[Popularité]]&gt;=70,"FORTE","FAIBLE")</f>
        <v>FORTE</v>
      </c>
    </row>
    <row r="694" spans="1:23" x14ac:dyDescent="0.25">
      <c r="A694">
        <v>1518</v>
      </c>
      <c r="B694">
        <v>102</v>
      </c>
      <c r="C694">
        <v>3</v>
      </c>
      <c r="D694" s="1">
        <v>43833</v>
      </c>
      <c r="E694" s="59" t="str" cm="1">
        <f t="array" ref="E69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94" t="s">
        <v>2391</v>
      </c>
      <c r="G694" s="3">
        <v>5705999</v>
      </c>
      <c r="H694" t="s">
        <v>2392</v>
      </c>
      <c r="I694" s="4">
        <v>1251372</v>
      </c>
      <c r="J694"/>
      <c r="K694" s="1">
        <v>43784</v>
      </c>
      <c r="L694">
        <v>74</v>
      </c>
      <c r="M694" s="2" t="str">
        <f>IF(Spotify[[#This Row],[Energie]]&gt;AVERAGE(Spotify[Energie]),"FORTE","FAIBLE")</f>
        <v>FAIBLE</v>
      </c>
      <c r="N694" s="2">
        <v>0.32300000000000001</v>
      </c>
      <c r="O694" s="2">
        <v>0.40500000000000003</v>
      </c>
      <c r="P694" s="2">
        <v>4.1300000000000003E-2</v>
      </c>
      <c r="Q694" s="2">
        <v>0.84899999999999998</v>
      </c>
      <c r="R694" s="2">
        <v>0.13800000000000001</v>
      </c>
      <c r="S694" s="2">
        <v>0.27400000000000002</v>
      </c>
      <c r="T694" s="2">
        <v>-8.5329999999999995</v>
      </c>
      <c r="U694">
        <v>194848</v>
      </c>
      <c r="V694">
        <f>YEAR(Spotify[[#This Row],[Date de sortie]])</f>
        <v>2019</v>
      </c>
      <c r="W694" s="2" t="str">
        <f>IF(Spotify[[#This Row],[Popularité]]&gt;=70,"FORTE","FAIBLE")</f>
        <v>FORTE</v>
      </c>
    </row>
    <row r="695" spans="1:23" x14ac:dyDescent="0.25">
      <c r="A695">
        <v>398</v>
      </c>
      <c r="B695">
        <v>10</v>
      </c>
      <c r="C695">
        <v>8</v>
      </c>
      <c r="D695" s="1">
        <v>44267</v>
      </c>
      <c r="E695" s="59" t="str" cm="1">
        <f t="array" ref="E69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95" t="s">
        <v>743</v>
      </c>
      <c r="G695" s="3">
        <v>5655879</v>
      </c>
      <c r="H695" t="s">
        <v>744</v>
      </c>
      <c r="I695" s="4">
        <v>1094731</v>
      </c>
      <c r="J695"/>
      <c r="K695" s="1">
        <v>44267</v>
      </c>
      <c r="L695">
        <v>74</v>
      </c>
      <c r="M695" s="2" t="str">
        <f>IF(Spotify[[#This Row],[Energie]]&gt;AVERAGE(Spotify[Energie]),"FORTE","FAIBLE")</f>
        <v>FAIBLE</v>
      </c>
      <c r="N695" s="2">
        <v>0.311</v>
      </c>
      <c r="O695" s="2">
        <v>0.60699999999999998</v>
      </c>
      <c r="P695" s="2">
        <v>0.11</v>
      </c>
      <c r="Q695" s="2">
        <v>1.7399999999999999E-2</v>
      </c>
      <c r="R695" s="2">
        <v>0.13100000000000001</v>
      </c>
      <c r="S695" s="2">
        <v>0.28599999999999998</v>
      </c>
      <c r="T695" s="2">
        <v>-6.5780000000000003</v>
      </c>
      <c r="U695">
        <v>168086</v>
      </c>
      <c r="V695">
        <f>YEAR(Spotify[[#This Row],[Date de sortie]])</f>
        <v>2021</v>
      </c>
      <c r="W695" s="2" t="str">
        <f>IF(Spotify[[#This Row],[Popularité]]&gt;=70,"FORTE","FAIBLE")</f>
        <v>FORTE</v>
      </c>
    </row>
    <row r="696" spans="1:23" x14ac:dyDescent="0.25">
      <c r="A696">
        <v>151</v>
      </c>
      <c r="B696">
        <v>147</v>
      </c>
      <c r="C696">
        <v>24</v>
      </c>
      <c r="D696" s="1">
        <v>44365</v>
      </c>
      <c r="E696" s="59" t="str" cm="1">
        <f t="array" ref="E69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96" t="s">
        <v>323</v>
      </c>
      <c r="G696" s="3">
        <v>5647568</v>
      </c>
      <c r="H696" t="s">
        <v>132</v>
      </c>
      <c r="I696" s="4">
        <v>12169108</v>
      </c>
      <c r="J696" t="s">
        <v>19</v>
      </c>
      <c r="K696" s="1">
        <v>41640</v>
      </c>
      <c r="L696">
        <v>74</v>
      </c>
      <c r="M696" s="2" t="str">
        <f>IF(Spotify[[#This Row],[Energie]]&gt;AVERAGE(Spotify[Energie]),"FORTE","FAIBLE")</f>
        <v>FORTE</v>
      </c>
      <c r="N696" s="2">
        <v>0.66400000000000003</v>
      </c>
      <c r="O696" s="2">
        <v>0.70499999999999996</v>
      </c>
      <c r="P696" s="2">
        <v>3.8199999999999998E-2</v>
      </c>
      <c r="Q696" s="2">
        <v>6.54E-2</v>
      </c>
      <c r="R696" s="2">
        <v>0.115</v>
      </c>
      <c r="S696" s="2">
        <v>0.47699999999999998</v>
      </c>
      <c r="T696" s="2">
        <v>-4.9720000000000004</v>
      </c>
      <c r="U696">
        <v>257840</v>
      </c>
      <c r="V696">
        <f>YEAR(Spotify[[#This Row],[Date de sortie]])</f>
        <v>2014</v>
      </c>
      <c r="W696" s="2" t="str">
        <f>IF(Spotify[[#This Row],[Popularité]]&gt;=70,"FORTE","FAIBLE")</f>
        <v>FORTE</v>
      </c>
    </row>
    <row r="697" spans="1:23" x14ac:dyDescent="0.25">
      <c r="A697">
        <v>407</v>
      </c>
      <c r="B697">
        <v>150</v>
      </c>
      <c r="C697">
        <v>1</v>
      </c>
      <c r="D697" s="1">
        <v>44309</v>
      </c>
      <c r="E697" s="59" t="str" cm="1">
        <f t="array" ref="E69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697" t="s">
        <v>759</v>
      </c>
      <c r="G697" s="3">
        <v>5531998</v>
      </c>
      <c r="H697" t="s">
        <v>760</v>
      </c>
      <c r="I697" s="4">
        <v>4138951</v>
      </c>
      <c r="J697" t="s">
        <v>761</v>
      </c>
      <c r="K697" s="1">
        <v>44309</v>
      </c>
      <c r="L697">
        <v>74</v>
      </c>
      <c r="M697" s="2" t="str">
        <f>IF(Spotify[[#This Row],[Energie]]&gt;AVERAGE(Spotify[Energie]),"FORTE","FAIBLE")</f>
        <v>FAIBLE</v>
      </c>
      <c r="N697" s="2">
        <v>0.61499999999999999</v>
      </c>
      <c r="O697" s="2">
        <v>0.42199999999999999</v>
      </c>
      <c r="P697" s="2">
        <v>5.04E-2</v>
      </c>
      <c r="Q697" s="2">
        <v>0.60399999999999998</v>
      </c>
      <c r="R697" s="2">
        <v>0.112</v>
      </c>
      <c r="S697" s="2">
        <v>0.185</v>
      </c>
      <c r="T697" s="2">
        <v>-8.0190000000000001</v>
      </c>
      <c r="U697">
        <v>214094</v>
      </c>
      <c r="V697">
        <f>YEAR(Spotify[[#This Row],[Date de sortie]])</f>
        <v>2021</v>
      </c>
      <c r="W697" s="2" t="str">
        <f>IF(Spotify[[#This Row],[Popularité]]&gt;=70,"FORTE","FAIBLE")</f>
        <v>FORTE</v>
      </c>
    </row>
    <row r="698" spans="1:23" x14ac:dyDescent="0.25">
      <c r="A698">
        <v>399</v>
      </c>
      <c r="B698">
        <v>20</v>
      </c>
      <c r="C698">
        <v>5</v>
      </c>
      <c r="D698" s="1">
        <v>44295</v>
      </c>
      <c r="E698" s="59" t="str" cm="1">
        <f t="array" ref="E69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698" t="s">
        <v>745</v>
      </c>
      <c r="G698" s="3">
        <v>5480722</v>
      </c>
      <c r="H698" t="s">
        <v>746</v>
      </c>
      <c r="I698" s="4">
        <v>42227614</v>
      </c>
      <c r="J698" t="s">
        <v>10</v>
      </c>
      <c r="K698" s="1">
        <v>44295</v>
      </c>
      <c r="L698">
        <v>74</v>
      </c>
      <c r="M698" s="2" t="str">
        <f>IF(Spotify[[#This Row],[Energie]]&gt;AVERAGE(Spotify[Energie]),"FORTE","FAIBLE")</f>
        <v>FORTE</v>
      </c>
      <c r="N698" s="2">
        <v>0.66</v>
      </c>
      <c r="O698" s="2">
        <v>0.81699999999999995</v>
      </c>
      <c r="P698" s="2">
        <v>5.21E-2</v>
      </c>
      <c r="Q698" s="2">
        <v>0.16200000000000001</v>
      </c>
      <c r="R698" s="2">
        <v>6.6699999999999995E-2</v>
      </c>
      <c r="S698" s="2">
        <v>0.71399999999999997</v>
      </c>
      <c r="T698" s="2">
        <v>-6.2690000000000001</v>
      </c>
      <c r="U698">
        <v>277592</v>
      </c>
      <c r="V698">
        <f>YEAR(Spotify[[#This Row],[Date de sortie]])</f>
        <v>2021</v>
      </c>
      <c r="W698" s="2" t="str">
        <f>IF(Spotify[[#This Row],[Popularité]]&gt;=70,"FORTE","FAIBLE")</f>
        <v>FORTE</v>
      </c>
    </row>
    <row r="699" spans="1:23" x14ac:dyDescent="0.25">
      <c r="A699">
        <v>1174</v>
      </c>
      <c r="B699">
        <v>128</v>
      </c>
      <c r="C699">
        <v>1</v>
      </c>
      <c r="D699" s="1">
        <v>43966</v>
      </c>
      <c r="E699" s="59" t="str" cm="1">
        <f t="array" ref="E69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699" t="s">
        <v>1932</v>
      </c>
      <c r="G699" s="3">
        <v>5464816</v>
      </c>
      <c r="H699" t="s">
        <v>1933</v>
      </c>
      <c r="I699" s="4">
        <v>4849204</v>
      </c>
      <c r="J699" t="s">
        <v>79</v>
      </c>
      <c r="K699" s="1">
        <v>43966</v>
      </c>
      <c r="L699">
        <v>74</v>
      </c>
      <c r="M699" s="2" t="str">
        <f>IF(Spotify[[#This Row],[Energie]]&gt;AVERAGE(Spotify[Energie]),"FORTE","FAIBLE")</f>
        <v>FORTE</v>
      </c>
      <c r="N699" s="2">
        <v>0.92</v>
      </c>
      <c r="O699" s="2">
        <v>0.83299999999999996</v>
      </c>
      <c r="P699" s="2">
        <v>0.253</v>
      </c>
      <c r="Q699" s="2">
        <v>2.7699999999999999E-2</v>
      </c>
      <c r="R699" s="2">
        <v>5.96E-2</v>
      </c>
      <c r="S699" s="2">
        <v>0.64500000000000002</v>
      </c>
      <c r="T699" s="2">
        <v>-3.18</v>
      </c>
      <c r="U699">
        <v>165726</v>
      </c>
      <c r="V699">
        <f>YEAR(Spotify[[#This Row],[Date de sortie]])</f>
        <v>2020</v>
      </c>
      <c r="W699" s="2" t="str">
        <f>IF(Spotify[[#This Row],[Popularité]]&gt;=70,"FORTE","FAIBLE")</f>
        <v>FORTE</v>
      </c>
    </row>
    <row r="700" spans="1:23" x14ac:dyDescent="0.25">
      <c r="A700">
        <v>521</v>
      </c>
      <c r="B700">
        <v>46</v>
      </c>
      <c r="C700">
        <v>19</v>
      </c>
      <c r="D700" s="1">
        <v>44141</v>
      </c>
      <c r="E700" s="59" t="str" cm="1">
        <f t="array" ref="E70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700" t="s">
        <v>947</v>
      </c>
      <c r="G700" s="3">
        <v>5440707</v>
      </c>
      <c r="H700" t="s">
        <v>6</v>
      </c>
      <c r="I700" s="4">
        <v>2238190</v>
      </c>
      <c r="J700" t="s">
        <v>7</v>
      </c>
      <c r="K700" s="1">
        <v>44127</v>
      </c>
      <c r="L700">
        <v>74</v>
      </c>
      <c r="M700" s="2" t="str">
        <f>IF(Spotify[[#This Row],[Energie]]&gt;AVERAGE(Spotify[Energie]),"FORTE","FAIBLE")</f>
        <v>FAIBLE</v>
      </c>
      <c r="N700" s="2">
        <v>0.71899999999999997</v>
      </c>
      <c r="O700" s="2">
        <v>0.59799999999999998</v>
      </c>
      <c r="P700" s="2">
        <v>7.6999999999999999E-2</v>
      </c>
      <c r="Q700" s="2">
        <v>0.23200000000000001</v>
      </c>
      <c r="R700" s="2">
        <v>0.115</v>
      </c>
      <c r="S700" s="2">
        <v>0.30299999999999999</v>
      </c>
      <c r="T700" s="2">
        <v>-6.2539999999999996</v>
      </c>
      <c r="U700">
        <v>126521</v>
      </c>
      <c r="V700">
        <f>YEAR(Spotify[[#This Row],[Date de sortie]])</f>
        <v>2020</v>
      </c>
      <c r="W700" s="2" t="str">
        <f>IF(Spotify[[#This Row],[Popularité]]&gt;=70,"FORTE","FAIBLE")</f>
        <v>FORTE</v>
      </c>
    </row>
    <row r="701" spans="1:23" x14ac:dyDescent="0.25">
      <c r="A701">
        <v>494</v>
      </c>
      <c r="B701">
        <v>168</v>
      </c>
      <c r="C701">
        <v>1</v>
      </c>
      <c r="D701" s="1">
        <v>44267</v>
      </c>
      <c r="E701" s="59" t="str" cm="1">
        <f t="array" ref="E70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701" t="s">
        <v>898</v>
      </c>
      <c r="G701" s="3">
        <v>5439646</v>
      </c>
      <c r="H701" t="s">
        <v>566</v>
      </c>
      <c r="I701" s="4">
        <v>3868320</v>
      </c>
      <c r="J701" t="s">
        <v>567</v>
      </c>
      <c r="K701" s="1">
        <v>44267</v>
      </c>
      <c r="L701">
        <v>74</v>
      </c>
      <c r="M701" s="2" t="str">
        <f>IF(Spotify[[#This Row],[Energie]]&gt;AVERAGE(Spotify[Energie]),"FORTE","FAIBLE")</f>
        <v>FORTE</v>
      </c>
      <c r="N701" s="2">
        <v>0.63200000000000001</v>
      </c>
      <c r="O701" s="2">
        <v>0.92200000000000004</v>
      </c>
      <c r="P701" s="2">
        <v>7.9399999999999998E-2</v>
      </c>
      <c r="Q701" s="2">
        <v>5.5799999999999999E-3</v>
      </c>
      <c r="R701" s="2">
        <v>9.2700000000000005E-2</v>
      </c>
      <c r="S701" s="2">
        <v>0.497</v>
      </c>
      <c r="T701" s="2">
        <v>-2.173</v>
      </c>
      <c r="U701">
        <v>137747</v>
      </c>
      <c r="V701">
        <f>YEAR(Spotify[[#This Row],[Date de sortie]])</f>
        <v>2021</v>
      </c>
      <c r="W701" s="2" t="str">
        <f>IF(Spotify[[#This Row],[Popularité]]&gt;=70,"FORTE","FAIBLE")</f>
        <v>FORTE</v>
      </c>
    </row>
    <row r="702" spans="1:23" x14ac:dyDescent="0.25">
      <c r="A702">
        <v>579</v>
      </c>
      <c r="B702">
        <v>132</v>
      </c>
      <c r="C702">
        <v>9</v>
      </c>
      <c r="D702" s="1">
        <v>44197</v>
      </c>
      <c r="E702" s="59" t="str" cm="1">
        <f t="array" ref="E70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02" t="s">
        <v>1034</v>
      </c>
      <c r="G702" s="3">
        <v>5427534</v>
      </c>
      <c r="H702" t="s">
        <v>1035</v>
      </c>
      <c r="I702" s="4">
        <v>114348</v>
      </c>
      <c r="J702" t="s">
        <v>1036</v>
      </c>
      <c r="K702" s="1">
        <v>44142</v>
      </c>
      <c r="L702">
        <v>74</v>
      </c>
      <c r="M702" s="2" t="str">
        <f>IF(Spotify[[#This Row],[Energie]]&gt;AVERAGE(Spotify[Energie]),"FORTE","FAIBLE")</f>
        <v>FAIBLE</v>
      </c>
      <c r="N702" s="2">
        <v>0.72</v>
      </c>
      <c r="O702" s="2">
        <v>0.61299999999999999</v>
      </c>
      <c r="P702" s="2">
        <v>5.7200000000000001E-2</v>
      </c>
      <c r="Q702" s="2">
        <v>0.185</v>
      </c>
      <c r="R702" s="2">
        <v>0.155</v>
      </c>
      <c r="S702" s="2">
        <v>0.85699999999999998</v>
      </c>
      <c r="T702" s="2">
        <v>-6.899</v>
      </c>
      <c r="U702">
        <v>182199</v>
      </c>
      <c r="V702">
        <f>YEAR(Spotify[[#This Row],[Date de sortie]])</f>
        <v>2020</v>
      </c>
      <c r="W702" s="2" t="str">
        <f>IF(Spotify[[#This Row],[Popularité]]&gt;=70,"FORTE","FAIBLE")</f>
        <v>FORTE</v>
      </c>
    </row>
    <row r="703" spans="1:23" x14ac:dyDescent="0.25">
      <c r="A703">
        <v>271</v>
      </c>
      <c r="B703">
        <v>179</v>
      </c>
      <c r="C703">
        <v>1</v>
      </c>
      <c r="D703" s="1">
        <v>44372</v>
      </c>
      <c r="E703" s="59" t="str" cm="1">
        <f t="array" ref="E70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03" t="s">
        <v>533</v>
      </c>
      <c r="G703" s="3">
        <v>5362817</v>
      </c>
      <c r="H703" t="s">
        <v>18</v>
      </c>
      <c r="I703" s="4">
        <v>8640063</v>
      </c>
      <c r="J703" t="s">
        <v>19</v>
      </c>
      <c r="K703" s="1">
        <v>44372</v>
      </c>
      <c r="L703">
        <v>74</v>
      </c>
      <c r="M703" s="2" t="str">
        <f>IF(Spotify[[#This Row],[Energie]]&gt;AVERAGE(Spotify[Energie]),"FORTE","FAIBLE")</f>
        <v>FAIBLE</v>
      </c>
      <c r="N703" s="2">
        <v>0.67800000000000005</v>
      </c>
      <c r="O703" s="2">
        <v>0.53100000000000003</v>
      </c>
      <c r="P703" s="2">
        <v>3.7400000000000003E-2</v>
      </c>
      <c r="Q703" s="2">
        <v>0.126</v>
      </c>
      <c r="R703" s="2">
        <v>0.377</v>
      </c>
      <c r="S703" s="2">
        <v>0.17599999999999999</v>
      </c>
      <c r="T703" s="2">
        <v>-5.0289999999999999</v>
      </c>
      <c r="U703">
        <v>177373</v>
      </c>
      <c r="V703">
        <f>YEAR(Spotify[[#This Row],[Date de sortie]])</f>
        <v>2021</v>
      </c>
      <c r="W703" s="2" t="str">
        <f>IF(Spotify[[#This Row],[Popularité]]&gt;=70,"FORTE","FAIBLE")</f>
        <v>FORTE</v>
      </c>
    </row>
    <row r="704" spans="1:23" x14ac:dyDescent="0.25">
      <c r="A704">
        <v>307</v>
      </c>
      <c r="B704">
        <v>179</v>
      </c>
      <c r="C704">
        <v>1</v>
      </c>
      <c r="D704" s="1">
        <v>44358</v>
      </c>
      <c r="E704" s="59" t="str" cm="1">
        <f t="array" ref="E70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704" t="s">
        <v>596</v>
      </c>
      <c r="G704" s="3">
        <v>5335308</v>
      </c>
      <c r="H704" t="s">
        <v>78</v>
      </c>
      <c r="I704" s="4">
        <v>4840346</v>
      </c>
      <c r="J704" t="s">
        <v>79</v>
      </c>
      <c r="K704" s="1">
        <v>44358</v>
      </c>
      <c r="L704">
        <v>74</v>
      </c>
      <c r="M704" s="2" t="str">
        <f>IF(Spotify[[#This Row],[Energie]]&gt;AVERAGE(Spotify[Energie]),"FORTE","FAIBLE")</f>
        <v>FORTE</v>
      </c>
      <c r="N704" s="2">
        <v>0.73399999999999999</v>
      </c>
      <c r="O704" s="2">
        <v>0.71199999999999997</v>
      </c>
      <c r="P704" s="2">
        <v>0.20100000000000001</v>
      </c>
      <c r="Q704" s="2">
        <v>0.39100000000000001</v>
      </c>
      <c r="R704" s="2">
        <v>0.10299999999999999</v>
      </c>
      <c r="S704" s="2">
        <v>0.67400000000000004</v>
      </c>
      <c r="T704" s="2">
        <v>-6.2169999999999996</v>
      </c>
      <c r="U704">
        <v>165405</v>
      </c>
      <c r="V704">
        <f>YEAR(Spotify[[#This Row],[Date de sortie]])</f>
        <v>2021</v>
      </c>
      <c r="W704" s="2" t="str">
        <f>IF(Spotify[[#This Row],[Popularité]]&gt;=70,"FORTE","FAIBLE")</f>
        <v>FORTE</v>
      </c>
    </row>
    <row r="705" spans="1:23" x14ac:dyDescent="0.25">
      <c r="A705">
        <v>1367</v>
      </c>
      <c r="B705">
        <v>123</v>
      </c>
      <c r="C705">
        <v>8</v>
      </c>
      <c r="D705" s="1">
        <v>43861</v>
      </c>
      <c r="E705" s="59" t="str" cm="1">
        <f t="array" ref="E70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705" t="s">
        <v>2190</v>
      </c>
      <c r="G705" s="3">
        <v>5286044</v>
      </c>
      <c r="H705" t="s">
        <v>2191</v>
      </c>
      <c r="I705" s="4">
        <v>313480</v>
      </c>
      <c r="J705" t="s">
        <v>2192</v>
      </c>
      <c r="K705" s="1">
        <v>43756</v>
      </c>
      <c r="L705">
        <v>74</v>
      </c>
      <c r="M705" s="2" t="str">
        <f>IF(Spotify[[#This Row],[Energie]]&gt;AVERAGE(Spotify[Energie]),"FORTE","FAIBLE")</f>
        <v>FAIBLE</v>
      </c>
      <c r="N705" s="2">
        <v>0.90700000000000003</v>
      </c>
      <c r="O705" s="2">
        <v>0.53900000000000003</v>
      </c>
      <c r="P705" s="2">
        <v>0.36</v>
      </c>
      <c r="Q705" s="2">
        <v>4.0800000000000003E-2</v>
      </c>
      <c r="R705" s="2">
        <v>0.253</v>
      </c>
      <c r="S705" s="2">
        <v>0.66400000000000003</v>
      </c>
      <c r="T705" s="2">
        <v>-7.782</v>
      </c>
      <c r="U705">
        <v>150115</v>
      </c>
      <c r="V705">
        <f>YEAR(Spotify[[#This Row],[Date de sortie]])</f>
        <v>2019</v>
      </c>
      <c r="W705" s="2" t="str">
        <f>IF(Spotify[[#This Row],[Popularité]]&gt;=70,"FORTE","FAIBLE")</f>
        <v>FORTE</v>
      </c>
    </row>
    <row r="706" spans="1:23" x14ac:dyDescent="0.25">
      <c r="A706">
        <v>1352</v>
      </c>
      <c r="B706">
        <v>191</v>
      </c>
      <c r="C706">
        <v>1</v>
      </c>
      <c r="D706" s="1">
        <v>43896</v>
      </c>
      <c r="E706" s="59" t="str" cm="1">
        <f t="array" ref="E70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06" t="s">
        <v>2171</v>
      </c>
      <c r="G706" s="3">
        <v>5226991</v>
      </c>
      <c r="H706" t="s">
        <v>1786</v>
      </c>
      <c r="I706" s="4">
        <v>4442273</v>
      </c>
      <c r="J706" t="s">
        <v>19</v>
      </c>
      <c r="K706" s="1">
        <v>43896</v>
      </c>
      <c r="L706">
        <v>74</v>
      </c>
      <c r="M706" s="2" t="str">
        <f>IF(Spotify[[#This Row],[Energie]]&gt;AVERAGE(Spotify[Energie]),"FORTE","FAIBLE")</f>
        <v>FAIBLE</v>
      </c>
      <c r="N706" s="2">
        <v>0.80600000000000005</v>
      </c>
      <c r="O706" s="2">
        <v>0.55800000000000005</v>
      </c>
      <c r="P706" s="2">
        <v>6.83E-2</v>
      </c>
      <c r="Q706" s="2">
        <v>0.48199999999999998</v>
      </c>
      <c r="R706" s="2">
        <v>6.1800000000000001E-2</v>
      </c>
      <c r="S706" s="2">
        <v>0.67800000000000005</v>
      </c>
      <c r="T706" s="2">
        <v>-6.46</v>
      </c>
      <c r="U706">
        <v>198973</v>
      </c>
      <c r="V706">
        <f>YEAR(Spotify[[#This Row],[Date de sortie]])</f>
        <v>2020</v>
      </c>
      <c r="W706" s="2" t="str">
        <f>IF(Spotify[[#This Row],[Popularité]]&gt;=70,"FORTE","FAIBLE")</f>
        <v>FORTE</v>
      </c>
    </row>
    <row r="707" spans="1:23" x14ac:dyDescent="0.25">
      <c r="A707">
        <v>1370</v>
      </c>
      <c r="B707">
        <v>58</v>
      </c>
      <c r="C707">
        <v>2</v>
      </c>
      <c r="D707" s="1">
        <v>43882</v>
      </c>
      <c r="E707" s="59" t="str" cm="1">
        <f t="array" ref="E70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07" t="s">
        <v>2197</v>
      </c>
      <c r="G707" s="3">
        <v>5212053</v>
      </c>
      <c r="H707" t="s">
        <v>32</v>
      </c>
      <c r="I707" s="4">
        <v>37151476</v>
      </c>
      <c r="J707" t="s">
        <v>33</v>
      </c>
      <c r="K707" s="1">
        <v>43882</v>
      </c>
      <c r="L707">
        <v>74</v>
      </c>
      <c r="M707" s="2" t="str">
        <f>IF(Spotify[[#This Row],[Energie]]&gt;AVERAGE(Spotify[Energie]),"FORTE","FAIBLE")</f>
        <v>FORTE</v>
      </c>
      <c r="N707" s="2">
        <v>0.67400000000000004</v>
      </c>
      <c r="O707" s="2">
        <v>0.64</v>
      </c>
      <c r="P707" s="2">
        <v>3.39E-2</v>
      </c>
      <c r="Q707" s="2">
        <v>0.151</v>
      </c>
      <c r="R707" s="2">
        <v>9.2499999999999999E-2</v>
      </c>
      <c r="S707" s="2">
        <v>0.66400000000000003</v>
      </c>
      <c r="T707" s="2">
        <v>-5.1390000000000002</v>
      </c>
      <c r="U707">
        <v>234458</v>
      </c>
      <c r="V707">
        <f>YEAR(Spotify[[#This Row],[Date de sortie]])</f>
        <v>2020</v>
      </c>
      <c r="W707" s="2" t="str">
        <f>IF(Spotify[[#This Row],[Popularité]]&gt;=70,"FORTE","FAIBLE")</f>
        <v>FORTE</v>
      </c>
    </row>
    <row r="708" spans="1:23" x14ac:dyDescent="0.25">
      <c r="A708">
        <v>179</v>
      </c>
      <c r="B708">
        <v>138</v>
      </c>
      <c r="C708">
        <v>22</v>
      </c>
      <c r="D708" s="1">
        <v>44288</v>
      </c>
      <c r="E708" s="59" t="str" cm="1">
        <f t="array" ref="E70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708" t="s">
        <v>374</v>
      </c>
      <c r="G708" s="3">
        <v>5204983</v>
      </c>
      <c r="H708" t="s">
        <v>302</v>
      </c>
      <c r="I708" s="4">
        <v>35888760</v>
      </c>
      <c r="J708" t="s">
        <v>303</v>
      </c>
      <c r="K708" s="1">
        <v>29399</v>
      </c>
      <c r="L708">
        <v>74</v>
      </c>
      <c r="M708" s="2" t="str">
        <f>IF(Spotify[[#This Row],[Energie]]&gt;AVERAGE(Spotify[Energie]),"FORTE","FAIBLE")</f>
        <v>FAIBLE</v>
      </c>
      <c r="N708" s="2">
        <v>0.93300000000000005</v>
      </c>
      <c r="O708" s="2">
        <v>0.52800000000000002</v>
      </c>
      <c r="P708" s="2">
        <v>0.16200000000000001</v>
      </c>
      <c r="Q708" s="2">
        <v>0.112</v>
      </c>
      <c r="R708" s="2">
        <v>0.16300000000000001</v>
      </c>
      <c r="S708" s="2">
        <v>0.75600000000000001</v>
      </c>
      <c r="T708" s="2">
        <v>-6.4720000000000004</v>
      </c>
      <c r="U708">
        <v>214653</v>
      </c>
      <c r="V708">
        <f>YEAR(Spotify[[#This Row],[Date de sortie]])</f>
        <v>1980</v>
      </c>
      <c r="W708" s="2" t="str">
        <f>IF(Spotify[[#This Row],[Popularité]]&gt;=70,"FORTE","FAIBLE")</f>
        <v>FORTE</v>
      </c>
    </row>
    <row r="709" spans="1:23" x14ac:dyDescent="0.25">
      <c r="A709">
        <v>1439</v>
      </c>
      <c r="B709">
        <v>95</v>
      </c>
      <c r="C709">
        <v>7</v>
      </c>
      <c r="D709" s="1">
        <v>43826</v>
      </c>
      <c r="E709" s="59" t="str" cm="1">
        <f t="array" ref="E70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709" t="s">
        <v>2288</v>
      </c>
      <c r="G709" s="3">
        <v>5202210</v>
      </c>
      <c r="H709" t="s">
        <v>2289</v>
      </c>
      <c r="I709" s="4">
        <v>4769627</v>
      </c>
      <c r="J709" t="s">
        <v>1447</v>
      </c>
      <c r="K709" s="1">
        <v>43692</v>
      </c>
      <c r="L709">
        <v>74</v>
      </c>
      <c r="M709" s="2" t="str">
        <f>IF(Spotify[[#This Row],[Energie]]&gt;AVERAGE(Spotify[Energie]),"FORTE","FAIBLE")</f>
        <v>FORTE</v>
      </c>
      <c r="N709" s="2">
        <v>0.78</v>
      </c>
      <c r="O709" s="2">
        <v>0.75900000000000001</v>
      </c>
      <c r="P709" s="2">
        <v>0.22500000000000001</v>
      </c>
      <c r="Q709" s="2">
        <v>0.46200000000000002</v>
      </c>
      <c r="R709" s="2">
        <v>0.14299999999999999</v>
      </c>
      <c r="S709" s="2">
        <v>0.57899999999999996</v>
      </c>
      <c r="T709" s="2">
        <v>-3.2919999999999998</v>
      </c>
      <c r="U709">
        <v>201040</v>
      </c>
      <c r="V709">
        <f>YEAR(Spotify[[#This Row],[Date de sortie]])</f>
        <v>2019</v>
      </c>
      <c r="W709" s="2" t="str">
        <f>IF(Spotify[[#This Row],[Popularité]]&gt;=70,"FORTE","FAIBLE")</f>
        <v>FORTE</v>
      </c>
    </row>
    <row r="710" spans="1:23" x14ac:dyDescent="0.25">
      <c r="A710">
        <v>1372</v>
      </c>
      <c r="B710">
        <v>185</v>
      </c>
      <c r="C710">
        <v>1</v>
      </c>
      <c r="D710" s="1">
        <v>43889</v>
      </c>
      <c r="E710" s="59" t="str" cm="1">
        <f t="array" ref="E71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10" t="s">
        <v>2200</v>
      </c>
      <c r="G710" s="3">
        <v>5186141</v>
      </c>
      <c r="H710" t="s">
        <v>573</v>
      </c>
      <c r="I710" s="4">
        <v>14921269</v>
      </c>
      <c r="J710" t="s">
        <v>19</v>
      </c>
      <c r="K710" s="1">
        <v>43888</v>
      </c>
      <c r="L710">
        <v>74</v>
      </c>
      <c r="M710" s="2" t="str">
        <f>IF(Spotify[[#This Row],[Energie]]&gt;AVERAGE(Spotify[Energie]),"FORTE","FAIBLE")</f>
        <v>FORTE</v>
      </c>
      <c r="N710" s="2">
        <v>0.57299999999999995</v>
      </c>
      <c r="O710" s="2">
        <v>0.73899999999999999</v>
      </c>
      <c r="P710" s="2">
        <v>5.8099999999999999E-2</v>
      </c>
      <c r="Q710" s="2">
        <v>0.21199999999999999</v>
      </c>
      <c r="R710" s="2">
        <v>0.17499999999999999</v>
      </c>
      <c r="S710" s="2">
        <v>0.36299999999999999</v>
      </c>
      <c r="T710" s="2">
        <v>-5.4550000000000001</v>
      </c>
      <c r="U710">
        <v>174062</v>
      </c>
      <c r="V710">
        <f>YEAR(Spotify[[#This Row],[Date de sortie]])</f>
        <v>2020</v>
      </c>
      <c r="W710" s="2" t="str">
        <f>IF(Spotify[[#This Row],[Popularité]]&gt;=70,"FORTE","FAIBLE")</f>
        <v>FORTE</v>
      </c>
    </row>
    <row r="711" spans="1:23" x14ac:dyDescent="0.25">
      <c r="A711">
        <v>512</v>
      </c>
      <c r="B711">
        <v>180</v>
      </c>
      <c r="C711">
        <v>1</v>
      </c>
      <c r="D711" s="1">
        <v>44260</v>
      </c>
      <c r="E711" s="59" t="str" cm="1">
        <f t="array" ref="E71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711" t="s">
        <v>931</v>
      </c>
      <c r="G711" s="3">
        <v>5170861</v>
      </c>
      <c r="H711" t="s">
        <v>932</v>
      </c>
      <c r="I711" s="4">
        <v>7816213</v>
      </c>
      <c r="J711" t="s">
        <v>531</v>
      </c>
      <c r="K711" s="1">
        <v>44259</v>
      </c>
      <c r="L711">
        <v>74</v>
      </c>
      <c r="M711" s="2" t="str">
        <f>IF(Spotify[[#This Row],[Energie]]&gt;AVERAGE(Spotify[Energie]),"FORTE","FAIBLE")</f>
        <v>FORTE</v>
      </c>
      <c r="N711" s="2">
        <v>0.77900000000000003</v>
      </c>
      <c r="O711" s="2">
        <v>0.70499999999999996</v>
      </c>
      <c r="P711" s="2">
        <v>0.16300000000000001</v>
      </c>
      <c r="Q711" s="2">
        <v>4.7099999999999998E-3</v>
      </c>
      <c r="R711" s="2">
        <v>9.7100000000000006E-2</v>
      </c>
      <c r="S711" s="2">
        <v>0.19600000000000001</v>
      </c>
      <c r="T711" s="2">
        <v>-5.891</v>
      </c>
      <c r="U711">
        <v>192804</v>
      </c>
      <c r="V711">
        <f>YEAR(Spotify[[#This Row],[Date de sortie]])</f>
        <v>2021</v>
      </c>
      <c r="W711" s="2" t="str">
        <f>IF(Spotify[[#This Row],[Popularité]]&gt;=70,"FORTE","FAIBLE")</f>
        <v>FORTE</v>
      </c>
    </row>
    <row r="712" spans="1:23" x14ac:dyDescent="0.25">
      <c r="A712">
        <v>496</v>
      </c>
      <c r="B712">
        <v>86</v>
      </c>
      <c r="C712">
        <v>12</v>
      </c>
      <c r="D712" s="1">
        <v>44218</v>
      </c>
      <c r="E712" s="59" t="str" cm="1">
        <f t="array" ref="E71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12" t="s">
        <v>901</v>
      </c>
      <c r="G712" s="3">
        <v>5156937</v>
      </c>
      <c r="H712" t="s">
        <v>902</v>
      </c>
      <c r="I712" s="4">
        <v>2786366</v>
      </c>
      <c r="J712" t="s">
        <v>19</v>
      </c>
      <c r="K712" s="1">
        <v>44120</v>
      </c>
      <c r="L712">
        <v>74</v>
      </c>
      <c r="M712" s="2" t="str">
        <f>IF(Spotify[[#This Row],[Energie]]&gt;AVERAGE(Spotify[Energie]),"FORTE","FAIBLE")</f>
        <v>FORTE</v>
      </c>
      <c r="N712" s="2">
        <v>0.504</v>
      </c>
      <c r="O712" s="2">
        <v>0.76</v>
      </c>
      <c r="P712" s="2">
        <v>4.2599999999999999E-2</v>
      </c>
      <c r="Q712" s="2">
        <v>0.28599999999999998</v>
      </c>
      <c r="R712" s="2">
        <v>0.151</v>
      </c>
      <c r="S712" s="2">
        <v>0.64</v>
      </c>
      <c r="T712" s="2">
        <v>-4.2460000000000004</v>
      </c>
      <c r="U712">
        <v>190218</v>
      </c>
      <c r="V712">
        <f>YEAR(Spotify[[#This Row],[Date de sortie]])</f>
        <v>2020</v>
      </c>
      <c r="W712" s="2" t="str">
        <f>IF(Spotify[[#This Row],[Popularité]]&gt;=70,"FORTE","FAIBLE")</f>
        <v>FORTE</v>
      </c>
    </row>
    <row r="713" spans="1:23" x14ac:dyDescent="0.25">
      <c r="A713">
        <v>454</v>
      </c>
      <c r="B713">
        <v>28</v>
      </c>
      <c r="C713">
        <v>3</v>
      </c>
      <c r="D713" s="1">
        <v>44274</v>
      </c>
      <c r="E713" s="59" t="str" cm="1">
        <f t="array" ref="E71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13" t="s">
        <v>827</v>
      </c>
      <c r="G713" s="3">
        <v>5137645</v>
      </c>
      <c r="H713" t="s">
        <v>35</v>
      </c>
      <c r="I713" s="4">
        <v>48544923</v>
      </c>
      <c r="J713" t="s">
        <v>36</v>
      </c>
      <c r="K713" s="1">
        <v>44274</v>
      </c>
      <c r="L713">
        <v>74</v>
      </c>
      <c r="M713" s="2" t="str">
        <f>IF(Spotify[[#This Row],[Energie]]&gt;AVERAGE(Spotify[Energie]),"FORTE","FAIBLE")</f>
        <v>FAIBLE</v>
      </c>
      <c r="N713" s="2">
        <v>0.495</v>
      </c>
      <c r="O713" s="2">
        <v>0.33300000000000002</v>
      </c>
      <c r="P713" s="2">
        <v>2.8799999999999999E-2</v>
      </c>
      <c r="Q713" s="2">
        <v>0.73699999999999999</v>
      </c>
      <c r="R713" s="2">
        <v>0.112</v>
      </c>
      <c r="S713" s="2">
        <v>0.37</v>
      </c>
      <c r="T713" s="2">
        <v>-10.109</v>
      </c>
      <c r="U713">
        <v>158324</v>
      </c>
      <c r="V713">
        <f>YEAR(Spotify[[#This Row],[Date de sortie]])</f>
        <v>2021</v>
      </c>
      <c r="W713" s="2" t="str">
        <f>IF(Spotify[[#This Row],[Popularité]]&gt;=70,"FORTE","FAIBLE")</f>
        <v>FORTE</v>
      </c>
    </row>
    <row r="714" spans="1:23" x14ac:dyDescent="0.25">
      <c r="A714">
        <v>1442</v>
      </c>
      <c r="B714">
        <v>157</v>
      </c>
      <c r="C714">
        <v>7</v>
      </c>
      <c r="D714" s="1">
        <v>43854</v>
      </c>
      <c r="E714" s="59" t="str" cm="1">
        <f t="array" ref="E71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14" t="s">
        <v>2293</v>
      </c>
      <c r="G714" s="3">
        <v>5066711</v>
      </c>
      <c r="H714" t="s">
        <v>2294</v>
      </c>
      <c r="I714" s="4">
        <v>7226268</v>
      </c>
      <c r="J714" t="s">
        <v>72</v>
      </c>
      <c r="K714" s="1">
        <v>43714</v>
      </c>
      <c r="L714">
        <v>74</v>
      </c>
      <c r="M714" s="2" t="str">
        <f>IF(Spotify[[#This Row],[Energie]]&gt;AVERAGE(Spotify[Energie]),"FORTE","FAIBLE")</f>
        <v>FAIBLE</v>
      </c>
      <c r="N714" s="2">
        <v>0.72799999999999998</v>
      </c>
      <c r="O714" s="2">
        <v>0.54200000000000004</v>
      </c>
      <c r="P714" s="2">
        <v>5.1400000000000001E-2</v>
      </c>
      <c r="Q714" s="2">
        <v>0.25900000000000001</v>
      </c>
      <c r="R714" s="2">
        <v>0.13600000000000001</v>
      </c>
      <c r="S714" s="2">
        <v>0.63700000000000001</v>
      </c>
      <c r="T714" s="2">
        <v>-5.1950000000000003</v>
      </c>
      <c r="U714">
        <v>227234</v>
      </c>
      <c r="V714">
        <f>YEAR(Spotify[[#This Row],[Date de sortie]])</f>
        <v>2019</v>
      </c>
      <c r="W714" s="2" t="str">
        <f>IF(Spotify[[#This Row],[Popularité]]&gt;=70,"FORTE","FAIBLE")</f>
        <v>FORTE</v>
      </c>
    </row>
    <row r="715" spans="1:23" x14ac:dyDescent="0.25">
      <c r="A715">
        <v>459</v>
      </c>
      <c r="B715">
        <v>193</v>
      </c>
      <c r="C715">
        <v>3</v>
      </c>
      <c r="D715" s="1">
        <v>44274</v>
      </c>
      <c r="E715" s="59" t="str" cm="1">
        <f t="array" ref="E71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15" t="s">
        <v>837</v>
      </c>
      <c r="G715" s="3">
        <v>5052717</v>
      </c>
      <c r="H715" t="s">
        <v>838</v>
      </c>
      <c r="I715" s="4">
        <v>32279979</v>
      </c>
      <c r="J715" t="s">
        <v>10</v>
      </c>
      <c r="K715" s="1">
        <v>40909</v>
      </c>
      <c r="L715">
        <v>74</v>
      </c>
      <c r="M715" s="2" t="str">
        <f>IF(Spotify[[#This Row],[Energie]]&gt;AVERAGE(Spotify[Energie]),"FORTE","FAIBLE")</f>
        <v>FORTE</v>
      </c>
      <c r="N715" s="2">
        <v>0.73899999999999999</v>
      </c>
      <c r="O715" s="2">
        <v>0.75600000000000001</v>
      </c>
      <c r="P715" s="2">
        <v>3.9399999999999998E-2</v>
      </c>
      <c r="Q715" s="2">
        <v>1.3599999999999999E-2</v>
      </c>
      <c r="R715" s="2">
        <v>0.37</v>
      </c>
      <c r="S715" s="2">
        <v>0.52300000000000002</v>
      </c>
      <c r="T715" s="2">
        <v>-4.8280000000000003</v>
      </c>
      <c r="U715">
        <v>231387</v>
      </c>
      <c r="V715">
        <f>YEAR(Spotify[[#This Row],[Date de sortie]])</f>
        <v>2012</v>
      </c>
      <c r="W715" s="2" t="str">
        <f>IF(Spotify[[#This Row],[Popularité]]&gt;=70,"FORTE","FAIBLE")</f>
        <v>FORTE</v>
      </c>
    </row>
    <row r="716" spans="1:23" x14ac:dyDescent="0.25">
      <c r="A716">
        <v>901</v>
      </c>
      <c r="B716">
        <v>72</v>
      </c>
      <c r="C716">
        <v>2</v>
      </c>
      <c r="D716" s="1">
        <v>44078</v>
      </c>
      <c r="E716" s="59" t="str" cm="1">
        <f t="array" ref="E71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16" t="s">
        <v>1540</v>
      </c>
      <c r="G716" s="3">
        <v>5049863</v>
      </c>
      <c r="H716" t="s">
        <v>1541</v>
      </c>
      <c r="I716" s="4">
        <v>5888533</v>
      </c>
      <c r="J716" t="s">
        <v>10</v>
      </c>
      <c r="K716" s="1">
        <v>44078</v>
      </c>
      <c r="L716">
        <v>74</v>
      </c>
      <c r="M716" s="2" t="str">
        <f>IF(Spotify[[#This Row],[Energie]]&gt;AVERAGE(Spotify[Energie]),"FORTE","FAIBLE")</f>
        <v>FAIBLE</v>
      </c>
      <c r="N716" s="2">
        <v>0.67900000000000005</v>
      </c>
      <c r="O716" s="2">
        <v>0.51600000000000001</v>
      </c>
      <c r="P716" s="2">
        <v>4.5199999999999997E-2</v>
      </c>
      <c r="Q716" s="2">
        <v>0.19900000000000001</v>
      </c>
      <c r="R716" s="2">
        <v>9.6500000000000002E-2</v>
      </c>
      <c r="S716" s="2">
        <v>0.71599999999999997</v>
      </c>
      <c r="T716" s="2">
        <v>-6.3710000000000004</v>
      </c>
      <c r="U716">
        <v>202008</v>
      </c>
      <c r="V716">
        <f>YEAR(Spotify[[#This Row],[Date de sortie]])</f>
        <v>2020</v>
      </c>
      <c r="W716" s="2" t="str">
        <f>IF(Spotify[[#This Row],[Popularité]]&gt;=70,"FORTE","FAIBLE")</f>
        <v>FORTE</v>
      </c>
    </row>
    <row r="717" spans="1:23" x14ac:dyDescent="0.25">
      <c r="A717">
        <v>1315</v>
      </c>
      <c r="B717">
        <v>37</v>
      </c>
      <c r="C717">
        <v>12</v>
      </c>
      <c r="D717" s="1">
        <v>43833</v>
      </c>
      <c r="E717" s="59" t="str" cm="1">
        <f t="array" ref="E71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17" t="s">
        <v>2127</v>
      </c>
      <c r="G717" s="3">
        <v>5046905</v>
      </c>
      <c r="H717" t="s">
        <v>1804</v>
      </c>
      <c r="I717" s="4">
        <v>6298789</v>
      </c>
      <c r="J717" t="s">
        <v>19</v>
      </c>
      <c r="K717" s="1">
        <v>43782</v>
      </c>
      <c r="L717">
        <v>74</v>
      </c>
      <c r="M717" s="2" t="str">
        <f>IF(Spotify[[#This Row],[Energie]]&gt;AVERAGE(Spotify[Energie]),"FORTE","FAIBLE")</f>
        <v>FAIBLE</v>
      </c>
      <c r="N717" s="2">
        <v>0.81599999999999995</v>
      </c>
      <c r="O717" s="2">
        <v>0.629</v>
      </c>
      <c r="P717" s="2">
        <v>0.22600000000000001</v>
      </c>
      <c r="Q717" s="2">
        <v>0.13300000000000001</v>
      </c>
      <c r="R717" s="2">
        <v>6.9199999999999998E-2</v>
      </c>
      <c r="S717" s="2">
        <v>0.71399999999999997</v>
      </c>
      <c r="T717" s="2">
        <v>-5.5679999999999996</v>
      </c>
      <c r="U717">
        <v>131607</v>
      </c>
      <c r="V717">
        <f>YEAR(Spotify[[#This Row],[Date de sortie]])</f>
        <v>2019</v>
      </c>
      <c r="W717" s="2" t="str">
        <f>IF(Spotify[[#This Row],[Popularité]]&gt;=70,"FORTE","FAIBLE")</f>
        <v>FORTE</v>
      </c>
    </row>
    <row r="718" spans="1:23" x14ac:dyDescent="0.25">
      <c r="A718">
        <v>820</v>
      </c>
      <c r="B718">
        <v>19</v>
      </c>
      <c r="C718">
        <v>28</v>
      </c>
      <c r="D718" s="1">
        <v>44029</v>
      </c>
      <c r="E718" s="59" t="str" cm="1">
        <f t="array" ref="E71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18" t="s">
        <v>1415</v>
      </c>
      <c r="G718" s="3">
        <v>5016343</v>
      </c>
      <c r="H718" t="s">
        <v>1416</v>
      </c>
      <c r="I718" s="4">
        <v>5966748</v>
      </c>
      <c r="J718" t="s">
        <v>19</v>
      </c>
      <c r="K718" s="1">
        <v>43931</v>
      </c>
      <c r="L718">
        <v>74</v>
      </c>
      <c r="M718" s="2" t="str">
        <f>IF(Spotify[[#This Row],[Energie]]&gt;AVERAGE(Spotify[Energie]),"FORTE","FAIBLE")</f>
        <v>FORTE</v>
      </c>
      <c r="N718" s="2">
        <v>0.89400000000000002</v>
      </c>
      <c r="O718" s="2">
        <v>0.63500000000000001</v>
      </c>
      <c r="P718" s="2">
        <v>4.7300000000000002E-2</v>
      </c>
      <c r="Q718" s="2">
        <v>0.193</v>
      </c>
      <c r="R718" s="2">
        <v>8.2299999999999998E-2</v>
      </c>
      <c r="S718" s="2">
        <v>0.42799999999999999</v>
      </c>
      <c r="T718" s="2">
        <v>-6.9290000000000003</v>
      </c>
      <c r="U718">
        <v>249143</v>
      </c>
      <c r="V718">
        <f>YEAR(Spotify[[#This Row],[Date de sortie]])</f>
        <v>2020</v>
      </c>
      <c r="W718" s="2" t="str">
        <f>IF(Spotify[[#This Row],[Popularité]]&gt;=70,"FORTE","FAIBLE")</f>
        <v>FORTE</v>
      </c>
    </row>
    <row r="719" spans="1:23" x14ac:dyDescent="0.25">
      <c r="A719">
        <v>1317</v>
      </c>
      <c r="B719">
        <v>113</v>
      </c>
      <c r="C719">
        <v>2</v>
      </c>
      <c r="D719" s="1">
        <v>43896</v>
      </c>
      <c r="E719" s="59" t="str" cm="1">
        <f t="array" ref="E71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19" t="s">
        <v>2129</v>
      </c>
      <c r="G719" s="3">
        <v>5004752</v>
      </c>
      <c r="H719" t="s">
        <v>1786</v>
      </c>
      <c r="I719" s="4">
        <v>4442273</v>
      </c>
      <c r="J719" t="s">
        <v>19</v>
      </c>
      <c r="K719" s="1">
        <v>43896</v>
      </c>
      <c r="L719">
        <v>74</v>
      </c>
      <c r="M719" s="2" t="str">
        <f>IF(Spotify[[#This Row],[Energie]]&gt;AVERAGE(Spotify[Energie]),"FORTE","FAIBLE")</f>
        <v>FAIBLE</v>
      </c>
      <c r="N719" s="2">
        <v>0.63200000000000001</v>
      </c>
      <c r="O719" s="2">
        <v>0.34499999999999997</v>
      </c>
      <c r="P719" s="2">
        <v>3.49E-2</v>
      </c>
      <c r="Q719" s="2">
        <v>0.55100000000000005</v>
      </c>
      <c r="R719" s="2">
        <v>0.104</v>
      </c>
      <c r="S719" s="2">
        <v>8.1799999999999998E-2</v>
      </c>
      <c r="T719" s="2">
        <v>-8</v>
      </c>
      <c r="U719">
        <v>180413</v>
      </c>
      <c r="V719">
        <f>YEAR(Spotify[[#This Row],[Date de sortie]])</f>
        <v>2020</v>
      </c>
      <c r="W719" s="2" t="str">
        <f>IF(Spotify[[#This Row],[Popularité]]&gt;=70,"FORTE","FAIBLE")</f>
        <v>FORTE</v>
      </c>
    </row>
    <row r="720" spans="1:23" x14ac:dyDescent="0.25">
      <c r="A720">
        <v>1447</v>
      </c>
      <c r="B720">
        <v>140</v>
      </c>
      <c r="C720">
        <v>7</v>
      </c>
      <c r="D720" s="1">
        <v>43833</v>
      </c>
      <c r="E720" s="59" t="str" cm="1">
        <f t="array" ref="E72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720" t="s">
        <v>2302</v>
      </c>
      <c r="G720" s="3">
        <v>4953866</v>
      </c>
      <c r="H720" t="s">
        <v>1179</v>
      </c>
      <c r="I720" s="4">
        <v>5436999</v>
      </c>
      <c r="J720" t="s">
        <v>1180</v>
      </c>
      <c r="K720" s="1">
        <v>43623</v>
      </c>
      <c r="L720">
        <v>74</v>
      </c>
      <c r="M720" s="2" t="str">
        <f>IF(Spotify[[#This Row],[Energie]]&gt;AVERAGE(Spotify[Energie]),"FORTE","FAIBLE")</f>
        <v>FAIBLE</v>
      </c>
      <c r="N720" s="2">
        <v>0.79500000000000004</v>
      </c>
      <c r="O720" s="2">
        <v>0.496</v>
      </c>
      <c r="P720" s="2">
        <v>7.22E-2</v>
      </c>
      <c r="Q720" s="2">
        <v>0.108</v>
      </c>
      <c r="R720" s="2">
        <v>6.4500000000000002E-2</v>
      </c>
      <c r="S720" s="2">
        <v>0.874</v>
      </c>
      <c r="T720" s="2">
        <v>-5.883</v>
      </c>
      <c r="U720">
        <v>183000</v>
      </c>
      <c r="V720">
        <f>YEAR(Spotify[[#This Row],[Date de sortie]])</f>
        <v>2019</v>
      </c>
      <c r="W720" s="2" t="str">
        <f>IF(Spotify[[#This Row],[Popularité]]&gt;=70,"FORTE","FAIBLE")</f>
        <v>FORTE</v>
      </c>
    </row>
    <row r="721" spans="1:23" x14ac:dyDescent="0.25">
      <c r="A721">
        <v>1538</v>
      </c>
      <c r="B721">
        <v>169</v>
      </c>
      <c r="C721">
        <v>2</v>
      </c>
      <c r="D721" s="1">
        <v>43833</v>
      </c>
      <c r="E721" s="59" t="str" cm="1">
        <f t="array" ref="E72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721" t="s">
        <v>2419</v>
      </c>
      <c r="G721" s="3">
        <v>4935492</v>
      </c>
      <c r="H721" t="s">
        <v>99</v>
      </c>
      <c r="I721" s="4">
        <v>1276406</v>
      </c>
      <c r="J721" t="s">
        <v>100</v>
      </c>
      <c r="K721" s="1">
        <v>43791</v>
      </c>
      <c r="L721">
        <v>74</v>
      </c>
      <c r="M721" s="2" t="str">
        <f>IF(Spotify[[#This Row],[Energie]]&gt;AVERAGE(Spotify[Energie]),"FORTE","FAIBLE")</f>
        <v>FORTE</v>
      </c>
      <c r="N721" s="2">
        <v>0.746</v>
      </c>
      <c r="O721" s="2">
        <v>0.71699999999999997</v>
      </c>
      <c r="P721" s="2">
        <v>0.17899999999999999</v>
      </c>
      <c r="Q721" s="2">
        <v>0.19900000000000001</v>
      </c>
      <c r="R721" s="2">
        <v>0.13200000000000001</v>
      </c>
      <c r="S721" s="2">
        <v>0.52300000000000002</v>
      </c>
      <c r="T721" s="2">
        <v>-4.8410000000000002</v>
      </c>
      <c r="U721">
        <v>179133</v>
      </c>
      <c r="V721">
        <f>YEAR(Spotify[[#This Row],[Date de sortie]])</f>
        <v>2019</v>
      </c>
      <c r="W721" s="2" t="str">
        <f>IF(Spotify[[#This Row],[Popularité]]&gt;=70,"FORTE","FAIBLE")</f>
        <v>FORTE</v>
      </c>
    </row>
    <row r="722" spans="1:23" x14ac:dyDescent="0.25">
      <c r="A722">
        <v>814</v>
      </c>
      <c r="B722">
        <v>133</v>
      </c>
      <c r="C722">
        <v>8</v>
      </c>
      <c r="D722" s="1">
        <v>44120</v>
      </c>
      <c r="E722" s="59" t="str" cm="1">
        <f t="array" ref="E72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722" t="s">
        <v>1407</v>
      </c>
      <c r="G722" s="3">
        <v>4904772</v>
      </c>
      <c r="H722" t="s">
        <v>1408</v>
      </c>
      <c r="I722" s="4">
        <v>345027</v>
      </c>
      <c r="J722" t="s">
        <v>754</v>
      </c>
      <c r="K722" s="1">
        <v>44064</v>
      </c>
      <c r="L722">
        <v>74</v>
      </c>
      <c r="M722" s="2" t="str">
        <f>IF(Spotify[[#This Row],[Energie]]&gt;AVERAGE(Spotify[Energie]),"FORTE","FAIBLE")</f>
        <v>FORTE</v>
      </c>
      <c r="N722" s="2">
        <v>0.86799999999999999</v>
      </c>
      <c r="O722" s="2">
        <v>0.63800000000000001</v>
      </c>
      <c r="P722" s="2">
        <v>7.3599999999999999E-2</v>
      </c>
      <c r="Q722" s="2">
        <v>0.14599999999999999</v>
      </c>
      <c r="R722" s="2">
        <v>9.3100000000000002E-2</v>
      </c>
      <c r="S722" s="2">
        <v>0.45900000000000002</v>
      </c>
      <c r="T722" s="2">
        <v>-7.7460000000000004</v>
      </c>
      <c r="U722">
        <v>182857</v>
      </c>
      <c r="V722">
        <f>YEAR(Spotify[[#This Row],[Date de sortie]])</f>
        <v>2020</v>
      </c>
      <c r="W722" s="2" t="str">
        <f>IF(Spotify[[#This Row],[Popularité]]&gt;=70,"FORTE","FAIBLE")</f>
        <v>FORTE</v>
      </c>
    </row>
    <row r="723" spans="1:23" x14ac:dyDescent="0.25">
      <c r="A723">
        <v>764</v>
      </c>
      <c r="B723">
        <v>129</v>
      </c>
      <c r="C723">
        <v>14</v>
      </c>
      <c r="D723" s="1">
        <v>44120</v>
      </c>
      <c r="E723" s="59" t="str" cm="1">
        <f t="array" ref="E72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23" t="s">
        <v>1328</v>
      </c>
      <c r="G723" s="3">
        <v>4899440</v>
      </c>
      <c r="H723" t="s">
        <v>1329</v>
      </c>
      <c r="I723" s="4">
        <v>7909963</v>
      </c>
      <c r="J723" t="s">
        <v>72</v>
      </c>
      <c r="K723" s="1">
        <v>43952</v>
      </c>
      <c r="L723">
        <v>74</v>
      </c>
      <c r="M723" s="2" t="str">
        <f>IF(Spotify[[#This Row],[Energie]]&gt;AVERAGE(Spotify[Energie]),"FORTE","FAIBLE")</f>
        <v>FORTE</v>
      </c>
      <c r="N723" s="2">
        <v>0.79300000000000004</v>
      </c>
      <c r="O723" s="2">
        <v>0.78200000000000003</v>
      </c>
      <c r="P723" s="2">
        <v>5.8200000000000002E-2</v>
      </c>
      <c r="Q723" s="2">
        <v>0.44700000000000001</v>
      </c>
      <c r="R723" s="2">
        <v>0.124</v>
      </c>
      <c r="S723" s="2">
        <v>0.81</v>
      </c>
      <c r="T723" s="2">
        <v>-3.9449999999999998</v>
      </c>
      <c r="U723">
        <v>191945</v>
      </c>
      <c r="V723">
        <f>YEAR(Spotify[[#This Row],[Date de sortie]])</f>
        <v>2020</v>
      </c>
      <c r="W723" s="2" t="str">
        <f>IF(Spotify[[#This Row],[Popularité]]&gt;=70,"FORTE","FAIBLE")</f>
        <v>FORTE</v>
      </c>
    </row>
    <row r="724" spans="1:23" x14ac:dyDescent="0.25">
      <c r="A724">
        <v>940</v>
      </c>
      <c r="B724">
        <v>8</v>
      </c>
      <c r="C724">
        <v>8</v>
      </c>
      <c r="D724" s="1">
        <v>44022</v>
      </c>
      <c r="E724" s="59" t="str" cm="1">
        <f t="array" ref="E72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724" t="s">
        <v>1605</v>
      </c>
      <c r="G724" s="3">
        <v>4883202</v>
      </c>
      <c r="H724" t="s">
        <v>345</v>
      </c>
      <c r="I724" s="4">
        <v>19102888</v>
      </c>
      <c r="J724" t="s">
        <v>79</v>
      </c>
      <c r="K724" s="1">
        <v>44022</v>
      </c>
      <c r="L724">
        <v>74</v>
      </c>
      <c r="M724" s="2" t="str">
        <f>IF(Spotify[[#This Row],[Energie]]&gt;AVERAGE(Spotify[Energie]),"FORTE","FAIBLE")</f>
        <v>FAIBLE</v>
      </c>
      <c r="N724" s="2">
        <v>0.63</v>
      </c>
      <c r="O724" s="2">
        <v>0.44600000000000001</v>
      </c>
      <c r="P724" s="2">
        <v>3.5099999999999999E-2</v>
      </c>
      <c r="Q724" s="2">
        <v>0.33700000000000002</v>
      </c>
      <c r="R724" s="2">
        <v>0.16600000000000001</v>
      </c>
      <c r="S724" s="2">
        <v>0.17699999999999999</v>
      </c>
      <c r="T724" s="2">
        <v>-8.9</v>
      </c>
      <c r="U724">
        <v>202193</v>
      </c>
      <c r="V724">
        <f>YEAR(Spotify[[#This Row],[Date de sortie]])</f>
        <v>2020</v>
      </c>
      <c r="W724" s="2" t="str">
        <f>IF(Spotify[[#This Row],[Popularité]]&gt;=70,"FORTE","FAIBLE")</f>
        <v>FORTE</v>
      </c>
    </row>
    <row r="725" spans="1:23" x14ac:dyDescent="0.25">
      <c r="A725">
        <v>905</v>
      </c>
      <c r="B725">
        <v>122</v>
      </c>
      <c r="C725">
        <v>29</v>
      </c>
      <c r="D725" s="1">
        <v>43945</v>
      </c>
      <c r="E725" s="59" t="str" cm="1">
        <f t="array" ref="E72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725" t="s">
        <v>1547</v>
      </c>
      <c r="G725" s="3">
        <v>4877753</v>
      </c>
      <c r="H725" t="s">
        <v>1548</v>
      </c>
      <c r="I725" s="4">
        <v>2168452</v>
      </c>
      <c r="J725" t="s">
        <v>25</v>
      </c>
      <c r="K725" s="1">
        <v>43777</v>
      </c>
      <c r="L725">
        <v>74</v>
      </c>
      <c r="M725" s="2" t="str">
        <f>IF(Spotify[[#This Row],[Energie]]&gt;AVERAGE(Spotify[Energie]),"FORTE","FAIBLE")</f>
        <v>FORTE</v>
      </c>
      <c r="N725" s="2">
        <v>0.86099999999999999</v>
      </c>
      <c r="O725" s="2">
        <v>0.67800000000000005</v>
      </c>
      <c r="P725" s="2">
        <v>5.3600000000000002E-2</v>
      </c>
      <c r="Q725" s="2">
        <v>0.253</v>
      </c>
      <c r="R725" s="2">
        <v>0.106</v>
      </c>
      <c r="S725" s="2">
        <v>0.72299999999999998</v>
      </c>
      <c r="T725" s="2">
        <v>-4.157</v>
      </c>
      <c r="U725">
        <v>259600</v>
      </c>
      <c r="V725">
        <f>YEAR(Spotify[[#This Row],[Date de sortie]])</f>
        <v>2019</v>
      </c>
      <c r="W725" s="2" t="str">
        <f>IF(Spotify[[#This Row],[Popularité]]&gt;=70,"FORTE","FAIBLE")</f>
        <v>FORTE</v>
      </c>
    </row>
    <row r="726" spans="1:23" x14ac:dyDescent="0.25">
      <c r="A726">
        <v>1015</v>
      </c>
      <c r="B726">
        <v>49</v>
      </c>
      <c r="C726">
        <v>23</v>
      </c>
      <c r="D726" s="1">
        <v>43903</v>
      </c>
      <c r="E726" s="59" t="str" cm="1">
        <f t="array" ref="E72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726" t="s">
        <v>1706</v>
      </c>
      <c r="G726" s="3">
        <v>4868180</v>
      </c>
      <c r="H726" t="s">
        <v>697</v>
      </c>
      <c r="I726" s="4">
        <v>6161098</v>
      </c>
      <c r="J726" t="s">
        <v>306</v>
      </c>
      <c r="K726" s="1">
        <v>43854</v>
      </c>
      <c r="L726">
        <v>74</v>
      </c>
      <c r="M726" s="2" t="str">
        <f>IF(Spotify[[#This Row],[Energie]]&gt;AVERAGE(Spotify[Energie]),"FORTE","FAIBLE")</f>
        <v>FORTE</v>
      </c>
      <c r="N726" s="2">
        <v>0.80100000000000005</v>
      </c>
      <c r="O726" s="2">
        <v>0.745</v>
      </c>
      <c r="P726" s="2">
        <v>6.3E-2</v>
      </c>
      <c r="Q726" s="2">
        <v>0.39800000000000002</v>
      </c>
      <c r="R726" s="2">
        <v>0.153</v>
      </c>
      <c r="S726" s="2">
        <v>0.245</v>
      </c>
      <c r="T726" s="2">
        <v>-3.7330000000000001</v>
      </c>
      <c r="U726">
        <v>214013</v>
      </c>
      <c r="V726">
        <f>YEAR(Spotify[[#This Row],[Date de sortie]])</f>
        <v>2020</v>
      </c>
      <c r="W726" s="2" t="str">
        <f>IF(Spotify[[#This Row],[Popularité]]&gt;=70,"FORTE","FAIBLE")</f>
        <v>FORTE</v>
      </c>
    </row>
    <row r="727" spans="1:23" x14ac:dyDescent="0.25">
      <c r="A727">
        <v>1468</v>
      </c>
      <c r="B727">
        <v>134</v>
      </c>
      <c r="C727">
        <v>5</v>
      </c>
      <c r="D727" s="1">
        <v>43826</v>
      </c>
      <c r="E727" s="59" t="str" cm="1">
        <f t="array" ref="E72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727" t="s">
        <v>2332</v>
      </c>
      <c r="G727" s="3">
        <v>4867723</v>
      </c>
      <c r="H727" t="s">
        <v>14</v>
      </c>
      <c r="I727" s="4">
        <v>5488666</v>
      </c>
      <c r="J727" t="s">
        <v>15</v>
      </c>
      <c r="K727" s="1">
        <v>43721</v>
      </c>
      <c r="L727">
        <v>74</v>
      </c>
      <c r="M727" s="2" t="str">
        <f>IF(Spotify[[#This Row],[Energie]]&gt;AVERAGE(Spotify[Energie]),"FORTE","FAIBLE")</f>
        <v>FAIBLE</v>
      </c>
      <c r="N727" s="2">
        <v>0.70299999999999996</v>
      </c>
      <c r="O727" s="2">
        <v>0.59399999999999997</v>
      </c>
      <c r="P727" s="2">
        <v>7.5200000000000003E-2</v>
      </c>
      <c r="Q727" s="2">
        <v>0.34200000000000003</v>
      </c>
      <c r="R727" s="2">
        <v>0.123</v>
      </c>
      <c r="S727" s="2">
        <v>0.47499999999999998</v>
      </c>
      <c r="T727" s="2">
        <v>-6.1459999999999999</v>
      </c>
      <c r="U727">
        <v>114893</v>
      </c>
      <c r="V727">
        <f>YEAR(Spotify[[#This Row],[Date de sortie]])</f>
        <v>2019</v>
      </c>
      <c r="W727" s="2" t="str">
        <f>IF(Spotify[[#This Row],[Popularité]]&gt;=70,"FORTE","FAIBLE")</f>
        <v>FORTE</v>
      </c>
    </row>
    <row r="728" spans="1:23" x14ac:dyDescent="0.25">
      <c r="A728">
        <v>783</v>
      </c>
      <c r="B728">
        <v>162</v>
      </c>
      <c r="C728">
        <v>4</v>
      </c>
      <c r="D728" s="1">
        <v>44134</v>
      </c>
      <c r="E728" s="59" t="str" cm="1">
        <f t="array" ref="E72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728" t="s">
        <v>1363</v>
      </c>
      <c r="G728" s="3">
        <v>4863053</v>
      </c>
      <c r="H728" t="s">
        <v>1364</v>
      </c>
      <c r="I728" s="4">
        <v>486194</v>
      </c>
      <c r="J728" t="s">
        <v>186</v>
      </c>
      <c r="K728" s="1">
        <v>44167</v>
      </c>
      <c r="L728">
        <v>74</v>
      </c>
      <c r="M728" s="2" t="str">
        <f>IF(Spotify[[#This Row],[Energie]]&gt;AVERAGE(Spotify[Energie]),"FORTE","FAIBLE")</f>
        <v>FAIBLE</v>
      </c>
      <c r="N728" s="2">
        <v>0.92800000000000005</v>
      </c>
      <c r="O728" s="2">
        <v>0.34100000000000003</v>
      </c>
      <c r="P728" s="2">
        <v>0.10299999999999999</v>
      </c>
      <c r="Q728" s="2">
        <v>6.1400000000000003E-2</v>
      </c>
      <c r="R728" s="2">
        <v>0.16200000000000001</v>
      </c>
      <c r="S728" s="2">
        <v>0.745</v>
      </c>
      <c r="T728" s="2">
        <v>-10.196</v>
      </c>
      <c r="U728">
        <v>170233</v>
      </c>
      <c r="V728">
        <f>YEAR(Spotify[[#This Row],[Date de sortie]])</f>
        <v>2020</v>
      </c>
      <c r="W728" s="2" t="str">
        <f>IF(Spotify[[#This Row],[Popularité]]&gt;=70,"FORTE","FAIBLE")</f>
        <v>FORTE</v>
      </c>
    </row>
    <row r="729" spans="1:23" x14ac:dyDescent="0.25">
      <c r="A729">
        <v>816</v>
      </c>
      <c r="B729">
        <v>14</v>
      </c>
      <c r="C729">
        <v>6</v>
      </c>
      <c r="D729" s="1">
        <v>44099</v>
      </c>
      <c r="E729" s="59" t="str" cm="1">
        <f t="array" ref="E72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729" t="s">
        <v>1410</v>
      </c>
      <c r="G729" s="3">
        <v>4821213</v>
      </c>
      <c r="H729" t="s">
        <v>310</v>
      </c>
      <c r="I729" s="4">
        <v>17732077</v>
      </c>
      <c r="J729" t="s">
        <v>186</v>
      </c>
      <c r="K729" s="1">
        <v>44099</v>
      </c>
      <c r="L729">
        <v>74</v>
      </c>
      <c r="M729" s="2" t="str">
        <f>IF(Spotify[[#This Row],[Energie]]&gt;AVERAGE(Spotify[Energie]),"FORTE","FAIBLE")</f>
        <v>FORTE</v>
      </c>
      <c r="N729" s="2">
        <v>0.83499999999999996</v>
      </c>
      <c r="O729" s="2">
        <v>0.69899999999999995</v>
      </c>
      <c r="P729" s="2">
        <v>0.27700000000000002</v>
      </c>
      <c r="Q729" s="2">
        <v>6.7099999999999998E-3</v>
      </c>
      <c r="R729" s="2">
        <v>0.19500000000000001</v>
      </c>
      <c r="S729" s="2">
        <v>0.54700000000000004</v>
      </c>
      <c r="T729" s="2">
        <v>-5.4050000000000002</v>
      </c>
      <c r="U729">
        <v>202795</v>
      </c>
      <c r="V729">
        <f>YEAR(Spotify[[#This Row],[Date de sortie]])</f>
        <v>2020</v>
      </c>
      <c r="W729" s="2" t="str">
        <f>IF(Spotify[[#This Row],[Popularité]]&gt;=70,"FORTE","FAIBLE")</f>
        <v>FORTE</v>
      </c>
    </row>
    <row r="730" spans="1:23" x14ac:dyDescent="0.25">
      <c r="A730">
        <v>1454</v>
      </c>
      <c r="B730">
        <v>136</v>
      </c>
      <c r="C730">
        <v>7</v>
      </c>
      <c r="D730" s="1">
        <v>43826</v>
      </c>
      <c r="E730" s="59" t="str" cm="1">
        <f t="array" ref="E73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730" t="s">
        <v>2311</v>
      </c>
      <c r="G730" s="3">
        <v>4803294</v>
      </c>
      <c r="H730" t="s">
        <v>2312</v>
      </c>
      <c r="I730" s="4">
        <v>8766508</v>
      </c>
      <c r="J730" t="s">
        <v>25</v>
      </c>
      <c r="K730" s="1">
        <v>43672</v>
      </c>
      <c r="L730">
        <v>74</v>
      </c>
      <c r="M730" s="2" t="str">
        <f>IF(Spotify[[#This Row],[Energie]]&gt;AVERAGE(Spotify[Energie]),"FORTE","FAIBLE")</f>
        <v>FORTE</v>
      </c>
      <c r="N730" s="2">
        <v>0.72499999999999998</v>
      </c>
      <c r="O730" s="2">
        <v>0.79</v>
      </c>
      <c r="P730" s="2">
        <v>0.19700000000000001</v>
      </c>
      <c r="Q730" s="2">
        <v>7.1099999999999997E-2</v>
      </c>
      <c r="R730" s="2">
        <v>6.0199999999999997E-2</v>
      </c>
      <c r="S730" s="2">
        <v>0.76300000000000001</v>
      </c>
      <c r="T730" s="2">
        <v>-2.331</v>
      </c>
      <c r="U730">
        <v>287773</v>
      </c>
      <c r="V730">
        <f>YEAR(Spotify[[#This Row],[Date de sortie]])</f>
        <v>2019</v>
      </c>
      <c r="W730" s="2" t="str">
        <f>IF(Spotify[[#This Row],[Popularité]]&gt;=70,"FORTE","FAIBLE")</f>
        <v>FORTE</v>
      </c>
    </row>
    <row r="731" spans="1:23" x14ac:dyDescent="0.25">
      <c r="A731">
        <v>594</v>
      </c>
      <c r="B731">
        <v>17</v>
      </c>
      <c r="C731">
        <v>31</v>
      </c>
      <c r="D731" s="1">
        <v>44050</v>
      </c>
      <c r="E731" s="59" t="str" cm="1">
        <f t="array" ref="E73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731" t="s">
        <v>1060</v>
      </c>
      <c r="G731" s="3">
        <v>4790233</v>
      </c>
      <c r="H731" t="s">
        <v>1061</v>
      </c>
      <c r="I731" s="4">
        <v>29238936</v>
      </c>
      <c r="J731" t="s">
        <v>25</v>
      </c>
      <c r="K731" s="1">
        <v>43993</v>
      </c>
      <c r="L731">
        <v>74</v>
      </c>
      <c r="M731" s="2" t="str">
        <f>IF(Spotify[[#This Row],[Energie]]&gt;AVERAGE(Spotify[Energie]),"FORTE","FAIBLE")</f>
        <v>FORTE</v>
      </c>
      <c r="N731" s="2">
        <v>0.72799999999999998</v>
      </c>
      <c r="O731" s="2">
        <v>0.80600000000000005</v>
      </c>
      <c r="P731" s="2">
        <v>6.2300000000000001E-2</v>
      </c>
      <c r="Q731" s="2">
        <v>5.3100000000000001E-2</v>
      </c>
      <c r="R731" s="2">
        <v>0.153</v>
      </c>
      <c r="S731" s="2">
        <v>0.69799999999999995</v>
      </c>
      <c r="T731" s="2">
        <v>-3.766</v>
      </c>
      <c r="U731">
        <v>217547</v>
      </c>
      <c r="V731">
        <f>YEAR(Spotify[[#This Row],[Date de sortie]])</f>
        <v>2020</v>
      </c>
      <c r="W731" s="2" t="str">
        <f>IF(Spotify[[#This Row],[Popularité]]&gt;=70,"FORTE","FAIBLE")</f>
        <v>FORTE</v>
      </c>
    </row>
    <row r="732" spans="1:23" x14ac:dyDescent="0.25">
      <c r="A732">
        <v>1541</v>
      </c>
      <c r="B732">
        <v>187</v>
      </c>
      <c r="C732">
        <v>1</v>
      </c>
      <c r="D732" s="1">
        <v>43833</v>
      </c>
      <c r="E732" s="59" t="str" cm="1">
        <f t="array" ref="E73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32" t="s">
        <v>2422</v>
      </c>
      <c r="G732" s="3">
        <v>4679948</v>
      </c>
      <c r="H732" t="s">
        <v>1230</v>
      </c>
      <c r="I732" s="4">
        <v>18936929</v>
      </c>
      <c r="J732" t="s">
        <v>19</v>
      </c>
      <c r="K732" s="1">
        <v>43616</v>
      </c>
      <c r="L732">
        <v>74</v>
      </c>
      <c r="M732" s="2" t="str">
        <f>IF(Spotify[[#This Row],[Energie]]&gt;AVERAGE(Spotify[Energie]),"FORTE","FAIBLE")</f>
        <v>FORTE</v>
      </c>
      <c r="N732" s="2">
        <v>0.77</v>
      </c>
      <c r="O732" s="2">
        <v>0.88200000000000001</v>
      </c>
      <c r="P732" s="2">
        <v>6.0199999999999997E-2</v>
      </c>
      <c r="Q732" s="2">
        <v>0.19400000000000001</v>
      </c>
      <c r="R732" s="2">
        <v>0.316</v>
      </c>
      <c r="S732" s="2">
        <v>0.38500000000000001</v>
      </c>
      <c r="T732" s="2">
        <v>-4.7919999999999998</v>
      </c>
      <c r="U732">
        <v>223523</v>
      </c>
      <c r="V732">
        <f>YEAR(Spotify[[#This Row],[Date de sortie]])</f>
        <v>2019</v>
      </c>
      <c r="W732" s="2" t="str">
        <f>IF(Spotify[[#This Row],[Popularité]]&gt;=70,"FORTE","FAIBLE")</f>
        <v>FORTE</v>
      </c>
    </row>
    <row r="733" spans="1:23" x14ac:dyDescent="0.25">
      <c r="A733">
        <v>613</v>
      </c>
      <c r="B733">
        <v>138</v>
      </c>
      <c r="C733">
        <v>13</v>
      </c>
      <c r="D733" s="1">
        <v>43826</v>
      </c>
      <c r="E733" s="59" t="str" cm="1">
        <f t="array" ref="E73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733" t="s">
        <v>1087</v>
      </c>
      <c r="G733" s="3">
        <v>4630572</v>
      </c>
      <c r="H733" t="s">
        <v>302</v>
      </c>
      <c r="I733" s="4">
        <v>35910149</v>
      </c>
      <c r="J733" t="s">
        <v>303</v>
      </c>
      <c r="K733" s="1">
        <v>28804</v>
      </c>
      <c r="L733">
        <v>74</v>
      </c>
      <c r="M733" s="2" t="str">
        <f>IF(Spotify[[#This Row],[Energie]]&gt;AVERAGE(Spotify[Energie]),"FORTE","FAIBLE")</f>
        <v>FORTE</v>
      </c>
      <c r="N733" s="2">
        <v>0.56299999999999994</v>
      </c>
      <c r="O733" s="2">
        <v>0.86499999999999999</v>
      </c>
      <c r="P733" s="2">
        <v>0.16</v>
      </c>
      <c r="Q733" s="2">
        <v>4.7199999999999999E-2</v>
      </c>
      <c r="R733" s="2">
        <v>0.77</v>
      </c>
      <c r="S733" s="2">
        <v>0.60099999999999998</v>
      </c>
      <c r="T733" s="2">
        <v>-5.2770000000000001</v>
      </c>
      <c r="U733">
        <v>209413</v>
      </c>
      <c r="V733">
        <f>YEAR(Spotify[[#This Row],[Date de sortie]])</f>
        <v>1978</v>
      </c>
      <c r="W733" s="2" t="str">
        <f>IF(Spotify[[#This Row],[Popularité]]&gt;=70,"FORTE","FAIBLE")</f>
        <v>FORTE</v>
      </c>
    </row>
    <row r="734" spans="1:23" x14ac:dyDescent="0.25">
      <c r="A734">
        <v>1023</v>
      </c>
      <c r="B734">
        <v>6</v>
      </c>
      <c r="C734">
        <v>23</v>
      </c>
      <c r="D734" s="1">
        <v>43889</v>
      </c>
      <c r="E734" s="59" t="str" cm="1">
        <f t="array" ref="E73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734" t="s">
        <v>1719</v>
      </c>
      <c r="G734" s="3">
        <v>4613982</v>
      </c>
      <c r="H734" t="s">
        <v>1720</v>
      </c>
      <c r="I734" s="4">
        <v>36177712</v>
      </c>
      <c r="J734" t="s">
        <v>25</v>
      </c>
      <c r="K734" s="1">
        <v>43875</v>
      </c>
      <c r="L734">
        <v>74</v>
      </c>
      <c r="M734" s="2" t="str">
        <f>IF(Spotify[[#This Row],[Energie]]&gt;AVERAGE(Spotify[Energie]),"FORTE","FAIBLE")</f>
        <v>FAIBLE</v>
      </c>
      <c r="N734" s="2">
        <v>0.85</v>
      </c>
      <c r="O734" s="2">
        <v>0.53600000000000003</v>
      </c>
      <c r="P734" s="2">
        <v>5.9900000000000002E-2</v>
      </c>
      <c r="Q734" s="2">
        <v>0.26700000000000002</v>
      </c>
      <c r="R734" s="2">
        <v>9.9599999999999994E-2</v>
      </c>
      <c r="S734" s="2">
        <v>0.505</v>
      </c>
      <c r="T734" s="2">
        <v>-5.1609999999999996</v>
      </c>
      <c r="U734">
        <v>210607</v>
      </c>
      <c r="V734">
        <f>YEAR(Spotify[[#This Row],[Date de sortie]])</f>
        <v>2020</v>
      </c>
      <c r="W734" s="2" t="str">
        <f>IF(Spotify[[#This Row],[Popularité]]&gt;=70,"FORTE","FAIBLE")</f>
        <v>FORTE</v>
      </c>
    </row>
    <row r="735" spans="1:23" x14ac:dyDescent="0.25">
      <c r="A735">
        <v>616</v>
      </c>
      <c r="B735">
        <v>49</v>
      </c>
      <c r="C735">
        <v>4</v>
      </c>
      <c r="D735" s="1">
        <v>44176</v>
      </c>
      <c r="E735" s="59" t="str" cm="1">
        <f t="array" ref="E73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735" t="s">
        <v>1091</v>
      </c>
      <c r="G735" s="3">
        <v>4540781</v>
      </c>
      <c r="H735" t="s">
        <v>1092</v>
      </c>
      <c r="I735" s="4">
        <v>5002317</v>
      </c>
      <c r="J735" t="s">
        <v>426</v>
      </c>
      <c r="K735" s="1">
        <v>44176</v>
      </c>
      <c r="L735">
        <v>74</v>
      </c>
      <c r="M735" s="2" t="str">
        <f>IF(Spotify[[#This Row],[Energie]]&gt;AVERAGE(Spotify[Energie]),"FORTE","FAIBLE")</f>
        <v>FAIBLE</v>
      </c>
      <c r="N735" s="2">
        <v>0.71199999999999997</v>
      </c>
      <c r="O735" s="2">
        <v>0.55600000000000005</v>
      </c>
      <c r="P735" s="2">
        <v>5.3100000000000001E-2</v>
      </c>
      <c r="Q735" s="2">
        <v>8.4000000000000005E-2</v>
      </c>
      <c r="R735" s="2">
        <v>0.52700000000000002</v>
      </c>
      <c r="S735" s="2">
        <v>0.22</v>
      </c>
      <c r="T735" s="2">
        <v>-7.2140000000000004</v>
      </c>
      <c r="U735">
        <v>193293</v>
      </c>
      <c r="V735">
        <f>YEAR(Spotify[[#This Row],[Date de sortie]])</f>
        <v>2020</v>
      </c>
      <c r="W735" s="2" t="str">
        <f>IF(Spotify[[#This Row],[Popularité]]&gt;=70,"FORTE","FAIBLE")</f>
        <v>FORTE</v>
      </c>
    </row>
    <row r="736" spans="1:23" x14ac:dyDescent="0.25">
      <c r="A736">
        <v>925</v>
      </c>
      <c r="B736">
        <v>86</v>
      </c>
      <c r="C736">
        <v>8</v>
      </c>
      <c r="D736" s="1">
        <v>44029</v>
      </c>
      <c r="E736" s="59" t="str" cm="1">
        <f t="array" ref="E73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736" t="s">
        <v>1579</v>
      </c>
      <c r="G736" s="3">
        <v>4538382</v>
      </c>
      <c r="H736" t="s">
        <v>1580</v>
      </c>
      <c r="I736" s="4">
        <v>7593792</v>
      </c>
      <c r="J736" t="s">
        <v>313</v>
      </c>
      <c r="K736" s="1">
        <v>44029</v>
      </c>
      <c r="L736">
        <v>74</v>
      </c>
      <c r="M736" s="2" t="str">
        <f>IF(Spotify[[#This Row],[Energie]]&gt;AVERAGE(Spotify[Energie]),"FORTE","FAIBLE")</f>
        <v>FORTE</v>
      </c>
      <c r="N736" s="2">
        <v>0.75</v>
      </c>
      <c r="O736" s="2">
        <v>0.66400000000000003</v>
      </c>
      <c r="P736" s="2">
        <v>0.154</v>
      </c>
      <c r="Q736" s="2">
        <v>0.27500000000000002</v>
      </c>
      <c r="R736" s="2">
        <v>6.3200000000000006E-2</v>
      </c>
      <c r="S736" s="2">
        <v>0.61699999999999999</v>
      </c>
      <c r="T736" s="2">
        <v>-5.9080000000000004</v>
      </c>
      <c r="U736">
        <v>208156</v>
      </c>
      <c r="V736">
        <f>YEAR(Spotify[[#This Row],[Date de sortie]])</f>
        <v>2020</v>
      </c>
      <c r="W736" s="2" t="str">
        <f>IF(Spotify[[#This Row],[Popularité]]&gt;=70,"FORTE","FAIBLE")</f>
        <v>FORTE</v>
      </c>
    </row>
    <row r="737" spans="1:23" x14ac:dyDescent="0.25">
      <c r="A737">
        <v>1226</v>
      </c>
      <c r="B737">
        <v>97</v>
      </c>
      <c r="C737">
        <v>11</v>
      </c>
      <c r="D737" s="1">
        <v>43826</v>
      </c>
      <c r="E737" s="59" t="str" cm="1">
        <f t="array" ref="E73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37" t="s">
        <v>2004</v>
      </c>
      <c r="G737" s="3">
        <v>4393037</v>
      </c>
      <c r="H737" t="s">
        <v>2005</v>
      </c>
      <c r="I737" s="4">
        <v>10580764</v>
      </c>
      <c r="J737" t="s">
        <v>72</v>
      </c>
      <c r="K737" s="1">
        <v>43686</v>
      </c>
      <c r="L737">
        <v>74</v>
      </c>
      <c r="M737" s="2" t="str">
        <f>IF(Spotify[[#This Row],[Energie]]&gt;AVERAGE(Spotify[Energie]),"FORTE","FAIBLE")</f>
        <v>FORTE</v>
      </c>
      <c r="N737" s="2">
        <v>0.73099999999999998</v>
      </c>
      <c r="O737" s="2">
        <v>0.83199999999999996</v>
      </c>
      <c r="P737" s="2">
        <v>5.0299999999999997E-2</v>
      </c>
      <c r="Q737" s="2">
        <v>0.27300000000000002</v>
      </c>
      <c r="R737" s="2">
        <v>6.6500000000000004E-2</v>
      </c>
      <c r="S737" s="2">
        <v>0.94</v>
      </c>
      <c r="T737" s="2">
        <v>-2.5920000000000001</v>
      </c>
      <c r="U737">
        <v>178613</v>
      </c>
      <c r="V737">
        <f>YEAR(Spotify[[#This Row],[Date de sortie]])</f>
        <v>2019</v>
      </c>
      <c r="W737" s="2" t="str">
        <f>IF(Spotify[[#This Row],[Popularité]]&gt;=70,"FORTE","FAIBLE")</f>
        <v>FORTE</v>
      </c>
    </row>
    <row r="738" spans="1:23" x14ac:dyDescent="0.25">
      <c r="A738">
        <v>964</v>
      </c>
      <c r="B738">
        <v>50</v>
      </c>
      <c r="C738">
        <v>22</v>
      </c>
      <c r="D738" s="1">
        <v>43938</v>
      </c>
      <c r="E738" s="59" t="str" cm="1">
        <f t="array" ref="E73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738" t="s">
        <v>1643</v>
      </c>
      <c r="G738" s="3">
        <v>4371370</v>
      </c>
      <c r="H738" t="s">
        <v>1644</v>
      </c>
      <c r="I738" s="4">
        <v>6608815</v>
      </c>
      <c r="J738" t="s">
        <v>235</v>
      </c>
      <c r="K738" s="1">
        <v>43909</v>
      </c>
      <c r="L738">
        <v>74</v>
      </c>
      <c r="M738" s="2" t="str">
        <f>IF(Spotify[[#This Row],[Energie]]&gt;AVERAGE(Spotify[Energie]),"FORTE","FAIBLE")</f>
        <v>FORTE</v>
      </c>
      <c r="N738" s="2">
        <v>0.86699999999999999</v>
      </c>
      <c r="O738" s="2">
        <v>0.74399999999999999</v>
      </c>
      <c r="P738" s="2">
        <v>0.22700000000000001</v>
      </c>
      <c r="Q738" s="2">
        <v>0.26800000000000002</v>
      </c>
      <c r="R738" s="2">
        <v>7.1300000000000002E-2</v>
      </c>
      <c r="S738" s="2">
        <v>0.64500000000000002</v>
      </c>
      <c r="T738" s="2">
        <v>-5.1710000000000003</v>
      </c>
      <c r="U738">
        <v>173288</v>
      </c>
      <c r="V738">
        <f>YEAR(Spotify[[#This Row],[Date de sortie]])</f>
        <v>2020</v>
      </c>
      <c r="W738" s="2" t="str">
        <f>IF(Spotify[[#This Row],[Popularité]]&gt;=70,"FORTE","FAIBLE")</f>
        <v>FORTE</v>
      </c>
    </row>
    <row r="739" spans="1:23" x14ac:dyDescent="0.25">
      <c r="A739">
        <v>1113</v>
      </c>
      <c r="B739">
        <v>22</v>
      </c>
      <c r="C739">
        <v>12</v>
      </c>
      <c r="D739" s="1">
        <v>43917</v>
      </c>
      <c r="E739" s="59" t="str" cm="1">
        <f t="array" ref="E73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39" t="s">
        <v>1848</v>
      </c>
      <c r="G739" s="3">
        <v>4361970</v>
      </c>
      <c r="H739" t="s">
        <v>1849</v>
      </c>
      <c r="I739" s="4">
        <v>3129968</v>
      </c>
      <c r="J739" t="s">
        <v>10</v>
      </c>
      <c r="K739" s="1">
        <v>43917</v>
      </c>
      <c r="L739">
        <v>74</v>
      </c>
      <c r="M739" s="2" t="str">
        <f>IF(Spotify[[#This Row],[Energie]]&gt;AVERAGE(Spotify[Energie]),"FORTE","FAIBLE")</f>
        <v>FORTE</v>
      </c>
      <c r="N739" s="2">
        <v>0.43</v>
      </c>
      <c r="O739" s="2">
        <v>0.7</v>
      </c>
      <c r="P739" s="2">
        <v>0.26400000000000001</v>
      </c>
      <c r="Q739" s="2">
        <v>9.0200000000000002E-2</v>
      </c>
      <c r="R739" s="2">
        <v>0.216</v>
      </c>
      <c r="S739" s="2">
        <v>0.73099999999999998</v>
      </c>
      <c r="T739" s="2">
        <v>-5.35</v>
      </c>
      <c r="U739">
        <v>183219</v>
      </c>
      <c r="V739">
        <f>YEAR(Spotify[[#This Row],[Date de sortie]])</f>
        <v>2020</v>
      </c>
      <c r="W739" s="2" t="str">
        <f>IF(Spotify[[#This Row],[Popularité]]&gt;=70,"FORTE","FAIBLE")</f>
        <v>FORTE</v>
      </c>
    </row>
    <row r="740" spans="1:23" x14ac:dyDescent="0.25">
      <c r="A740">
        <v>429</v>
      </c>
      <c r="B740">
        <v>52</v>
      </c>
      <c r="C740">
        <v>1</v>
      </c>
      <c r="D740" s="1">
        <v>44295</v>
      </c>
      <c r="E740" s="59" t="str" cm="1">
        <f t="array" ref="E74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40" t="s">
        <v>794</v>
      </c>
      <c r="G740" s="3">
        <v>9872084</v>
      </c>
      <c r="H740" t="s">
        <v>746</v>
      </c>
      <c r="I740" s="4">
        <v>42227614</v>
      </c>
      <c r="J740" t="s">
        <v>10</v>
      </c>
      <c r="K740" s="1">
        <v>44295</v>
      </c>
      <c r="L740">
        <v>73</v>
      </c>
      <c r="M740" s="2" t="str">
        <f>IF(Spotify[[#This Row],[Energie]]&gt;AVERAGE(Spotify[Energie]),"FORTE","FAIBLE")</f>
        <v>FORTE</v>
      </c>
      <c r="N740" s="2">
        <v>0.63200000000000001</v>
      </c>
      <c r="O740" s="2">
        <v>0.77300000000000002</v>
      </c>
      <c r="P740" s="2">
        <v>3.4599999999999999E-2</v>
      </c>
      <c r="Q740" s="2">
        <v>6.2300000000000001E-2</v>
      </c>
      <c r="R740" s="2">
        <v>8.8499999999999995E-2</v>
      </c>
      <c r="S740" s="2">
        <v>0.47399999999999998</v>
      </c>
      <c r="T740" s="2">
        <v>-4.8559999999999999</v>
      </c>
      <c r="U740">
        <v>231124</v>
      </c>
      <c r="V740">
        <f>YEAR(Spotify[[#This Row],[Date de sortie]])</f>
        <v>2021</v>
      </c>
      <c r="W740" s="2" t="str">
        <f>IF(Spotify[[#This Row],[Popularité]]&gt;=70,"FORTE","FAIBLE")</f>
        <v>FORTE</v>
      </c>
    </row>
    <row r="741" spans="1:23" x14ac:dyDescent="0.25">
      <c r="A741">
        <v>852</v>
      </c>
      <c r="B741">
        <v>65</v>
      </c>
      <c r="C741">
        <v>1</v>
      </c>
      <c r="D741" s="1">
        <v>44106</v>
      </c>
      <c r="E741" s="59" t="str" cm="1">
        <f t="array" ref="E74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741" t="s">
        <v>1470</v>
      </c>
      <c r="G741" s="3">
        <v>9129562</v>
      </c>
      <c r="H741" t="s">
        <v>1320</v>
      </c>
      <c r="I741" s="4">
        <v>9949044</v>
      </c>
      <c r="J741" t="s">
        <v>531</v>
      </c>
      <c r="K741" s="1">
        <v>44106</v>
      </c>
      <c r="L741">
        <v>73</v>
      </c>
      <c r="M741" s="2" t="str">
        <f>IF(Spotify[[#This Row],[Energie]]&gt;AVERAGE(Spotify[Energie]),"FORTE","FAIBLE")</f>
        <v>FORTE</v>
      </c>
      <c r="N741" s="2">
        <v>0.82499999999999996</v>
      </c>
      <c r="O741" s="2">
        <v>0.73299999999999998</v>
      </c>
      <c r="P741" s="2">
        <v>9.69E-2</v>
      </c>
      <c r="Q741" s="2">
        <v>0.34899999999999998</v>
      </c>
      <c r="R741" s="2">
        <v>0.112</v>
      </c>
      <c r="S741" s="2">
        <v>0.62</v>
      </c>
      <c r="T741" s="2">
        <v>-5.625</v>
      </c>
      <c r="U741">
        <v>190331</v>
      </c>
      <c r="V741">
        <f>YEAR(Spotify[[#This Row],[Date de sortie]])</f>
        <v>2020</v>
      </c>
      <c r="W741" s="2" t="str">
        <f>IF(Spotify[[#This Row],[Popularité]]&gt;=70,"FORTE","FAIBLE")</f>
        <v>FORTE</v>
      </c>
    </row>
    <row r="742" spans="1:23" x14ac:dyDescent="0.25">
      <c r="A742">
        <v>1544</v>
      </c>
      <c r="B742">
        <v>59</v>
      </c>
      <c r="C742">
        <v>1</v>
      </c>
      <c r="D742" s="1">
        <v>43826</v>
      </c>
      <c r="E742" s="59" t="str" cm="1">
        <f t="array" ref="E74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42" t="s">
        <v>2425</v>
      </c>
      <c r="G742" s="3">
        <v>8896030</v>
      </c>
      <c r="H742" t="s">
        <v>2426</v>
      </c>
      <c r="I742" s="4">
        <v>139434</v>
      </c>
      <c r="J742" t="s">
        <v>115</v>
      </c>
      <c r="K742" s="1">
        <v>43734</v>
      </c>
      <c r="L742">
        <v>73</v>
      </c>
      <c r="M742" s="2" t="str">
        <f>IF(Spotify[[#This Row],[Energie]]&gt;AVERAGE(Spotify[Energie]),"FORTE","FAIBLE")</f>
        <v>FAIBLE</v>
      </c>
      <c r="N742" s="2">
        <v>0.61899999999999999</v>
      </c>
      <c r="O742" s="2">
        <v>0.45900000000000002</v>
      </c>
      <c r="P742" s="2">
        <v>3.3399999999999999E-2</v>
      </c>
      <c r="Q742" s="2">
        <v>0.56000000000000005</v>
      </c>
      <c r="R742" s="2">
        <v>0.13700000000000001</v>
      </c>
      <c r="S742" s="2">
        <v>0.498</v>
      </c>
      <c r="T742" s="2">
        <v>-5.782</v>
      </c>
      <c r="U742">
        <v>184280</v>
      </c>
      <c r="V742">
        <f>YEAR(Spotify[[#This Row],[Date de sortie]])</f>
        <v>2019</v>
      </c>
      <c r="W742" s="2" t="str">
        <f>IF(Spotify[[#This Row],[Popularité]]&gt;=70,"FORTE","FAIBLE")</f>
        <v>FORTE</v>
      </c>
    </row>
    <row r="743" spans="1:23" x14ac:dyDescent="0.25">
      <c r="A743">
        <v>431</v>
      </c>
      <c r="B743">
        <v>68</v>
      </c>
      <c r="C743">
        <v>1</v>
      </c>
      <c r="D743" s="1">
        <v>44295</v>
      </c>
      <c r="E743" s="59" t="str" cm="1">
        <f t="array" ref="E74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743" t="s">
        <v>796</v>
      </c>
      <c r="G743" s="3">
        <v>8638360</v>
      </c>
      <c r="H743" t="s">
        <v>797</v>
      </c>
      <c r="I743" s="4">
        <v>2815928</v>
      </c>
      <c r="J743" t="s">
        <v>798</v>
      </c>
      <c r="K743" s="1">
        <v>39245</v>
      </c>
      <c r="L743">
        <v>73</v>
      </c>
      <c r="M743" s="2" t="str">
        <f>IF(Spotify[[#This Row],[Energie]]&gt;AVERAGE(Spotify[Energie]),"FORTE","FAIBLE")</f>
        <v>FORTE</v>
      </c>
      <c r="N743" s="2">
        <v>0.76100000000000001</v>
      </c>
      <c r="O743" s="2">
        <v>0.89900000000000002</v>
      </c>
      <c r="P743" s="2">
        <v>0.183</v>
      </c>
      <c r="Q743" s="2">
        <v>1.35E-2</v>
      </c>
      <c r="R743" s="2">
        <v>7.1900000000000006E-2</v>
      </c>
      <c r="S743" s="2">
        <v>0.67300000000000004</v>
      </c>
      <c r="T743" s="2">
        <v>-3.09</v>
      </c>
      <c r="U743">
        <v>217587</v>
      </c>
      <c r="V743">
        <f>YEAR(Spotify[[#This Row],[Date de sortie]])</f>
        <v>2007</v>
      </c>
      <c r="W743" s="2" t="str">
        <f>IF(Spotify[[#This Row],[Popularité]]&gt;=70,"FORTE","FAIBLE")</f>
        <v>FORTE</v>
      </c>
    </row>
    <row r="744" spans="1:23" x14ac:dyDescent="0.25">
      <c r="A744">
        <v>264</v>
      </c>
      <c r="B744">
        <v>108</v>
      </c>
      <c r="C744">
        <v>1</v>
      </c>
      <c r="D744" s="1">
        <v>44372</v>
      </c>
      <c r="E744" s="59" t="str" cm="1">
        <f t="array" ref="E74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744" t="s">
        <v>524</v>
      </c>
      <c r="G744" s="3">
        <v>6988886</v>
      </c>
      <c r="H744" t="s">
        <v>425</v>
      </c>
      <c r="I744" s="4">
        <v>6777818</v>
      </c>
      <c r="J744" t="s">
        <v>426</v>
      </c>
      <c r="K744" s="1">
        <v>44372</v>
      </c>
      <c r="L744">
        <v>73</v>
      </c>
      <c r="M744" s="2" t="str">
        <f>IF(Spotify[[#This Row],[Energie]]&gt;AVERAGE(Spotify[Energie]),"FORTE","FAIBLE")</f>
        <v>FORTE</v>
      </c>
      <c r="N744" s="2">
        <v>0.45400000000000001</v>
      </c>
      <c r="O744" s="2">
        <v>0.86599999999999999</v>
      </c>
      <c r="P744" s="2">
        <v>0.39100000000000001</v>
      </c>
      <c r="Q744" s="2">
        <v>0.121</v>
      </c>
      <c r="R744" s="2">
        <v>0.16700000000000001</v>
      </c>
      <c r="S744" s="2">
        <v>0.51800000000000002</v>
      </c>
      <c r="T744" s="2">
        <v>-5.3479999999999999</v>
      </c>
      <c r="U744">
        <v>175123</v>
      </c>
      <c r="V744">
        <f>YEAR(Spotify[[#This Row],[Date de sortie]])</f>
        <v>2021</v>
      </c>
      <c r="W744" s="2" t="str">
        <f>IF(Spotify[[#This Row],[Popularité]]&gt;=70,"FORTE","FAIBLE")</f>
        <v>FORTE</v>
      </c>
    </row>
    <row r="745" spans="1:23" x14ac:dyDescent="0.25">
      <c r="A745">
        <v>711</v>
      </c>
      <c r="B745">
        <v>17</v>
      </c>
      <c r="C745">
        <v>3</v>
      </c>
      <c r="D745" s="1">
        <v>44162</v>
      </c>
      <c r="E745" s="59" t="str" cm="1">
        <f t="array" ref="E74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745" t="s">
        <v>1253</v>
      </c>
      <c r="G745" s="3">
        <v>6388079</v>
      </c>
      <c r="H745" t="s">
        <v>24</v>
      </c>
      <c r="I745" s="4">
        <v>36177712</v>
      </c>
      <c r="J745" t="s">
        <v>25</v>
      </c>
      <c r="K745" s="1">
        <v>44162</v>
      </c>
      <c r="L745">
        <v>73</v>
      </c>
      <c r="M745" s="2" t="str">
        <f>IF(Spotify[[#This Row],[Energie]]&gt;AVERAGE(Spotify[Energie]),"FORTE","FAIBLE")</f>
        <v>FORTE</v>
      </c>
      <c r="N745" s="2">
        <v>0.68799999999999994</v>
      </c>
      <c r="O745" s="2">
        <v>0.88100000000000001</v>
      </c>
      <c r="P745" s="2">
        <v>4.7399999999999998E-2</v>
      </c>
      <c r="Q745" s="2">
        <v>9.4700000000000006E-2</v>
      </c>
      <c r="R745" s="2">
        <v>8.0399999999999999E-2</v>
      </c>
      <c r="S745" s="2">
        <v>0.67700000000000005</v>
      </c>
      <c r="T745" s="2">
        <v>-4.8890000000000002</v>
      </c>
      <c r="U745">
        <v>191526</v>
      </c>
      <c r="V745">
        <f>YEAR(Spotify[[#This Row],[Date de sortie]])</f>
        <v>2020</v>
      </c>
      <c r="W745" s="2" t="str">
        <f>IF(Spotify[[#This Row],[Popularité]]&gt;=70,"FORTE","FAIBLE")</f>
        <v>FORTE</v>
      </c>
    </row>
    <row r="746" spans="1:23" x14ac:dyDescent="0.25">
      <c r="A746">
        <v>266</v>
      </c>
      <c r="B746">
        <v>132</v>
      </c>
      <c r="C746">
        <v>1</v>
      </c>
      <c r="D746" s="1">
        <v>44372</v>
      </c>
      <c r="E746" s="59" t="str" cm="1">
        <f t="array" ref="E74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746" t="s">
        <v>526</v>
      </c>
      <c r="G746" s="3">
        <v>6268542</v>
      </c>
      <c r="H746" t="s">
        <v>425</v>
      </c>
      <c r="I746" s="4">
        <v>6777818</v>
      </c>
      <c r="J746" t="s">
        <v>426</v>
      </c>
      <c r="K746" s="1">
        <v>44372</v>
      </c>
      <c r="L746">
        <v>73</v>
      </c>
      <c r="M746" s="2" t="str">
        <f>IF(Spotify[[#This Row],[Energie]]&gt;AVERAGE(Spotify[Energie]),"FORTE","FAIBLE")</f>
        <v>FORTE</v>
      </c>
      <c r="N746" s="2">
        <v>0.55500000000000005</v>
      </c>
      <c r="O746" s="2">
        <v>0.71199999999999997</v>
      </c>
      <c r="P746" s="2">
        <v>0.32300000000000001</v>
      </c>
      <c r="Q746" s="2">
        <v>4.5100000000000001E-2</v>
      </c>
      <c r="R746" s="2">
        <v>0.182</v>
      </c>
      <c r="S746" s="2">
        <v>0.55500000000000005</v>
      </c>
      <c r="T746" s="2">
        <v>-7.4459999999999997</v>
      </c>
      <c r="U746">
        <v>515865</v>
      </c>
      <c r="V746">
        <f>YEAR(Spotify[[#This Row],[Date de sortie]])</f>
        <v>2021</v>
      </c>
      <c r="W746" s="2" t="str">
        <f>IF(Spotify[[#This Row],[Popularité]]&gt;=70,"FORTE","FAIBLE")</f>
        <v>FORTE</v>
      </c>
    </row>
    <row r="747" spans="1:23" x14ac:dyDescent="0.25">
      <c r="A747">
        <v>1008</v>
      </c>
      <c r="B747">
        <v>46</v>
      </c>
      <c r="C747">
        <v>2</v>
      </c>
      <c r="D747" s="1">
        <v>44022</v>
      </c>
      <c r="E747" s="59" t="str" cm="1">
        <f t="array" ref="E74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747" t="s">
        <v>1698</v>
      </c>
      <c r="G747" s="3">
        <v>6223001</v>
      </c>
      <c r="H747" t="s">
        <v>345</v>
      </c>
      <c r="I747" s="4">
        <v>19102888</v>
      </c>
      <c r="J747" t="s">
        <v>79</v>
      </c>
      <c r="K747" s="1">
        <v>44022</v>
      </c>
      <c r="L747">
        <v>73</v>
      </c>
      <c r="M747" s="2" t="str">
        <f>IF(Spotify[[#This Row],[Energie]]&gt;AVERAGE(Spotify[Energie]),"FORTE","FAIBLE")</f>
        <v>FORTE</v>
      </c>
      <c r="N747" s="2">
        <v>0.621</v>
      </c>
      <c r="O747" s="2">
        <v>0.69499999999999995</v>
      </c>
      <c r="P747" s="2">
        <v>9.11E-2</v>
      </c>
      <c r="Q747" s="2">
        <v>5.8399999999999997E-3</v>
      </c>
      <c r="R747" s="2">
        <v>8.5999999999999993E-2</v>
      </c>
      <c r="S747" s="2">
        <v>0.29799999999999999</v>
      </c>
      <c r="T747" s="2">
        <v>-5.1239999999999997</v>
      </c>
      <c r="U747">
        <v>136408</v>
      </c>
      <c r="V747">
        <f>YEAR(Spotify[[#This Row],[Date de sortie]])</f>
        <v>2020</v>
      </c>
      <c r="W747" s="2" t="str">
        <f>IF(Spotify[[#This Row],[Popularité]]&gt;=70,"FORTE","FAIBLE")</f>
        <v>FORTE</v>
      </c>
    </row>
    <row r="748" spans="1:23" x14ac:dyDescent="0.25">
      <c r="A748">
        <v>422</v>
      </c>
      <c r="B748">
        <v>8</v>
      </c>
      <c r="C748">
        <v>5</v>
      </c>
      <c r="D748" s="1">
        <v>44239</v>
      </c>
      <c r="E748" s="59" t="str" cm="1">
        <f t="array" ref="E74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48" t="s">
        <v>784</v>
      </c>
      <c r="G748" s="3">
        <v>6202933</v>
      </c>
      <c r="H748" t="s">
        <v>746</v>
      </c>
      <c r="I748" s="4">
        <v>42227614</v>
      </c>
      <c r="J748" t="s">
        <v>10</v>
      </c>
      <c r="K748" s="1">
        <v>44295</v>
      </c>
      <c r="L748">
        <v>73</v>
      </c>
      <c r="M748" s="2" t="str">
        <f>IF(Spotify[[#This Row],[Energie]]&gt;AVERAGE(Spotify[Energie]),"FORTE","FAIBLE")</f>
        <v>FORTE</v>
      </c>
      <c r="N748" s="2">
        <v>0.627</v>
      </c>
      <c r="O748" s="2">
        <v>0.79200000000000004</v>
      </c>
      <c r="P748" s="2">
        <v>3.1E-2</v>
      </c>
      <c r="Q748" s="2">
        <v>0.13</v>
      </c>
      <c r="R748" s="2">
        <v>8.4500000000000006E-2</v>
      </c>
      <c r="S748" s="2">
        <v>0.41499999999999998</v>
      </c>
      <c r="T748" s="2">
        <v>-4.3109999999999999</v>
      </c>
      <c r="U748">
        <v>235767</v>
      </c>
      <c r="V748">
        <f>YEAR(Spotify[[#This Row],[Date de sortie]])</f>
        <v>2021</v>
      </c>
      <c r="W748" s="2" t="str">
        <f>IF(Spotify[[#This Row],[Popularité]]&gt;=70,"FORTE","FAIBLE")</f>
        <v>FORTE</v>
      </c>
    </row>
    <row r="749" spans="1:23" x14ac:dyDescent="0.25">
      <c r="A749">
        <v>267</v>
      </c>
      <c r="B749">
        <v>141</v>
      </c>
      <c r="C749">
        <v>1</v>
      </c>
      <c r="D749" s="1">
        <v>44372</v>
      </c>
      <c r="E749" s="59" t="str" cm="1">
        <f t="array" ref="E74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749" t="s">
        <v>527</v>
      </c>
      <c r="G749" s="3">
        <v>6034281</v>
      </c>
      <c r="H749" t="s">
        <v>425</v>
      </c>
      <c r="I749" s="4">
        <v>6777818</v>
      </c>
      <c r="J749" t="s">
        <v>426</v>
      </c>
      <c r="K749" s="1">
        <v>44372</v>
      </c>
      <c r="L749">
        <v>73</v>
      </c>
      <c r="M749" s="2" t="str">
        <f>IF(Spotify[[#This Row],[Energie]]&gt;AVERAGE(Spotify[Energie]),"FORTE","FAIBLE")</f>
        <v>FORTE</v>
      </c>
      <c r="N749" s="2">
        <v>0.76600000000000001</v>
      </c>
      <c r="O749" s="2">
        <v>0.81399999999999995</v>
      </c>
      <c r="P749" s="2">
        <v>7.3300000000000004E-2</v>
      </c>
      <c r="Q749" s="2">
        <v>4.3999999999999997E-2</v>
      </c>
      <c r="R749" s="2">
        <v>0.19500000000000001</v>
      </c>
      <c r="S749" s="2">
        <v>0.48099999999999998</v>
      </c>
      <c r="T749" s="2">
        <v>-3.367</v>
      </c>
      <c r="U749">
        <v>203588</v>
      </c>
      <c r="V749">
        <f>YEAR(Spotify[[#This Row],[Date de sortie]])</f>
        <v>2021</v>
      </c>
      <c r="W749" s="2" t="str">
        <f>IF(Spotify[[#This Row],[Popularité]]&gt;=70,"FORTE","FAIBLE")</f>
        <v>FORTE</v>
      </c>
    </row>
    <row r="750" spans="1:23" x14ac:dyDescent="0.25">
      <c r="A750">
        <v>578</v>
      </c>
      <c r="B750">
        <v>137</v>
      </c>
      <c r="C750">
        <v>1</v>
      </c>
      <c r="D750" s="1">
        <v>44218</v>
      </c>
      <c r="E750" s="59" t="str" cm="1">
        <f t="array" ref="E75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750" t="s">
        <v>1033</v>
      </c>
      <c r="G750" s="3">
        <v>5929507</v>
      </c>
      <c r="H750" t="s">
        <v>927</v>
      </c>
      <c r="I750" s="4">
        <v>18306226</v>
      </c>
      <c r="J750" t="s">
        <v>25</v>
      </c>
      <c r="K750" s="1">
        <v>44218</v>
      </c>
      <c r="L750">
        <v>73</v>
      </c>
      <c r="M750" s="2" t="str">
        <f>IF(Spotify[[#This Row],[Energie]]&gt;AVERAGE(Spotify[Energie]),"FORTE","FAIBLE")</f>
        <v>FORTE</v>
      </c>
      <c r="N750" s="2">
        <v>0.81699999999999995</v>
      </c>
      <c r="O750" s="2">
        <v>0.73699999999999999</v>
      </c>
      <c r="P750" s="2">
        <v>0.10199999999999999</v>
      </c>
      <c r="Q750" s="2">
        <v>4.5999999999999999E-2</v>
      </c>
      <c r="R750" s="2">
        <v>9.1999999999999998E-2</v>
      </c>
      <c r="S750" s="2">
        <v>0.67</v>
      </c>
      <c r="T750" s="2">
        <v>-5.4530000000000003</v>
      </c>
      <c r="U750">
        <v>206587</v>
      </c>
      <c r="V750">
        <f>YEAR(Spotify[[#This Row],[Date de sortie]])</f>
        <v>2021</v>
      </c>
      <c r="W750" s="2" t="str">
        <f>IF(Spotify[[#This Row],[Popularité]]&gt;=70,"FORTE","FAIBLE")</f>
        <v>FORTE</v>
      </c>
    </row>
    <row r="751" spans="1:23" x14ac:dyDescent="0.25">
      <c r="A751">
        <v>768</v>
      </c>
      <c r="B751">
        <v>74</v>
      </c>
      <c r="C751">
        <v>3</v>
      </c>
      <c r="D751" s="1">
        <v>44134</v>
      </c>
      <c r="E751" s="59" t="str" cm="1">
        <f t="array" ref="E75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51" t="s">
        <v>1336</v>
      </c>
      <c r="G751" s="3">
        <v>5602168</v>
      </c>
      <c r="H751" t="s">
        <v>1337</v>
      </c>
      <c r="I751" s="4">
        <v>1245965</v>
      </c>
      <c r="J751" t="s">
        <v>662</v>
      </c>
      <c r="K751" s="1">
        <v>44132</v>
      </c>
      <c r="L751">
        <v>73</v>
      </c>
      <c r="M751" s="2" t="str">
        <f>IF(Spotify[[#This Row],[Energie]]&gt;AVERAGE(Spotify[Energie]),"FORTE","FAIBLE")</f>
        <v>FORTE</v>
      </c>
      <c r="N751" s="2">
        <v>0.66</v>
      </c>
      <c r="O751" s="2">
        <v>0.78700000000000003</v>
      </c>
      <c r="P751" s="2">
        <v>3.2000000000000001E-2</v>
      </c>
      <c r="Q751" s="2">
        <v>2.5699999999999998E-3</v>
      </c>
      <c r="R751" s="2">
        <v>0.32300000000000001</v>
      </c>
      <c r="S751" s="2">
        <v>0.19900000000000001</v>
      </c>
      <c r="T751" s="2">
        <v>-4.5919999999999996</v>
      </c>
      <c r="U751">
        <v>217088</v>
      </c>
      <c r="V751">
        <f>YEAR(Spotify[[#This Row],[Date de sortie]])</f>
        <v>2020</v>
      </c>
      <c r="W751" s="2" t="str">
        <f>IF(Spotify[[#This Row],[Popularité]]&gt;=70,"FORTE","FAIBLE")</f>
        <v>FORTE</v>
      </c>
    </row>
    <row r="752" spans="1:23" x14ac:dyDescent="0.25">
      <c r="A752">
        <v>484</v>
      </c>
      <c r="B752">
        <v>138</v>
      </c>
      <c r="C752">
        <v>2</v>
      </c>
      <c r="D752" s="1">
        <v>44211</v>
      </c>
      <c r="E752" s="59" t="str" cm="1">
        <f t="array" ref="E75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52" t="s">
        <v>881</v>
      </c>
      <c r="G752" s="3">
        <v>5418816</v>
      </c>
      <c r="H752" t="s">
        <v>878</v>
      </c>
      <c r="I752" s="4">
        <v>13697048</v>
      </c>
      <c r="J752" t="s">
        <v>341</v>
      </c>
      <c r="K752" s="1">
        <v>44274</v>
      </c>
      <c r="L752">
        <v>73</v>
      </c>
      <c r="M752" s="2" t="str">
        <f>IF(Spotify[[#This Row],[Energie]]&gt;AVERAGE(Spotify[Energie]),"FORTE","FAIBLE")</f>
        <v>FAIBLE</v>
      </c>
      <c r="N752" s="2">
        <v>0.33400000000000002</v>
      </c>
      <c r="O752" s="2">
        <v>0.27600000000000002</v>
      </c>
      <c r="P752" s="2">
        <v>6.4299999999999996E-2</v>
      </c>
      <c r="Q752" s="2">
        <v>0.877</v>
      </c>
      <c r="R752" s="2">
        <v>0.113</v>
      </c>
      <c r="S752" s="2">
        <v>0.42899999999999999</v>
      </c>
      <c r="T752" s="2">
        <v>-13.125</v>
      </c>
      <c r="U752">
        <v>271177</v>
      </c>
      <c r="V752">
        <f>YEAR(Spotify[[#This Row],[Date de sortie]])</f>
        <v>2021</v>
      </c>
      <c r="W752" s="2" t="str">
        <f>IF(Spotify[[#This Row],[Popularité]]&gt;=70,"FORTE","FAIBLE")</f>
        <v>FORTE</v>
      </c>
    </row>
    <row r="753" spans="1:23" x14ac:dyDescent="0.25">
      <c r="A753">
        <v>270</v>
      </c>
      <c r="B753">
        <v>176</v>
      </c>
      <c r="C753">
        <v>1</v>
      </c>
      <c r="D753" s="1">
        <v>44372</v>
      </c>
      <c r="E753" s="59" t="str" cm="1">
        <f t="array" ref="E75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53" t="s">
        <v>532</v>
      </c>
      <c r="G753" s="3">
        <v>5393789</v>
      </c>
      <c r="H753" t="s">
        <v>18</v>
      </c>
      <c r="I753" s="4">
        <v>8640063</v>
      </c>
      <c r="J753" t="s">
        <v>19</v>
      </c>
      <c r="K753" s="1">
        <v>44372</v>
      </c>
      <c r="L753">
        <v>73</v>
      </c>
      <c r="M753" s="2" t="str">
        <f>IF(Spotify[[#This Row],[Energie]]&gt;AVERAGE(Spotify[Energie]),"FORTE","FAIBLE")</f>
        <v>FORTE</v>
      </c>
      <c r="N753" s="2">
        <v>0.61899999999999999</v>
      </c>
      <c r="O753" s="2">
        <v>0.70699999999999996</v>
      </c>
      <c r="P753" s="2">
        <v>4.99E-2</v>
      </c>
      <c r="Q753" s="2">
        <v>3.6600000000000001E-2</v>
      </c>
      <c r="R753" s="2">
        <v>0.13</v>
      </c>
      <c r="S753" s="2">
        <v>0.55800000000000005</v>
      </c>
      <c r="T753" s="2">
        <v>-5.7910000000000004</v>
      </c>
      <c r="U753">
        <v>212947</v>
      </c>
      <c r="V753">
        <f>YEAR(Spotify[[#This Row],[Date de sortie]])</f>
        <v>2021</v>
      </c>
      <c r="W753" s="2" t="str">
        <f>IF(Spotify[[#This Row],[Popularité]]&gt;=70,"FORTE","FAIBLE")</f>
        <v>FORTE</v>
      </c>
    </row>
    <row r="754" spans="1:23" x14ac:dyDescent="0.25">
      <c r="A754">
        <v>350</v>
      </c>
      <c r="B754">
        <v>27</v>
      </c>
      <c r="C754">
        <v>2</v>
      </c>
      <c r="D754" s="1">
        <v>44330</v>
      </c>
      <c r="E754" s="59" t="str" cm="1">
        <f t="array" ref="E75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754" t="s">
        <v>663</v>
      </c>
      <c r="G754" s="3">
        <v>5393643</v>
      </c>
      <c r="H754" t="s">
        <v>552</v>
      </c>
      <c r="I754" s="4">
        <v>14097410</v>
      </c>
      <c r="J754" t="s">
        <v>553</v>
      </c>
      <c r="K754" s="1">
        <v>44330</v>
      </c>
      <c r="L754">
        <v>73</v>
      </c>
      <c r="M754" s="2" t="str">
        <f>IF(Spotify[[#This Row],[Energie]]&gt;AVERAGE(Spotify[Energie]),"FORTE","FAIBLE")</f>
        <v>FAIBLE</v>
      </c>
      <c r="N754" s="2">
        <v>0.58299999999999996</v>
      </c>
      <c r="O754" s="2">
        <v>0.625</v>
      </c>
      <c r="P754" s="2">
        <v>0.27700000000000002</v>
      </c>
      <c r="Q754" s="2">
        <v>0.50600000000000001</v>
      </c>
      <c r="R754" s="2">
        <v>0.19600000000000001</v>
      </c>
      <c r="S754" s="2">
        <v>0.51600000000000001</v>
      </c>
      <c r="T754" s="2">
        <v>-8.0109999999999992</v>
      </c>
      <c r="U754">
        <v>266291</v>
      </c>
      <c r="V754">
        <f>YEAR(Spotify[[#This Row],[Date de sortie]])</f>
        <v>2021</v>
      </c>
      <c r="W754" s="2" t="str">
        <f>IF(Spotify[[#This Row],[Popularité]]&gt;=70,"FORTE","FAIBLE")</f>
        <v>FORTE</v>
      </c>
    </row>
    <row r="755" spans="1:23" x14ac:dyDescent="0.25">
      <c r="A755">
        <v>423</v>
      </c>
      <c r="B755">
        <v>107</v>
      </c>
      <c r="C755">
        <v>14</v>
      </c>
      <c r="D755" s="1">
        <v>44239</v>
      </c>
      <c r="E755" s="59" t="str" cm="1">
        <f t="array" ref="E75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755" t="s">
        <v>785</v>
      </c>
      <c r="G755" s="3">
        <v>5380517</v>
      </c>
      <c r="H755" t="s">
        <v>786</v>
      </c>
      <c r="I755" s="4">
        <v>9907270</v>
      </c>
      <c r="J755" t="s">
        <v>334</v>
      </c>
      <c r="K755" s="1">
        <v>44147</v>
      </c>
      <c r="L755">
        <v>73</v>
      </c>
      <c r="M755" s="2" t="str">
        <f>IF(Spotify[[#This Row],[Energie]]&gt;AVERAGE(Spotify[Energie]),"FORTE","FAIBLE")</f>
        <v>FORTE</v>
      </c>
      <c r="N755" s="2">
        <v>0.75800000000000001</v>
      </c>
      <c r="O755" s="2">
        <v>0.76300000000000001</v>
      </c>
      <c r="P755" s="2">
        <v>7.6799999999999993E-2</v>
      </c>
      <c r="Q755" s="2">
        <v>0.23</v>
      </c>
      <c r="R755" s="2">
        <v>7.0300000000000001E-2</v>
      </c>
      <c r="S755" s="2">
        <v>0.85399999999999998</v>
      </c>
      <c r="T755" s="2">
        <v>-8.7539999999999996</v>
      </c>
      <c r="U755">
        <v>155210</v>
      </c>
      <c r="V755">
        <f>YEAR(Spotify[[#This Row],[Date de sortie]])</f>
        <v>2020</v>
      </c>
      <c r="W755" s="2" t="str">
        <f>IF(Spotify[[#This Row],[Popularité]]&gt;=70,"FORTE","FAIBLE")</f>
        <v>FORTE</v>
      </c>
    </row>
    <row r="756" spans="1:23" x14ac:dyDescent="0.25">
      <c r="A756">
        <v>368</v>
      </c>
      <c r="B756">
        <v>148</v>
      </c>
      <c r="C756">
        <v>7</v>
      </c>
      <c r="D756" s="1">
        <v>44309</v>
      </c>
      <c r="E756" s="59" t="str" cm="1">
        <f t="array" ref="E75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56" t="s">
        <v>693</v>
      </c>
      <c r="G756" s="3">
        <v>5375782</v>
      </c>
      <c r="H756" t="s">
        <v>694</v>
      </c>
      <c r="I756" s="4">
        <v>2918229</v>
      </c>
      <c r="J756" t="s">
        <v>19</v>
      </c>
      <c r="K756" s="1">
        <v>41029</v>
      </c>
      <c r="L756">
        <v>73</v>
      </c>
      <c r="M756" s="2" t="str">
        <f>IF(Spotify[[#This Row],[Energie]]&gt;AVERAGE(Spotify[Energie]),"FORTE","FAIBLE")</f>
        <v>FORTE</v>
      </c>
      <c r="N756" s="2">
        <v>0.495</v>
      </c>
      <c r="O756" s="2">
        <v>0.85599999999999998</v>
      </c>
      <c r="P756" s="2">
        <v>3.1099999999999999E-2</v>
      </c>
      <c r="Q756" s="2">
        <v>2.1900000000000001E-4</v>
      </c>
      <c r="R756" s="2">
        <v>0.10299999999999999</v>
      </c>
      <c r="S756" s="2">
        <v>0.60899999999999999</v>
      </c>
      <c r="T756" s="2">
        <v>-5.1230000000000002</v>
      </c>
      <c r="U756">
        <v>154667</v>
      </c>
      <c r="V756">
        <f>YEAR(Spotify[[#This Row],[Date de sortie]])</f>
        <v>2012</v>
      </c>
      <c r="W756" s="2" t="str">
        <f>IF(Spotify[[#This Row],[Popularité]]&gt;=70,"FORTE","FAIBLE")</f>
        <v>FORTE</v>
      </c>
    </row>
    <row r="757" spans="1:23" x14ac:dyDescent="0.25">
      <c r="A757">
        <v>771</v>
      </c>
      <c r="B757">
        <v>117</v>
      </c>
      <c r="C757">
        <v>4</v>
      </c>
      <c r="D757" s="1">
        <v>44141</v>
      </c>
      <c r="E757" s="59" t="str" cm="1">
        <f t="array" ref="E75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757" t="s">
        <v>1340</v>
      </c>
      <c r="G757" s="3">
        <v>5361669</v>
      </c>
      <c r="H757" t="s">
        <v>1341</v>
      </c>
      <c r="I757" s="4">
        <v>213344</v>
      </c>
      <c r="J757" t="s">
        <v>1342</v>
      </c>
      <c r="K757" s="1">
        <v>43903</v>
      </c>
      <c r="L757">
        <v>73</v>
      </c>
      <c r="M757" s="2" t="str">
        <f>IF(Spotify[[#This Row],[Energie]]&gt;AVERAGE(Spotify[Energie]),"FORTE","FAIBLE")</f>
        <v>FAIBLE</v>
      </c>
      <c r="N757" s="2">
        <v>0.86599999999999999</v>
      </c>
      <c r="O757" s="2">
        <v>0.56299999999999994</v>
      </c>
      <c r="P757" s="2">
        <v>0.108</v>
      </c>
      <c r="Q757" s="2">
        <v>0.185</v>
      </c>
      <c r="R757" s="2">
        <v>8.8900000000000007E-2</v>
      </c>
      <c r="S757" s="2">
        <v>0.307</v>
      </c>
      <c r="T757" s="2">
        <v>-6.9640000000000004</v>
      </c>
      <c r="U757">
        <v>161668</v>
      </c>
      <c r="V757">
        <f>YEAR(Spotify[[#This Row],[Date de sortie]])</f>
        <v>2020</v>
      </c>
      <c r="W757" s="2" t="str">
        <f>IF(Spotify[[#This Row],[Popularité]]&gt;=70,"FORTE","FAIBLE")</f>
        <v>FORTE</v>
      </c>
    </row>
    <row r="758" spans="1:23" x14ac:dyDescent="0.25">
      <c r="A758">
        <v>474</v>
      </c>
      <c r="B758">
        <v>97</v>
      </c>
      <c r="C758">
        <v>9</v>
      </c>
      <c r="D758" s="1">
        <v>44239</v>
      </c>
      <c r="E758" s="59" t="str" cm="1">
        <f t="array" ref="E75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758" t="s">
        <v>864</v>
      </c>
      <c r="G758" s="3">
        <v>5356696</v>
      </c>
      <c r="H758" t="s">
        <v>865</v>
      </c>
      <c r="I758" s="4">
        <v>342930</v>
      </c>
      <c r="J758" t="s">
        <v>834</v>
      </c>
      <c r="K758" s="1">
        <v>44161</v>
      </c>
      <c r="L758">
        <v>73</v>
      </c>
      <c r="M758" s="2" t="str">
        <f>IF(Spotify[[#This Row],[Energie]]&gt;AVERAGE(Spotify[Energie]),"FORTE","FAIBLE")</f>
        <v>FORTE</v>
      </c>
      <c r="N758" s="2">
        <v>0.67600000000000005</v>
      </c>
      <c r="O758" s="2">
        <v>0.82299999999999995</v>
      </c>
      <c r="P758" s="2">
        <v>0.10199999999999999</v>
      </c>
      <c r="Q758" s="2">
        <v>0.24199999999999999</v>
      </c>
      <c r="R758" s="2">
        <v>7.7299999999999994E-2</v>
      </c>
      <c r="S758" s="2">
        <v>0.90700000000000003</v>
      </c>
      <c r="T758" s="2">
        <v>-4.3860000000000001</v>
      </c>
      <c r="U758">
        <v>190680</v>
      </c>
      <c r="V758">
        <f>YEAR(Spotify[[#This Row],[Date de sortie]])</f>
        <v>2020</v>
      </c>
      <c r="W758" s="2" t="str">
        <f>IF(Spotify[[#This Row],[Popularité]]&gt;=70,"FORTE","FAIBLE")</f>
        <v>FORTE</v>
      </c>
    </row>
    <row r="759" spans="1:23" x14ac:dyDescent="0.25">
      <c r="A759">
        <v>559</v>
      </c>
      <c r="B759">
        <v>89</v>
      </c>
      <c r="C759">
        <v>2</v>
      </c>
      <c r="D759" s="1">
        <v>44225</v>
      </c>
      <c r="E759" s="59" t="str" cm="1">
        <f t="array" ref="E75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59" t="s">
        <v>1001</v>
      </c>
      <c r="G759" s="3">
        <v>5342938</v>
      </c>
      <c r="H759" t="s">
        <v>1002</v>
      </c>
      <c r="I759" s="4">
        <v>804613</v>
      </c>
      <c r="J759" t="s">
        <v>115</v>
      </c>
      <c r="K759" s="1">
        <v>44225</v>
      </c>
      <c r="L759">
        <v>73</v>
      </c>
      <c r="M759" s="2" t="str">
        <f>IF(Spotify[[#This Row],[Energie]]&gt;AVERAGE(Spotify[Energie]),"FORTE","FAIBLE")</f>
        <v>FAIBLE</v>
      </c>
      <c r="N759" s="2">
        <v>0.66800000000000004</v>
      </c>
      <c r="O759" s="2">
        <v>0.56299999999999994</v>
      </c>
      <c r="P759" s="2">
        <v>5.2200000000000003E-2</v>
      </c>
      <c r="Q759" s="2">
        <v>4.9299999999999997E-2</v>
      </c>
      <c r="R759" s="2">
        <v>0.11899999999999999</v>
      </c>
      <c r="S759" s="2">
        <v>0.30499999999999999</v>
      </c>
      <c r="T759" s="2">
        <v>-6.4329999999999998</v>
      </c>
      <c r="U759">
        <v>169632</v>
      </c>
      <c r="V759">
        <f>YEAR(Spotify[[#This Row],[Date de sortie]])</f>
        <v>2021</v>
      </c>
      <c r="W759" s="2" t="str">
        <f>IF(Spotify[[#This Row],[Popularité]]&gt;=70,"FORTE","FAIBLE")</f>
        <v>FORTE</v>
      </c>
    </row>
    <row r="760" spans="1:23" x14ac:dyDescent="0.25">
      <c r="A760">
        <v>1459</v>
      </c>
      <c r="B760">
        <v>120</v>
      </c>
      <c r="C760">
        <v>3</v>
      </c>
      <c r="D760" s="1">
        <v>43854</v>
      </c>
      <c r="E760" s="59" t="str" cm="1">
        <f t="array" ref="E76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60" t="s">
        <v>2317</v>
      </c>
      <c r="G760" s="3">
        <v>5312936</v>
      </c>
      <c r="H760" t="s">
        <v>2318</v>
      </c>
      <c r="I760" s="4">
        <v>30386</v>
      </c>
      <c r="J760" t="s">
        <v>2319</v>
      </c>
      <c r="K760" s="1">
        <v>30394</v>
      </c>
      <c r="L760">
        <v>73</v>
      </c>
      <c r="M760" s="2" t="str">
        <f>IF(Spotify[[#This Row],[Energie]]&gt;AVERAGE(Spotify[Energie]),"FORTE","FAIBLE")</f>
        <v>FAIBLE</v>
      </c>
      <c r="N760" s="2">
        <v>0.91700000000000004</v>
      </c>
      <c r="O760" s="2">
        <v>0.58799999999999997</v>
      </c>
      <c r="P760" s="2">
        <v>6.0699999999999997E-2</v>
      </c>
      <c r="Q760" s="2">
        <v>0.19500000000000001</v>
      </c>
      <c r="R760" s="2">
        <v>9.1399999999999995E-2</v>
      </c>
      <c r="S760" s="2">
        <v>0.82799999999999996</v>
      </c>
      <c r="T760" s="2">
        <v>-11.047000000000001</v>
      </c>
      <c r="U760">
        <v>184480</v>
      </c>
      <c r="V760">
        <f>YEAR(Spotify[[#This Row],[Date de sortie]])</f>
        <v>1983</v>
      </c>
      <c r="W760" s="2" t="str">
        <f>IF(Spotify[[#This Row],[Popularité]]&gt;=70,"FORTE","FAIBLE")</f>
        <v>FORTE</v>
      </c>
    </row>
    <row r="761" spans="1:23" x14ac:dyDescent="0.25">
      <c r="A761">
        <v>1521</v>
      </c>
      <c r="B761">
        <v>131</v>
      </c>
      <c r="C761">
        <v>3</v>
      </c>
      <c r="D761" s="1">
        <v>43833</v>
      </c>
      <c r="E761" s="59" t="str" cm="1">
        <f t="array" ref="E76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761" t="s">
        <v>2395</v>
      </c>
      <c r="G761" s="3">
        <v>5258047</v>
      </c>
      <c r="H761" t="s">
        <v>638</v>
      </c>
      <c r="I761" s="4">
        <v>3818503</v>
      </c>
      <c r="J761" t="s">
        <v>235</v>
      </c>
      <c r="K761" s="1">
        <v>43777</v>
      </c>
      <c r="L761">
        <v>73</v>
      </c>
      <c r="M761" s="2" t="str">
        <f>IF(Spotify[[#This Row],[Energie]]&gt;AVERAGE(Spotify[Energie]),"FORTE","FAIBLE")</f>
        <v>FORTE</v>
      </c>
      <c r="N761" s="2">
        <v>0.748</v>
      </c>
      <c r="O761" s="2">
        <v>0.64800000000000002</v>
      </c>
      <c r="P761" s="2">
        <v>8.1600000000000006E-2</v>
      </c>
      <c r="Q761" s="2">
        <v>0.48399999999999999</v>
      </c>
      <c r="R761" s="2">
        <v>0.126</v>
      </c>
      <c r="S761" s="2">
        <v>0.72599999999999998</v>
      </c>
      <c r="T761" s="2">
        <v>-6.4450000000000003</v>
      </c>
      <c r="U761">
        <v>123560</v>
      </c>
      <c r="V761">
        <f>YEAR(Spotify[[#This Row],[Date de sortie]])</f>
        <v>2019</v>
      </c>
      <c r="W761" s="2" t="str">
        <f>IF(Spotify[[#This Row],[Popularité]]&gt;=70,"FORTE","FAIBLE")</f>
        <v>FORTE</v>
      </c>
    </row>
    <row r="762" spans="1:23" x14ac:dyDescent="0.25">
      <c r="A762">
        <v>486</v>
      </c>
      <c r="B762">
        <v>40</v>
      </c>
      <c r="C762">
        <v>9</v>
      </c>
      <c r="D762" s="1">
        <v>44232</v>
      </c>
      <c r="E762" s="59" t="str" cm="1">
        <f t="array" ref="E76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62" t="s">
        <v>884</v>
      </c>
      <c r="G762" s="3">
        <v>5249427</v>
      </c>
      <c r="H762" t="s">
        <v>885</v>
      </c>
      <c r="I762" s="4">
        <v>10580764</v>
      </c>
      <c r="J762" t="s">
        <v>72</v>
      </c>
      <c r="K762" s="1">
        <v>44214</v>
      </c>
      <c r="L762">
        <v>73</v>
      </c>
      <c r="M762" s="2" t="str">
        <f>IF(Spotify[[#This Row],[Energie]]&gt;AVERAGE(Spotify[Energie]),"FORTE","FAIBLE")</f>
        <v>FAIBLE</v>
      </c>
      <c r="N762" s="2">
        <v>0.81299999999999994</v>
      </c>
      <c r="O762" s="2">
        <v>0.52600000000000002</v>
      </c>
      <c r="P762" s="2">
        <v>0.125</v>
      </c>
      <c r="Q762" s="2">
        <v>0.105</v>
      </c>
      <c r="R762" s="2">
        <v>0.11</v>
      </c>
      <c r="S762" s="2">
        <v>0.60799999999999998</v>
      </c>
      <c r="T762" s="2">
        <v>-4.7869999999999999</v>
      </c>
      <c r="U762">
        <v>163320</v>
      </c>
      <c r="V762">
        <f>YEAR(Spotify[[#This Row],[Date de sortie]])</f>
        <v>2021</v>
      </c>
      <c r="W762" s="2" t="str">
        <f>IF(Spotify[[#This Row],[Popularité]]&gt;=70,"FORTE","FAIBLE")</f>
        <v>FORTE</v>
      </c>
    </row>
    <row r="763" spans="1:23" x14ac:dyDescent="0.25">
      <c r="A763">
        <v>510</v>
      </c>
      <c r="B763">
        <v>54</v>
      </c>
      <c r="C763">
        <v>7</v>
      </c>
      <c r="D763" s="1">
        <v>44218</v>
      </c>
      <c r="E763" s="59" t="str" cm="1">
        <f t="array" ref="E76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763" t="s">
        <v>926</v>
      </c>
      <c r="G763" s="3">
        <v>5232377</v>
      </c>
      <c r="H763" t="s">
        <v>927</v>
      </c>
      <c r="I763" s="4">
        <v>18306226</v>
      </c>
      <c r="J763" t="s">
        <v>25</v>
      </c>
      <c r="K763" s="1">
        <v>44218</v>
      </c>
      <c r="L763">
        <v>73</v>
      </c>
      <c r="M763" s="2" t="str">
        <f>IF(Spotify[[#This Row],[Energie]]&gt;AVERAGE(Spotify[Energie]),"FORTE","FAIBLE")</f>
        <v>FORTE</v>
      </c>
      <c r="N763" s="2">
        <v>0.81699999999999995</v>
      </c>
      <c r="O763" s="2">
        <v>0.73699999999999999</v>
      </c>
      <c r="P763" s="2">
        <v>0.10199999999999999</v>
      </c>
      <c r="Q763" s="2">
        <v>4.5999999999999999E-2</v>
      </c>
      <c r="R763" s="2">
        <v>9.1999999999999998E-2</v>
      </c>
      <c r="S763" s="2">
        <v>0.67</v>
      </c>
      <c r="T763" s="2">
        <v>-5.4530000000000003</v>
      </c>
      <c r="U763">
        <v>206587</v>
      </c>
      <c r="V763">
        <f>YEAR(Spotify[[#This Row],[Date de sortie]])</f>
        <v>2021</v>
      </c>
      <c r="W763" s="2" t="str">
        <f>IF(Spotify[[#This Row],[Popularité]]&gt;=70,"FORTE","FAIBLE")</f>
        <v>FORTE</v>
      </c>
    </row>
    <row r="764" spans="1:23" x14ac:dyDescent="0.25">
      <c r="A764">
        <v>874</v>
      </c>
      <c r="B764">
        <v>86</v>
      </c>
      <c r="C764">
        <v>8</v>
      </c>
      <c r="D764" s="1">
        <v>44064</v>
      </c>
      <c r="E764" s="59" t="str" cm="1">
        <f t="array" ref="E76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764" t="s">
        <v>1498</v>
      </c>
      <c r="G764" s="3">
        <v>5220309</v>
      </c>
      <c r="H764" t="s">
        <v>390</v>
      </c>
      <c r="I764" s="4">
        <v>1255573</v>
      </c>
      <c r="J764" t="s">
        <v>100</v>
      </c>
      <c r="K764" s="1">
        <v>43999</v>
      </c>
      <c r="L764">
        <v>73</v>
      </c>
      <c r="M764" s="2" t="str">
        <f>IF(Spotify[[#This Row],[Energie]]&gt;AVERAGE(Spotify[Energie]),"FORTE","FAIBLE")</f>
        <v>FORTE</v>
      </c>
      <c r="N764" s="2">
        <v>0.95399999999999996</v>
      </c>
      <c r="O764" s="2">
        <v>0.69599999999999995</v>
      </c>
      <c r="P764" s="2">
        <v>0.20399999999999999</v>
      </c>
      <c r="Q764" s="2">
        <v>5.7600000000000004E-3</v>
      </c>
      <c r="R764" s="2">
        <v>7.5399999999999995E-2</v>
      </c>
      <c r="S764" s="2">
        <v>0.432</v>
      </c>
      <c r="T764" s="2">
        <v>-7.117</v>
      </c>
      <c r="U764">
        <v>139413</v>
      </c>
      <c r="V764">
        <f>YEAR(Spotify[[#This Row],[Date de sortie]])</f>
        <v>2020</v>
      </c>
      <c r="W764" s="2" t="str">
        <f>IF(Spotify[[#This Row],[Popularité]]&gt;=70,"FORTE","FAIBLE")</f>
        <v>FORTE</v>
      </c>
    </row>
    <row r="765" spans="1:23" x14ac:dyDescent="0.25">
      <c r="A765">
        <v>774</v>
      </c>
      <c r="B765">
        <v>124</v>
      </c>
      <c r="C765">
        <v>3</v>
      </c>
      <c r="D765" s="1">
        <v>44141</v>
      </c>
      <c r="E765" s="59" t="str" cm="1">
        <f t="array" ref="E76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65" t="s">
        <v>1346</v>
      </c>
      <c r="G765" s="3">
        <v>5201322</v>
      </c>
      <c r="H765" t="s">
        <v>1347</v>
      </c>
      <c r="I765" s="4">
        <v>9398941</v>
      </c>
      <c r="J765" t="s">
        <v>19</v>
      </c>
      <c r="K765" s="1">
        <v>44141</v>
      </c>
      <c r="L765">
        <v>73</v>
      </c>
      <c r="M765" s="2" t="str">
        <f>IF(Spotify[[#This Row],[Energie]]&gt;AVERAGE(Spotify[Energie]),"FORTE","FAIBLE")</f>
        <v>FORTE</v>
      </c>
      <c r="N765" s="2">
        <v>0.44800000000000001</v>
      </c>
      <c r="O765" s="2">
        <v>0.82399999999999995</v>
      </c>
      <c r="P765" s="2">
        <v>5.7000000000000002E-2</v>
      </c>
      <c r="Q765" s="2">
        <v>7.3899999999999993E-2</v>
      </c>
      <c r="R765" s="2">
        <v>0.113</v>
      </c>
      <c r="S765" s="2">
        <v>0.41899999999999998</v>
      </c>
      <c r="T765" s="2">
        <v>-4.2489999999999997</v>
      </c>
      <c r="U765">
        <v>213693</v>
      </c>
      <c r="V765">
        <f>YEAR(Spotify[[#This Row],[Date de sortie]])</f>
        <v>2020</v>
      </c>
      <c r="W765" s="2" t="str">
        <f>IF(Spotify[[#This Row],[Popularité]]&gt;=70,"FORTE","FAIBLE")</f>
        <v>FORTE</v>
      </c>
    </row>
    <row r="766" spans="1:23" x14ac:dyDescent="0.25">
      <c r="A766">
        <v>589</v>
      </c>
      <c r="B766">
        <v>177</v>
      </c>
      <c r="C766">
        <v>1</v>
      </c>
      <c r="D766" s="1">
        <v>44211</v>
      </c>
      <c r="E766" s="59" t="str" cm="1">
        <f t="array" ref="E76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66" t="s">
        <v>1051</v>
      </c>
      <c r="G766" s="3">
        <v>5119828</v>
      </c>
      <c r="H766" t="s">
        <v>1052</v>
      </c>
      <c r="I766" s="4">
        <v>8153871</v>
      </c>
      <c r="J766" t="s">
        <v>19</v>
      </c>
      <c r="K766" s="1">
        <v>44211</v>
      </c>
      <c r="L766">
        <v>73</v>
      </c>
      <c r="M766" s="2" t="str">
        <f>IF(Spotify[[#This Row],[Energie]]&gt;AVERAGE(Spotify[Energie]),"FORTE","FAIBLE")</f>
        <v>FORTE</v>
      </c>
      <c r="N766" s="2">
        <v>0.69499999999999995</v>
      </c>
      <c r="O766" s="2">
        <v>0.78400000000000003</v>
      </c>
      <c r="P766" s="2">
        <v>4.02E-2</v>
      </c>
      <c r="Q766" s="2">
        <v>8.8900000000000007E-2</v>
      </c>
      <c r="R766" s="2">
        <v>8.43E-2</v>
      </c>
      <c r="S766" s="2">
        <v>0.52</v>
      </c>
      <c r="T766" s="2">
        <v>-6.5640000000000001</v>
      </c>
      <c r="U766">
        <v>188581</v>
      </c>
      <c r="V766">
        <f>YEAR(Spotify[[#This Row],[Date de sortie]])</f>
        <v>2021</v>
      </c>
      <c r="W766" s="2" t="str">
        <f>IF(Spotify[[#This Row],[Popularité]]&gt;=70,"FORTE","FAIBLE")</f>
        <v>FORTE</v>
      </c>
    </row>
    <row r="767" spans="1:23" x14ac:dyDescent="0.25">
      <c r="A767">
        <v>1376</v>
      </c>
      <c r="B767">
        <v>90</v>
      </c>
      <c r="C767">
        <v>10</v>
      </c>
      <c r="D767" s="1">
        <v>43826</v>
      </c>
      <c r="E767" s="59" t="str" cm="1">
        <f t="array" ref="E76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767" t="s">
        <v>2204</v>
      </c>
      <c r="G767" s="3">
        <v>5112244</v>
      </c>
      <c r="H767" t="s">
        <v>2205</v>
      </c>
      <c r="I767" s="4">
        <v>206225</v>
      </c>
      <c r="J767" t="s">
        <v>25</v>
      </c>
      <c r="K767" s="1">
        <v>43749</v>
      </c>
      <c r="L767">
        <v>73</v>
      </c>
      <c r="M767" s="2" t="str">
        <f>IF(Spotify[[#This Row],[Energie]]&gt;AVERAGE(Spotify[Energie]),"FORTE","FAIBLE")</f>
        <v>FORTE</v>
      </c>
      <c r="N767" s="2">
        <v>0.72699999999999998</v>
      </c>
      <c r="O767" s="2">
        <v>0.81499999999999995</v>
      </c>
      <c r="P767" s="2">
        <v>0.153</v>
      </c>
      <c r="Q767" s="2">
        <v>2.58E-2</v>
      </c>
      <c r="R767" s="2">
        <v>0.23100000000000001</v>
      </c>
      <c r="S767" s="2">
        <v>0.67700000000000005</v>
      </c>
      <c r="T767" s="2">
        <v>-2.4540000000000002</v>
      </c>
      <c r="U767">
        <v>216067</v>
      </c>
      <c r="V767">
        <f>YEAR(Spotify[[#This Row],[Date de sortie]])</f>
        <v>2019</v>
      </c>
      <c r="W767" s="2" t="str">
        <f>IF(Spotify[[#This Row],[Popularité]]&gt;=70,"FORTE","FAIBLE")</f>
        <v>FORTE</v>
      </c>
    </row>
    <row r="768" spans="1:23" x14ac:dyDescent="0.25">
      <c r="A768">
        <v>457</v>
      </c>
      <c r="B768">
        <v>191</v>
      </c>
      <c r="C768">
        <v>1</v>
      </c>
      <c r="D768" s="1">
        <v>44288</v>
      </c>
      <c r="E768" s="59" t="str" cm="1">
        <f t="array" ref="E76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768" t="s">
        <v>832</v>
      </c>
      <c r="G768" s="3">
        <v>5078174</v>
      </c>
      <c r="H768" t="s">
        <v>833</v>
      </c>
      <c r="I768" s="4">
        <v>342930</v>
      </c>
      <c r="J768" t="s">
        <v>834</v>
      </c>
      <c r="K768" s="1">
        <v>44161</v>
      </c>
      <c r="L768">
        <v>73</v>
      </c>
      <c r="M768" s="2" t="str">
        <f>IF(Spotify[[#This Row],[Energie]]&gt;AVERAGE(Spotify[Energie]),"FORTE","FAIBLE")</f>
        <v>FORTE</v>
      </c>
      <c r="N768" s="2">
        <v>0.67600000000000005</v>
      </c>
      <c r="O768" s="2">
        <v>0.82299999999999995</v>
      </c>
      <c r="P768" s="2">
        <v>0.10199999999999999</v>
      </c>
      <c r="Q768" s="2">
        <v>0.24199999999999999</v>
      </c>
      <c r="R768" s="2">
        <v>7.7299999999999994E-2</v>
      </c>
      <c r="S768" s="2">
        <v>0.90700000000000003</v>
      </c>
      <c r="T768" s="2">
        <v>-4.3860000000000001</v>
      </c>
      <c r="U768">
        <v>190680</v>
      </c>
      <c r="V768">
        <f>YEAR(Spotify[[#This Row],[Date de sortie]])</f>
        <v>2020</v>
      </c>
      <c r="W768" s="2" t="str">
        <f>IF(Spotify[[#This Row],[Popularité]]&gt;=70,"FORTE","FAIBLE")</f>
        <v>FORTE</v>
      </c>
    </row>
    <row r="769" spans="1:23" x14ac:dyDescent="0.25">
      <c r="A769">
        <v>1378</v>
      </c>
      <c r="B769">
        <v>46</v>
      </c>
      <c r="C769">
        <v>9</v>
      </c>
      <c r="D769" s="1">
        <v>43833</v>
      </c>
      <c r="E769" s="59" t="str" cm="1">
        <f t="array" ref="E76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69" t="s">
        <v>2208</v>
      </c>
      <c r="G769" s="3">
        <v>5075520</v>
      </c>
      <c r="H769" t="s">
        <v>2209</v>
      </c>
      <c r="I769" s="4">
        <v>139434</v>
      </c>
      <c r="J769" t="s">
        <v>115</v>
      </c>
      <c r="K769" s="1">
        <v>43734</v>
      </c>
      <c r="L769">
        <v>73</v>
      </c>
      <c r="M769" s="2" t="str">
        <f>IF(Spotify[[#This Row],[Energie]]&gt;AVERAGE(Spotify[Energie]),"FORTE","FAIBLE")</f>
        <v>FAIBLE</v>
      </c>
      <c r="N769" s="2">
        <v>0.61899999999999999</v>
      </c>
      <c r="O769" s="2">
        <v>0.45900000000000002</v>
      </c>
      <c r="P769" s="2">
        <v>3.3399999999999999E-2</v>
      </c>
      <c r="Q769" s="2">
        <v>0.56000000000000005</v>
      </c>
      <c r="R769" s="2">
        <v>0.13700000000000001</v>
      </c>
      <c r="S769" s="2">
        <v>0.498</v>
      </c>
      <c r="T769" s="2">
        <v>-5.782</v>
      </c>
      <c r="U769">
        <v>184280</v>
      </c>
      <c r="V769">
        <f>YEAR(Spotify[[#This Row],[Date de sortie]])</f>
        <v>2019</v>
      </c>
      <c r="W769" s="2" t="str">
        <f>IF(Spotify[[#This Row],[Popularité]]&gt;=70,"FORTE","FAIBLE")</f>
        <v>FORTE</v>
      </c>
    </row>
    <row r="770" spans="1:23" x14ac:dyDescent="0.25">
      <c r="A770">
        <v>598</v>
      </c>
      <c r="B770">
        <v>53</v>
      </c>
      <c r="C770">
        <v>5</v>
      </c>
      <c r="D770" s="1">
        <v>44057</v>
      </c>
      <c r="E770" s="59" t="str" cm="1">
        <f t="array" ref="E77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COUNTRY</v>
      </c>
      <c r="F770" t="s">
        <v>1066</v>
      </c>
      <c r="G770" s="3">
        <v>5064504</v>
      </c>
      <c r="H770" t="s">
        <v>1030</v>
      </c>
      <c r="I770" s="4">
        <v>2147875</v>
      </c>
      <c r="J770" t="s">
        <v>382</v>
      </c>
      <c r="K770" s="1">
        <v>44204</v>
      </c>
      <c r="L770">
        <v>73</v>
      </c>
      <c r="M770" s="2" t="str">
        <f>IF(Spotify[[#This Row],[Energie]]&gt;AVERAGE(Spotify[Energie]),"FORTE","FAIBLE")</f>
        <v>FORTE</v>
      </c>
      <c r="N770" s="2">
        <v>0.46600000000000003</v>
      </c>
      <c r="O770" s="2">
        <v>0.78600000000000003</v>
      </c>
      <c r="P770" s="2">
        <v>3.2800000000000003E-2</v>
      </c>
      <c r="Q770" s="2">
        <v>0.41699999999999998</v>
      </c>
      <c r="R770" s="2">
        <v>0.125</v>
      </c>
      <c r="S770" s="2">
        <v>0.57099999999999995</v>
      </c>
      <c r="T770" s="2">
        <v>-5.13</v>
      </c>
      <c r="U770">
        <v>210507</v>
      </c>
      <c r="V770">
        <f>YEAR(Spotify[[#This Row],[Date de sortie]])</f>
        <v>2021</v>
      </c>
      <c r="W770" s="2" t="str">
        <f>IF(Spotify[[#This Row],[Popularité]]&gt;=70,"FORTE","FAIBLE")</f>
        <v>FORTE</v>
      </c>
    </row>
    <row r="771" spans="1:23" x14ac:dyDescent="0.25">
      <c r="A771">
        <v>795</v>
      </c>
      <c r="B771">
        <v>119</v>
      </c>
      <c r="C771">
        <v>11</v>
      </c>
      <c r="D771" s="1">
        <v>44085</v>
      </c>
      <c r="E771" s="59" t="str" cm="1">
        <f t="array" ref="E77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771" t="s">
        <v>1383</v>
      </c>
      <c r="G771" s="3">
        <v>5064484</v>
      </c>
      <c r="H771" t="s">
        <v>150</v>
      </c>
      <c r="I771" s="4">
        <v>26784251</v>
      </c>
      <c r="J771" t="s">
        <v>25</v>
      </c>
      <c r="K771" s="1">
        <v>44064</v>
      </c>
      <c r="L771">
        <v>73</v>
      </c>
      <c r="M771" s="2" t="str">
        <f>IF(Spotify[[#This Row],[Energie]]&gt;AVERAGE(Spotify[Energie]),"FORTE","FAIBLE")</f>
        <v>FORTE</v>
      </c>
      <c r="N771" s="2">
        <v>0.76400000000000001</v>
      </c>
      <c r="O771" s="2">
        <v>0.74099999999999999</v>
      </c>
      <c r="P771" s="2">
        <v>0.10100000000000001</v>
      </c>
      <c r="Q771" s="2">
        <v>0.23899999999999999</v>
      </c>
      <c r="R771" s="2">
        <v>0.107</v>
      </c>
      <c r="S771" s="2">
        <v>0.80200000000000005</v>
      </c>
      <c r="T771" s="2">
        <v>-3.617</v>
      </c>
      <c r="U771">
        <v>198570</v>
      </c>
      <c r="V771">
        <f>YEAR(Spotify[[#This Row],[Date de sortie]])</f>
        <v>2020</v>
      </c>
      <c r="W771" s="2" t="str">
        <f>IF(Spotify[[#This Row],[Popularité]]&gt;=70,"FORTE","FAIBLE")</f>
        <v>FORTE</v>
      </c>
    </row>
    <row r="772" spans="1:23" x14ac:dyDescent="0.25">
      <c r="A772">
        <v>1052</v>
      </c>
      <c r="B772">
        <v>56</v>
      </c>
      <c r="C772">
        <v>4</v>
      </c>
      <c r="D772" s="1">
        <v>44001</v>
      </c>
      <c r="E772" s="59" t="str" cm="1">
        <f t="array" ref="E77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772" t="s">
        <v>1757</v>
      </c>
      <c r="G772" s="3">
        <v>5031845</v>
      </c>
      <c r="H772" t="s">
        <v>1758</v>
      </c>
      <c r="I772" s="4">
        <v>359133</v>
      </c>
      <c r="J772" t="s">
        <v>100</v>
      </c>
      <c r="K772" s="1">
        <v>43994</v>
      </c>
      <c r="L772">
        <v>73</v>
      </c>
      <c r="M772" s="2" t="str">
        <f>IF(Spotify[[#This Row],[Energie]]&gt;AVERAGE(Spotify[Energie]),"FORTE","FAIBLE")</f>
        <v>FAIBLE</v>
      </c>
      <c r="N772" s="2">
        <v>0.45700000000000002</v>
      </c>
      <c r="O772" s="2">
        <v>0.621</v>
      </c>
      <c r="P772" s="2">
        <v>0.13800000000000001</v>
      </c>
      <c r="Q772" s="2">
        <v>0.218</v>
      </c>
      <c r="R772" s="2">
        <v>9.4399999999999998E-2</v>
      </c>
      <c r="S772" s="2">
        <v>0.63400000000000001</v>
      </c>
      <c r="T772" s="2">
        <v>-5.923</v>
      </c>
      <c r="U772">
        <v>224638</v>
      </c>
      <c r="V772">
        <f>YEAR(Spotify[[#This Row],[Date de sortie]])</f>
        <v>2020</v>
      </c>
      <c r="W772" s="2" t="str">
        <f>IF(Spotify[[#This Row],[Popularité]]&gt;=70,"FORTE","FAIBLE")</f>
        <v>FORTE</v>
      </c>
    </row>
    <row r="773" spans="1:23" x14ac:dyDescent="0.25">
      <c r="A773">
        <v>821</v>
      </c>
      <c r="B773">
        <v>137</v>
      </c>
      <c r="C773">
        <v>2</v>
      </c>
      <c r="D773" s="1">
        <v>44120</v>
      </c>
      <c r="E773" s="59" t="str" cm="1">
        <f t="array" ref="E77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73" t="s">
        <v>1417</v>
      </c>
      <c r="G773" s="3">
        <v>5010179</v>
      </c>
      <c r="H773" t="s">
        <v>1418</v>
      </c>
      <c r="I773" s="4">
        <v>4442273</v>
      </c>
      <c r="J773" t="s">
        <v>19</v>
      </c>
      <c r="K773" s="1">
        <v>44117</v>
      </c>
      <c r="L773">
        <v>73</v>
      </c>
      <c r="M773" s="2" t="str">
        <f>IF(Spotify[[#This Row],[Energie]]&gt;AVERAGE(Spotify[Energie]),"FORTE","FAIBLE")</f>
        <v>FORTE</v>
      </c>
      <c r="N773" s="2">
        <v>0.70299999999999996</v>
      </c>
      <c r="O773" s="2">
        <v>0.65700000000000003</v>
      </c>
      <c r="P773" s="2">
        <v>7.8299999999999995E-2</v>
      </c>
      <c r="Q773" s="2">
        <v>0.13900000000000001</v>
      </c>
      <c r="R773" s="2">
        <v>9.2999999999999999E-2</v>
      </c>
      <c r="S773" s="2">
        <v>0.45500000000000002</v>
      </c>
      <c r="T773" s="2">
        <v>-5.3630000000000004</v>
      </c>
      <c r="U773">
        <v>146375</v>
      </c>
      <c r="V773">
        <f>YEAR(Spotify[[#This Row],[Date de sortie]])</f>
        <v>2020</v>
      </c>
      <c r="W773" s="2" t="str">
        <f>IF(Spotify[[#This Row],[Popularité]]&gt;=70,"FORTE","FAIBLE")</f>
        <v>FORTE</v>
      </c>
    </row>
    <row r="774" spans="1:23" x14ac:dyDescent="0.25">
      <c r="A774">
        <v>915</v>
      </c>
      <c r="B774">
        <v>91</v>
      </c>
      <c r="C774">
        <v>3</v>
      </c>
      <c r="D774" s="1">
        <v>44064</v>
      </c>
      <c r="E774" s="59" t="str" cm="1">
        <f t="array" ref="E77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74" t="s">
        <v>1563</v>
      </c>
      <c r="G774" s="3">
        <v>4982232</v>
      </c>
      <c r="H774" t="s">
        <v>661</v>
      </c>
      <c r="I774" s="4">
        <v>2384076</v>
      </c>
      <c r="J774" t="s">
        <v>662</v>
      </c>
      <c r="K774" s="1">
        <v>44060</v>
      </c>
      <c r="L774">
        <v>73</v>
      </c>
      <c r="M774" s="2" t="str">
        <f>IF(Spotify[[#This Row],[Energie]]&gt;AVERAGE(Spotify[Energie]),"FORTE","FAIBLE")</f>
        <v>FORTE</v>
      </c>
      <c r="N774" s="2">
        <v>0.77600000000000002</v>
      </c>
      <c r="O774" s="2">
        <v>0.91100000000000003</v>
      </c>
      <c r="P774" s="2">
        <v>0.13100000000000001</v>
      </c>
      <c r="Q774" s="2">
        <v>0.155</v>
      </c>
      <c r="R774" s="2">
        <v>0.26800000000000002</v>
      </c>
      <c r="S774" s="2">
        <v>0.56000000000000005</v>
      </c>
      <c r="T774" s="2">
        <v>-3.08</v>
      </c>
      <c r="U774">
        <v>177728</v>
      </c>
      <c r="V774">
        <f>YEAR(Spotify[[#This Row],[Date de sortie]])</f>
        <v>2020</v>
      </c>
      <c r="W774" s="2" t="str">
        <f>IF(Spotify[[#This Row],[Popularité]]&gt;=70,"FORTE","FAIBLE")</f>
        <v>FORTE</v>
      </c>
    </row>
    <row r="775" spans="1:23" x14ac:dyDescent="0.25">
      <c r="A775">
        <v>985</v>
      </c>
      <c r="B775">
        <v>25</v>
      </c>
      <c r="C775">
        <v>4</v>
      </c>
      <c r="D775" s="1">
        <v>44022</v>
      </c>
      <c r="E775" s="59" t="str" cm="1">
        <f t="array" ref="E77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775" t="s">
        <v>1667</v>
      </c>
      <c r="G775" s="3">
        <v>4978899</v>
      </c>
      <c r="H775" t="s">
        <v>345</v>
      </c>
      <c r="I775" s="4">
        <v>19102888</v>
      </c>
      <c r="J775" t="s">
        <v>79</v>
      </c>
      <c r="K775" s="1">
        <v>44022</v>
      </c>
      <c r="L775">
        <v>73</v>
      </c>
      <c r="M775" s="2" t="str">
        <f>IF(Spotify[[#This Row],[Energie]]&gt;AVERAGE(Spotify[Energie]),"FORTE","FAIBLE")</f>
        <v>FAIBLE</v>
      </c>
      <c r="N775" s="2">
        <v>0.86799999999999999</v>
      </c>
      <c r="O775" s="2">
        <v>0.55000000000000004</v>
      </c>
      <c r="P775" s="2">
        <v>0.22600000000000001</v>
      </c>
      <c r="Q775" s="2">
        <v>0.183</v>
      </c>
      <c r="R775" s="2">
        <v>0.109</v>
      </c>
      <c r="S775" s="2">
        <v>0.46400000000000002</v>
      </c>
      <c r="T775" s="2">
        <v>-6.4169999999999998</v>
      </c>
      <c r="U775">
        <v>154767</v>
      </c>
      <c r="V775">
        <f>YEAR(Spotify[[#This Row],[Date de sortie]])</f>
        <v>2020</v>
      </c>
      <c r="W775" s="2" t="str">
        <f>IF(Spotify[[#This Row],[Popularité]]&gt;=70,"FORTE","FAIBLE")</f>
        <v>FORTE</v>
      </c>
    </row>
    <row r="776" spans="1:23" x14ac:dyDescent="0.25">
      <c r="A776">
        <v>462</v>
      </c>
      <c r="B776">
        <v>140</v>
      </c>
      <c r="C776">
        <v>13</v>
      </c>
      <c r="D776" s="1">
        <v>44197</v>
      </c>
      <c r="E776" s="59" t="str" cm="1">
        <f t="array" ref="E77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776" t="s">
        <v>841</v>
      </c>
      <c r="G776" s="3">
        <v>4972518</v>
      </c>
      <c r="H776" t="s">
        <v>842</v>
      </c>
      <c r="I776" s="4">
        <v>1053324</v>
      </c>
      <c r="J776" t="s">
        <v>843</v>
      </c>
      <c r="K776" s="1">
        <v>44176</v>
      </c>
      <c r="L776">
        <v>73</v>
      </c>
      <c r="M776" s="2" t="str">
        <f>IF(Spotify[[#This Row],[Energie]]&gt;AVERAGE(Spotify[Energie]),"FORTE","FAIBLE")</f>
        <v>FORTE</v>
      </c>
      <c r="N776" s="2">
        <v>0.90400000000000003</v>
      </c>
      <c r="O776" s="2">
        <v>0.72299999999999998</v>
      </c>
      <c r="P776" s="2">
        <v>0.26</v>
      </c>
      <c r="Q776" s="2">
        <v>6.3100000000000003E-2</v>
      </c>
      <c r="R776" s="2">
        <v>0.185</v>
      </c>
      <c r="S776" s="2">
        <v>0.83499999999999996</v>
      </c>
      <c r="T776" s="2">
        <v>-5.2240000000000002</v>
      </c>
      <c r="U776">
        <v>227478</v>
      </c>
      <c r="V776">
        <f>YEAR(Spotify[[#This Row],[Date de sortie]])</f>
        <v>2020</v>
      </c>
      <c r="W776" s="2" t="str">
        <f>IF(Spotify[[#This Row],[Popularité]]&gt;=70,"FORTE","FAIBLE")</f>
        <v>FORTE</v>
      </c>
    </row>
    <row r="777" spans="1:23" x14ac:dyDescent="0.25">
      <c r="A777">
        <v>902</v>
      </c>
      <c r="B777">
        <v>65</v>
      </c>
      <c r="C777">
        <v>8</v>
      </c>
      <c r="D777" s="1">
        <v>44043</v>
      </c>
      <c r="E777" s="59" t="str" cm="1">
        <f t="array" ref="E77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77" t="s">
        <v>1542</v>
      </c>
      <c r="G777" s="3">
        <v>4957966</v>
      </c>
      <c r="H777" t="s">
        <v>130</v>
      </c>
      <c r="I777" s="4">
        <v>32279979</v>
      </c>
      <c r="J777" t="s">
        <v>10</v>
      </c>
      <c r="K777" s="1">
        <v>44358</v>
      </c>
      <c r="L777">
        <v>73</v>
      </c>
      <c r="M777" s="2" t="str">
        <f>IF(Spotify[[#This Row],[Energie]]&gt;AVERAGE(Spotify[Energie]),"FORTE","FAIBLE")</f>
        <v>FAIBLE</v>
      </c>
      <c r="N777" s="2">
        <v>0.48499999999999999</v>
      </c>
      <c r="O777" s="2">
        <v>0.56699999999999995</v>
      </c>
      <c r="P777" s="2">
        <v>3.8800000000000001E-2</v>
      </c>
      <c r="Q777" s="2">
        <v>0.316</v>
      </c>
      <c r="R777" s="2">
        <v>9.4899999999999998E-2</v>
      </c>
      <c r="S777" s="2">
        <v>0.157</v>
      </c>
      <c r="T777" s="2">
        <v>-6.4560000000000004</v>
      </c>
      <c r="U777">
        <v>211254</v>
      </c>
      <c r="V777">
        <f>YEAR(Spotify[[#This Row],[Date de sortie]])</f>
        <v>2021</v>
      </c>
      <c r="W777" s="2" t="str">
        <f>IF(Spotify[[#This Row],[Popularité]]&gt;=70,"FORTE","FAIBLE")</f>
        <v>FORTE</v>
      </c>
    </row>
    <row r="778" spans="1:23" x14ac:dyDescent="0.25">
      <c r="A778">
        <v>1449</v>
      </c>
      <c r="B778">
        <v>135</v>
      </c>
      <c r="C778">
        <v>6</v>
      </c>
      <c r="D778" s="1">
        <v>43826</v>
      </c>
      <c r="E778" s="59" t="str" cm="1">
        <f t="array" ref="E77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78" t="s">
        <v>2304</v>
      </c>
      <c r="G778" s="3">
        <v>4940984</v>
      </c>
      <c r="H778" t="s">
        <v>300</v>
      </c>
      <c r="I778" s="4">
        <v>14190858</v>
      </c>
      <c r="J778" t="s">
        <v>10</v>
      </c>
      <c r="K778" s="1">
        <v>43560</v>
      </c>
      <c r="L778">
        <v>73</v>
      </c>
      <c r="M778" s="2" t="str">
        <f>IF(Spotify[[#This Row],[Energie]]&gt;AVERAGE(Spotify[Energie]),"FORTE","FAIBLE")</f>
        <v>FAIBLE</v>
      </c>
      <c r="N778" s="2">
        <v>0.9</v>
      </c>
      <c r="O778" s="2">
        <v>0.4</v>
      </c>
      <c r="P778" s="2">
        <v>0.127</v>
      </c>
      <c r="Q778" s="2">
        <v>5.16E-2</v>
      </c>
      <c r="R778" s="2">
        <v>5.9900000000000002E-2</v>
      </c>
      <c r="S778" s="2">
        <v>0.34599999999999997</v>
      </c>
      <c r="T778" s="2">
        <v>-8.5749999999999993</v>
      </c>
      <c r="U778">
        <v>197573</v>
      </c>
      <c r="V778">
        <f>YEAR(Spotify[[#This Row],[Date de sortie]])</f>
        <v>2019</v>
      </c>
      <c r="W778" s="2" t="str">
        <f>IF(Spotify[[#This Row],[Popularité]]&gt;=70,"FORTE","FAIBLE")</f>
        <v>FORTE</v>
      </c>
    </row>
    <row r="779" spans="1:23" x14ac:dyDescent="0.25">
      <c r="A779">
        <v>1290</v>
      </c>
      <c r="B779">
        <v>65</v>
      </c>
      <c r="C779">
        <v>12</v>
      </c>
      <c r="D779" s="1">
        <v>43854</v>
      </c>
      <c r="E779" s="59" t="str" cm="1">
        <f t="array" ref="E77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779" t="s">
        <v>2091</v>
      </c>
      <c r="G779" s="3">
        <v>4878903</v>
      </c>
      <c r="H779" t="s">
        <v>264</v>
      </c>
      <c r="I779" s="4">
        <v>7601122</v>
      </c>
      <c r="J779" t="s">
        <v>265</v>
      </c>
      <c r="K779" s="1">
        <v>43735</v>
      </c>
      <c r="L779">
        <v>73</v>
      </c>
      <c r="M779" s="2" t="str">
        <f>IF(Spotify[[#This Row],[Energie]]&gt;AVERAGE(Spotify[Energie]),"FORTE","FAIBLE")</f>
        <v>FAIBLE</v>
      </c>
      <c r="N779" s="2">
        <v>0.81599999999999995</v>
      </c>
      <c r="O779" s="2">
        <v>0.58199999999999996</v>
      </c>
      <c r="P779" s="2">
        <v>0.34100000000000003</v>
      </c>
      <c r="Q779" s="2">
        <v>7.9399999999999998E-2</v>
      </c>
      <c r="R779" s="2">
        <v>9.1600000000000001E-2</v>
      </c>
      <c r="S779" s="2">
        <v>0.54200000000000004</v>
      </c>
      <c r="T779" s="2">
        <v>-4.141</v>
      </c>
      <c r="U779">
        <v>136366</v>
      </c>
      <c r="V779">
        <f>YEAR(Spotify[[#This Row],[Date de sortie]])</f>
        <v>2019</v>
      </c>
      <c r="W779" s="2" t="str">
        <f>IF(Spotify[[#This Row],[Popularité]]&gt;=70,"FORTE","FAIBLE")</f>
        <v>FORTE</v>
      </c>
    </row>
    <row r="780" spans="1:23" x14ac:dyDescent="0.25">
      <c r="A780">
        <v>585</v>
      </c>
      <c r="B780">
        <v>116</v>
      </c>
      <c r="C780">
        <v>8</v>
      </c>
      <c r="D780" s="1">
        <v>44148</v>
      </c>
      <c r="E780" s="59" t="str" cm="1">
        <f t="array" ref="E78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80" t="s">
        <v>1044</v>
      </c>
      <c r="G780" s="3">
        <v>4864544</v>
      </c>
      <c r="H780" t="s">
        <v>1045</v>
      </c>
      <c r="I780" s="4">
        <v>6096559</v>
      </c>
      <c r="J780" t="s">
        <v>22</v>
      </c>
      <c r="K780" s="1">
        <v>44148</v>
      </c>
      <c r="L780">
        <v>73</v>
      </c>
      <c r="M780" s="2" t="str">
        <f>IF(Spotify[[#This Row],[Energie]]&gt;AVERAGE(Spotify[Energie]),"FORTE","FAIBLE")</f>
        <v>FORTE</v>
      </c>
      <c r="N780" s="2">
        <v>0.81100000000000005</v>
      </c>
      <c r="O780" s="2">
        <v>0.68300000000000005</v>
      </c>
      <c r="P780" s="2">
        <v>0.24099999999999999</v>
      </c>
      <c r="Q780" s="2">
        <v>0.46</v>
      </c>
      <c r="R780" s="2">
        <v>0.128</v>
      </c>
      <c r="S780" s="2">
        <v>0.57099999999999995</v>
      </c>
      <c r="T780" s="2">
        <v>-2.028</v>
      </c>
      <c r="U780">
        <v>190101</v>
      </c>
      <c r="V780">
        <f>YEAR(Spotify[[#This Row],[Date de sortie]])</f>
        <v>2020</v>
      </c>
      <c r="W780" s="2" t="str">
        <f>IF(Spotify[[#This Row],[Popularité]]&gt;=70,"FORTE","FAIBLE")</f>
        <v>FORTE</v>
      </c>
    </row>
    <row r="781" spans="1:23" x14ac:dyDescent="0.25">
      <c r="A781">
        <v>1485</v>
      </c>
      <c r="B781">
        <v>182</v>
      </c>
      <c r="C781">
        <v>3</v>
      </c>
      <c r="D781" s="1">
        <v>43833</v>
      </c>
      <c r="E781" s="59" t="str" cm="1">
        <f t="array" ref="E78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81" t="s">
        <v>2354</v>
      </c>
      <c r="G781" s="3">
        <v>4855270</v>
      </c>
      <c r="H781" t="s">
        <v>2355</v>
      </c>
      <c r="I781" s="4">
        <v>639516</v>
      </c>
      <c r="J781" t="s">
        <v>19</v>
      </c>
      <c r="K781" s="1">
        <v>43609</v>
      </c>
      <c r="L781">
        <v>73</v>
      </c>
      <c r="M781" s="2" t="str">
        <f>IF(Spotify[[#This Row],[Energie]]&gt;AVERAGE(Spotify[Energie]),"FORTE","FAIBLE")</f>
        <v>FORTE</v>
      </c>
      <c r="N781" s="2">
        <v>0.59</v>
      </c>
      <c r="O781" s="2">
        <v>0.64200000000000002</v>
      </c>
      <c r="P781" s="2">
        <v>0.122</v>
      </c>
      <c r="Q781" s="2">
        <v>7.7100000000000002E-2</v>
      </c>
      <c r="R781" s="2">
        <v>0.105</v>
      </c>
      <c r="S781" s="2">
        <v>0.65100000000000002</v>
      </c>
      <c r="T781" s="2">
        <v>-3.87</v>
      </c>
      <c r="U781">
        <v>174444</v>
      </c>
      <c r="V781">
        <f>YEAR(Spotify[[#This Row],[Date de sortie]])</f>
        <v>2019</v>
      </c>
      <c r="W781" s="2" t="str">
        <f>IF(Spotify[[#This Row],[Popularité]]&gt;=70,"FORTE","FAIBLE")</f>
        <v>FORTE</v>
      </c>
    </row>
    <row r="782" spans="1:23" x14ac:dyDescent="0.25">
      <c r="A782">
        <v>802</v>
      </c>
      <c r="B782">
        <v>29</v>
      </c>
      <c r="C782">
        <v>32</v>
      </c>
      <c r="D782" s="1">
        <v>43938</v>
      </c>
      <c r="E782" s="59" t="str" cm="1">
        <f t="array" ref="E78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82" t="s">
        <v>1391</v>
      </c>
      <c r="G782" s="3">
        <v>4787127</v>
      </c>
      <c r="H782" t="s">
        <v>885</v>
      </c>
      <c r="I782" s="4">
        <v>10580764</v>
      </c>
      <c r="J782" t="s">
        <v>72</v>
      </c>
      <c r="K782" s="1">
        <v>43916</v>
      </c>
      <c r="L782">
        <v>73</v>
      </c>
      <c r="M782" s="2" t="str">
        <f>IF(Spotify[[#This Row],[Energie]]&gt;AVERAGE(Spotify[Energie]),"FORTE","FAIBLE")</f>
        <v>FORTE</v>
      </c>
      <c r="N782" s="2">
        <v>0.61099999999999999</v>
      </c>
      <c r="O782" s="2">
        <v>0.85099999999999998</v>
      </c>
      <c r="P782" s="2">
        <v>5.9799999999999999E-2</v>
      </c>
      <c r="Q782" s="2">
        <v>0.22900000000000001</v>
      </c>
      <c r="R782" s="2">
        <v>0.23200000000000001</v>
      </c>
      <c r="S782" s="2">
        <v>0.82299999999999995</v>
      </c>
      <c r="T782" s="2">
        <v>-2.9820000000000002</v>
      </c>
      <c r="U782">
        <v>211613</v>
      </c>
      <c r="V782">
        <f>YEAR(Spotify[[#This Row],[Date de sortie]])</f>
        <v>2020</v>
      </c>
      <c r="W782" s="2" t="str">
        <f>IF(Spotify[[#This Row],[Popularité]]&gt;=70,"FORTE","FAIBLE")</f>
        <v>FORTE</v>
      </c>
    </row>
    <row r="783" spans="1:23" x14ac:dyDescent="0.25">
      <c r="A783">
        <v>1104</v>
      </c>
      <c r="B783">
        <v>21</v>
      </c>
      <c r="C783">
        <v>15</v>
      </c>
      <c r="D783" s="1">
        <v>43896</v>
      </c>
      <c r="E783" s="59" t="str" cm="1">
        <f t="array" ref="E78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783" t="s">
        <v>1835</v>
      </c>
      <c r="G783" s="3">
        <v>4769996</v>
      </c>
      <c r="H783" t="s">
        <v>1780</v>
      </c>
      <c r="I783" s="4">
        <v>11821805</v>
      </c>
      <c r="J783" t="s">
        <v>235</v>
      </c>
      <c r="K783" s="1">
        <v>43896</v>
      </c>
      <c r="L783">
        <v>73</v>
      </c>
      <c r="M783" s="2" t="str">
        <f>IF(Spotify[[#This Row],[Energie]]&gt;AVERAGE(Spotify[Energie]),"FORTE","FAIBLE")</f>
        <v>FORTE</v>
      </c>
      <c r="N783" s="2">
        <v>0.77500000000000002</v>
      </c>
      <c r="O783" s="2">
        <v>0.72</v>
      </c>
      <c r="P783" s="2">
        <v>0.193</v>
      </c>
      <c r="Q783" s="2">
        <v>2.3599999999999999E-2</v>
      </c>
      <c r="R783" s="2">
        <v>0.114</v>
      </c>
      <c r="S783" s="2">
        <v>0.49</v>
      </c>
      <c r="T783" s="2">
        <v>-5.3529999999999998</v>
      </c>
      <c r="U783">
        <v>234627</v>
      </c>
      <c r="V783">
        <f>YEAR(Spotify[[#This Row],[Date de sortie]])</f>
        <v>2020</v>
      </c>
      <c r="W783" s="2" t="str">
        <f>IF(Spotify[[#This Row],[Popularité]]&gt;=70,"FORTE","FAIBLE")</f>
        <v>FORTE</v>
      </c>
    </row>
    <row r="784" spans="1:23" x14ac:dyDescent="0.25">
      <c r="A784">
        <v>607</v>
      </c>
      <c r="B784">
        <v>76</v>
      </c>
      <c r="C784">
        <v>8</v>
      </c>
      <c r="D784" s="1">
        <v>44141</v>
      </c>
      <c r="E784" s="59" t="str" cm="1">
        <f t="array" ref="E78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84" t="s">
        <v>1076</v>
      </c>
      <c r="G784" s="3">
        <v>4769618</v>
      </c>
      <c r="H784" t="s">
        <v>1077</v>
      </c>
      <c r="I784" s="4">
        <v>27167675</v>
      </c>
      <c r="J784" t="s">
        <v>19</v>
      </c>
      <c r="K784" s="1">
        <v>44133</v>
      </c>
      <c r="L784">
        <v>73</v>
      </c>
      <c r="M784" s="2" t="str">
        <f>IF(Spotify[[#This Row],[Energie]]&gt;AVERAGE(Spotify[Energie]),"FORTE","FAIBLE")</f>
        <v>FORTE</v>
      </c>
      <c r="N784" s="2">
        <v>0.86799999999999999</v>
      </c>
      <c r="O784" s="2">
        <v>0.69299999999999995</v>
      </c>
      <c r="P784" s="2">
        <v>0.18099999999999999</v>
      </c>
      <c r="Q784" s="2">
        <v>5.9700000000000003E-2</v>
      </c>
      <c r="R784" s="2">
        <v>0.106</v>
      </c>
      <c r="S784" s="2">
        <v>0.39600000000000002</v>
      </c>
      <c r="T784" s="2">
        <v>-7.0519999999999996</v>
      </c>
      <c r="U784">
        <v>156911</v>
      </c>
      <c r="V784">
        <f>YEAR(Spotify[[#This Row],[Date de sortie]])</f>
        <v>2020</v>
      </c>
      <c r="W784" s="2" t="str">
        <f>IF(Spotify[[#This Row],[Popularité]]&gt;=70,"FORTE","FAIBLE")</f>
        <v>FORTE</v>
      </c>
    </row>
    <row r="785" spans="1:23" x14ac:dyDescent="0.25">
      <c r="A785">
        <v>987</v>
      </c>
      <c r="B785">
        <v>26</v>
      </c>
      <c r="C785">
        <v>20</v>
      </c>
      <c r="D785" s="1">
        <v>43910</v>
      </c>
      <c r="E785" s="59" t="str" cm="1">
        <f t="array" ref="E78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785" t="s">
        <v>1669</v>
      </c>
      <c r="G785" s="3">
        <v>4695091</v>
      </c>
      <c r="H785" t="s">
        <v>852</v>
      </c>
      <c r="I785" s="4">
        <v>29067437</v>
      </c>
      <c r="J785" t="s">
        <v>25</v>
      </c>
      <c r="K785" s="1">
        <v>43909</v>
      </c>
      <c r="L785">
        <v>73</v>
      </c>
      <c r="M785" s="2" t="str">
        <f>IF(Spotify[[#This Row],[Energie]]&gt;AVERAGE(Spotify[Energie]),"FORTE","FAIBLE")</f>
        <v>FORTE</v>
      </c>
      <c r="N785" s="2">
        <v>0.64100000000000001</v>
      </c>
      <c r="O785" s="2">
        <v>0.85699999999999998</v>
      </c>
      <c r="P785" s="2">
        <v>0.30099999999999999</v>
      </c>
      <c r="Q785" s="2">
        <v>1.2999999999999999E-2</v>
      </c>
      <c r="R785" s="2">
        <v>6.9500000000000006E-2</v>
      </c>
      <c r="S785" s="2">
        <v>0.96099999999999997</v>
      </c>
      <c r="T785" s="2">
        <v>-5.7249999999999996</v>
      </c>
      <c r="U785">
        <v>157733</v>
      </c>
      <c r="V785">
        <f>YEAR(Spotify[[#This Row],[Date de sortie]])</f>
        <v>2020</v>
      </c>
      <c r="W785" s="2" t="str">
        <f>IF(Spotify[[#This Row],[Popularité]]&gt;=70,"FORTE","FAIBLE")</f>
        <v>FORTE</v>
      </c>
    </row>
    <row r="786" spans="1:23" x14ac:dyDescent="0.25">
      <c r="A786">
        <v>1002</v>
      </c>
      <c r="B786">
        <v>31</v>
      </c>
      <c r="C786">
        <v>20</v>
      </c>
      <c r="D786" s="1">
        <v>43931</v>
      </c>
      <c r="E786" s="59" t="str" cm="1">
        <f t="array" ref="E78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786" t="s">
        <v>1689</v>
      </c>
      <c r="G786" s="3">
        <v>4669248</v>
      </c>
      <c r="H786" t="s">
        <v>1690</v>
      </c>
      <c r="I786" s="4">
        <v>92356</v>
      </c>
      <c r="J786" t="s">
        <v>1484</v>
      </c>
      <c r="K786" s="1">
        <v>43842</v>
      </c>
      <c r="L786">
        <v>73</v>
      </c>
      <c r="M786" s="2" t="str">
        <f>IF(Spotify[[#This Row],[Energie]]&gt;AVERAGE(Spotify[Energie]),"FORTE","FAIBLE")</f>
        <v>FAIBLE</v>
      </c>
      <c r="N786" s="2">
        <v>0.90300000000000002</v>
      </c>
      <c r="O786" s="2">
        <v>0.32700000000000001</v>
      </c>
      <c r="P786" s="2">
        <v>8.77E-2</v>
      </c>
      <c r="Q786" s="2">
        <v>0.26</v>
      </c>
      <c r="R786" s="2">
        <v>0.108</v>
      </c>
      <c r="S786" s="2">
        <v>0.27400000000000002</v>
      </c>
      <c r="T786" s="2">
        <v>-9.7270000000000003</v>
      </c>
      <c r="U786">
        <v>106000</v>
      </c>
      <c r="V786">
        <f>YEAR(Spotify[[#This Row],[Date de sortie]])</f>
        <v>2020</v>
      </c>
      <c r="W786" s="2" t="str">
        <f>IF(Spotify[[#This Row],[Popularité]]&gt;=70,"FORTE","FAIBLE")</f>
        <v>FORTE</v>
      </c>
    </row>
    <row r="787" spans="1:23" x14ac:dyDescent="0.25">
      <c r="A787">
        <v>912</v>
      </c>
      <c r="B787">
        <v>13</v>
      </c>
      <c r="C787">
        <v>21</v>
      </c>
      <c r="D787" s="1">
        <v>43952</v>
      </c>
      <c r="E787" s="59" t="str" cm="1">
        <f t="array" ref="E78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87" t="s">
        <v>1559</v>
      </c>
      <c r="G787" s="3">
        <v>4568308</v>
      </c>
      <c r="H787" t="s">
        <v>1560</v>
      </c>
      <c r="I787" s="4">
        <v>28335112</v>
      </c>
      <c r="J787" t="s">
        <v>19</v>
      </c>
      <c r="K787" s="1">
        <v>43950</v>
      </c>
      <c r="L787">
        <v>73</v>
      </c>
      <c r="M787" s="2" t="str">
        <f>IF(Spotify[[#This Row],[Energie]]&gt;AVERAGE(Spotify[Energie]),"FORTE","FAIBLE")</f>
        <v>FORTE</v>
      </c>
      <c r="N787" s="2">
        <v>0.82199999999999995</v>
      </c>
      <c r="O787" s="2">
        <v>0.74299999999999999</v>
      </c>
      <c r="P787" s="2">
        <v>0.28000000000000003</v>
      </c>
      <c r="Q787" s="2">
        <v>1.6E-2</v>
      </c>
      <c r="R787" s="2">
        <v>0.127</v>
      </c>
      <c r="S787" s="2">
        <v>0.63600000000000001</v>
      </c>
      <c r="T787" s="2">
        <v>-4.7720000000000002</v>
      </c>
      <c r="U787">
        <v>242001</v>
      </c>
      <c r="V787">
        <f>YEAR(Spotify[[#This Row],[Date de sortie]])</f>
        <v>2020</v>
      </c>
      <c r="W787" s="2" t="str">
        <f>IF(Spotify[[#This Row],[Popularité]]&gt;=70,"FORTE","FAIBLE")</f>
        <v>FORTE</v>
      </c>
    </row>
    <row r="788" spans="1:23" x14ac:dyDescent="0.25">
      <c r="A788">
        <v>898</v>
      </c>
      <c r="B788">
        <v>197</v>
      </c>
      <c r="C788">
        <v>1</v>
      </c>
      <c r="D788" s="1">
        <v>44092</v>
      </c>
      <c r="E788" s="59" t="str" cm="1">
        <f t="array" ref="E78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88" t="s">
        <v>1536</v>
      </c>
      <c r="G788" s="3">
        <v>4526982</v>
      </c>
      <c r="H788" t="s">
        <v>592</v>
      </c>
      <c r="I788" s="4">
        <v>3916979</v>
      </c>
      <c r="J788" t="s">
        <v>19</v>
      </c>
      <c r="K788" s="1">
        <v>44092</v>
      </c>
      <c r="L788">
        <v>73</v>
      </c>
      <c r="M788" s="2" t="str">
        <f>IF(Spotify[[#This Row],[Energie]]&gt;AVERAGE(Spotify[Energie]),"FORTE","FAIBLE")</f>
        <v>FORTE</v>
      </c>
      <c r="N788" s="2">
        <v>0.64800000000000002</v>
      </c>
      <c r="O788" s="2">
        <v>0.64100000000000001</v>
      </c>
      <c r="P788" s="2">
        <v>3.8899999999999997E-2</v>
      </c>
      <c r="Q788" s="2">
        <v>5.6499999999999996E-3</v>
      </c>
      <c r="R788" s="2">
        <v>0.109</v>
      </c>
      <c r="S788" s="2">
        <v>0.505</v>
      </c>
      <c r="T788" s="2">
        <v>-5.5209999999999999</v>
      </c>
      <c r="U788">
        <v>180348</v>
      </c>
      <c r="V788">
        <f>YEAR(Spotify[[#This Row],[Date de sortie]])</f>
        <v>2020</v>
      </c>
      <c r="W788" s="2" t="str">
        <f>IF(Spotify[[#This Row],[Popularité]]&gt;=70,"FORTE","FAIBLE")</f>
        <v>FORTE</v>
      </c>
    </row>
    <row r="789" spans="1:23" x14ac:dyDescent="0.25">
      <c r="A789">
        <v>935</v>
      </c>
      <c r="B789">
        <v>117</v>
      </c>
      <c r="C789">
        <v>16</v>
      </c>
      <c r="D789" s="1">
        <v>44008</v>
      </c>
      <c r="E789" s="59" t="str" cm="1">
        <f t="array" ref="E78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789" t="s">
        <v>1597</v>
      </c>
      <c r="G789" s="3">
        <v>4501441</v>
      </c>
      <c r="H789" t="s">
        <v>1598</v>
      </c>
      <c r="I789" s="4">
        <v>2897862</v>
      </c>
      <c r="J789" t="s">
        <v>25</v>
      </c>
      <c r="K789" s="1">
        <v>43952</v>
      </c>
      <c r="L789">
        <v>73</v>
      </c>
      <c r="M789" s="2" t="str">
        <f>IF(Spotify[[#This Row],[Energie]]&gt;AVERAGE(Spotify[Energie]),"FORTE","FAIBLE")</f>
        <v>FORTE</v>
      </c>
      <c r="N789" s="2">
        <v>0.88900000000000001</v>
      </c>
      <c r="O789" s="2">
        <v>0.86299999999999999</v>
      </c>
      <c r="P789" s="2">
        <v>7.5700000000000003E-2</v>
      </c>
      <c r="Q789" s="2">
        <v>0.28899999999999998</v>
      </c>
      <c r="R789" s="2">
        <v>7.9799999999999996E-2</v>
      </c>
      <c r="S789" s="2">
        <v>0.77600000000000002</v>
      </c>
      <c r="T789" s="2">
        <v>-3.0110000000000001</v>
      </c>
      <c r="U789">
        <v>201000</v>
      </c>
      <c r="V789">
        <f>YEAR(Spotify[[#This Row],[Date de sortie]])</f>
        <v>2020</v>
      </c>
      <c r="W789" s="2" t="str">
        <f>IF(Spotify[[#This Row],[Popularité]]&gt;=70,"FORTE","FAIBLE")</f>
        <v>FORTE</v>
      </c>
    </row>
    <row r="790" spans="1:23" x14ac:dyDescent="0.25">
      <c r="A790">
        <v>954</v>
      </c>
      <c r="B790">
        <v>77</v>
      </c>
      <c r="C790">
        <v>14</v>
      </c>
      <c r="D790" s="1">
        <v>44008</v>
      </c>
      <c r="E790" s="59" t="str" cm="1">
        <f t="array" ref="E79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790" t="s">
        <v>1625</v>
      </c>
      <c r="G790" s="3">
        <v>4488631</v>
      </c>
      <c r="H790" t="s">
        <v>1626</v>
      </c>
      <c r="I790" s="4">
        <v>46992</v>
      </c>
      <c r="J790" t="s">
        <v>1342</v>
      </c>
      <c r="K790" s="1">
        <v>43894</v>
      </c>
      <c r="L790">
        <v>73</v>
      </c>
      <c r="M790" s="2" t="str">
        <f>IF(Spotify[[#This Row],[Energie]]&gt;AVERAGE(Spotify[Energie]),"FORTE","FAIBLE")</f>
        <v>FAIBLE</v>
      </c>
      <c r="N790" s="2">
        <v>0.61299999999999999</v>
      </c>
      <c r="O790" s="2">
        <v>0.624</v>
      </c>
      <c r="P790" s="2">
        <v>0.20599999999999999</v>
      </c>
      <c r="Q790" s="2">
        <v>0.496</v>
      </c>
      <c r="R790" s="2">
        <v>0.28299999999999997</v>
      </c>
      <c r="S790" s="2">
        <v>0.80400000000000005</v>
      </c>
      <c r="T790" s="2">
        <v>-6.66</v>
      </c>
      <c r="U790">
        <v>167917</v>
      </c>
      <c r="V790">
        <f>YEAR(Spotify[[#This Row],[Date de sortie]])</f>
        <v>2020</v>
      </c>
      <c r="W790" s="2" t="str">
        <f>IF(Spotify[[#This Row],[Popularité]]&gt;=70,"FORTE","FAIBLE")</f>
        <v>FORTE</v>
      </c>
    </row>
    <row r="791" spans="1:23" x14ac:dyDescent="0.25">
      <c r="A791">
        <v>1059</v>
      </c>
      <c r="B791">
        <v>158</v>
      </c>
      <c r="C791">
        <v>9</v>
      </c>
      <c r="D791" s="1">
        <v>43973</v>
      </c>
      <c r="E791" s="59" t="str" cm="1">
        <f t="array" ref="E79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91" t="s">
        <v>1767</v>
      </c>
      <c r="G791" s="3">
        <v>4433384</v>
      </c>
      <c r="H791" t="s">
        <v>1768</v>
      </c>
      <c r="I791" s="4">
        <v>6096559</v>
      </c>
      <c r="J791" t="s">
        <v>22</v>
      </c>
      <c r="K791" s="1">
        <v>43812</v>
      </c>
      <c r="L791">
        <v>73</v>
      </c>
      <c r="M791" s="2" t="str">
        <f>IF(Spotify[[#This Row],[Energie]]&gt;AVERAGE(Spotify[Energie]),"FORTE","FAIBLE")</f>
        <v>FORTE</v>
      </c>
      <c r="N791" s="2">
        <v>0.77100000000000002</v>
      </c>
      <c r="O791" s="2">
        <v>0.76900000000000002</v>
      </c>
      <c r="P791" s="2">
        <v>6.9400000000000003E-2</v>
      </c>
      <c r="Q791" s="2">
        <v>0.18</v>
      </c>
      <c r="R791" s="2">
        <v>0.34499999999999997</v>
      </c>
      <c r="S791" s="2">
        <v>0.93100000000000005</v>
      </c>
      <c r="T791" s="2">
        <v>-3.504</v>
      </c>
      <c r="U791">
        <v>289899</v>
      </c>
      <c r="V791">
        <f>YEAR(Spotify[[#This Row],[Date de sortie]])</f>
        <v>2019</v>
      </c>
      <c r="W791" s="2" t="str">
        <f>IF(Spotify[[#This Row],[Popularité]]&gt;=70,"FORTE","FAIBLE")</f>
        <v>FORTE</v>
      </c>
    </row>
    <row r="792" spans="1:23" x14ac:dyDescent="0.25">
      <c r="A792">
        <v>946</v>
      </c>
      <c r="B792">
        <v>72</v>
      </c>
      <c r="C792">
        <v>4</v>
      </c>
      <c r="D792" s="1">
        <v>44001</v>
      </c>
      <c r="E792" s="59" t="str" cm="1">
        <f t="array" ref="E79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92" t="s">
        <v>1614</v>
      </c>
      <c r="G792" s="3">
        <v>4405338</v>
      </c>
      <c r="H792" t="s">
        <v>32</v>
      </c>
      <c r="I792" s="4">
        <v>37151476</v>
      </c>
      <c r="J792" t="s">
        <v>33</v>
      </c>
      <c r="K792" s="1">
        <v>44026</v>
      </c>
      <c r="L792">
        <v>73</v>
      </c>
      <c r="M792" s="2" t="str">
        <f>IF(Spotify[[#This Row],[Energie]]&gt;AVERAGE(Spotify[Energie]),"FORTE","FAIBLE")</f>
        <v>FORTE</v>
      </c>
      <c r="N792" s="2">
        <v>0.72299999999999998</v>
      </c>
      <c r="O792" s="2">
        <v>0.63400000000000001</v>
      </c>
      <c r="P792" s="2">
        <v>5.4199999999999998E-2</v>
      </c>
      <c r="Q792" s="2">
        <v>8.9200000000000002E-2</v>
      </c>
      <c r="R792" s="2">
        <v>7.8700000000000006E-2</v>
      </c>
      <c r="S792" s="2">
        <v>0.58199999999999996</v>
      </c>
      <c r="T792" s="2">
        <v>-5.415</v>
      </c>
      <c r="U792">
        <v>243267</v>
      </c>
      <c r="V792">
        <f>YEAR(Spotify[[#This Row],[Date de sortie]])</f>
        <v>2020</v>
      </c>
      <c r="W792" s="2" t="str">
        <f>IF(Spotify[[#This Row],[Popularité]]&gt;=70,"FORTE","FAIBLE")</f>
        <v>FORTE</v>
      </c>
    </row>
    <row r="793" spans="1:23" x14ac:dyDescent="0.25">
      <c r="A793">
        <v>1240</v>
      </c>
      <c r="B793">
        <v>163</v>
      </c>
      <c r="C793">
        <v>5</v>
      </c>
      <c r="D793" s="1">
        <v>43931</v>
      </c>
      <c r="E793" s="59" t="str" cm="1">
        <f t="array" ref="E79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793" t="s">
        <v>2025</v>
      </c>
      <c r="G793" s="3">
        <v>4394195</v>
      </c>
      <c r="H793" t="s">
        <v>1989</v>
      </c>
      <c r="I793" s="4">
        <v>3828418</v>
      </c>
      <c r="J793" t="s">
        <v>155</v>
      </c>
      <c r="K793" s="1">
        <v>43784</v>
      </c>
      <c r="L793">
        <v>73</v>
      </c>
      <c r="M793" s="2" t="str">
        <f>IF(Spotify[[#This Row],[Energie]]&gt;AVERAGE(Spotify[Energie]),"FORTE","FAIBLE")</f>
        <v>FAIBLE</v>
      </c>
      <c r="N793" s="2">
        <v>0.46400000000000002</v>
      </c>
      <c r="O793" s="2">
        <v>0.54700000000000004</v>
      </c>
      <c r="P793" s="2">
        <v>0.33900000000000002</v>
      </c>
      <c r="Q793" s="2">
        <v>5.11E-2</v>
      </c>
      <c r="R793" s="2">
        <v>0.155</v>
      </c>
      <c r="S793" s="2">
        <v>0.42299999999999999</v>
      </c>
      <c r="T793" s="2">
        <v>-8.1370000000000005</v>
      </c>
      <c r="U793">
        <v>221492</v>
      </c>
      <c r="V793">
        <f>YEAR(Spotify[[#This Row],[Date de sortie]])</f>
        <v>2019</v>
      </c>
      <c r="W793" s="2" t="str">
        <f>IF(Spotify[[#This Row],[Popularité]]&gt;=70,"FORTE","FAIBLE")</f>
        <v>FORTE</v>
      </c>
    </row>
    <row r="794" spans="1:23" x14ac:dyDescent="0.25">
      <c r="A794">
        <v>1250</v>
      </c>
      <c r="B794">
        <v>192</v>
      </c>
      <c r="C794">
        <v>3</v>
      </c>
      <c r="D794" s="1">
        <v>43917</v>
      </c>
      <c r="E794" s="59" t="str" cm="1">
        <f t="array" ref="E79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94" t="s">
        <v>2039</v>
      </c>
      <c r="G794" s="3">
        <v>4218201</v>
      </c>
      <c r="H794" t="s">
        <v>2040</v>
      </c>
      <c r="I794" s="4">
        <v>908351</v>
      </c>
      <c r="J794" t="s">
        <v>2041</v>
      </c>
      <c r="K794" s="1">
        <v>43469</v>
      </c>
      <c r="L794">
        <v>73</v>
      </c>
      <c r="M794" s="2" t="str">
        <f>IF(Spotify[[#This Row],[Energie]]&gt;AVERAGE(Spotify[Energie]),"FORTE","FAIBLE")</f>
        <v>FAIBLE</v>
      </c>
      <c r="N794" s="2">
        <v>0.53400000000000003</v>
      </c>
      <c r="O794" s="2">
        <v>0.58899999999999997</v>
      </c>
      <c r="P794" s="2">
        <v>0.32500000000000001</v>
      </c>
      <c r="Q794" s="2">
        <v>0.25600000000000001</v>
      </c>
      <c r="R794" s="2">
        <v>0.17599999999999999</v>
      </c>
      <c r="S794" s="2">
        <v>0.63200000000000001</v>
      </c>
      <c r="T794" s="2">
        <v>-1.865</v>
      </c>
      <c r="U794">
        <v>209829</v>
      </c>
      <c r="V794">
        <f>YEAR(Spotify[[#This Row],[Date de sortie]])</f>
        <v>2019</v>
      </c>
      <c r="W794" s="2" t="str">
        <f>IF(Spotify[[#This Row],[Popularité]]&gt;=70,"FORTE","FAIBLE")</f>
        <v>FORTE</v>
      </c>
    </row>
    <row r="795" spans="1:23" x14ac:dyDescent="0.25">
      <c r="A795">
        <v>360</v>
      </c>
      <c r="B795">
        <v>30</v>
      </c>
      <c r="C795">
        <v>1</v>
      </c>
      <c r="D795" s="1">
        <v>44330</v>
      </c>
      <c r="E795" s="59" t="str" cm="1">
        <f t="array" ref="E79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795" t="s">
        <v>683</v>
      </c>
      <c r="G795" s="3">
        <v>15171655</v>
      </c>
      <c r="H795" t="s">
        <v>552</v>
      </c>
      <c r="I795" s="4">
        <v>14097410</v>
      </c>
      <c r="J795" t="s">
        <v>553</v>
      </c>
      <c r="K795" s="1">
        <v>44330</v>
      </c>
      <c r="L795">
        <v>72</v>
      </c>
      <c r="M795" s="2" t="str">
        <f>IF(Spotify[[#This Row],[Energie]]&gt;AVERAGE(Spotify[Energie]),"FORTE","FAIBLE")</f>
        <v>FORTE</v>
      </c>
      <c r="N795" s="2">
        <v>0.71099999999999997</v>
      </c>
      <c r="O795" s="2">
        <v>0.64700000000000002</v>
      </c>
      <c r="P795" s="2">
        <v>8.2199999999999995E-2</v>
      </c>
      <c r="Q795" s="2">
        <v>0.33400000000000002</v>
      </c>
      <c r="R795" s="2">
        <v>0.312</v>
      </c>
      <c r="S795" s="2">
        <v>0.22700000000000001</v>
      </c>
      <c r="T795" s="2">
        <v>-5.6669999999999998</v>
      </c>
      <c r="U795">
        <v>163302</v>
      </c>
      <c r="V795">
        <f>YEAR(Spotify[[#This Row],[Date de sortie]])</f>
        <v>2021</v>
      </c>
      <c r="W795" s="2" t="str">
        <f>IF(Spotify[[#This Row],[Popularité]]&gt;=70,"FORTE","FAIBLE")</f>
        <v>FORTE</v>
      </c>
    </row>
    <row r="796" spans="1:23" x14ac:dyDescent="0.25">
      <c r="A796">
        <v>734</v>
      </c>
      <c r="B796">
        <v>63</v>
      </c>
      <c r="C796">
        <v>1</v>
      </c>
      <c r="D796" s="1">
        <v>44162</v>
      </c>
      <c r="E796" s="59" t="str" cm="1">
        <f t="array" ref="E79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796" t="s">
        <v>1281</v>
      </c>
      <c r="G796" s="3">
        <v>10957181</v>
      </c>
      <c r="H796" t="s">
        <v>24</v>
      </c>
      <c r="I796" s="4">
        <v>36177712</v>
      </c>
      <c r="J796" t="s">
        <v>25</v>
      </c>
      <c r="K796" s="1">
        <v>44162</v>
      </c>
      <c r="L796">
        <v>72</v>
      </c>
      <c r="M796" s="2" t="str">
        <f>IF(Spotify[[#This Row],[Energie]]&gt;AVERAGE(Spotify[Energie]),"FORTE","FAIBLE")</f>
        <v>FORTE</v>
      </c>
      <c r="N796" s="2">
        <v>0.63600000000000001</v>
      </c>
      <c r="O796" s="2">
        <v>0.65600000000000003</v>
      </c>
      <c r="P796" s="2">
        <v>6.7599999999999993E-2</v>
      </c>
      <c r="Q796" s="2">
        <v>0.45100000000000001</v>
      </c>
      <c r="R796" s="2">
        <v>0.28699999999999998</v>
      </c>
      <c r="S796" s="2">
        <v>0.439</v>
      </c>
      <c r="T796" s="2">
        <v>-5.5419999999999998</v>
      </c>
      <c r="U796">
        <v>151506</v>
      </c>
      <c r="V796">
        <f>YEAR(Spotify[[#This Row],[Date de sortie]])</f>
        <v>2020</v>
      </c>
      <c r="W796" s="2" t="str">
        <f>IF(Spotify[[#This Row],[Popularité]]&gt;=70,"FORTE","FAIBLE")</f>
        <v>FORTE</v>
      </c>
    </row>
    <row r="797" spans="1:23" x14ac:dyDescent="0.25">
      <c r="A797">
        <v>1381</v>
      </c>
      <c r="B797">
        <v>54</v>
      </c>
      <c r="C797">
        <v>1</v>
      </c>
      <c r="D797" s="1">
        <v>43882</v>
      </c>
      <c r="E797" s="59" t="str" cm="1">
        <f t="array" ref="E79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97" t="s">
        <v>2212</v>
      </c>
      <c r="G797" s="3">
        <v>10016907</v>
      </c>
      <c r="H797" t="s">
        <v>32</v>
      </c>
      <c r="I797" s="4">
        <v>37151476</v>
      </c>
      <c r="J797" t="s">
        <v>33</v>
      </c>
      <c r="K797" s="1">
        <v>43882</v>
      </c>
      <c r="L797">
        <v>72</v>
      </c>
      <c r="M797" s="2" t="str">
        <f>IF(Spotify[[#This Row],[Energie]]&gt;AVERAGE(Spotify[Energie]),"FORTE","FAIBLE")</f>
        <v>FORTE</v>
      </c>
      <c r="N797" s="2">
        <v>0.64300000000000002</v>
      </c>
      <c r="O797" s="2">
        <v>0.66700000000000004</v>
      </c>
      <c r="P797" s="2">
        <v>0.152</v>
      </c>
      <c r="Q797" s="2">
        <v>4.3299999999999998E-2</v>
      </c>
      <c r="R797" s="2">
        <v>9.0399999999999994E-2</v>
      </c>
      <c r="S797" s="2">
        <v>0.48499999999999999</v>
      </c>
      <c r="T797" s="2">
        <v>-6.9930000000000003</v>
      </c>
      <c r="U797">
        <v>217404</v>
      </c>
      <c r="V797">
        <f>YEAR(Spotify[[#This Row],[Date de sortie]])</f>
        <v>2020</v>
      </c>
      <c r="W797" s="2" t="str">
        <f>IF(Spotify[[#This Row],[Popularité]]&gt;=70,"FORTE","FAIBLE")</f>
        <v>FORTE</v>
      </c>
    </row>
    <row r="798" spans="1:23" x14ac:dyDescent="0.25">
      <c r="A798">
        <v>1382</v>
      </c>
      <c r="B798">
        <v>56</v>
      </c>
      <c r="C798">
        <v>1</v>
      </c>
      <c r="D798" s="1">
        <v>43882</v>
      </c>
      <c r="E798" s="59" t="str" cm="1">
        <f t="array" ref="E79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98" t="s">
        <v>2213</v>
      </c>
      <c r="G798" s="3">
        <v>9991177</v>
      </c>
      <c r="H798" t="s">
        <v>32</v>
      </c>
      <c r="I798" s="4">
        <v>37151476</v>
      </c>
      <c r="J798" t="s">
        <v>33</v>
      </c>
      <c r="K798" s="1">
        <v>43882</v>
      </c>
      <c r="L798">
        <v>72</v>
      </c>
      <c r="M798" s="2" t="str">
        <f>IF(Spotify[[#This Row],[Energie]]&gt;AVERAGE(Spotify[Energie]),"FORTE","FAIBLE")</f>
        <v>FORTE</v>
      </c>
      <c r="N798" s="2">
        <v>0.72</v>
      </c>
      <c r="O798" s="2">
        <v>0.82399999999999995</v>
      </c>
      <c r="P798" s="2">
        <v>0.128</v>
      </c>
      <c r="Q798" s="2">
        <v>3.9399999999999998E-2</v>
      </c>
      <c r="R798" s="2">
        <v>5.0900000000000001E-2</v>
      </c>
      <c r="S798" s="2">
        <v>0.33300000000000002</v>
      </c>
      <c r="T798" s="2">
        <v>-5.0860000000000003</v>
      </c>
      <c r="U798">
        <v>225012</v>
      </c>
      <c r="V798">
        <f>YEAR(Spotify[[#This Row],[Date de sortie]])</f>
        <v>2020</v>
      </c>
      <c r="W798" s="2" t="str">
        <f>IF(Spotify[[#This Row],[Popularité]]&gt;=70,"FORTE","FAIBLE")</f>
        <v>FORTE</v>
      </c>
    </row>
    <row r="799" spans="1:23" x14ac:dyDescent="0.25">
      <c r="A799">
        <v>1383</v>
      </c>
      <c r="B799">
        <v>67</v>
      </c>
      <c r="C799">
        <v>1</v>
      </c>
      <c r="D799" s="1">
        <v>43882</v>
      </c>
      <c r="E799" s="59" t="str" cm="1">
        <f t="array" ref="E79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799" t="s">
        <v>2214</v>
      </c>
      <c r="G799" s="3">
        <v>9372219</v>
      </c>
      <c r="H799" t="s">
        <v>32</v>
      </c>
      <c r="I799" s="4">
        <v>37151476</v>
      </c>
      <c r="J799" t="s">
        <v>33</v>
      </c>
      <c r="K799" s="1">
        <v>43882</v>
      </c>
      <c r="L799">
        <v>72</v>
      </c>
      <c r="M799" s="2" t="str">
        <f>IF(Spotify[[#This Row],[Energie]]&gt;AVERAGE(Spotify[Energie]),"FORTE","FAIBLE")</f>
        <v>FAIBLE</v>
      </c>
      <c r="N799" s="2">
        <v>0.56599999999999995</v>
      </c>
      <c r="O799" s="2">
        <v>0.54800000000000004</v>
      </c>
      <c r="P799" s="2">
        <v>5.79E-2</v>
      </c>
      <c r="Q799" s="2">
        <v>8.0199999999999994E-2</v>
      </c>
      <c r="R799" s="2">
        <v>0.11</v>
      </c>
      <c r="S799" s="2">
        <v>0.19600000000000001</v>
      </c>
      <c r="T799" s="2">
        <v>-6.4560000000000004</v>
      </c>
      <c r="U799">
        <v>250296</v>
      </c>
      <c r="V799">
        <f>YEAR(Spotify[[#This Row],[Date de sortie]])</f>
        <v>2020</v>
      </c>
      <c r="W799" s="2" t="str">
        <f>IF(Spotify[[#This Row],[Popularité]]&gt;=70,"FORTE","FAIBLE")</f>
        <v>FORTE</v>
      </c>
    </row>
    <row r="800" spans="1:23" x14ac:dyDescent="0.25">
      <c r="A800">
        <v>1384</v>
      </c>
      <c r="B800">
        <v>74</v>
      </c>
      <c r="C800">
        <v>1</v>
      </c>
      <c r="D800" s="1">
        <v>43882</v>
      </c>
      <c r="E800" s="59" t="str" cm="1">
        <f t="array" ref="E80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00" t="s">
        <v>2215</v>
      </c>
      <c r="G800" s="3">
        <v>8822365</v>
      </c>
      <c r="H800" t="s">
        <v>32</v>
      </c>
      <c r="I800" s="4">
        <v>37151476</v>
      </c>
      <c r="J800" t="s">
        <v>33</v>
      </c>
      <c r="K800" s="1">
        <v>43882</v>
      </c>
      <c r="L800">
        <v>72</v>
      </c>
      <c r="M800" s="2" t="str">
        <f>IF(Spotify[[#This Row],[Energie]]&gt;AVERAGE(Spotify[Energie]),"FORTE","FAIBLE")</f>
        <v>FORTE</v>
      </c>
      <c r="N800" s="2">
        <v>0.55000000000000004</v>
      </c>
      <c r="O800" s="2">
        <v>0.747</v>
      </c>
      <c r="P800" s="2">
        <v>4.07E-2</v>
      </c>
      <c r="Q800" s="2">
        <v>6.6799999999999998E-2</v>
      </c>
      <c r="R800" s="2">
        <v>5.3600000000000002E-2</v>
      </c>
      <c r="S800" s="2">
        <v>0.64800000000000002</v>
      </c>
      <c r="T800" s="2">
        <v>-5.2110000000000003</v>
      </c>
      <c r="U800">
        <v>199339</v>
      </c>
      <c r="V800">
        <f>YEAR(Spotify[[#This Row],[Date de sortie]])</f>
        <v>2020</v>
      </c>
      <c r="W800" s="2" t="str">
        <f>IF(Spotify[[#This Row],[Popularité]]&gt;=70,"FORTE","FAIBLE")</f>
        <v>FORTE</v>
      </c>
    </row>
    <row r="801" spans="1:23" x14ac:dyDescent="0.25">
      <c r="A801">
        <v>1385</v>
      </c>
      <c r="B801">
        <v>75</v>
      </c>
      <c r="C801">
        <v>1</v>
      </c>
      <c r="D801" s="1">
        <v>43882</v>
      </c>
      <c r="E801" s="59" t="str" cm="1">
        <f t="array" ref="E80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01" t="s">
        <v>2216</v>
      </c>
      <c r="G801" s="3">
        <v>8516710</v>
      </c>
      <c r="H801" t="s">
        <v>32</v>
      </c>
      <c r="I801" s="4">
        <v>37151476</v>
      </c>
      <c r="J801" t="s">
        <v>33</v>
      </c>
      <c r="K801" s="1">
        <v>43882</v>
      </c>
      <c r="L801">
        <v>72</v>
      </c>
      <c r="M801" s="2" t="str">
        <f>IF(Spotify[[#This Row],[Energie]]&gt;AVERAGE(Spotify[Energie]),"FORTE","FAIBLE")</f>
        <v>FAIBLE</v>
      </c>
      <c r="N801" s="2">
        <v>0.52600000000000002</v>
      </c>
      <c r="O801" s="2">
        <v>0.57499999999999996</v>
      </c>
      <c r="P801" s="2">
        <v>3.09E-2</v>
      </c>
      <c r="Q801" s="2">
        <v>0.22500000000000001</v>
      </c>
      <c r="R801" s="2">
        <v>0.108</v>
      </c>
      <c r="S801" s="2">
        <v>0.19</v>
      </c>
      <c r="T801" s="2">
        <v>-5.2149999999999999</v>
      </c>
      <c r="U801">
        <v>261543</v>
      </c>
      <c r="V801">
        <f>YEAR(Spotify[[#This Row],[Date de sortie]])</f>
        <v>2020</v>
      </c>
      <c r="W801" s="2" t="str">
        <f>IF(Spotify[[#This Row],[Popularité]]&gt;=70,"FORTE","FAIBLE")</f>
        <v>FORTE</v>
      </c>
    </row>
    <row r="802" spans="1:23" x14ac:dyDescent="0.25">
      <c r="A802">
        <v>1387</v>
      </c>
      <c r="B802">
        <v>84</v>
      </c>
      <c r="C802">
        <v>1</v>
      </c>
      <c r="D802" s="1">
        <v>43882</v>
      </c>
      <c r="E802" s="59" t="str" cm="1">
        <f t="array" ref="E80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02" t="s">
        <v>2218</v>
      </c>
      <c r="G802" s="3">
        <v>7850129</v>
      </c>
      <c r="H802" t="s">
        <v>32</v>
      </c>
      <c r="I802" s="4">
        <v>37151476</v>
      </c>
      <c r="J802" t="s">
        <v>33</v>
      </c>
      <c r="K802" s="1">
        <v>43882</v>
      </c>
      <c r="L802">
        <v>72</v>
      </c>
      <c r="M802" s="2" t="str">
        <f>IF(Spotify[[#This Row],[Energie]]&gt;AVERAGE(Spotify[Energie]),"FORTE","FAIBLE")</f>
        <v>FORTE</v>
      </c>
      <c r="N802" s="2">
        <v>0.70299999999999996</v>
      </c>
      <c r="O802" s="2">
        <v>0.64600000000000002</v>
      </c>
      <c r="P802" s="2">
        <v>5.96E-2</v>
      </c>
      <c r="Q802" s="2">
        <v>1.04E-2</v>
      </c>
      <c r="R802" s="2">
        <v>0.191</v>
      </c>
      <c r="S802" s="2">
        <v>0.64</v>
      </c>
      <c r="T802" s="2">
        <v>-6.6580000000000004</v>
      </c>
      <c r="U802">
        <v>208590</v>
      </c>
      <c r="V802">
        <f>YEAR(Spotify[[#This Row],[Date de sortie]])</f>
        <v>2020</v>
      </c>
      <c r="W802" s="2" t="str">
        <f>IF(Spotify[[#This Row],[Popularité]]&gt;=70,"FORTE","FAIBLE")</f>
        <v>FORTE</v>
      </c>
    </row>
    <row r="803" spans="1:23" x14ac:dyDescent="0.25">
      <c r="A803">
        <v>433</v>
      </c>
      <c r="B803">
        <v>84</v>
      </c>
      <c r="C803">
        <v>1</v>
      </c>
      <c r="D803" s="1">
        <v>44295</v>
      </c>
      <c r="E803" s="59" t="str" cm="1">
        <f t="array" ref="E80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03" t="s">
        <v>800</v>
      </c>
      <c r="G803" s="3">
        <v>7736262</v>
      </c>
      <c r="H803" t="s">
        <v>746</v>
      </c>
      <c r="I803" s="4">
        <v>42227614</v>
      </c>
      <c r="J803" t="s">
        <v>10</v>
      </c>
      <c r="K803" s="1">
        <v>44295</v>
      </c>
      <c r="L803">
        <v>72</v>
      </c>
      <c r="M803" s="2" t="str">
        <f>IF(Spotify[[#This Row],[Energie]]&gt;AVERAGE(Spotify[Energie]),"FORTE","FAIBLE")</f>
        <v>FORTE</v>
      </c>
      <c r="N803" s="2">
        <v>0.40200000000000002</v>
      </c>
      <c r="O803" s="2">
        <v>0.73199999999999998</v>
      </c>
      <c r="P803" s="2">
        <v>4.8399999999999999E-2</v>
      </c>
      <c r="Q803" s="2">
        <v>3.3E-3</v>
      </c>
      <c r="R803" s="2">
        <v>0.108</v>
      </c>
      <c r="S803" s="2">
        <v>0.47199999999999998</v>
      </c>
      <c r="T803" s="2">
        <v>-4.665</v>
      </c>
      <c r="U803">
        <v>243137</v>
      </c>
      <c r="V803">
        <f>YEAR(Spotify[[#This Row],[Date de sortie]])</f>
        <v>2021</v>
      </c>
      <c r="W803" s="2" t="str">
        <f>IF(Spotify[[#This Row],[Popularité]]&gt;=70,"FORTE","FAIBLE")</f>
        <v>FORTE</v>
      </c>
    </row>
    <row r="804" spans="1:23" x14ac:dyDescent="0.25">
      <c r="A804">
        <v>518</v>
      </c>
      <c r="B804">
        <v>74</v>
      </c>
      <c r="C804">
        <v>1</v>
      </c>
      <c r="D804" s="1">
        <v>44253</v>
      </c>
      <c r="E804" s="59" t="str" cm="1">
        <f t="array" ref="E80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804" t="s">
        <v>942</v>
      </c>
      <c r="G804" s="3">
        <v>7464020</v>
      </c>
      <c r="H804" t="s">
        <v>59</v>
      </c>
      <c r="I804" s="4">
        <v>33663701</v>
      </c>
      <c r="J804" t="s">
        <v>60</v>
      </c>
      <c r="K804" s="1">
        <v>44252</v>
      </c>
      <c r="L804">
        <v>72</v>
      </c>
      <c r="M804" s="2" t="str">
        <f>IF(Spotify[[#This Row],[Energie]]&gt;AVERAGE(Spotify[Energie]),"FORTE","FAIBLE")</f>
        <v>FORTE</v>
      </c>
      <c r="N804" s="2">
        <v>0.47</v>
      </c>
      <c r="O804" s="2">
        <v>0.70899999999999996</v>
      </c>
      <c r="P804" s="2">
        <v>2.9899999999999999E-2</v>
      </c>
      <c r="Q804" s="2">
        <v>1.24E-3</v>
      </c>
      <c r="R804" s="2">
        <v>0.30199999999999999</v>
      </c>
      <c r="S804" s="2">
        <v>0.247</v>
      </c>
      <c r="T804" s="2">
        <v>-4.5629999999999997</v>
      </c>
      <c r="U804">
        <v>241360</v>
      </c>
      <c r="V804">
        <f>YEAR(Spotify[[#This Row],[Date de sortie]])</f>
        <v>2021</v>
      </c>
      <c r="W804" s="2" t="str">
        <f>IF(Spotify[[#This Row],[Popularité]]&gt;=70,"FORTE","FAIBLE")</f>
        <v>FORTE</v>
      </c>
    </row>
    <row r="805" spans="1:23" x14ac:dyDescent="0.25">
      <c r="A805">
        <v>342</v>
      </c>
      <c r="B805">
        <v>106</v>
      </c>
      <c r="C805">
        <v>1</v>
      </c>
      <c r="D805" s="1">
        <v>44337</v>
      </c>
      <c r="E805" s="59" t="str" cm="1">
        <f t="array" ref="E80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05" t="s">
        <v>647</v>
      </c>
      <c r="G805" s="3">
        <v>6935400</v>
      </c>
      <c r="H805" t="s">
        <v>648</v>
      </c>
      <c r="I805" s="4">
        <v>75496</v>
      </c>
      <c r="J805" t="s">
        <v>649</v>
      </c>
      <c r="K805" s="1">
        <v>44141</v>
      </c>
      <c r="L805">
        <v>72</v>
      </c>
      <c r="M805" s="2" t="str">
        <f>IF(Spotify[[#This Row],[Energie]]&gt;AVERAGE(Spotify[Energie]),"FORTE","FAIBLE")</f>
        <v>FAIBLE</v>
      </c>
      <c r="N805" s="2">
        <v>0.44700000000000001</v>
      </c>
      <c r="O805" s="2">
        <v>0.33700000000000002</v>
      </c>
      <c r="P805" s="2">
        <v>6.3100000000000003E-2</v>
      </c>
      <c r="Q805" s="2">
        <v>0.77300000000000002</v>
      </c>
      <c r="R805" s="2">
        <v>0.29799999999999999</v>
      </c>
      <c r="S805" s="2">
        <v>0.60299999999999998</v>
      </c>
      <c r="T805" s="2">
        <v>-8.6649999999999991</v>
      </c>
      <c r="U805">
        <v>176816</v>
      </c>
      <c r="V805">
        <f>YEAR(Spotify[[#This Row],[Date de sortie]])</f>
        <v>2020</v>
      </c>
      <c r="W805" s="2" t="str">
        <f>IF(Spotify[[#This Row],[Popularité]]&gt;=70,"FORTE","FAIBLE")</f>
        <v>FORTE</v>
      </c>
    </row>
    <row r="806" spans="1:23" x14ac:dyDescent="0.25">
      <c r="A806">
        <v>867</v>
      </c>
      <c r="B806">
        <v>99</v>
      </c>
      <c r="C806">
        <v>2</v>
      </c>
      <c r="D806" s="1">
        <v>44099</v>
      </c>
      <c r="E806" s="59" t="str" cm="1">
        <f t="array" ref="E80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06" t="s">
        <v>1489</v>
      </c>
      <c r="G806" s="3">
        <v>6819838</v>
      </c>
      <c r="H806" t="s">
        <v>1490</v>
      </c>
      <c r="I806" s="4">
        <v>4759367</v>
      </c>
      <c r="J806" t="s">
        <v>761</v>
      </c>
      <c r="K806" s="1">
        <v>44049</v>
      </c>
      <c r="L806">
        <v>72</v>
      </c>
      <c r="M806" s="2" t="str">
        <f>IF(Spotify[[#This Row],[Energie]]&gt;AVERAGE(Spotify[Energie]),"FORTE","FAIBLE")</f>
        <v>FORTE</v>
      </c>
      <c r="N806" s="2">
        <v>0.52800000000000002</v>
      </c>
      <c r="O806" s="2">
        <v>0.749</v>
      </c>
      <c r="P806" s="2">
        <v>4.7899999999999998E-2</v>
      </c>
      <c r="Q806" s="2">
        <v>4.8799999999999998E-3</v>
      </c>
      <c r="R806" s="2">
        <v>9.4899999999999998E-2</v>
      </c>
      <c r="S806" s="2">
        <v>0.72899999999999998</v>
      </c>
      <c r="T806" s="2">
        <v>-7.5709999999999997</v>
      </c>
      <c r="U806">
        <v>163906</v>
      </c>
      <c r="V806">
        <f>YEAR(Spotify[[#This Row],[Date de sortie]])</f>
        <v>2020</v>
      </c>
      <c r="W806" s="2" t="str">
        <f>IF(Spotify[[#This Row],[Popularité]]&gt;=70,"FORTE","FAIBLE")</f>
        <v>FORTE</v>
      </c>
    </row>
    <row r="807" spans="1:23" x14ac:dyDescent="0.25">
      <c r="A807">
        <v>107</v>
      </c>
      <c r="B807">
        <v>3</v>
      </c>
      <c r="C807">
        <v>83</v>
      </c>
      <c r="D807" s="1">
        <v>44001</v>
      </c>
      <c r="E807" s="59" t="str" cm="1">
        <f t="array" ref="E80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807" t="s">
        <v>233</v>
      </c>
      <c r="G807" s="3">
        <v>6653690</v>
      </c>
      <c r="H807" t="s">
        <v>234</v>
      </c>
      <c r="I807" s="4">
        <v>742692</v>
      </c>
      <c r="J807" t="s">
        <v>235</v>
      </c>
      <c r="K807" s="1">
        <v>44155</v>
      </c>
      <c r="L807">
        <v>72</v>
      </c>
      <c r="M807" s="2" t="str">
        <f>IF(Spotify[[#This Row],[Energie]]&gt;AVERAGE(Spotify[Energie]),"FORTE","FAIBLE")</f>
        <v>FORTE</v>
      </c>
      <c r="N807" s="2">
        <v>0.76900000000000002</v>
      </c>
      <c r="O807" s="2">
        <v>0.71899999999999997</v>
      </c>
      <c r="P807" s="2">
        <v>4.7399999999999998E-2</v>
      </c>
      <c r="Q807" s="2">
        <v>1.43E-2</v>
      </c>
      <c r="R807" s="2">
        <v>0.35899999999999999</v>
      </c>
      <c r="S807" s="2">
        <v>0.86299999999999999</v>
      </c>
      <c r="T807" s="2">
        <v>-5.4720000000000004</v>
      </c>
      <c r="U807">
        <v>176867</v>
      </c>
      <c r="V807">
        <f>YEAR(Spotify[[#This Row],[Date de sortie]])</f>
        <v>2020</v>
      </c>
      <c r="W807" s="2" t="str">
        <f>IF(Spotify[[#This Row],[Popularité]]&gt;=70,"FORTE","FAIBLE")</f>
        <v>FORTE</v>
      </c>
    </row>
    <row r="808" spans="1:23" x14ac:dyDescent="0.25">
      <c r="A808">
        <v>347</v>
      </c>
      <c r="B808">
        <v>134</v>
      </c>
      <c r="C808">
        <v>1</v>
      </c>
      <c r="D808" s="1">
        <v>44337</v>
      </c>
      <c r="E808" s="59" t="str" cm="1">
        <f t="array" ref="E80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08" t="s">
        <v>656</v>
      </c>
      <c r="G808" s="3">
        <v>6277641</v>
      </c>
      <c r="H808" t="s">
        <v>657</v>
      </c>
      <c r="I808" s="4">
        <v>121225</v>
      </c>
      <c r="J808" t="s">
        <v>649</v>
      </c>
      <c r="K808" s="1">
        <v>44217</v>
      </c>
      <c r="L808">
        <v>72</v>
      </c>
      <c r="M808" s="2" t="str">
        <f>IF(Spotify[[#This Row],[Energie]]&gt;AVERAGE(Spotify[Energie]),"FORTE","FAIBLE")</f>
        <v>FORTE</v>
      </c>
      <c r="N808" s="2">
        <v>0.57099999999999995</v>
      </c>
      <c r="O808" s="2">
        <v>0.95499999999999996</v>
      </c>
      <c r="P808" s="2">
        <v>0.105</v>
      </c>
      <c r="Q808" s="2">
        <v>2.5400000000000002E-3</v>
      </c>
      <c r="R808" s="2">
        <v>0.27400000000000002</v>
      </c>
      <c r="S808" s="2">
        <v>0.437</v>
      </c>
      <c r="T808" s="2">
        <v>-3.7949999999999999</v>
      </c>
      <c r="U808">
        <v>177790</v>
      </c>
      <c r="V808">
        <f>YEAR(Spotify[[#This Row],[Date de sortie]])</f>
        <v>2021</v>
      </c>
      <c r="W808" s="2" t="str">
        <f>IF(Spotify[[#This Row],[Popularité]]&gt;=70,"FORTE","FAIBLE")</f>
        <v>FORTE</v>
      </c>
    </row>
    <row r="809" spans="1:23" x14ac:dyDescent="0.25">
      <c r="A809">
        <v>1007</v>
      </c>
      <c r="B809">
        <v>43</v>
      </c>
      <c r="C809">
        <v>2</v>
      </c>
      <c r="D809" s="1">
        <v>44022</v>
      </c>
      <c r="E809" s="59" t="str" cm="1">
        <f t="array" ref="E80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809" t="s">
        <v>1697</v>
      </c>
      <c r="G809" s="3">
        <v>6229316</v>
      </c>
      <c r="H809" t="s">
        <v>345</v>
      </c>
      <c r="I809" s="4">
        <v>19102888</v>
      </c>
      <c r="J809" t="s">
        <v>79</v>
      </c>
      <c r="K809" s="1">
        <v>44022</v>
      </c>
      <c r="L809">
        <v>72</v>
      </c>
      <c r="M809" s="2" t="str">
        <f>IF(Spotify[[#This Row],[Energie]]&gt;AVERAGE(Spotify[Energie]),"FORTE","FAIBLE")</f>
        <v>FORTE</v>
      </c>
      <c r="N809" s="2">
        <v>0.66100000000000003</v>
      </c>
      <c r="O809" s="2">
        <v>0.66500000000000004</v>
      </c>
      <c r="P809" s="2">
        <v>5.2999999999999999E-2</v>
      </c>
      <c r="Q809" s="2">
        <v>0.53800000000000003</v>
      </c>
      <c r="R809" s="2">
        <v>9.8100000000000007E-2</v>
      </c>
      <c r="S809" s="2">
        <v>0.48599999999999999</v>
      </c>
      <c r="T809" s="2">
        <v>-6.3559999999999999</v>
      </c>
      <c r="U809">
        <v>147548</v>
      </c>
      <c r="V809">
        <f>YEAR(Spotify[[#This Row],[Date de sortie]])</f>
        <v>2020</v>
      </c>
      <c r="W809" s="2" t="str">
        <f>IF(Spotify[[#This Row],[Popularité]]&gt;=70,"FORTE","FAIBLE")</f>
        <v>FORTE</v>
      </c>
    </row>
    <row r="810" spans="1:23" x14ac:dyDescent="0.25">
      <c r="A810">
        <v>439</v>
      </c>
      <c r="B810">
        <v>139</v>
      </c>
      <c r="C810">
        <v>1</v>
      </c>
      <c r="D810" s="1">
        <v>44295</v>
      </c>
      <c r="E810" s="59" t="str" cm="1">
        <f t="array" ref="E81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810" t="s">
        <v>806</v>
      </c>
      <c r="G810" s="3">
        <v>5988511</v>
      </c>
      <c r="H810" t="s">
        <v>797</v>
      </c>
      <c r="I810" s="4">
        <v>2815928</v>
      </c>
      <c r="J810" t="s">
        <v>798</v>
      </c>
      <c r="K810" s="1">
        <v>35916</v>
      </c>
      <c r="L810">
        <v>72</v>
      </c>
      <c r="M810" s="2" t="str">
        <f>IF(Spotify[[#This Row],[Energie]]&gt;AVERAGE(Spotify[Energie]),"FORTE","FAIBLE")</f>
        <v>FAIBLE</v>
      </c>
      <c r="N810" s="2">
        <v>0.88</v>
      </c>
      <c r="O810" s="2">
        <v>0.57699999999999996</v>
      </c>
      <c r="P810" s="2">
        <v>0.30199999999999999</v>
      </c>
      <c r="Q810" s="2">
        <v>5.6399999999999999E-2</v>
      </c>
      <c r="R810" s="2">
        <v>0.20100000000000001</v>
      </c>
      <c r="S810" s="2">
        <v>0.74</v>
      </c>
      <c r="T810" s="2">
        <v>-8.093</v>
      </c>
      <c r="U810">
        <v>214440</v>
      </c>
      <c r="V810">
        <f>YEAR(Spotify[[#This Row],[Date de sortie]])</f>
        <v>1998</v>
      </c>
      <c r="W810" s="2" t="str">
        <f>IF(Spotify[[#This Row],[Popularité]]&gt;=70,"FORTE","FAIBLE")</f>
        <v>FORTE</v>
      </c>
    </row>
    <row r="811" spans="1:23" x14ac:dyDescent="0.25">
      <c r="A811">
        <v>406</v>
      </c>
      <c r="B811">
        <v>9</v>
      </c>
      <c r="C811">
        <v>6</v>
      </c>
      <c r="D811" s="1">
        <v>44274</v>
      </c>
      <c r="E811" s="59" t="str" cm="1">
        <f t="array" ref="E81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11" t="s">
        <v>758</v>
      </c>
      <c r="G811" s="3">
        <v>5896065</v>
      </c>
      <c r="H811" t="s">
        <v>35</v>
      </c>
      <c r="I811" s="4">
        <v>48544923</v>
      </c>
      <c r="J811" t="s">
        <v>36</v>
      </c>
      <c r="K811" s="1">
        <v>44274</v>
      </c>
      <c r="L811">
        <v>72</v>
      </c>
      <c r="M811" s="2" t="str">
        <f>IF(Spotify[[#This Row],[Energie]]&gt;AVERAGE(Spotify[Energie]),"FORTE","FAIBLE")</f>
        <v>FAIBLE</v>
      </c>
      <c r="N811" s="2">
        <v>0.59499999999999997</v>
      </c>
      <c r="O811" s="2">
        <v>0.54300000000000004</v>
      </c>
      <c r="P811" s="2">
        <v>3.7999999999999999E-2</v>
      </c>
      <c r="Q811" s="2">
        <v>0.127</v>
      </c>
      <c r="R811" s="2">
        <v>9.7500000000000003E-2</v>
      </c>
      <c r="S811" s="2">
        <v>0.109</v>
      </c>
      <c r="T811" s="2">
        <v>-8.1489999999999991</v>
      </c>
      <c r="U811">
        <v>174406</v>
      </c>
      <c r="V811">
        <f>YEAR(Spotify[[#This Row],[Date de sortie]])</f>
        <v>2021</v>
      </c>
      <c r="W811" s="2" t="str">
        <f>IF(Spotify[[#This Row],[Popularité]]&gt;=70,"FORTE","FAIBLE")</f>
        <v>FORTE</v>
      </c>
    </row>
    <row r="812" spans="1:23" x14ac:dyDescent="0.25">
      <c r="A812">
        <v>595</v>
      </c>
      <c r="B812">
        <v>67</v>
      </c>
      <c r="C812">
        <v>13</v>
      </c>
      <c r="D812" s="1">
        <v>44148</v>
      </c>
      <c r="E812" s="59" t="str" cm="1">
        <f t="array" ref="E81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12" t="s">
        <v>1062</v>
      </c>
      <c r="G812" s="3">
        <v>5622565</v>
      </c>
      <c r="H812" t="s">
        <v>1063</v>
      </c>
      <c r="I812" s="4">
        <v>411262</v>
      </c>
      <c r="J812" t="s">
        <v>158</v>
      </c>
      <c r="K812" s="1">
        <v>43987</v>
      </c>
      <c r="L812">
        <v>72</v>
      </c>
      <c r="M812" s="2" t="str">
        <f>IF(Spotify[[#This Row],[Energie]]&gt;AVERAGE(Spotify[Energie]),"FORTE","FAIBLE")</f>
        <v>FAIBLE</v>
      </c>
      <c r="N812" s="2">
        <v>0.86799999999999999</v>
      </c>
      <c r="O812" s="2">
        <v>0.47899999999999998</v>
      </c>
      <c r="P812" s="2">
        <v>0.44500000000000001</v>
      </c>
      <c r="Q812" s="2">
        <v>0.70299999999999996</v>
      </c>
      <c r="R812" s="2">
        <v>0.10199999999999999</v>
      </c>
      <c r="S812" s="2">
        <v>0.77600000000000002</v>
      </c>
      <c r="T812" s="2">
        <v>-6.6870000000000003</v>
      </c>
      <c r="U812">
        <v>115200</v>
      </c>
      <c r="V812">
        <f>YEAR(Spotify[[#This Row],[Date de sortie]])</f>
        <v>2020</v>
      </c>
      <c r="W812" s="2" t="str">
        <f>IF(Spotify[[#This Row],[Popularité]]&gt;=70,"FORTE","FAIBLE")</f>
        <v>FORTE</v>
      </c>
    </row>
    <row r="813" spans="1:23" x14ac:dyDescent="0.25">
      <c r="A813">
        <v>1364</v>
      </c>
      <c r="B813">
        <v>139</v>
      </c>
      <c r="C813">
        <v>9</v>
      </c>
      <c r="D813" s="1">
        <v>43840</v>
      </c>
      <c r="E813" s="59" t="str" cm="1">
        <f t="array" ref="E81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13" t="s">
        <v>2186</v>
      </c>
      <c r="G813" s="3">
        <v>5490386</v>
      </c>
      <c r="H813" t="s">
        <v>2187</v>
      </c>
      <c r="I813" s="4">
        <v>6671084</v>
      </c>
      <c r="J813" t="s">
        <v>25</v>
      </c>
      <c r="K813" s="1">
        <v>43819</v>
      </c>
      <c r="L813">
        <v>72</v>
      </c>
      <c r="M813" s="2" t="str">
        <f>IF(Spotify[[#This Row],[Energie]]&gt;AVERAGE(Spotify[Energie]),"FORTE","FAIBLE")</f>
        <v>FORTE</v>
      </c>
      <c r="N813" s="2">
        <v>0.71299999999999997</v>
      </c>
      <c r="O813" s="2">
        <v>0.79800000000000004</v>
      </c>
      <c r="P813" s="2">
        <v>0.219</v>
      </c>
      <c r="Q813" s="2">
        <v>0.36599999999999999</v>
      </c>
      <c r="R813" s="2">
        <v>0.246</v>
      </c>
      <c r="S813" s="2">
        <v>0.72099999999999997</v>
      </c>
      <c r="T813" s="2">
        <v>-3.1469999999999998</v>
      </c>
      <c r="U813">
        <v>221103</v>
      </c>
      <c r="V813">
        <f>YEAR(Spotify[[#This Row],[Date de sortie]])</f>
        <v>2019</v>
      </c>
      <c r="W813" s="2" t="str">
        <f>IF(Spotify[[#This Row],[Popularité]]&gt;=70,"FORTE","FAIBLE")</f>
        <v>FORTE</v>
      </c>
    </row>
    <row r="814" spans="1:23" x14ac:dyDescent="0.25">
      <c r="A814">
        <v>305</v>
      </c>
      <c r="B814">
        <v>166</v>
      </c>
      <c r="C814">
        <v>1</v>
      </c>
      <c r="D814" s="1">
        <v>44358</v>
      </c>
      <c r="E814" s="59" t="str" cm="1">
        <f t="array" ref="E81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814" t="s">
        <v>593</v>
      </c>
      <c r="G814" s="3">
        <v>5456648</v>
      </c>
      <c r="H814" t="s">
        <v>530</v>
      </c>
      <c r="I814" s="4">
        <v>11690201</v>
      </c>
      <c r="J814" t="s">
        <v>531</v>
      </c>
      <c r="K814" s="1">
        <v>44358</v>
      </c>
      <c r="L814">
        <v>72</v>
      </c>
      <c r="M814" s="2" t="str">
        <f>IF(Spotify[[#This Row],[Energie]]&gt;AVERAGE(Spotify[Energie]),"FORTE","FAIBLE")</f>
        <v>FORTE</v>
      </c>
      <c r="N814" s="2">
        <v>0.83099999999999996</v>
      </c>
      <c r="O814" s="2">
        <v>0.71899999999999997</v>
      </c>
      <c r="P814" s="2">
        <v>0.23499999999999999</v>
      </c>
      <c r="Q814" s="2">
        <v>0.51400000000000001</v>
      </c>
      <c r="R814" s="2">
        <v>6.7500000000000004E-2</v>
      </c>
      <c r="S814" s="2">
        <v>0.85899999999999999</v>
      </c>
      <c r="T814" s="2">
        <v>-6.8360000000000003</v>
      </c>
      <c r="U814">
        <v>248652</v>
      </c>
      <c r="V814">
        <f>YEAR(Spotify[[#This Row],[Date de sortie]])</f>
        <v>2021</v>
      </c>
      <c r="W814" s="2" t="str">
        <f>IF(Spotify[[#This Row],[Popularité]]&gt;=70,"FORTE","FAIBLE")</f>
        <v>FORTE</v>
      </c>
    </row>
    <row r="815" spans="1:23" x14ac:dyDescent="0.25">
      <c r="A815">
        <v>1365</v>
      </c>
      <c r="B815">
        <v>60</v>
      </c>
      <c r="C815">
        <v>10</v>
      </c>
      <c r="D815" s="1">
        <v>43826</v>
      </c>
      <c r="E815" s="59" t="str" cm="1">
        <f t="array" ref="E81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15" t="s">
        <v>2188</v>
      </c>
      <c r="G815" s="3">
        <v>5436773</v>
      </c>
      <c r="H815" t="s">
        <v>701</v>
      </c>
      <c r="I815" s="4">
        <v>23936368</v>
      </c>
      <c r="J815" t="s">
        <v>25</v>
      </c>
      <c r="K815" s="1">
        <v>43756</v>
      </c>
      <c r="L815">
        <v>72</v>
      </c>
      <c r="M815" s="2" t="str">
        <f>IF(Spotify[[#This Row],[Energie]]&gt;AVERAGE(Spotify[Energie]),"FORTE","FAIBLE")</f>
        <v>FORTE</v>
      </c>
      <c r="N815" s="2">
        <v>0.65800000000000003</v>
      </c>
      <c r="O815" s="2">
        <v>0.90100000000000002</v>
      </c>
      <c r="P815" s="2">
        <v>3.5700000000000003E-2</v>
      </c>
      <c r="Q815" s="2">
        <v>4.7800000000000002E-2</v>
      </c>
      <c r="R815" s="2">
        <v>0.12</v>
      </c>
      <c r="S815" s="2">
        <v>0.70799999999999996</v>
      </c>
      <c r="T815" s="2">
        <v>-2.8140000000000001</v>
      </c>
      <c r="U815">
        <v>210520</v>
      </c>
      <c r="V815">
        <f>YEAR(Spotify[[#This Row],[Date de sortie]])</f>
        <v>2019</v>
      </c>
      <c r="W815" s="2" t="str">
        <f>IF(Spotify[[#This Row],[Popularité]]&gt;=70,"FORTE","FAIBLE")</f>
        <v>FORTE</v>
      </c>
    </row>
    <row r="816" spans="1:23" x14ac:dyDescent="0.25">
      <c r="A816">
        <v>1347</v>
      </c>
      <c r="B816">
        <v>105</v>
      </c>
      <c r="C816">
        <v>6</v>
      </c>
      <c r="D816" s="1">
        <v>43875</v>
      </c>
      <c r="E816" s="59" t="str" cm="1">
        <f t="array" ref="E81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816" t="s">
        <v>2164</v>
      </c>
      <c r="G816" s="3">
        <v>5434180</v>
      </c>
      <c r="H816" t="s">
        <v>697</v>
      </c>
      <c r="I816" s="4">
        <v>6161098</v>
      </c>
      <c r="J816" t="s">
        <v>306</v>
      </c>
      <c r="K816" s="1">
        <v>43854</v>
      </c>
      <c r="L816">
        <v>72</v>
      </c>
      <c r="M816" s="2" t="str">
        <f>IF(Spotify[[#This Row],[Energie]]&gt;AVERAGE(Spotify[Energie]),"FORTE","FAIBLE")</f>
        <v>FORTE</v>
      </c>
      <c r="N816" s="2">
        <v>0.73299999999999998</v>
      </c>
      <c r="O816" s="2">
        <v>0.70799999999999996</v>
      </c>
      <c r="P816" s="2">
        <v>9.3700000000000006E-2</v>
      </c>
      <c r="Q816" s="2">
        <v>3.2500000000000001E-2</v>
      </c>
      <c r="R816" s="2">
        <v>0.32400000000000001</v>
      </c>
      <c r="S816" s="2">
        <v>0.69399999999999995</v>
      </c>
      <c r="T816" s="2">
        <v>-4.9569999999999999</v>
      </c>
      <c r="U816">
        <v>186427</v>
      </c>
      <c r="V816">
        <f>YEAR(Spotify[[#This Row],[Date de sortie]])</f>
        <v>2020</v>
      </c>
      <c r="W816" s="2" t="str">
        <f>IF(Spotify[[#This Row],[Popularité]]&gt;=70,"FORTE","FAIBLE")</f>
        <v>FORTE</v>
      </c>
    </row>
    <row r="817" spans="1:23" x14ac:dyDescent="0.25">
      <c r="A817">
        <v>508</v>
      </c>
      <c r="B817">
        <v>166</v>
      </c>
      <c r="C817">
        <v>1</v>
      </c>
      <c r="D817" s="1">
        <v>44260</v>
      </c>
      <c r="E817" s="59" t="str" cm="1">
        <f t="array" ref="E81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817" t="s">
        <v>923</v>
      </c>
      <c r="G817" s="3">
        <v>5393459</v>
      </c>
      <c r="H817" t="s">
        <v>345</v>
      </c>
      <c r="I817" s="4">
        <v>19102888</v>
      </c>
      <c r="J817" t="s">
        <v>79</v>
      </c>
      <c r="K817" s="1">
        <v>44260</v>
      </c>
      <c r="L817">
        <v>72</v>
      </c>
      <c r="M817" s="2" t="str">
        <f>IF(Spotify[[#This Row],[Energie]]&gt;AVERAGE(Spotify[Energie]),"FORTE","FAIBLE")</f>
        <v>FAIBLE</v>
      </c>
      <c r="N817" s="2">
        <v>0.53</v>
      </c>
      <c r="O817" s="2">
        <v>0.37</v>
      </c>
      <c r="P817" s="2">
        <v>2.7900000000000001E-2</v>
      </c>
      <c r="Q817" s="2">
        <v>0.80600000000000005</v>
      </c>
      <c r="R817" s="2">
        <v>0.112</v>
      </c>
      <c r="S817" s="2">
        <v>0.70099999999999996</v>
      </c>
      <c r="T817" s="2">
        <v>-9.9890000000000008</v>
      </c>
      <c r="U817">
        <v>206734</v>
      </c>
      <c r="V817">
        <f>YEAR(Spotify[[#This Row],[Date de sortie]])</f>
        <v>2021</v>
      </c>
      <c r="W817" s="2" t="str">
        <f>IF(Spotify[[#This Row],[Popularité]]&gt;=70,"FORTE","FAIBLE")</f>
        <v>FORTE</v>
      </c>
    </row>
    <row r="818" spans="1:23" x14ac:dyDescent="0.25">
      <c r="A818">
        <v>727</v>
      </c>
      <c r="B818">
        <v>180</v>
      </c>
      <c r="C818">
        <v>2</v>
      </c>
      <c r="D818" s="1">
        <v>44162</v>
      </c>
      <c r="E818" s="59" t="str" cm="1">
        <f t="array" ref="E81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18" t="s">
        <v>1272</v>
      </c>
      <c r="G818" s="3">
        <v>5364223</v>
      </c>
      <c r="H818" t="s">
        <v>1273</v>
      </c>
      <c r="I818" s="4">
        <v>181236</v>
      </c>
      <c r="J818"/>
      <c r="K818" s="1">
        <v>44169</v>
      </c>
      <c r="L818">
        <v>72</v>
      </c>
      <c r="M818" s="2" t="str">
        <f>IF(Spotify[[#This Row],[Energie]]&gt;AVERAGE(Spotify[Energie]),"FORTE","FAIBLE")</f>
        <v>FORTE</v>
      </c>
      <c r="N818" s="2">
        <v>0.66800000000000004</v>
      </c>
      <c r="O818" s="2">
        <v>0.79800000000000004</v>
      </c>
      <c r="P818" s="2">
        <v>3.3399999999999999E-2</v>
      </c>
      <c r="Q818" s="2">
        <v>3.0500000000000002E-3</v>
      </c>
      <c r="R818" s="2">
        <v>0.27700000000000002</v>
      </c>
      <c r="S818" s="2">
        <v>0.57499999999999996</v>
      </c>
      <c r="T818" s="2">
        <v>-5.7009999999999996</v>
      </c>
      <c r="U818">
        <v>215280</v>
      </c>
      <c r="V818">
        <f>YEAR(Spotify[[#This Row],[Date de sortie]])</f>
        <v>2020</v>
      </c>
      <c r="W818" s="2" t="str">
        <f>IF(Spotify[[#This Row],[Popularité]]&gt;=70,"FORTE","FAIBLE")</f>
        <v>FORTE</v>
      </c>
    </row>
    <row r="819" spans="1:23" x14ac:dyDescent="0.25">
      <c r="A819">
        <v>1051</v>
      </c>
      <c r="B819">
        <v>72</v>
      </c>
      <c r="C819">
        <v>8</v>
      </c>
      <c r="D819" s="1">
        <v>43987</v>
      </c>
      <c r="E819" s="59" t="str" cm="1">
        <f t="array" ref="E81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19" t="s">
        <v>1755</v>
      </c>
      <c r="G819" s="3">
        <v>5280810</v>
      </c>
      <c r="H819" t="s">
        <v>1756</v>
      </c>
      <c r="I819" s="4">
        <v>411262</v>
      </c>
      <c r="J819" t="s">
        <v>158</v>
      </c>
      <c r="K819" s="1">
        <v>43987</v>
      </c>
      <c r="L819">
        <v>72</v>
      </c>
      <c r="M819" s="2" t="str">
        <f>IF(Spotify[[#This Row],[Energie]]&gt;AVERAGE(Spotify[Energie]),"FORTE","FAIBLE")</f>
        <v>FAIBLE</v>
      </c>
      <c r="N819" s="2">
        <v>0.86799999999999999</v>
      </c>
      <c r="O819" s="2">
        <v>0.47899999999999998</v>
      </c>
      <c r="P819" s="2">
        <v>0.44500000000000001</v>
      </c>
      <c r="Q819" s="2">
        <v>0.70299999999999996</v>
      </c>
      <c r="R819" s="2">
        <v>0.10199999999999999</v>
      </c>
      <c r="S819" s="2">
        <v>0.77600000000000002</v>
      </c>
      <c r="T819" s="2">
        <v>-6.6870000000000003</v>
      </c>
      <c r="U819">
        <v>115200</v>
      </c>
      <c r="V819">
        <f>YEAR(Spotify[[#This Row],[Date de sortie]])</f>
        <v>2020</v>
      </c>
      <c r="W819" s="2" t="str">
        <f>IF(Spotify[[#This Row],[Popularité]]&gt;=70,"FORTE","FAIBLE")</f>
        <v>FORTE</v>
      </c>
    </row>
    <row r="820" spans="1:23" x14ac:dyDescent="0.25">
      <c r="A820">
        <v>1368</v>
      </c>
      <c r="B820">
        <v>58</v>
      </c>
      <c r="C820">
        <v>10</v>
      </c>
      <c r="D820" s="1">
        <v>43833</v>
      </c>
      <c r="E820" s="59" t="str" cm="1">
        <f t="array" ref="E82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20" t="s">
        <v>2193</v>
      </c>
      <c r="G820" s="3">
        <v>5273046</v>
      </c>
      <c r="H820" t="s">
        <v>2194</v>
      </c>
      <c r="I820" s="4">
        <v>2317758</v>
      </c>
      <c r="J820" t="s">
        <v>2195</v>
      </c>
      <c r="K820" s="1">
        <v>43812</v>
      </c>
      <c r="L820">
        <v>72</v>
      </c>
      <c r="M820" s="2" t="str">
        <f>IF(Spotify[[#This Row],[Energie]]&gt;AVERAGE(Spotify[Energie]),"FORTE","FAIBLE")</f>
        <v>FORTE</v>
      </c>
      <c r="N820" s="2">
        <v>0.81699999999999995</v>
      </c>
      <c r="O820" s="2">
        <v>0.78100000000000003</v>
      </c>
      <c r="P820" s="2">
        <v>0.112</v>
      </c>
      <c r="Q820" s="2">
        <v>8.3800000000000003E-3</v>
      </c>
      <c r="R820" s="2">
        <v>0.123</v>
      </c>
      <c r="S820" s="2">
        <v>0.35899999999999999</v>
      </c>
      <c r="T820" s="2">
        <v>-4.1779999999999999</v>
      </c>
      <c r="U820">
        <v>216707</v>
      </c>
      <c r="V820">
        <f>YEAR(Spotify[[#This Row],[Date de sortie]])</f>
        <v>2019</v>
      </c>
      <c r="W820" s="2" t="str">
        <f>IF(Spotify[[#This Row],[Popularité]]&gt;=70,"FORTE","FAIBLE")</f>
        <v>FORTE</v>
      </c>
    </row>
    <row r="821" spans="1:23" x14ac:dyDescent="0.25">
      <c r="A821">
        <v>511</v>
      </c>
      <c r="B821">
        <v>175</v>
      </c>
      <c r="C821">
        <v>1</v>
      </c>
      <c r="D821" s="1">
        <v>44260</v>
      </c>
      <c r="E821" s="59" t="str" cm="1">
        <f t="array" ref="E82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821" t="s">
        <v>928</v>
      </c>
      <c r="G821" s="3">
        <v>5208787</v>
      </c>
      <c r="H821" t="s">
        <v>929</v>
      </c>
      <c r="I821" s="4">
        <v>2161609</v>
      </c>
      <c r="J821" t="s">
        <v>930</v>
      </c>
      <c r="K821" s="1">
        <v>44259</v>
      </c>
      <c r="L821">
        <v>72</v>
      </c>
      <c r="M821" s="2" t="str">
        <f>IF(Spotify[[#This Row],[Energie]]&gt;AVERAGE(Spotify[Energie]),"FORTE","FAIBLE")</f>
        <v>FAIBLE</v>
      </c>
      <c r="N821" s="2">
        <v>0.78400000000000003</v>
      </c>
      <c r="O821" s="2">
        <v>0.52900000000000003</v>
      </c>
      <c r="P821" s="2">
        <v>7.4200000000000002E-2</v>
      </c>
      <c r="Q821" s="2">
        <v>0.68300000000000005</v>
      </c>
      <c r="R821" s="2">
        <v>0.11799999999999999</v>
      </c>
      <c r="S821" s="2">
        <v>0.246</v>
      </c>
      <c r="T821" s="2">
        <v>-7.681</v>
      </c>
      <c r="U821">
        <v>187362</v>
      </c>
      <c r="V821">
        <f>YEAR(Spotify[[#This Row],[Date de sortie]])</f>
        <v>2021</v>
      </c>
      <c r="W821" s="2" t="str">
        <f>IF(Spotify[[#This Row],[Popularité]]&gt;=70,"FORTE","FAIBLE")</f>
        <v>FORTE</v>
      </c>
    </row>
    <row r="822" spans="1:23" x14ac:dyDescent="0.25">
      <c r="A822">
        <v>753</v>
      </c>
      <c r="B822">
        <v>36</v>
      </c>
      <c r="C822">
        <v>22</v>
      </c>
      <c r="D822" s="1">
        <v>44050</v>
      </c>
      <c r="E822" s="59" t="str" cm="1">
        <f t="array" ref="E82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22" t="s">
        <v>1309</v>
      </c>
      <c r="G822" s="3">
        <v>5203423</v>
      </c>
      <c r="H822" t="s">
        <v>1310</v>
      </c>
      <c r="I822" s="4">
        <v>2953525</v>
      </c>
      <c r="J822" t="s">
        <v>1311</v>
      </c>
      <c r="K822" s="1">
        <v>43994</v>
      </c>
      <c r="L822">
        <v>72</v>
      </c>
      <c r="M822" s="2" t="str">
        <f>IF(Spotify[[#This Row],[Energie]]&gt;AVERAGE(Spotify[Energie]),"FORTE","FAIBLE")</f>
        <v>FORTE</v>
      </c>
      <c r="N822" s="2">
        <v>0.79100000000000004</v>
      </c>
      <c r="O822" s="2">
        <v>0.68200000000000005</v>
      </c>
      <c r="P822" s="2">
        <v>0.158</v>
      </c>
      <c r="Q822" s="2">
        <v>0.17499999999999999</v>
      </c>
      <c r="R822" s="2">
        <v>9.2600000000000002E-2</v>
      </c>
      <c r="S822" s="2">
        <v>0.67200000000000004</v>
      </c>
      <c r="T822" s="2">
        <v>-7.3280000000000003</v>
      </c>
      <c r="U822">
        <v>166851</v>
      </c>
      <c r="V822">
        <f>YEAR(Spotify[[#This Row],[Date de sortie]])</f>
        <v>2020</v>
      </c>
      <c r="W822" s="2" t="str">
        <f>IF(Spotify[[#This Row],[Popularité]]&gt;=70,"FORTE","FAIBLE")</f>
        <v>FORTE</v>
      </c>
    </row>
    <row r="823" spans="1:23" x14ac:dyDescent="0.25">
      <c r="A823">
        <v>402</v>
      </c>
      <c r="B823">
        <v>33</v>
      </c>
      <c r="C823">
        <v>5</v>
      </c>
      <c r="D823" s="1">
        <v>44288</v>
      </c>
      <c r="E823" s="59" t="str" cm="1">
        <f t="array" ref="E82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23" t="s">
        <v>750</v>
      </c>
      <c r="G823" s="3">
        <v>5200695</v>
      </c>
      <c r="H823" t="s">
        <v>751</v>
      </c>
      <c r="I823" s="4">
        <v>20331923</v>
      </c>
      <c r="J823" t="s">
        <v>19</v>
      </c>
      <c r="K823" s="1">
        <v>44288</v>
      </c>
      <c r="L823">
        <v>72</v>
      </c>
      <c r="M823" s="2" t="str">
        <f>IF(Spotify[[#This Row],[Energie]]&gt;AVERAGE(Spotify[Energie]),"FORTE","FAIBLE")</f>
        <v>FAIBLE</v>
      </c>
      <c r="N823" s="2">
        <v>0.53800000000000003</v>
      </c>
      <c r="O823" s="2">
        <v>0.51200000000000001</v>
      </c>
      <c r="P823" s="2">
        <v>2.6200000000000001E-2</v>
      </c>
      <c r="Q823" s="2">
        <v>0.22</v>
      </c>
      <c r="R823" s="2">
        <v>0.10100000000000001</v>
      </c>
      <c r="S823" s="2">
        <v>0.12</v>
      </c>
      <c r="T823" s="2">
        <v>-4.548</v>
      </c>
      <c r="U823">
        <v>204632</v>
      </c>
      <c r="V823">
        <f>YEAR(Spotify[[#This Row],[Date de sortie]])</f>
        <v>2021</v>
      </c>
      <c r="W823" s="2" t="str">
        <f>IF(Spotify[[#This Row],[Popularité]]&gt;=70,"FORTE","FAIBLE")</f>
        <v>FORTE</v>
      </c>
    </row>
    <row r="824" spans="1:23" x14ac:dyDescent="0.25">
      <c r="A824">
        <v>652</v>
      </c>
      <c r="B824">
        <v>166</v>
      </c>
      <c r="C824">
        <v>11</v>
      </c>
      <c r="D824" s="1">
        <v>44127</v>
      </c>
      <c r="E824" s="59" t="str" cm="1">
        <f t="array" ref="E82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24" t="s">
        <v>1165</v>
      </c>
      <c r="G824" s="3">
        <v>5191001</v>
      </c>
      <c r="H824" t="s">
        <v>1166</v>
      </c>
      <c r="I824" s="4">
        <v>1293055</v>
      </c>
      <c r="J824" t="s">
        <v>334</v>
      </c>
      <c r="K824" s="1">
        <v>43812</v>
      </c>
      <c r="L824">
        <v>72</v>
      </c>
      <c r="M824" s="2" t="str">
        <f>IF(Spotify[[#This Row],[Energie]]&gt;AVERAGE(Spotify[Energie]),"FORTE","FAIBLE")</f>
        <v>FORTE</v>
      </c>
      <c r="N824" s="2">
        <v>0.63200000000000001</v>
      </c>
      <c r="O824" s="2">
        <v>0.95299999999999996</v>
      </c>
      <c r="P824" s="2">
        <v>3.2500000000000001E-2</v>
      </c>
      <c r="Q824" s="2">
        <v>0.317</v>
      </c>
      <c r="R824" s="2">
        <v>0.125</v>
      </c>
      <c r="S824" s="2">
        <v>0.79800000000000004</v>
      </c>
      <c r="T824" s="2">
        <v>-1.2829999999999999</v>
      </c>
      <c r="U824">
        <v>186533</v>
      </c>
      <c r="V824">
        <f>YEAR(Spotify[[#This Row],[Date de sortie]])</f>
        <v>2019</v>
      </c>
      <c r="W824" s="2" t="str">
        <f>IF(Spotify[[#This Row],[Popularité]]&gt;=70,"FORTE","FAIBLE")</f>
        <v>FORTE</v>
      </c>
    </row>
    <row r="825" spans="1:23" x14ac:dyDescent="0.25">
      <c r="A825">
        <v>775</v>
      </c>
      <c r="B825">
        <v>144</v>
      </c>
      <c r="C825">
        <v>4</v>
      </c>
      <c r="D825" s="1">
        <v>44127</v>
      </c>
      <c r="E825" s="59" t="str" cm="1">
        <f t="array" ref="E82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25" t="s">
        <v>1348</v>
      </c>
      <c r="G825" s="3">
        <v>5158896</v>
      </c>
      <c r="H825" t="s">
        <v>1349</v>
      </c>
      <c r="I825" s="4">
        <v>689627</v>
      </c>
      <c r="J825" t="s">
        <v>19</v>
      </c>
      <c r="K825" s="1">
        <v>44089</v>
      </c>
      <c r="L825">
        <v>72</v>
      </c>
      <c r="M825" s="2" t="str">
        <f>IF(Spotify[[#This Row],[Energie]]&gt;AVERAGE(Spotify[Energie]),"FORTE","FAIBLE")</f>
        <v>FAIBLE</v>
      </c>
      <c r="N825" s="2">
        <v>0.746</v>
      </c>
      <c r="O825" s="2">
        <v>0.61099999999999999</v>
      </c>
      <c r="P825" s="2">
        <v>0.10100000000000001</v>
      </c>
      <c r="Q825" s="2">
        <v>0.45400000000000001</v>
      </c>
      <c r="R825" s="2">
        <v>0.13300000000000001</v>
      </c>
      <c r="S825" s="2">
        <v>0.41099999999999998</v>
      </c>
      <c r="T825" s="2">
        <v>-7.0339999999999998</v>
      </c>
      <c r="U825">
        <v>172245</v>
      </c>
      <c r="V825">
        <f>YEAR(Spotify[[#This Row],[Date de sortie]])</f>
        <v>2020</v>
      </c>
      <c r="W825" s="2" t="str">
        <f>IF(Spotify[[#This Row],[Popularité]]&gt;=70,"FORTE","FAIBLE")</f>
        <v>FORTE</v>
      </c>
    </row>
    <row r="826" spans="1:23" x14ac:dyDescent="0.25">
      <c r="A826">
        <v>653</v>
      </c>
      <c r="B826">
        <v>197</v>
      </c>
      <c r="C826">
        <v>1</v>
      </c>
      <c r="D826" s="1">
        <v>44190</v>
      </c>
      <c r="E826" s="59" t="str" cm="1">
        <f t="array" ref="E82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26" t="s">
        <v>1167</v>
      </c>
      <c r="G826" s="3">
        <v>5152906</v>
      </c>
      <c r="H826" t="s">
        <v>732</v>
      </c>
      <c r="I826" s="4">
        <v>15019109</v>
      </c>
      <c r="J826" t="s">
        <v>253</v>
      </c>
      <c r="K826" s="1">
        <v>44148</v>
      </c>
      <c r="L826">
        <v>72</v>
      </c>
      <c r="M826" s="2" t="str">
        <f>IF(Spotify[[#This Row],[Energie]]&gt;AVERAGE(Spotify[Energie]),"FORTE","FAIBLE")</f>
        <v>FAIBLE</v>
      </c>
      <c r="N826" s="2">
        <v>0.752</v>
      </c>
      <c r="O826" s="2">
        <v>0.62</v>
      </c>
      <c r="P826" s="2">
        <v>5.0900000000000001E-2</v>
      </c>
      <c r="Q826" s="2">
        <v>0.309</v>
      </c>
      <c r="R826" s="2">
        <v>7.4999999999999997E-2</v>
      </c>
      <c r="S826" s="2">
        <v>0.96199999999999997</v>
      </c>
      <c r="T826" s="2">
        <v>-5.5359999999999996</v>
      </c>
      <c r="U826">
        <v>164459</v>
      </c>
      <c r="V826">
        <f>YEAR(Spotify[[#This Row],[Date de sortie]])</f>
        <v>2020</v>
      </c>
      <c r="W826" s="2" t="str">
        <f>IF(Spotify[[#This Row],[Popularité]]&gt;=70,"FORTE","FAIBLE")</f>
        <v>FORTE</v>
      </c>
    </row>
    <row r="827" spans="1:23" x14ac:dyDescent="0.25">
      <c r="A827">
        <v>358</v>
      </c>
      <c r="B827">
        <v>127</v>
      </c>
      <c r="C827">
        <v>2</v>
      </c>
      <c r="D827" s="1">
        <v>44316</v>
      </c>
      <c r="E827" s="59" t="str" cm="1">
        <f t="array" ref="E82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827" t="s">
        <v>681</v>
      </c>
      <c r="G827" s="3">
        <v>5150176</v>
      </c>
      <c r="H827" t="s">
        <v>651</v>
      </c>
      <c r="I827" s="4">
        <v>20823062</v>
      </c>
      <c r="J827" t="s">
        <v>227</v>
      </c>
      <c r="K827" s="1">
        <v>44337</v>
      </c>
      <c r="L827">
        <v>72</v>
      </c>
      <c r="M827" s="2" t="str">
        <f>IF(Spotify[[#This Row],[Energie]]&gt;AVERAGE(Spotify[Energie]),"FORTE","FAIBLE")</f>
        <v>FORTE</v>
      </c>
      <c r="N827" s="2">
        <v>0.7</v>
      </c>
      <c r="O827" s="2">
        <v>0.66400000000000003</v>
      </c>
      <c r="P827" s="2">
        <v>3.9399999999999998E-2</v>
      </c>
      <c r="Q827" s="2">
        <v>0.30599999999999999</v>
      </c>
      <c r="R827" s="2">
        <v>0.249</v>
      </c>
      <c r="S827" s="2">
        <v>0.58499999999999996</v>
      </c>
      <c r="T827" s="2">
        <v>-8.2110000000000003</v>
      </c>
      <c r="U827">
        <v>223066</v>
      </c>
      <c r="V827">
        <f>YEAR(Spotify[[#This Row],[Date de sortie]])</f>
        <v>2021</v>
      </c>
      <c r="W827" s="2" t="str">
        <f>IF(Spotify[[#This Row],[Popularité]]&gt;=70,"FORTE","FAIBLE")</f>
        <v>FORTE</v>
      </c>
    </row>
    <row r="828" spans="1:23" x14ac:dyDescent="0.25">
      <c r="A828">
        <v>1440</v>
      </c>
      <c r="B828">
        <v>161</v>
      </c>
      <c r="C828">
        <v>7</v>
      </c>
      <c r="D828" s="1">
        <v>43861</v>
      </c>
      <c r="E828" s="59" t="str" cm="1">
        <f t="array" ref="E82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28" t="s">
        <v>2290</v>
      </c>
      <c r="G828" s="3">
        <v>5148516</v>
      </c>
      <c r="H828" t="s">
        <v>2291</v>
      </c>
      <c r="I828" s="4">
        <v>2897862</v>
      </c>
      <c r="J828" t="s">
        <v>25</v>
      </c>
      <c r="K828" s="1">
        <v>43714</v>
      </c>
      <c r="L828">
        <v>72</v>
      </c>
      <c r="M828" s="2" t="str">
        <f>IF(Spotify[[#This Row],[Energie]]&gt;AVERAGE(Spotify[Energie]),"FORTE","FAIBLE")</f>
        <v>FORTE</v>
      </c>
      <c r="N828" s="2">
        <v>0.74299999999999999</v>
      </c>
      <c r="O828" s="2">
        <v>0.70899999999999996</v>
      </c>
      <c r="P828" s="2">
        <v>8.7900000000000006E-2</v>
      </c>
      <c r="Q828" s="2">
        <v>4.5100000000000001E-2</v>
      </c>
      <c r="R828" s="2">
        <v>8.09E-2</v>
      </c>
      <c r="S828" s="2">
        <v>0.83099999999999996</v>
      </c>
      <c r="T828" s="2">
        <v>-3.9220000000000002</v>
      </c>
      <c r="U828">
        <v>258600</v>
      </c>
      <c r="V828">
        <f>YEAR(Spotify[[#This Row],[Date de sortie]])</f>
        <v>2019</v>
      </c>
      <c r="W828" s="2" t="str">
        <f>IF(Spotify[[#This Row],[Popularité]]&gt;=70,"FORTE","FAIBLE")</f>
        <v>FORTE</v>
      </c>
    </row>
    <row r="829" spans="1:23" x14ac:dyDescent="0.25">
      <c r="A829">
        <v>314</v>
      </c>
      <c r="B829">
        <v>195</v>
      </c>
      <c r="C829">
        <v>1</v>
      </c>
      <c r="D829" s="1">
        <v>44358</v>
      </c>
      <c r="E829" s="59" t="str" cm="1">
        <f t="array" ref="E82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829" t="s">
        <v>605</v>
      </c>
      <c r="G829" s="3">
        <v>5119845</v>
      </c>
      <c r="H829" t="s">
        <v>78</v>
      </c>
      <c r="I829" s="4">
        <v>4840346</v>
      </c>
      <c r="J829" t="s">
        <v>79</v>
      </c>
      <c r="K829" s="1">
        <v>44358</v>
      </c>
      <c r="L829">
        <v>72</v>
      </c>
      <c r="M829" s="2" t="str">
        <f>IF(Spotify[[#This Row],[Energie]]&gt;AVERAGE(Spotify[Energie]),"FORTE","FAIBLE")</f>
        <v>FAIBLE</v>
      </c>
      <c r="N829" s="2">
        <v>0.52200000000000002</v>
      </c>
      <c r="O829" s="2">
        <v>0.46600000000000003</v>
      </c>
      <c r="P829" s="2">
        <v>0.45800000000000002</v>
      </c>
      <c r="Q829" s="2">
        <v>0.33100000000000002</v>
      </c>
      <c r="R829" s="2">
        <v>0.11</v>
      </c>
      <c r="S829" s="2">
        <v>0.45900000000000002</v>
      </c>
      <c r="T829" s="2">
        <v>-8.0500000000000007</v>
      </c>
      <c r="U829">
        <v>137692</v>
      </c>
      <c r="V829">
        <f>YEAR(Spotify[[#This Row],[Date de sortie]])</f>
        <v>2021</v>
      </c>
      <c r="W829" s="2" t="str">
        <f>IF(Spotify[[#This Row],[Popularité]]&gt;=70,"FORTE","FAIBLE")</f>
        <v>FORTE</v>
      </c>
    </row>
    <row r="830" spans="1:23" x14ac:dyDescent="0.25">
      <c r="A830">
        <v>833</v>
      </c>
      <c r="B830">
        <v>89</v>
      </c>
      <c r="C830">
        <v>9</v>
      </c>
      <c r="D830" s="1">
        <v>44085</v>
      </c>
      <c r="E830" s="59" t="str" cm="1">
        <f t="array" ref="E83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830" t="s">
        <v>1440</v>
      </c>
      <c r="G830" s="3">
        <v>5112572</v>
      </c>
      <c r="H830" t="s">
        <v>1441</v>
      </c>
      <c r="I830" s="4">
        <v>249910</v>
      </c>
      <c r="J830" t="s">
        <v>930</v>
      </c>
      <c r="K830" s="1">
        <v>44058</v>
      </c>
      <c r="L830">
        <v>72</v>
      </c>
      <c r="M830" s="2" t="str">
        <f>IF(Spotify[[#This Row],[Energie]]&gt;AVERAGE(Spotify[Energie]),"FORTE","FAIBLE")</f>
        <v>FORTE</v>
      </c>
      <c r="N830" s="2">
        <v>0.90100000000000002</v>
      </c>
      <c r="O830" s="2">
        <v>0.93899999999999995</v>
      </c>
      <c r="P830" s="2">
        <v>0.27400000000000002</v>
      </c>
      <c r="Q830" s="2">
        <v>0.11700000000000001</v>
      </c>
      <c r="R830" s="2">
        <v>6.4299999999999996E-2</v>
      </c>
      <c r="S830" s="2">
        <v>0.80500000000000005</v>
      </c>
      <c r="T830" s="2">
        <v>-2.762</v>
      </c>
      <c r="U830">
        <v>356347</v>
      </c>
      <c r="V830">
        <f>YEAR(Spotify[[#This Row],[Date de sortie]])</f>
        <v>2020</v>
      </c>
      <c r="W830" s="2" t="str">
        <f>IF(Spotify[[#This Row],[Popularité]]&gt;=70,"FORTE","FAIBLE")</f>
        <v>FORTE</v>
      </c>
    </row>
    <row r="831" spans="1:23" x14ac:dyDescent="0.25">
      <c r="A831">
        <v>1356</v>
      </c>
      <c r="B831">
        <v>69</v>
      </c>
      <c r="C831">
        <v>7</v>
      </c>
      <c r="D831" s="1">
        <v>43833</v>
      </c>
      <c r="E831" s="59" t="str" cm="1">
        <f t="array" ref="E83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31" t="s">
        <v>2176</v>
      </c>
      <c r="G831" s="3">
        <v>5110064</v>
      </c>
      <c r="H831" t="s">
        <v>2177</v>
      </c>
      <c r="I831" s="4">
        <v>4442273</v>
      </c>
      <c r="J831" t="s">
        <v>19</v>
      </c>
      <c r="K831" s="1">
        <v>43896</v>
      </c>
      <c r="L831">
        <v>72</v>
      </c>
      <c r="M831" s="2" t="str">
        <f>IF(Spotify[[#This Row],[Energie]]&gt;AVERAGE(Spotify[Energie]),"FORTE","FAIBLE")</f>
        <v>FAIBLE</v>
      </c>
      <c r="N831" s="2">
        <v>0.746</v>
      </c>
      <c r="O831" s="2">
        <v>0.45</v>
      </c>
      <c r="P831" s="2">
        <v>8.72E-2</v>
      </c>
      <c r="Q831" s="2">
        <v>4.07E-2</v>
      </c>
      <c r="R831" s="2">
        <v>0.17199999999999999</v>
      </c>
      <c r="S831" s="2">
        <v>0.33600000000000002</v>
      </c>
      <c r="T831" s="2">
        <v>-8.5429999999999993</v>
      </c>
      <c r="U831">
        <v>232853</v>
      </c>
      <c r="V831">
        <f>YEAR(Spotify[[#This Row],[Date de sortie]])</f>
        <v>2020</v>
      </c>
      <c r="W831" s="2" t="str">
        <f>IF(Spotify[[#This Row],[Popularité]]&gt;=70,"FORTE","FAIBLE")</f>
        <v>FORTE</v>
      </c>
    </row>
    <row r="832" spans="1:23" x14ac:dyDescent="0.25">
      <c r="A832">
        <v>565</v>
      </c>
      <c r="B832">
        <v>162</v>
      </c>
      <c r="C832">
        <v>3</v>
      </c>
      <c r="D832" s="1">
        <v>44225</v>
      </c>
      <c r="E832" s="59" t="str" cm="1">
        <f t="array" ref="E83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832" t="s">
        <v>1010</v>
      </c>
      <c r="G832" s="3">
        <v>5046418</v>
      </c>
      <c r="H832" t="s">
        <v>1011</v>
      </c>
      <c r="I832" s="4">
        <v>444736</v>
      </c>
      <c r="J832" t="s">
        <v>1012</v>
      </c>
      <c r="K832" s="1">
        <v>43970</v>
      </c>
      <c r="L832">
        <v>72</v>
      </c>
      <c r="M832" s="2" t="str">
        <f>IF(Spotify[[#This Row],[Energie]]&gt;AVERAGE(Spotify[Energie]),"FORTE","FAIBLE")</f>
        <v>FAIBLE</v>
      </c>
      <c r="N832" s="2">
        <v>0.88500000000000001</v>
      </c>
      <c r="O832" s="2">
        <v>0.56100000000000005</v>
      </c>
      <c r="P832" s="2">
        <v>0.249</v>
      </c>
      <c r="Q832" s="2">
        <v>0.26100000000000001</v>
      </c>
      <c r="R832" s="2">
        <v>0.121</v>
      </c>
      <c r="S832" s="2">
        <v>0.64400000000000002</v>
      </c>
      <c r="T832" s="2">
        <v>-5.3310000000000004</v>
      </c>
      <c r="U832">
        <v>125143</v>
      </c>
      <c r="V832">
        <f>YEAR(Spotify[[#This Row],[Date de sortie]])</f>
        <v>2020</v>
      </c>
      <c r="W832" s="2" t="str">
        <f>IF(Spotify[[#This Row],[Popularité]]&gt;=70,"FORTE","FAIBLE")</f>
        <v>FORTE</v>
      </c>
    </row>
    <row r="833" spans="1:23" x14ac:dyDescent="0.25">
      <c r="A833">
        <v>796</v>
      </c>
      <c r="B833">
        <v>85</v>
      </c>
      <c r="C833">
        <v>12</v>
      </c>
      <c r="D833" s="1">
        <v>44085</v>
      </c>
      <c r="E833" s="59" t="str" cm="1">
        <f t="array" ref="E83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33" t="s">
        <v>1384</v>
      </c>
      <c r="G833" s="3">
        <v>5033798</v>
      </c>
      <c r="H833" t="s">
        <v>1385</v>
      </c>
      <c r="I833" s="4">
        <v>29238936</v>
      </c>
      <c r="J833" t="s">
        <v>25</v>
      </c>
      <c r="K833" s="1">
        <v>44060</v>
      </c>
      <c r="L833">
        <v>72</v>
      </c>
      <c r="M833" s="2" t="str">
        <f>IF(Spotify[[#This Row],[Energie]]&gt;AVERAGE(Spotify[Energie]),"FORTE","FAIBLE")</f>
        <v>FORTE</v>
      </c>
      <c r="N833" s="2">
        <v>0.754</v>
      </c>
      <c r="O833" s="2">
        <v>0.79600000000000004</v>
      </c>
      <c r="P833" s="2">
        <v>0.13900000000000001</v>
      </c>
      <c r="Q833" s="2">
        <v>6.2E-2</v>
      </c>
      <c r="R833" s="2">
        <v>0.20399999999999999</v>
      </c>
      <c r="S833" s="2">
        <v>0.62</v>
      </c>
      <c r="T833" s="2">
        <v>-3.7429999999999999</v>
      </c>
      <c r="U833">
        <v>233160</v>
      </c>
      <c r="V833">
        <f>YEAR(Spotify[[#This Row],[Date de sortie]])</f>
        <v>2020</v>
      </c>
      <c r="W833" s="2" t="str">
        <f>IF(Spotify[[#This Row],[Popularité]]&gt;=70,"FORTE","FAIBLE")</f>
        <v>FORTE</v>
      </c>
    </row>
    <row r="834" spans="1:23" x14ac:dyDescent="0.25">
      <c r="A834">
        <v>391</v>
      </c>
      <c r="B834">
        <v>199</v>
      </c>
      <c r="C834">
        <v>1</v>
      </c>
      <c r="D834" s="1">
        <v>44323</v>
      </c>
      <c r="E834" s="59" t="str" cm="1">
        <f t="array" ref="E83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34" t="s">
        <v>731</v>
      </c>
      <c r="G834" s="3">
        <v>5018076</v>
      </c>
      <c r="H834" t="s">
        <v>732</v>
      </c>
      <c r="I834" s="4">
        <v>15013645</v>
      </c>
      <c r="J834" t="s">
        <v>253</v>
      </c>
      <c r="K834" s="1">
        <v>44308</v>
      </c>
      <c r="L834">
        <v>72</v>
      </c>
      <c r="M834" s="2" t="str">
        <f>IF(Spotify[[#This Row],[Energie]]&gt;AVERAGE(Spotify[Energie]),"FORTE","FAIBLE")</f>
        <v>FORTE</v>
      </c>
      <c r="N834" s="2">
        <v>0.68600000000000005</v>
      </c>
      <c r="O834" s="2">
        <v>0.78900000000000003</v>
      </c>
      <c r="P834" s="2">
        <v>0.126</v>
      </c>
      <c r="Q834" s="2">
        <v>0.32200000000000001</v>
      </c>
      <c r="R834" s="2">
        <v>0.4</v>
      </c>
      <c r="S834" s="2">
        <v>0.82199999999999995</v>
      </c>
      <c r="T834" s="2">
        <v>-4.1029999999999998</v>
      </c>
      <c r="U834">
        <v>157355</v>
      </c>
      <c r="V834">
        <f>YEAR(Spotify[[#This Row],[Date de sortie]])</f>
        <v>2021</v>
      </c>
      <c r="W834" s="2" t="str">
        <f>IF(Spotify[[#This Row],[Popularité]]&gt;=70,"FORTE","FAIBLE")</f>
        <v>FORTE</v>
      </c>
    </row>
    <row r="835" spans="1:23" x14ac:dyDescent="0.25">
      <c r="A835">
        <v>1430</v>
      </c>
      <c r="B835">
        <v>186</v>
      </c>
      <c r="C835">
        <v>2</v>
      </c>
      <c r="D835" s="1">
        <v>43868</v>
      </c>
      <c r="E835" s="59" t="str" cm="1">
        <f t="array" ref="E83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35" t="s">
        <v>2274</v>
      </c>
      <c r="G835" s="3">
        <v>4984764</v>
      </c>
      <c r="H835" t="s">
        <v>1041</v>
      </c>
      <c r="I835" s="4">
        <v>17097317</v>
      </c>
      <c r="J835" t="s">
        <v>19</v>
      </c>
      <c r="K835" s="1">
        <v>43042</v>
      </c>
      <c r="L835">
        <v>72</v>
      </c>
      <c r="M835" s="2" t="str">
        <f>IF(Spotify[[#This Row],[Energie]]&gt;AVERAGE(Spotify[Energie]),"FORTE","FAIBLE")</f>
        <v>FAIBLE</v>
      </c>
      <c r="N835" s="2">
        <v>0.68100000000000005</v>
      </c>
      <c r="O835" s="2">
        <v>0.372</v>
      </c>
      <c r="P835" s="2">
        <v>4.3200000000000002E-2</v>
      </c>
      <c r="Q835" s="2">
        <v>0.64</v>
      </c>
      <c r="R835" s="2">
        <v>0.16900000000000001</v>
      </c>
      <c r="S835" s="2">
        <v>0.47599999999999998</v>
      </c>
      <c r="T835" s="2">
        <v>-8.2370000000000001</v>
      </c>
      <c r="U835">
        <v>201000</v>
      </c>
      <c r="V835">
        <f>YEAR(Spotify[[#This Row],[Date de sortie]])</f>
        <v>2017</v>
      </c>
      <c r="W835" s="2" t="str">
        <f>IF(Spotify[[#This Row],[Popularité]]&gt;=70,"FORTE","FAIBLE")</f>
        <v>FORTE</v>
      </c>
    </row>
    <row r="836" spans="1:23" x14ac:dyDescent="0.25">
      <c r="A836">
        <v>582</v>
      </c>
      <c r="B836">
        <v>121</v>
      </c>
      <c r="C836">
        <v>7</v>
      </c>
      <c r="D836" s="1">
        <v>44197</v>
      </c>
      <c r="E836" s="59" t="str" cm="1">
        <f t="array" ref="E83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836" t="s">
        <v>1039</v>
      </c>
      <c r="G836" s="3">
        <v>4962949</v>
      </c>
      <c r="H836" t="s">
        <v>842</v>
      </c>
      <c r="I836" s="4">
        <v>1053324</v>
      </c>
      <c r="J836" t="s">
        <v>843</v>
      </c>
      <c r="K836" s="1">
        <v>44174</v>
      </c>
      <c r="L836">
        <v>72</v>
      </c>
      <c r="M836" s="2" t="str">
        <f>IF(Spotify[[#This Row],[Energie]]&gt;AVERAGE(Spotify[Energie]),"FORTE","FAIBLE")</f>
        <v>FAIBLE</v>
      </c>
      <c r="N836" s="2">
        <v>0.94499999999999995</v>
      </c>
      <c r="O836" s="2">
        <v>0.58199999999999996</v>
      </c>
      <c r="P836" s="2">
        <v>7.1900000000000006E-2</v>
      </c>
      <c r="Q836" s="2">
        <v>0.114</v>
      </c>
      <c r="R836" s="2">
        <v>0.10299999999999999</v>
      </c>
      <c r="S836" s="2">
        <v>0.90700000000000003</v>
      </c>
      <c r="T836" s="2">
        <v>-8.3569999999999993</v>
      </c>
      <c r="U836">
        <v>168906</v>
      </c>
      <c r="V836">
        <f>YEAR(Spotify[[#This Row],[Date de sortie]])</f>
        <v>2020</v>
      </c>
      <c r="W836" s="2" t="str">
        <f>IF(Spotify[[#This Row],[Popularité]]&gt;=70,"FORTE","FAIBLE")</f>
        <v>FORTE</v>
      </c>
    </row>
    <row r="837" spans="1:23" x14ac:dyDescent="0.25">
      <c r="A837">
        <v>591</v>
      </c>
      <c r="B837">
        <v>191</v>
      </c>
      <c r="C837">
        <v>1</v>
      </c>
      <c r="D837" s="1">
        <v>44211</v>
      </c>
      <c r="E837" s="59" t="str" cm="1">
        <f t="array" ref="E83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837" t="s">
        <v>1055</v>
      </c>
      <c r="G837" s="3">
        <v>4915403</v>
      </c>
      <c r="H837" t="s">
        <v>1056</v>
      </c>
      <c r="I837" s="4">
        <v>41551</v>
      </c>
      <c r="J837" t="s">
        <v>1057</v>
      </c>
      <c r="K837" s="1">
        <v>44001</v>
      </c>
      <c r="L837">
        <v>72</v>
      </c>
      <c r="M837" s="2" t="str">
        <f>IF(Spotify[[#This Row],[Energie]]&gt;AVERAGE(Spotify[Energie]),"FORTE","FAIBLE")</f>
        <v>FAIBLE</v>
      </c>
      <c r="N837" s="2">
        <v>0.95599999999999996</v>
      </c>
      <c r="O837" s="2">
        <v>0.502</v>
      </c>
      <c r="P837" s="2">
        <v>0.21299999999999999</v>
      </c>
      <c r="Q837" s="2">
        <v>5.9299999999999999E-2</v>
      </c>
      <c r="R837" s="2">
        <v>0.23799999999999999</v>
      </c>
      <c r="S837" s="2">
        <v>0.79500000000000004</v>
      </c>
      <c r="T837" s="2">
        <v>-5.9950000000000001</v>
      </c>
      <c r="U837">
        <v>187000</v>
      </c>
      <c r="V837">
        <f>YEAR(Spotify[[#This Row],[Date de sortie]])</f>
        <v>2020</v>
      </c>
      <c r="W837" s="2" t="str">
        <f>IF(Spotify[[#This Row],[Popularité]]&gt;=70,"FORTE","FAIBLE")</f>
        <v>FORTE</v>
      </c>
    </row>
    <row r="838" spans="1:23" x14ac:dyDescent="0.25">
      <c r="A838">
        <v>813</v>
      </c>
      <c r="B838">
        <v>38</v>
      </c>
      <c r="C838">
        <v>7</v>
      </c>
      <c r="D838" s="1">
        <v>44092</v>
      </c>
      <c r="E838" s="59" t="str" cm="1">
        <f t="array" ref="E83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38" t="s">
        <v>1406</v>
      </c>
      <c r="G838" s="3">
        <v>4914412</v>
      </c>
      <c r="H838" t="s">
        <v>742</v>
      </c>
      <c r="I838" s="4">
        <v>10741972</v>
      </c>
      <c r="J838" t="s">
        <v>407</v>
      </c>
      <c r="K838" s="1">
        <v>44092</v>
      </c>
      <c r="L838">
        <v>72</v>
      </c>
      <c r="M838" s="2" t="str">
        <f>IF(Spotify[[#This Row],[Energie]]&gt;AVERAGE(Spotify[Energie]),"FORTE","FAIBLE")</f>
        <v>FAIBLE</v>
      </c>
      <c r="N838" s="2">
        <v>0.91</v>
      </c>
      <c r="O838" s="2">
        <v>0.60399999999999998</v>
      </c>
      <c r="P838" s="2">
        <v>8.2000000000000003E-2</v>
      </c>
      <c r="Q838" s="2">
        <v>0.44800000000000001</v>
      </c>
      <c r="R838" s="2">
        <v>8.6300000000000002E-2</v>
      </c>
      <c r="S838" s="2">
        <v>0.80700000000000005</v>
      </c>
      <c r="T838" s="2">
        <v>-4.3920000000000003</v>
      </c>
      <c r="U838">
        <v>180788</v>
      </c>
      <c r="V838">
        <f>YEAR(Spotify[[#This Row],[Date de sortie]])</f>
        <v>2020</v>
      </c>
      <c r="W838" s="2" t="str">
        <f>IF(Spotify[[#This Row],[Popularité]]&gt;=70,"FORTE","FAIBLE")</f>
        <v>FORTE</v>
      </c>
    </row>
    <row r="839" spans="1:23" x14ac:dyDescent="0.25">
      <c r="A839">
        <v>878</v>
      </c>
      <c r="B839">
        <v>24</v>
      </c>
      <c r="C839">
        <v>5</v>
      </c>
      <c r="D839" s="1">
        <v>44071</v>
      </c>
      <c r="E839" s="59" t="str" cm="1">
        <f t="array" ref="E83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39" t="s">
        <v>1504</v>
      </c>
      <c r="G839" s="3">
        <v>4867620</v>
      </c>
      <c r="H839" t="s">
        <v>250</v>
      </c>
      <c r="I839" s="4">
        <v>21946934</v>
      </c>
      <c r="J839" t="s">
        <v>19</v>
      </c>
      <c r="K839" s="1">
        <v>44071</v>
      </c>
      <c r="L839">
        <v>72</v>
      </c>
      <c r="M839" s="2" t="str">
        <f>IF(Spotify[[#This Row],[Energie]]&gt;AVERAGE(Spotify[Energie]),"FORTE","FAIBLE")</f>
        <v>FORTE</v>
      </c>
      <c r="N839" s="2">
        <v>0.61199999999999999</v>
      </c>
      <c r="O839" s="2">
        <v>0.88400000000000001</v>
      </c>
      <c r="P839" s="2">
        <v>4.5400000000000003E-2</v>
      </c>
      <c r="Q839" s="2">
        <v>7.5899999999999995E-2</v>
      </c>
      <c r="R839" s="2">
        <v>0.247</v>
      </c>
      <c r="S839" s="2">
        <v>0.67900000000000005</v>
      </c>
      <c r="T839" s="2">
        <v>-4.1130000000000004</v>
      </c>
      <c r="U839">
        <v>210795</v>
      </c>
      <c r="V839">
        <f>YEAR(Spotify[[#This Row],[Date de sortie]])</f>
        <v>2020</v>
      </c>
      <c r="W839" s="2" t="str">
        <f>IF(Spotify[[#This Row],[Popularité]]&gt;=70,"FORTE","FAIBLE")</f>
        <v>FORTE</v>
      </c>
    </row>
    <row r="840" spans="1:23" x14ac:dyDescent="0.25">
      <c r="A840">
        <v>880</v>
      </c>
      <c r="B840">
        <v>188</v>
      </c>
      <c r="C840">
        <v>1</v>
      </c>
      <c r="D840" s="1">
        <v>44099</v>
      </c>
      <c r="E840" s="59" t="str" cm="1">
        <f t="array" ref="E84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840" t="s">
        <v>1507</v>
      </c>
      <c r="G840" s="3">
        <v>4834258</v>
      </c>
      <c r="H840" t="s">
        <v>566</v>
      </c>
      <c r="I840" s="4">
        <v>3868320</v>
      </c>
      <c r="J840" t="s">
        <v>567</v>
      </c>
      <c r="K840" s="1">
        <v>44099</v>
      </c>
      <c r="L840">
        <v>72</v>
      </c>
      <c r="M840" s="2" t="str">
        <f>IF(Spotify[[#This Row],[Energie]]&gt;AVERAGE(Spotify[Energie]),"FORTE","FAIBLE")</f>
        <v>FORTE</v>
      </c>
      <c r="N840" s="2">
        <v>0.69099999999999995</v>
      </c>
      <c r="O840" s="2">
        <v>0.77</v>
      </c>
      <c r="P840" s="2">
        <v>3.6700000000000003E-2</v>
      </c>
      <c r="Q840" s="2">
        <v>2.8199999999999999E-2</v>
      </c>
      <c r="R840" s="2">
        <v>0.497</v>
      </c>
      <c r="S840" s="2">
        <v>0.34399999999999997</v>
      </c>
      <c r="T840" s="2">
        <v>-4.5780000000000003</v>
      </c>
      <c r="U840">
        <v>143901</v>
      </c>
      <c r="V840">
        <f>YEAR(Spotify[[#This Row],[Date de sortie]])</f>
        <v>2020</v>
      </c>
      <c r="W840" s="2" t="str">
        <f>IF(Spotify[[#This Row],[Popularité]]&gt;=70,"FORTE","FAIBLE")</f>
        <v>FORTE</v>
      </c>
    </row>
    <row r="841" spans="1:23" x14ac:dyDescent="0.25">
      <c r="A841">
        <v>999</v>
      </c>
      <c r="B841">
        <v>35</v>
      </c>
      <c r="C841">
        <v>6</v>
      </c>
      <c r="D841" s="1">
        <v>44022</v>
      </c>
      <c r="E841" s="59" t="str" cm="1">
        <f t="array" ref="E84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841" t="s">
        <v>1686</v>
      </c>
      <c r="G841" s="3">
        <v>4798078</v>
      </c>
      <c r="H841" t="s">
        <v>345</v>
      </c>
      <c r="I841" s="4">
        <v>19102888</v>
      </c>
      <c r="J841" t="s">
        <v>79</v>
      </c>
      <c r="K841" s="1">
        <v>44022</v>
      </c>
      <c r="L841">
        <v>72</v>
      </c>
      <c r="M841" s="2" t="str">
        <f>IF(Spotify[[#This Row],[Energie]]&gt;AVERAGE(Spotify[Energie]),"FORTE","FAIBLE")</f>
        <v>FORTE</v>
      </c>
      <c r="N841" s="2">
        <v>0.66</v>
      </c>
      <c r="O841" s="2">
        <v>0.76</v>
      </c>
      <c r="P841" s="2">
        <v>7.8700000000000006E-2</v>
      </c>
      <c r="Q841" s="2">
        <v>0.29099999999999998</v>
      </c>
      <c r="R841" s="2">
        <v>0.63200000000000001</v>
      </c>
      <c r="S841" s="2">
        <v>0.39400000000000002</v>
      </c>
      <c r="T841" s="2">
        <v>-5.726</v>
      </c>
      <c r="U841">
        <v>180129</v>
      </c>
      <c r="V841">
        <f>YEAR(Spotify[[#This Row],[Date de sortie]])</f>
        <v>2020</v>
      </c>
      <c r="W841" s="2" t="str">
        <f>IF(Spotify[[#This Row],[Popularité]]&gt;=70,"FORTE","FAIBLE")</f>
        <v>FORTE</v>
      </c>
    </row>
    <row r="842" spans="1:23" x14ac:dyDescent="0.25">
      <c r="A842">
        <v>1470</v>
      </c>
      <c r="B842">
        <v>158</v>
      </c>
      <c r="C842">
        <v>5</v>
      </c>
      <c r="D842" s="1">
        <v>43833</v>
      </c>
      <c r="E842" s="59" t="str" cm="1">
        <f t="array" ref="E84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842" t="s">
        <v>2334</v>
      </c>
      <c r="G842" s="3">
        <v>4791732</v>
      </c>
      <c r="H842" t="s">
        <v>2335</v>
      </c>
      <c r="I842" s="4">
        <v>6383275</v>
      </c>
      <c r="J842" t="s">
        <v>531</v>
      </c>
      <c r="K842" s="1">
        <v>43608</v>
      </c>
      <c r="L842">
        <v>72</v>
      </c>
      <c r="M842" s="2" t="str">
        <f>IF(Spotify[[#This Row],[Energie]]&gt;AVERAGE(Spotify[Energie]),"FORTE","FAIBLE")</f>
        <v>FAIBLE</v>
      </c>
      <c r="N842" s="2">
        <v>0.79600000000000004</v>
      </c>
      <c r="O842" s="2">
        <v>0.58599999999999997</v>
      </c>
      <c r="P842" s="2">
        <v>0.14699999999999999</v>
      </c>
      <c r="Q842" s="2">
        <v>2.47E-2</v>
      </c>
      <c r="R842" s="2">
        <v>0.13200000000000001</v>
      </c>
      <c r="S842" s="2">
        <v>0.17899999999999999</v>
      </c>
      <c r="T842" s="2">
        <v>-6.9459999999999997</v>
      </c>
      <c r="U842">
        <v>200107</v>
      </c>
      <c r="V842">
        <f>YEAR(Spotify[[#This Row],[Date de sortie]])</f>
        <v>2019</v>
      </c>
      <c r="W842" s="2" t="str">
        <f>IF(Spotify[[#This Row],[Popularité]]&gt;=70,"FORTE","FAIBLE")</f>
        <v>FORTE</v>
      </c>
    </row>
    <row r="843" spans="1:23" x14ac:dyDescent="0.25">
      <c r="A843">
        <v>1000</v>
      </c>
      <c r="B843">
        <v>27</v>
      </c>
      <c r="C843">
        <v>3</v>
      </c>
      <c r="D843" s="1">
        <v>44022</v>
      </c>
      <c r="E843" s="59" t="str" cm="1">
        <f t="array" ref="E84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843" t="s">
        <v>1687</v>
      </c>
      <c r="G843" s="3">
        <v>4761155</v>
      </c>
      <c r="H843" t="s">
        <v>345</v>
      </c>
      <c r="I843" s="4">
        <v>19102888</v>
      </c>
      <c r="J843" t="s">
        <v>79</v>
      </c>
      <c r="K843" s="1">
        <v>44022</v>
      </c>
      <c r="L843">
        <v>72</v>
      </c>
      <c r="M843" s="2" t="str">
        <f>IF(Spotify[[#This Row],[Energie]]&gt;AVERAGE(Spotify[Energie]),"FORTE","FAIBLE")</f>
        <v>FAIBLE</v>
      </c>
      <c r="N843" s="2">
        <v>0.65400000000000003</v>
      </c>
      <c r="O843" s="2">
        <v>0.45200000000000001</v>
      </c>
      <c r="P843" s="2">
        <v>4.3900000000000002E-2</v>
      </c>
      <c r="Q843" s="2">
        <v>0.17</v>
      </c>
      <c r="R843" s="2">
        <v>0.114</v>
      </c>
      <c r="S843" s="2">
        <v>0.53200000000000003</v>
      </c>
      <c r="T843" s="2">
        <v>-6.36</v>
      </c>
      <c r="U843">
        <v>186749</v>
      </c>
      <c r="V843">
        <f>YEAR(Spotify[[#This Row],[Date de sortie]])</f>
        <v>2020</v>
      </c>
      <c r="W843" s="2" t="str">
        <f>IF(Spotify[[#This Row],[Popularité]]&gt;=70,"FORTE","FAIBLE")</f>
        <v>FORTE</v>
      </c>
    </row>
    <row r="844" spans="1:23" x14ac:dyDescent="0.25">
      <c r="A844">
        <v>917</v>
      </c>
      <c r="B844">
        <v>152</v>
      </c>
      <c r="C844">
        <v>3</v>
      </c>
      <c r="D844" s="1">
        <v>44071</v>
      </c>
      <c r="E844" s="59" t="str" cm="1">
        <f t="array" ref="E84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44" t="s">
        <v>1565</v>
      </c>
      <c r="G844" s="3">
        <v>4737291</v>
      </c>
      <c r="H844" t="s">
        <v>150</v>
      </c>
      <c r="I844" s="4">
        <v>26784251</v>
      </c>
      <c r="J844" t="s">
        <v>25</v>
      </c>
      <c r="K844" s="1">
        <v>43944</v>
      </c>
      <c r="L844">
        <v>72</v>
      </c>
      <c r="M844" s="2" t="str">
        <f>IF(Spotify[[#This Row],[Energie]]&gt;AVERAGE(Spotify[Energie]),"FORTE","FAIBLE")</f>
        <v>FAIBLE</v>
      </c>
      <c r="N844" s="2">
        <v>0.56499999999999995</v>
      </c>
      <c r="O844" s="2">
        <v>0.39</v>
      </c>
      <c r="P844" s="2">
        <v>5.5599999999999997E-2</v>
      </c>
      <c r="Q844" s="2">
        <v>0.81699999999999995</v>
      </c>
      <c r="R844" s="2">
        <v>0.126</v>
      </c>
      <c r="S844" s="2">
        <v>0.70799999999999996</v>
      </c>
      <c r="T844" s="2">
        <v>-4.9589999999999996</v>
      </c>
      <c r="U844">
        <v>193700</v>
      </c>
      <c r="V844">
        <f>YEAR(Spotify[[#This Row],[Date de sortie]])</f>
        <v>2020</v>
      </c>
      <c r="W844" s="2" t="str">
        <f>IF(Spotify[[#This Row],[Popularité]]&gt;=70,"FORTE","FAIBLE")</f>
        <v>FORTE</v>
      </c>
    </row>
    <row r="845" spans="1:23" x14ac:dyDescent="0.25">
      <c r="A845">
        <v>1255</v>
      </c>
      <c r="B845">
        <v>29</v>
      </c>
      <c r="C845">
        <v>6</v>
      </c>
      <c r="D845" s="1">
        <v>43889</v>
      </c>
      <c r="E845" s="59" t="str" cm="1">
        <f t="array" ref="E84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45" t="s">
        <v>2047</v>
      </c>
      <c r="G845" s="3">
        <v>4666658</v>
      </c>
      <c r="H845" t="s">
        <v>24</v>
      </c>
      <c r="I845" s="4">
        <v>36177712</v>
      </c>
      <c r="J845" t="s">
        <v>25</v>
      </c>
      <c r="K845" s="1">
        <v>43890</v>
      </c>
      <c r="L845">
        <v>72</v>
      </c>
      <c r="M845" s="2" t="str">
        <f>IF(Spotify[[#This Row],[Energie]]&gt;AVERAGE(Spotify[Energie]),"FORTE","FAIBLE")</f>
        <v>FAIBLE</v>
      </c>
      <c r="N845" s="2">
        <v>0.88200000000000001</v>
      </c>
      <c r="O845" s="2">
        <v>0.61199999999999999</v>
      </c>
      <c r="P845" s="2">
        <v>0.11799999999999999</v>
      </c>
      <c r="Q845" s="2">
        <v>4.7500000000000001E-2</v>
      </c>
      <c r="R845" s="2">
        <v>0.182</v>
      </c>
      <c r="S845" s="2">
        <v>0.74199999999999999</v>
      </c>
      <c r="T845" s="2">
        <v>-6.1029999999999998</v>
      </c>
      <c r="U845">
        <v>160638</v>
      </c>
      <c r="V845">
        <f>YEAR(Spotify[[#This Row],[Date de sortie]])</f>
        <v>2020</v>
      </c>
      <c r="W845" s="2" t="str">
        <f>IF(Spotify[[#This Row],[Popularité]]&gt;=70,"FORTE","FAIBLE")</f>
        <v>FORTE</v>
      </c>
    </row>
    <row r="846" spans="1:23" x14ac:dyDescent="0.25">
      <c r="A846">
        <v>1024</v>
      </c>
      <c r="B846">
        <v>2</v>
      </c>
      <c r="C846">
        <v>29</v>
      </c>
      <c r="D846" s="1">
        <v>43833</v>
      </c>
      <c r="E846" s="59" t="str" cm="1">
        <f t="array" ref="E84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46" t="s">
        <v>1721</v>
      </c>
      <c r="G846" s="3">
        <v>4599349</v>
      </c>
      <c r="H846" t="s">
        <v>35</v>
      </c>
      <c r="I846" s="4">
        <v>48544923</v>
      </c>
      <c r="J846" t="s">
        <v>36</v>
      </c>
      <c r="K846" s="1">
        <v>43833</v>
      </c>
      <c r="L846">
        <v>72</v>
      </c>
      <c r="M846" s="2" t="str">
        <f>IF(Spotify[[#This Row],[Energie]]&gt;AVERAGE(Spotify[Energie]),"FORTE","FAIBLE")</f>
        <v>FAIBLE</v>
      </c>
      <c r="N846" s="2">
        <v>0.68700000000000006</v>
      </c>
      <c r="O846" s="2">
        <v>0.51400000000000001</v>
      </c>
      <c r="P846" s="2">
        <v>8.9700000000000002E-2</v>
      </c>
      <c r="Q846" s="2">
        <v>0.36599999999999999</v>
      </c>
      <c r="R846" s="2">
        <v>0.11600000000000001</v>
      </c>
      <c r="S846" s="2">
        <v>0.49399999999999999</v>
      </c>
      <c r="T846" s="2">
        <v>-6.6120000000000001</v>
      </c>
      <c r="U846">
        <v>210427</v>
      </c>
      <c r="V846">
        <f>YEAR(Spotify[[#This Row],[Date de sortie]])</f>
        <v>2020</v>
      </c>
      <c r="W846" s="2" t="str">
        <f>IF(Spotify[[#This Row],[Popularité]]&gt;=70,"FORTE","FAIBLE")</f>
        <v>FORTE</v>
      </c>
    </row>
    <row r="847" spans="1:23" x14ac:dyDescent="0.25">
      <c r="A847">
        <v>1069</v>
      </c>
      <c r="B847">
        <v>166</v>
      </c>
      <c r="C847">
        <v>1</v>
      </c>
      <c r="D847" s="1">
        <v>44008</v>
      </c>
      <c r="E847" s="59" t="str" cm="1">
        <f t="array" ref="E84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847" t="s">
        <v>1782</v>
      </c>
      <c r="G847" s="3">
        <v>4577209</v>
      </c>
      <c r="H847" t="s">
        <v>134</v>
      </c>
      <c r="I847" s="4">
        <v>4794212</v>
      </c>
      <c r="J847" t="s">
        <v>135</v>
      </c>
      <c r="K847" s="1">
        <v>44008</v>
      </c>
      <c r="L847">
        <v>72</v>
      </c>
      <c r="M847" s="2" t="str">
        <f>IF(Spotify[[#This Row],[Energie]]&gt;AVERAGE(Spotify[Energie]),"FORTE","FAIBLE")</f>
        <v>FORTE</v>
      </c>
      <c r="N847" s="2">
        <v>0.82099999999999995</v>
      </c>
      <c r="O847" s="2">
        <v>0.86299999999999999</v>
      </c>
      <c r="P847" s="2">
        <v>0.35299999999999998</v>
      </c>
      <c r="Q847" s="2">
        <v>8.2400000000000008E-3</v>
      </c>
      <c r="R847" s="2">
        <v>3.7699999999999997E-2</v>
      </c>
      <c r="S847" s="2">
        <v>0.874</v>
      </c>
      <c r="T847" s="2">
        <v>-3.1589999999999998</v>
      </c>
      <c r="U847">
        <v>154324</v>
      </c>
      <c r="V847">
        <f>YEAR(Spotify[[#This Row],[Date de sortie]])</f>
        <v>2020</v>
      </c>
      <c r="W847" s="2" t="str">
        <f>IF(Spotify[[#This Row],[Popularité]]&gt;=70,"FORTE","FAIBLE")</f>
        <v>FORTE</v>
      </c>
    </row>
    <row r="848" spans="1:23" x14ac:dyDescent="0.25">
      <c r="A848">
        <v>1147</v>
      </c>
      <c r="B848">
        <v>99</v>
      </c>
      <c r="C848">
        <v>2</v>
      </c>
      <c r="D848" s="1">
        <v>43938</v>
      </c>
      <c r="E848" s="59" t="str" cm="1">
        <f t="array" ref="E84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48" t="s">
        <v>1893</v>
      </c>
      <c r="G848" s="3">
        <v>4573723</v>
      </c>
      <c r="H848" t="s">
        <v>1894</v>
      </c>
      <c r="I848" s="4">
        <v>7593792</v>
      </c>
      <c r="J848" t="s">
        <v>313</v>
      </c>
      <c r="K848" s="1">
        <v>43938</v>
      </c>
      <c r="L848">
        <v>72</v>
      </c>
      <c r="M848" s="2" t="str">
        <f>IF(Spotify[[#This Row],[Energie]]&gt;AVERAGE(Spotify[Energie]),"FORTE","FAIBLE")</f>
        <v>FORTE</v>
      </c>
      <c r="N848" s="2">
        <v>0.71499999999999997</v>
      </c>
      <c r="O848" s="2">
        <v>0.63500000000000001</v>
      </c>
      <c r="P848" s="2">
        <v>7.9100000000000004E-2</v>
      </c>
      <c r="Q848" s="2">
        <v>0.127</v>
      </c>
      <c r="R848" s="2">
        <v>8.6199999999999999E-2</v>
      </c>
      <c r="S848" s="2">
        <v>0.39</v>
      </c>
      <c r="T848" s="2">
        <v>-6.5910000000000002</v>
      </c>
      <c r="U848">
        <v>198635</v>
      </c>
      <c r="V848">
        <f>YEAR(Spotify[[#This Row],[Date de sortie]])</f>
        <v>2020</v>
      </c>
      <c r="W848" s="2" t="str">
        <f>IF(Spotify[[#This Row],[Popularité]]&gt;=70,"FORTE","FAIBLE")</f>
        <v>FORTE</v>
      </c>
    </row>
    <row r="849" spans="1:23" x14ac:dyDescent="0.25">
      <c r="A849">
        <v>1108</v>
      </c>
      <c r="B849">
        <v>48</v>
      </c>
      <c r="C849">
        <v>6</v>
      </c>
      <c r="D849" s="1">
        <v>43959</v>
      </c>
      <c r="E849" s="59" t="str" cm="1">
        <f t="array" ref="E84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49" t="s">
        <v>1841</v>
      </c>
      <c r="G849" s="3">
        <v>4567732</v>
      </c>
      <c r="H849" t="s">
        <v>24</v>
      </c>
      <c r="I849" s="4">
        <v>36177712</v>
      </c>
      <c r="J849" t="s">
        <v>25</v>
      </c>
      <c r="K849" s="1">
        <v>43961</v>
      </c>
      <c r="L849">
        <v>72</v>
      </c>
      <c r="M849" s="2" t="str">
        <f>IF(Spotify[[#This Row],[Energie]]&gt;AVERAGE(Spotify[Energie]),"FORTE","FAIBLE")</f>
        <v>FAIBLE</v>
      </c>
      <c r="N849" s="2">
        <v>0.71199999999999997</v>
      </c>
      <c r="O849" s="2">
        <v>0.59899999999999998</v>
      </c>
      <c r="P849" s="2">
        <v>0.112</v>
      </c>
      <c r="Q849" s="2">
        <v>0.41199999999999998</v>
      </c>
      <c r="R849" s="2">
        <v>0.10299999999999999</v>
      </c>
      <c r="S849" s="2">
        <v>0.58799999999999997</v>
      </c>
      <c r="T849" s="2">
        <v>-6.3419999999999996</v>
      </c>
      <c r="U849">
        <v>178000</v>
      </c>
      <c r="V849">
        <f>YEAR(Spotify[[#This Row],[Date de sortie]])</f>
        <v>2020</v>
      </c>
      <c r="W849" s="2" t="str">
        <f>IF(Spotify[[#This Row],[Popularité]]&gt;=70,"FORTE","FAIBLE")</f>
        <v>FORTE</v>
      </c>
    </row>
    <row r="850" spans="1:23" x14ac:dyDescent="0.25">
      <c r="A850">
        <v>1295</v>
      </c>
      <c r="B850">
        <v>130</v>
      </c>
      <c r="C850">
        <v>3</v>
      </c>
      <c r="D850" s="1">
        <v>43896</v>
      </c>
      <c r="E850" s="59" t="str" cm="1">
        <f t="array" ref="E85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50" t="s">
        <v>2098</v>
      </c>
      <c r="G850" s="3">
        <v>4557817</v>
      </c>
      <c r="H850" t="s">
        <v>2099</v>
      </c>
      <c r="I850" s="4">
        <v>4720858</v>
      </c>
      <c r="J850" t="s">
        <v>761</v>
      </c>
      <c r="K850" s="1">
        <v>43896</v>
      </c>
      <c r="L850">
        <v>72</v>
      </c>
      <c r="M850" s="2" t="str">
        <f>IF(Spotify[[#This Row],[Energie]]&gt;AVERAGE(Spotify[Energie]),"FORTE","FAIBLE")</f>
        <v>FAIBLE</v>
      </c>
      <c r="N850" s="2">
        <v>0.61699999999999999</v>
      </c>
      <c r="O850" s="2">
        <v>0.52500000000000002</v>
      </c>
      <c r="P850" s="2">
        <v>0.12</v>
      </c>
      <c r="Q850" s="2">
        <v>0.55400000000000005</v>
      </c>
      <c r="R850" s="2">
        <v>0.13500000000000001</v>
      </c>
      <c r="S850" s="2">
        <v>0.377</v>
      </c>
      <c r="T850" s="2">
        <v>-10.426</v>
      </c>
      <c r="U850">
        <v>212867</v>
      </c>
      <c r="V850">
        <f>YEAR(Spotify[[#This Row],[Date de sortie]])</f>
        <v>2020</v>
      </c>
      <c r="W850" s="2" t="str">
        <f>IF(Spotify[[#This Row],[Popularité]]&gt;=70,"FORTE","FAIBLE")</f>
        <v>FORTE</v>
      </c>
    </row>
    <row r="851" spans="1:23" x14ac:dyDescent="0.25">
      <c r="A851">
        <v>1042</v>
      </c>
      <c r="B851">
        <v>79</v>
      </c>
      <c r="C851">
        <v>2</v>
      </c>
      <c r="D851" s="1">
        <v>44015</v>
      </c>
      <c r="E851" s="59" t="str" cm="1">
        <f t="array" ref="E85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51" t="s">
        <v>1746</v>
      </c>
      <c r="G851" s="3">
        <v>4535580</v>
      </c>
      <c r="H851" t="s">
        <v>338</v>
      </c>
      <c r="I851" s="4">
        <v>6852509</v>
      </c>
      <c r="J851" t="s">
        <v>158</v>
      </c>
      <c r="K851" s="1">
        <v>44015</v>
      </c>
      <c r="L851">
        <v>72</v>
      </c>
      <c r="M851" s="2" t="str">
        <f>IF(Spotify[[#This Row],[Energie]]&gt;AVERAGE(Spotify[Energie]),"FORTE","FAIBLE")</f>
        <v>FAIBLE</v>
      </c>
      <c r="N851" s="2">
        <v>0.73899999999999999</v>
      </c>
      <c r="O851" s="2">
        <v>0.61599999999999999</v>
      </c>
      <c r="P851" s="2">
        <v>3.3799999999999997E-2</v>
      </c>
      <c r="Q851" s="2">
        <v>0.252</v>
      </c>
      <c r="R851" s="2">
        <v>0.10100000000000001</v>
      </c>
      <c r="S851" s="2">
        <v>0.65400000000000003</v>
      </c>
      <c r="T851" s="2">
        <v>-6.9630000000000001</v>
      </c>
      <c r="U851">
        <v>158466</v>
      </c>
      <c r="V851">
        <f>YEAR(Spotify[[#This Row],[Date de sortie]])</f>
        <v>2020</v>
      </c>
      <c r="W851" s="2" t="str">
        <f>IF(Spotify[[#This Row],[Popularité]]&gt;=70,"FORTE","FAIBLE")</f>
        <v>FORTE</v>
      </c>
    </row>
    <row r="852" spans="1:23" x14ac:dyDescent="0.25">
      <c r="A852">
        <v>1296</v>
      </c>
      <c r="B852">
        <v>45</v>
      </c>
      <c r="C852">
        <v>4</v>
      </c>
      <c r="D852" s="1">
        <v>43889</v>
      </c>
      <c r="E852" s="59" t="str" cm="1">
        <f t="array" ref="E85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52" t="s">
        <v>2100</v>
      </c>
      <c r="G852" s="3">
        <v>4516243</v>
      </c>
      <c r="H852" t="s">
        <v>24</v>
      </c>
      <c r="I852" s="4">
        <v>36177712</v>
      </c>
      <c r="J852" t="s">
        <v>25</v>
      </c>
      <c r="K852" s="1">
        <v>43890</v>
      </c>
      <c r="L852">
        <v>72</v>
      </c>
      <c r="M852" s="2" t="str">
        <f>IF(Spotify[[#This Row],[Energie]]&gt;AVERAGE(Spotify[Energie]),"FORTE","FAIBLE")</f>
        <v>FORTE</v>
      </c>
      <c r="N852" s="2">
        <v>0.71</v>
      </c>
      <c r="O852" s="2">
        <v>0.81</v>
      </c>
      <c r="P852" s="2">
        <v>8.5400000000000004E-2</v>
      </c>
      <c r="Q852" s="2">
        <v>0.11700000000000001</v>
      </c>
      <c r="R852" s="2">
        <v>0.154</v>
      </c>
      <c r="S852" s="2">
        <v>0.184</v>
      </c>
      <c r="T852" s="2">
        <v>-5.5069999999999997</v>
      </c>
      <c r="U852">
        <v>159282</v>
      </c>
      <c r="V852">
        <f>YEAR(Spotify[[#This Row],[Date de sortie]])</f>
        <v>2020</v>
      </c>
      <c r="W852" s="2" t="str">
        <f>IF(Spotify[[#This Row],[Popularité]]&gt;=70,"FORTE","FAIBLE")</f>
        <v>FORTE</v>
      </c>
    </row>
    <row r="853" spans="1:23" x14ac:dyDescent="0.25">
      <c r="A853">
        <v>956</v>
      </c>
      <c r="B853">
        <v>55</v>
      </c>
      <c r="C853">
        <v>4</v>
      </c>
      <c r="D853" s="1">
        <v>43917</v>
      </c>
      <c r="E853" s="59" t="str" cm="1">
        <f t="array" ref="E85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53" t="s">
        <v>1629</v>
      </c>
      <c r="G853" s="3">
        <v>4472669</v>
      </c>
      <c r="H853" t="s">
        <v>28</v>
      </c>
      <c r="I853" s="4">
        <v>27167675</v>
      </c>
      <c r="J853" t="s">
        <v>19</v>
      </c>
      <c r="K853" s="1">
        <v>43917</v>
      </c>
      <c r="L853">
        <v>72</v>
      </c>
      <c r="M853" s="2" t="str">
        <f>IF(Spotify[[#This Row],[Energie]]&gt;AVERAGE(Spotify[Energie]),"FORTE","FAIBLE")</f>
        <v>FORTE</v>
      </c>
      <c r="N853" s="2">
        <v>0.627</v>
      </c>
      <c r="O853" s="2">
        <v>0.69</v>
      </c>
      <c r="P853" s="2">
        <v>0.13900000000000001</v>
      </c>
      <c r="Q853" s="2">
        <v>3.3000000000000002E-2</v>
      </c>
      <c r="R853" s="2">
        <v>7.4200000000000002E-2</v>
      </c>
      <c r="S853" s="2">
        <v>0.627</v>
      </c>
      <c r="T853" s="2">
        <v>-5.3959999999999999</v>
      </c>
      <c r="U853">
        <v>208505</v>
      </c>
      <c r="V853">
        <f>YEAR(Spotify[[#This Row],[Date de sortie]])</f>
        <v>2020</v>
      </c>
      <c r="W853" s="2" t="str">
        <f>IF(Spotify[[#This Row],[Popularité]]&gt;=70,"FORTE","FAIBLE")</f>
        <v>FORTE</v>
      </c>
    </row>
    <row r="854" spans="1:23" x14ac:dyDescent="0.25">
      <c r="A854">
        <v>1223</v>
      </c>
      <c r="B854">
        <v>47</v>
      </c>
      <c r="C854">
        <v>15</v>
      </c>
      <c r="D854" s="1">
        <v>43861</v>
      </c>
      <c r="E854" s="59" t="str" cm="1">
        <f t="array" ref="E85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54" t="s">
        <v>1998</v>
      </c>
      <c r="G854" s="3">
        <v>4440661</v>
      </c>
      <c r="H854" t="s">
        <v>1999</v>
      </c>
      <c r="I854" s="4">
        <v>22136717</v>
      </c>
      <c r="J854" t="s">
        <v>72</v>
      </c>
      <c r="K854" s="1">
        <v>43843</v>
      </c>
      <c r="L854">
        <v>72</v>
      </c>
      <c r="M854" s="2" t="str">
        <f>IF(Spotify[[#This Row],[Energie]]&gt;AVERAGE(Spotify[Energie]),"FORTE","FAIBLE")</f>
        <v>FORTE</v>
      </c>
      <c r="N854" s="2">
        <v>0.77500000000000002</v>
      </c>
      <c r="O854" s="2">
        <v>0.69599999999999995</v>
      </c>
      <c r="P854" s="2">
        <v>6.8099999999999994E-2</v>
      </c>
      <c r="Q854" s="2">
        <v>5.5899999999999998E-2</v>
      </c>
      <c r="R854" s="2">
        <v>0.157</v>
      </c>
      <c r="S854" s="2">
        <v>0.77500000000000002</v>
      </c>
      <c r="T854" s="2">
        <v>-5.1840000000000002</v>
      </c>
      <c r="U854">
        <v>190570</v>
      </c>
      <c r="V854">
        <f>YEAR(Spotify[[#This Row],[Date de sortie]])</f>
        <v>2020</v>
      </c>
      <c r="W854" s="2" t="str">
        <f>IF(Spotify[[#This Row],[Popularité]]&gt;=70,"FORTE","FAIBLE")</f>
        <v>FORTE</v>
      </c>
    </row>
    <row r="855" spans="1:23" x14ac:dyDescent="0.25">
      <c r="A855">
        <v>1168</v>
      </c>
      <c r="B855">
        <v>197</v>
      </c>
      <c r="C855">
        <v>1</v>
      </c>
      <c r="D855" s="1">
        <v>43973</v>
      </c>
      <c r="E855" s="59" t="str" cm="1">
        <f t="array" ref="E85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55" t="s">
        <v>1923</v>
      </c>
      <c r="G855" s="3">
        <v>4435538</v>
      </c>
      <c r="H855" t="s">
        <v>1924</v>
      </c>
      <c r="I855" s="4">
        <v>799682</v>
      </c>
      <c r="J855"/>
      <c r="K855" s="1">
        <v>44379</v>
      </c>
      <c r="L855">
        <v>72</v>
      </c>
      <c r="M855" s="2" t="str">
        <f>IF(Spotify[[#This Row],[Energie]]&gt;AVERAGE(Spotify[Energie]),"FORTE","FAIBLE")</f>
        <v>FORTE</v>
      </c>
      <c r="N855" s="2">
        <v>0.55400000000000005</v>
      </c>
      <c r="O855" s="2">
        <v>0.8</v>
      </c>
      <c r="P855" s="2">
        <v>3.95E-2</v>
      </c>
      <c r="Q855" s="2">
        <v>0.11899999999999999</v>
      </c>
      <c r="R855" s="2">
        <v>0.629</v>
      </c>
      <c r="S855" s="2">
        <v>0.46300000000000002</v>
      </c>
      <c r="T855" s="2">
        <v>-3.9359999999999999</v>
      </c>
      <c r="U855">
        <v>160120</v>
      </c>
      <c r="V855">
        <f>YEAR(Spotify[[#This Row],[Date de sortie]])</f>
        <v>2021</v>
      </c>
      <c r="W855" s="2" t="str">
        <f>IF(Spotify[[#This Row],[Popularité]]&gt;=70,"FORTE","FAIBLE")</f>
        <v>FORTE</v>
      </c>
    </row>
    <row r="856" spans="1:23" x14ac:dyDescent="0.25">
      <c r="A856">
        <v>1170</v>
      </c>
      <c r="B856">
        <v>44</v>
      </c>
      <c r="C856">
        <v>20</v>
      </c>
      <c r="D856" s="1">
        <v>43861</v>
      </c>
      <c r="E856" s="59" t="str" cm="1">
        <f t="array" ref="E85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56" t="s">
        <v>1927</v>
      </c>
      <c r="G856" s="3">
        <v>4407165</v>
      </c>
      <c r="H856" t="s">
        <v>1928</v>
      </c>
      <c r="I856" s="4">
        <v>14831925</v>
      </c>
      <c r="J856" t="s">
        <v>25</v>
      </c>
      <c r="K856" s="1">
        <v>43838</v>
      </c>
      <c r="L856">
        <v>72</v>
      </c>
      <c r="M856" s="2" t="str">
        <f>IF(Spotify[[#This Row],[Energie]]&gt;AVERAGE(Spotify[Energie]),"FORTE","FAIBLE")</f>
        <v>FORTE</v>
      </c>
      <c r="N856" s="2">
        <v>0.59399999999999997</v>
      </c>
      <c r="O856" s="2">
        <v>0.80800000000000005</v>
      </c>
      <c r="P856" s="2">
        <v>4.8899999999999999E-2</v>
      </c>
      <c r="Q856" s="2">
        <v>0.41499999999999998</v>
      </c>
      <c r="R856" s="2">
        <v>0.56499999999999995</v>
      </c>
      <c r="S856" s="2">
        <v>0.91900000000000004</v>
      </c>
      <c r="T856" s="2">
        <v>-2.4089999999999998</v>
      </c>
      <c r="U856">
        <v>194892</v>
      </c>
      <c r="V856">
        <f>YEAR(Spotify[[#This Row],[Date de sortie]])</f>
        <v>2020</v>
      </c>
      <c r="W856" s="2" t="str">
        <f>IF(Spotify[[#This Row],[Popularité]]&gt;=70,"FORTE","FAIBLE")</f>
        <v>FORTE</v>
      </c>
    </row>
    <row r="857" spans="1:23" x14ac:dyDescent="0.25">
      <c r="A857">
        <v>1084</v>
      </c>
      <c r="B857">
        <v>47</v>
      </c>
      <c r="C857">
        <v>8</v>
      </c>
      <c r="D857" s="1">
        <v>43959</v>
      </c>
      <c r="E857" s="59" t="str" cm="1">
        <f t="array" ref="E85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57" t="s">
        <v>1801</v>
      </c>
      <c r="G857" s="3">
        <v>4312675</v>
      </c>
      <c r="H857" t="s">
        <v>1802</v>
      </c>
      <c r="I857" s="4">
        <v>36177712</v>
      </c>
      <c r="J857" t="s">
        <v>25</v>
      </c>
      <c r="K857" s="1">
        <v>43961</v>
      </c>
      <c r="L857">
        <v>72</v>
      </c>
      <c r="M857" s="2" t="str">
        <f>IF(Spotify[[#This Row],[Energie]]&gt;AVERAGE(Spotify[Energie]),"FORTE","FAIBLE")</f>
        <v>FORTE</v>
      </c>
      <c r="N857" s="2">
        <v>0.77200000000000002</v>
      </c>
      <c r="O857" s="2">
        <v>0.83</v>
      </c>
      <c r="P857" s="2">
        <v>5.9900000000000002E-2</v>
      </c>
      <c r="Q857" s="2">
        <v>1.6E-2</v>
      </c>
      <c r="R857" s="2">
        <v>8.43E-2</v>
      </c>
      <c r="S857" s="2">
        <v>0.69699999999999995</v>
      </c>
      <c r="T857" s="2">
        <v>-5.0190000000000001</v>
      </c>
      <c r="U857">
        <v>194200</v>
      </c>
      <c r="V857">
        <f>YEAR(Spotify[[#This Row],[Date de sortie]])</f>
        <v>2020</v>
      </c>
      <c r="W857" s="2" t="str">
        <f>IF(Spotify[[#This Row],[Popularité]]&gt;=70,"FORTE","FAIBLE")</f>
        <v>FORTE</v>
      </c>
    </row>
    <row r="858" spans="1:23" x14ac:dyDescent="0.25">
      <c r="A858">
        <v>1128</v>
      </c>
      <c r="B858">
        <v>30</v>
      </c>
      <c r="C858">
        <v>9</v>
      </c>
      <c r="D858" s="1">
        <v>43931</v>
      </c>
      <c r="E858" s="59" t="str" cm="1">
        <f t="array" ref="E85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858" t="s">
        <v>1870</v>
      </c>
      <c r="G858" s="3">
        <v>4252898</v>
      </c>
      <c r="H858" t="s">
        <v>651</v>
      </c>
      <c r="I858" s="4">
        <v>20829526</v>
      </c>
      <c r="J858" t="s">
        <v>227</v>
      </c>
      <c r="K858" s="1">
        <v>43930</v>
      </c>
      <c r="L858">
        <v>72</v>
      </c>
      <c r="M858" s="2" t="str">
        <f>IF(Spotify[[#This Row],[Energie]]&gt;AVERAGE(Spotify[Energie]),"FORTE","FAIBLE")</f>
        <v>FAIBLE</v>
      </c>
      <c r="N858" s="2">
        <v>0.754</v>
      </c>
      <c r="O858" s="2">
        <v>0.58299999999999996</v>
      </c>
      <c r="P858" s="2">
        <v>4.3200000000000002E-2</v>
      </c>
      <c r="Q858" s="2">
        <v>0.32</v>
      </c>
      <c r="R858" s="2">
        <v>0.14399999999999999</v>
      </c>
      <c r="S858" s="2">
        <v>0.77</v>
      </c>
      <c r="T858" s="2">
        <v>-7.34</v>
      </c>
      <c r="U858">
        <v>220051</v>
      </c>
      <c r="V858">
        <f>YEAR(Spotify[[#This Row],[Date de sortie]])</f>
        <v>2020</v>
      </c>
      <c r="W858" s="2" t="str">
        <f>IF(Spotify[[#This Row],[Popularité]]&gt;=70,"FORTE","FAIBLE")</f>
        <v>FORTE</v>
      </c>
    </row>
    <row r="859" spans="1:23" x14ac:dyDescent="0.25">
      <c r="A859">
        <v>359</v>
      </c>
      <c r="B859">
        <v>25</v>
      </c>
      <c r="C859">
        <v>1</v>
      </c>
      <c r="D859" s="1">
        <v>44330</v>
      </c>
      <c r="E859" s="59" t="str" cm="1">
        <f t="array" ref="E85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859" t="s">
        <v>682</v>
      </c>
      <c r="G859" s="3">
        <v>15967986</v>
      </c>
      <c r="H859" t="s">
        <v>552</v>
      </c>
      <c r="I859" s="4">
        <v>14097410</v>
      </c>
      <c r="J859" t="s">
        <v>553</v>
      </c>
      <c r="K859" s="1">
        <v>44330</v>
      </c>
      <c r="L859">
        <v>71</v>
      </c>
      <c r="M859" s="2" t="str">
        <f>IF(Spotify[[#This Row],[Energie]]&gt;AVERAGE(Spotify[Energie]),"FORTE","FAIBLE")</f>
        <v>FORTE</v>
      </c>
      <c r="N859" s="2">
        <v>0.69899999999999995</v>
      </c>
      <c r="O859" s="2">
        <v>0.75900000000000001</v>
      </c>
      <c r="P859" s="2">
        <v>0.311</v>
      </c>
      <c r="Q859" s="2">
        <v>8.14E-2</v>
      </c>
      <c r="R859" s="2">
        <v>0.312</v>
      </c>
      <c r="S859" s="2">
        <v>0.40400000000000003</v>
      </c>
      <c r="T859" s="2">
        <v>-5.3019999999999996</v>
      </c>
      <c r="U859">
        <v>177337</v>
      </c>
      <c r="V859">
        <f>YEAR(Spotify[[#This Row],[Date de sortie]])</f>
        <v>2021</v>
      </c>
      <c r="W859" s="2" t="str">
        <f>IF(Spotify[[#This Row],[Popularité]]&gt;=70,"FORTE","FAIBLE")</f>
        <v>FORTE</v>
      </c>
    </row>
    <row r="860" spans="1:23" x14ac:dyDescent="0.25">
      <c r="A860">
        <v>363</v>
      </c>
      <c r="B860">
        <v>48</v>
      </c>
      <c r="C860">
        <v>1</v>
      </c>
      <c r="D860" s="1">
        <v>44330</v>
      </c>
      <c r="E860" s="59" t="str" cm="1">
        <f t="array" ref="E86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860" t="s">
        <v>686</v>
      </c>
      <c r="G860" s="3">
        <v>11647489</v>
      </c>
      <c r="H860" t="s">
        <v>552</v>
      </c>
      <c r="I860" s="4">
        <v>14097410</v>
      </c>
      <c r="J860" t="s">
        <v>553</v>
      </c>
      <c r="K860" s="1">
        <v>44330</v>
      </c>
      <c r="L860">
        <v>71</v>
      </c>
      <c r="M860" s="2" t="str">
        <f>IF(Spotify[[#This Row],[Energie]]&gt;AVERAGE(Spotify[Energie]),"FORTE","FAIBLE")</f>
        <v>FORTE</v>
      </c>
      <c r="N860" s="2">
        <v>0.56299999999999994</v>
      </c>
      <c r="O860" s="2">
        <v>0.70299999999999996</v>
      </c>
      <c r="P860" s="2">
        <v>7.0199999999999999E-2</v>
      </c>
      <c r="Q860" s="2">
        <v>0.126</v>
      </c>
      <c r="R860" s="2">
        <v>0.21299999999999999</v>
      </c>
      <c r="S860" s="2">
        <v>0.29399999999999998</v>
      </c>
      <c r="T860" s="2">
        <v>-5.7560000000000002</v>
      </c>
      <c r="U860">
        <v>238972</v>
      </c>
      <c r="V860">
        <f>YEAR(Spotify[[#This Row],[Date de sortie]])</f>
        <v>2021</v>
      </c>
      <c r="W860" s="2" t="str">
        <f>IF(Spotify[[#This Row],[Popularité]]&gt;=70,"FORTE","FAIBLE")</f>
        <v>FORTE</v>
      </c>
    </row>
    <row r="861" spans="1:23" x14ac:dyDescent="0.25">
      <c r="A861">
        <v>1198</v>
      </c>
      <c r="B861">
        <v>51</v>
      </c>
      <c r="C861">
        <v>1</v>
      </c>
      <c r="D861" s="1">
        <v>43952</v>
      </c>
      <c r="E861" s="59" t="str" cm="1">
        <f t="array" ref="E86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861" t="s">
        <v>1968</v>
      </c>
      <c r="G861" s="3">
        <v>9904749</v>
      </c>
      <c r="H861" t="s">
        <v>179</v>
      </c>
      <c r="I861" s="4">
        <v>56327031</v>
      </c>
      <c r="J861" t="s">
        <v>155</v>
      </c>
      <c r="K861" s="1">
        <v>43952</v>
      </c>
      <c r="L861">
        <v>71</v>
      </c>
      <c r="M861" s="2" t="str">
        <f>IF(Spotify[[#This Row],[Energie]]&gt;AVERAGE(Spotify[Energie]),"FORTE","FAIBLE")</f>
        <v>FAIBLE</v>
      </c>
      <c r="N861" s="2">
        <v>0.86399999999999999</v>
      </c>
      <c r="O861" s="2">
        <v>0.47699999999999998</v>
      </c>
      <c r="P861" s="2">
        <v>0.224</v>
      </c>
      <c r="Q861" s="2">
        <v>0.20100000000000001</v>
      </c>
      <c r="R861" s="2">
        <v>0.182</v>
      </c>
      <c r="S861" s="2">
        <v>0.5</v>
      </c>
      <c r="T861" s="2">
        <v>-5.7859999999999996</v>
      </c>
      <c r="U861">
        <v>192932</v>
      </c>
      <c r="V861">
        <f>YEAR(Spotify[[#This Row],[Date de sortie]])</f>
        <v>2020</v>
      </c>
      <c r="W861" s="2" t="str">
        <f>IF(Spotify[[#This Row],[Popularité]]&gt;=70,"FORTE","FAIBLE")</f>
        <v>FORTE</v>
      </c>
    </row>
    <row r="862" spans="1:23" x14ac:dyDescent="0.25">
      <c r="A862">
        <v>1386</v>
      </c>
      <c r="B862">
        <v>79</v>
      </c>
      <c r="C862">
        <v>1</v>
      </c>
      <c r="D862" s="1">
        <v>43882</v>
      </c>
      <c r="E862" s="59" t="str" cm="1">
        <f t="array" ref="E86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62" t="s">
        <v>2217</v>
      </c>
      <c r="G862" s="3">
        <v>8312399</v>
      </c>
      <c r="H862" t="s">
        <v>32</v>
      </c>
      <c r="I862" s="4">
        <v>37151476</v>
      </c>
      <c r="J862" t="s">
        <v>33</v>
      </c>
      <c r="K862" s="1">
        <v>43882</v>
      </c>
      <c r="L862">
        <v>71</v>
      </c>
      <c r="M862" s="2" t="str">
        <f>IF(Spotify[[#This Row],[Energie]]&gt;AVERAGE(Spotify[Energie]),"FORTE","FAIBLE")</f>
        <v>FORTE</v>
      </c>
      <c r="N862" s="2">
        <v>0.58899999999999997</v>
      </c>
      <c r="O862" s="2">
        <v>0.69599999999999995</v>
      </c>
      <c r="P862" s="2">
        <v>7.2499999999999995E-2</v>
      </c>
      <c r="Q862" s="2">
        <v>1.7000000000000001E-2</v>
      </c>
      <c r="R862" s="2">
        <v>8.0799999999999997E-2</v>
      </c>
      <c r="S862" s="2">
        <v>0.33200000000000002</v>
      </c>
      <c r="T862" s="2">
        <v>-7.9809999999999999</v>
      </c>
      <c r="U862">
        <v>233266</v>
      </c>
      <c r="V862">
        <f>YEAR(Spotify[[#This Row],[Date de sortie]])</f>
        <v>2020</v>
      </c>
      <c r="W862" s="2" t="str">
        <f>IF(Spotify[[#This Row],[Popularité]]&gt;=70,"FORTE","FAIBLE")</f>
        <v>FORTE</v>
      </c>
    </row>
    <row r="863" spans="1:23" x14ac:dyDescent="0.25">
      <c r="A863">
        <v>519</v>
      </c>
      <c r="B863">
        <v>38</v>
      </c>
      <c r="C863">
        <v>2</v>
      </c>
      <c r="D863" s="1">
        <v>44246</v>
      </c>
      <c r="E863" s="59" t="str" cm="1">
        <f t="array" ref="E86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63" t="s">
        <v>943</v>
      </c>
      <c r="G863" s="3">
        <v>6591829</v>
      </c>
      <c r="H863" t="s">
        <v>202</v>
      </c>
      <c r="I863" s="4">
        <v>67208170</v>
      </c>
      <c r="J863" t="s">
        <v>19</v>
      </c>
      <c r="K863" s="1">
        <v>44246</v>
      </c>
      <c r="L863">
        <v>71</v>
      </c>
      <c r="M863" s="2" t="str">
        <f>IF(Spotify[[#This Row],[Energie]]&gt;AVERAGE(Spotify[Energie]),"FORTE","FAIBLE")</f>
        <v>FORTE</v>
      </c>
      <c r="N863" s="2">
        <v>0.69799999999999995</v>
      </c>
      <c r="O863" s="2">
        <v>0.70799999999999996</v>
      </c>
      <c r="P863" s="2">
        <v>4.5400000000000003E-2</v>
      </c>
      <c r="Q863" s="2">
        <v>2.5100000000000001E-2</v>
      </c>
      <c r="R863" s="2">
        <v>0.124</v>
      </c>
      <c r="S863" s="2">
        <v>0.32200000000000001</v>
      </c>
      <c r="T863" s="2">
        <v>-4.9429999999999996</v>
      </c>
      <c r="U863">
        <v>122174</v>
      </c>
      <c r="V863">
        <f>YEAR(Spotify[[#This Row],[Date de sortie]])</f>
        <v>2021</v>
      </c>
      <c r="W863" s="2" t="str">
        <f>IF(Spotify[[#This Row],[Popularité]]&gt;=70,"FORTE","FAIBLE")</f>
        <v>FORTE</v>
      </c>
    </row>
    <row r="864" spans="1:23" x14ac:dyDescent="0.25">
      <c r="A864">
        <v>1360</v>
      </c>
      <c r="B864">
        <v>75</v>
      </c>
      <c r="C864">
        <v>6</v>
      </c>
      <c r="D864" s="1">
        <v>43840</v>
      </c>
      <c r="E864" s="59" t="str" cm="1">
        <f t="array" ref="E86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864" t="s">
        <v>2181</v>
      </c>
      <c r="G864" s="3">
        <v>6497610</v>
      </c>
      <c r="H864" t="s">
        <v>932</v>
      </c>
      <c r="I864" s="4">
        <v>7816213</v>
      </c>
      <c r="J864" t="s">
        <v>531</v>
      </c>
      <c r="K864" s="1">
        <v>43840</v>
      </c>
      <c r="L864">
        <v>71</v>
      </c>
      <c r="M864" s="2" t="str">
        <f>IF(Spotify[[#This Row],[Energie]]&gt;AVERAGE(Spotify[Energie]),"FORTE","FAIBLE")</f>
        <v>FAIBLE</v>
      </c>
      <c r="N864" s="2">
        <v>0.82299999999999995</v>
      </c>
      <c r="O864" s="2">
        <v>0.55200000000000005</v>
      </c>
      <c r="P864" s="2">
        <v>0.32400000000000001</v>
      </c>
      <c r="Q864" s="2">
        <v>1.7399999999999999E-2</v>
      </c>
      <c r="R864" s="2">
        <v>0.122</v>
      </c>
      <c r="S864" s="2">
        <v>0.41799999999999998</v>
      </c>
      <c r="T864" s="2">
        <v>-7.57</v>
      </c>
      <c r="U864">
        <v>205760</v>
      </c>
      <c r="V864">
        <f>YEAR(Spotify[[#This Row],[Date de sortie]])</f>
        <v>2020</v>
      </c>
      <c r="W864" s="2" t="str">
        <f>IF(Spotify[[#This Row],[Popularité]]&gt;=70,"FORTE","FAIBLE")</f>
        <v>FORTE</v>
      </c>
    </row>
    <row r="865" spans="1:23" x14ac:dyDescent="0.25">
      <c r="A865">
        <v>303</v>
      </c>
      <c r="B865">
        <v>128</v>
      </c>
      <c r="C865">
        <v>1</v>
      </c>
      <c r="D865" s="1">
        <v>44358</v>
      </c>
      <c r="E865" s="59" t="str" cm="1">
        <f t="array" ref="E86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865" t="s">
        <v>590</v>
      </c>
      <c r="G865" s="3">
        <v>6323268</v>
      </c>
      <c r="H865" t="s">
        <v>530</v>
      </c>
      <c r="I865" s="4">
        <v>11690201</v>
      </c>
      <c r="J865" t="s">
        <v>531</v>
      </c>
      <c r="K865" s="1">
        <v>44358</v>
      </c>
      <c r="L865">
        <v>71</v>
      </c>
      <c r="M865" s="2" t="str">
        <f>IF(Spotify[[#This Row],[Energie]]&gt;AVERAGE(Spotify[Energie]),"FORTE","FAIBLE")</f>
        <v>FAIBLE</v>
      </c>
      <c r="N865" s="2">
        <v>0.91700000000000004</v>
      </c>
      <c r="O865" s="2">
        <v>0.623</v>
      </c>
      <c r="P865" s="2">
        <v>0.13500000000000001</v>
      </c>
      <c r="Q865" s="2">
        <v>9.8500000000000004E-2</v>
      </c>
      <c r="R865" s="2">
        <v>8.3299999999999999E-2</v>
      </c>
      <c r="S865" s="2">
        <v>0.68700000000000006</v>
      </c>
      <c r="T865" s="2">
        <v>-8.2309999999999999</v>
      </c>
      <c r="U865">
        <v>206272</v>
      </c>
      <c r="V865">
        <f>YEAR(Spotify[[#This Row],[Date de sortie]])</f>
        <v>2021</v>
      </c>
      <c r="W865" s="2" t="str">
        <f>IF(Spotify[[#This Row],[Popularité]]&gt;=70,"FORTE","FAIBLE")</f>
        <v>FORTE</v>
      </c>
    </row>
    <row r="866" spans="1:23" x14ac:dyDescent="0.25">
      <c r="A866">
        <v>868</v>
      </c>
      <c r="B866">
        <v>116</v>
      </c>
      <c r="C866">
        <v>1</v>
      </c>
      <c r="D866" s="1">
        <v>44099</v>
      </c>
      <c r="E866" s="59" t="str" cm="1">
        <f t="array" ref="E86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866" t="s">
        <v>1491</v>
      </c>
      <c r="G866" s="3">
        <v>6292620</v>
      </c>
      <c r="H866" t="s">
        <v>78</v>
      </c>
      <c r="I866" s="4">
        <v>4849204</v>
      </c>
      <c r="J866" t="s">
        <v>79</v>
      </c>
      <c r="K866" s="1">
        <v>44099</v>
      </c>
      <c r="L866">
        <v>71</v>
      </c>
      <c r="M866" s="2" t="str">
        <f>IF(Spotify[[#This Row],[Energie]]&gt;AVERAGE(Spotify[Energie]),"FORTE","FAIBLE")</f>
        <v>FAIBLE</v>
      </c>
      <c r="N866" s="2">
        <v>0.61599999999999999</v>
      </c>
      <c r="O866" s="2">
        <v>0.61699999999999999</v>
      </c>
      <c r="P866" s="2">
        <v>0.52</v>
      </c>
      <c r="Q866" s="2">
        <v>0.128</v>
      </c>
      <c r="R866" s="2">
        <v>0.17699999999999999</v>
      </c>
      <c r="S866" s="2">
        <v>0.47599999999999998</v>
      </c>
      <c r="T866" s="2">
        <v>-8.4309999999999992</v>
      </c>
      <c r="U866">
        <v>177273</v>
      </c>
      <c r="V866">
        <f>YEAR(Spotify[[#This Row],[Date de sortie]])</f>
        <v>2020</v>
      </c>
      <c r="W866" s="2" t="str">
        <f>IF(Spotify[[#This Row],[Popularité]]&gt;=70,"FORTE","FAIBLE")</f>
        <v>FORTE</v>
      </c>
    </row>
    <row r="867" spans="1:23" x14ac:dyDescent="0.25">
      <c r="A867">
        <v>491</v>
      </c>
      <c r="B867">
        <v>121</v>
      </c>
      <c r="C867">
        <v>1</v>
      </c>
      <c r="D867" s="1">
        <v>44267</v>
      </c>
      <c r="E867" s="59" t="str" cm="1">
        <f t="array" ref="E86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867" t="s">
        <v>892</v>
      </c>
      <c r="G867" s="3">
        <v>6155698</v>
      </c>
      <c r="H867" t="s">
        <v>421</v>
      </c>
      <c r="I867" s="4">
        <v>2010879</v>
      </c>
      <c r="J867" t="s">
        <v>217</v>
      </c>
      <c r="K867" s="1">
        <v>44267</v>
      </c>
      <c r="L867">
        <v>71</v>
      </c>
      <c r="M867" s="2" t="str">
        <f>IF(Spotify[[#This Row],[Energie]]&gt;AVERAGE(Spotify[Energie]),"FORTE","FAIBLE")</f>
        <v>FORTE</v>
      </c>
      <c r="N867" s="2">
        <v>0.61599999999999999</v>
      </c>
      <c r="O867" s="2">
        <v>0.74099999999999999</v>
      </c>
      <c r="P867" s="2">
        <v>4.2599999999999999E-2</v>
      </c>
      <c r="Q867" s="2">
        <v>2.5100000000000001E-3</v>
      </c>
      <c r="R867" s="2">
        <v>0.307</v>
      </c>
      <c r="S867" s="2">
        <v>0.43099999999999999</v>
      </c>
      <c r="T867" s="2">
        <v>-4.2720000000000002</v>
      </c>
      <c r="U867">
        <v>181720</v>
      </c>
      <c r="V867">
        <f>YEAR(Spotify[[#This Row],[Date de sortie]])</f>
        <v>2021</v>
      </c>
      <c r="W867" s="2" t="str">
        <f>IF(Spotify[[#This Row],[Popularité]]&gt;=70,"FORTE","FAIBLE")</f>
        <v>FORTE</v>
      </c>
    </row>
    <row r="868" spans="1:23" x14ac:dyDescent="0.25">
      <c r="A868">
        <v>1436</v>
      </c>
      <c r="B868">
        <v>65</v>
      </c>
      <c r="C868">
        <v>7</v>
      </c>
      <c r="D868" s="1">
        <v>43826</v>
      </c>
      <c r="E868" s="59" t="str" cm="1">
        <f t="array" ref="E86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68" t="s">
        <v>2283</v>
      </c>
      <c r="G868" s="3">
        <v>6066001</v>
      </c>
      <c r="H868" t="s">
        <v>2043</v>
      </c>
      <c r="I868" s="4">
        <v>3991674</v>
      </c>
      <c r="J868" t="s">
        <v>19</v>
      </c>
      <c r="K868" s="1">
        <v>42370</v>
      </c>
      <c r="L868">
        <v>71</v>
      </c>
      <c r="M868" s="2" t="str">
        <f>IF(Spotify[[#This Row],[Energie]]&gt;AVERAGE(Spotify[Energie]),"FORTE","FAIBLE")</f>
        <v>FORTE</v>
      </c>
      <c r="N868" s="2">
        <v>0.66800000000000004</v>
      </c>
      <c r="O868" s="2">
        <v>0.89200000000000002</v>
      </c>
      <c r="P868" s="2">
        <v>6.4500000000000002E-2</v>
      </c>
      <c r="Q868" s="2">
        <v>0.29799999999999999</v>
      </c>
      <c r="R868" s="2">
        <v>0.73499999999999999</v>
      </c>
      <c r="S868" s="2">
        <v>0.47799999999999998</v>
      </c>
      <c r="T868" s="2">
        <v>-3.0009999999999999</v>
      </c>
      <c r="U868">
        <v>159011</v>
      </c>
      <c r="V868">
        <f>YEAR(Spotify[[#This Row],[Date de sortie]])</f>
        <v>2016</v>
      </c>
      <c r="W868" s="2" t="str">
        <f>IF(Spotify[[#This Row],[Popularité]]&gt;=70,"FORTE","FAIBLE")</f>
        <v>FORTE</v>
      </c>
    </row>
    <row r="869" spans="1:23" x14ac:dyDescent="0.25">
      <c r="A869">
        <v>741</v>
      </c>
      <c r="B869">
        <v>151</v>
      </c>
      <c r="C869">
        <v>5</v>
      </c>
      <c r="D869" s="1">
        <v>44106</v>
      </c>
      <c r="E869" s="59" t="str" cm="1">
        <f t="array" ref="E86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69" t="s">
        <v>1288</v>
      </c>
      <c r="G869" s="3">
        <v>6006877</v>
      </c>
      <c r="H869" t="s">
        <v>504</v>
      </c>
      <c r="I869" s="4">
        <v>15778531</v>
      </c>
      <c r="J869" t="s">
        <v>19</v>
      </c>
      <c r="K869" s="1">
        <v>44103</v>
      </c>
      <c r="L869">
        <v>71</v>
      </c>
      <c r="M869" s="2" t="str">
        <f>IF(Spotify[[#This Row],[Energie]]&gt;AVERAGE(Spotify[Energie]),"FORTE","FAIBLE")</f>
        <v>FORTE</v>
      </c>
      <c r="N869" s="2">
        <v>0.57999999999999996</v>
      </c>
      <c r="O869" s="2">
        <v>0.90800000000000003</v>
      </c>
      <c r="P869" s="2">
        <v>3.4099999999999998E-2</v>
      </c>
      <c r="Q869" s="2">
        <v>3.3500000000000001E-4</v>
      </c>
      <c r="R869" s="2">
        <v>8.6999999999999994E-2</v>
      </c>
      <c r="S869" s="2">
        <v>0.42699999999999999</v>
      </c>
      <c r="T869" s="2">
        <v>-5.3029999999999999</v>
      </c>
      <c r="U869">
        <v>213672</v>
      </c>
      <c r="V869">
        <f>YEAR(Spotify[[#This Row],[Date de sortie]])</f>
        <v>2020</v>
      </c>
      <c r="W869" s="2" t="str">
        <f>IF(Spotify[[#This Row],[Popularité]]&gt;=70,"FORTE","FAIBLE")</f>
        <v>FORTE</v>
      </c>
    </row>
    <row r="870" spans="1:23" x14ac:dyDescent="0.25">
      <c r="A870">
        <v>1010</v>
      </c>
      <c r="B870">
        <v>49</v>
      </c>
      <c r="C870">
        <v>2</v>
      </c>
      <c r="D870" s="1">
        <v>44022</v>
      </c>
      <c r="E870" s="59" t="str" cm="1">
        <f t="array" ref="E87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870" t="s">
        <v>1700</v>
      </c>
      <c r="G870" s="3">
        <v>5777859</v>
      </c>
      <c r="H870" t="s">
        <v>345</v>
      </c>
      <c r="I870" s="4">
        <v>19102888</v>
      </c>
      <c r="J870" t="s">
        <v>79</v>
      </c>
      <c r="K870" s="1">
        <v>44022</v>
      </c>
      <c r="L870">
        <v>71</v>
      </c>
      <c r="M870" s="2" t="str">
        <f>IF(Spotify[[#This Row],[Energie]]&gt;AVERAGE(Spotify[Energie]),"FORTE","FAIBLE")</f>
        <v>FORTE</v>
      </c>
      <c r="N870" s="2">
        <v>0.65200000000000002</v>
      </c>
      <c r="O870" s="2">
        <v>0.67100000000000004</v>
      </c>
      <c r="P870" s="2">
        <v>7.5600000000000001E-2</v>
      </c>
      <c r="Q870" s="2">
        <v>2.2200000000000001E-2</v>
      </c>
      <c r="R870" s="2">
        <v>0.107</v>
      </c>
      <c r="S870" s="2">
        <v>0.27400000000000002</v>
      </c>
      <c r="T870" s="2">
        <v>-5.89</v>
      </c>
      <c r="U870">
        <v>182922</v>
      </c>
      <c r="V870">
        <f>YEAR(Spotify[[#This Row],[Date de sortie]])</f>
        <v>2020</v>
      </c>
      <c r="W870" s="2" t="str">
        <f>IF(Spotify[[#This Row],[Popularité]]&gt;=70,"FORTE","FAIBLE")</f>
        <v>FORTE</v>
      </c>
    </row>
    <row r="871" spans="1:23" x14ac:dyDescent="0.25">
      <c r="A871">
        <v>1546</v>
      </c>
      <c r="B871">
        <v>128</v>
      </c>
      <c r="C871">
        <v>1</v>
      </c>
      <c r="D871" s="1">
        <v>43826</v>
      </c>
      <c r="E871" s="59" t="str" cm="1">
        <f t="array" ref="E87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71" t="s">
        <v>2429</v>
      </c>
      <c r="G871" s="3">
        <v>5632102</v>
      </c>
      <c r="H871" t="s">
        <v>18</v>
      </c>
      <c r="I871" s="4">
        <v>8671649</v>
      </c>
      <c r="J871" t="s">
        <v>19</v>
      </c>
      <c r="K871" s="1">
        <v>43189</v>
      </c>
      <c r="L871">
        <v>71</v>
      </c>
      <c r="M871" s="2" t="str">
        <f>IF(Spotify[[#This Row],[Energie]]&gt;AVERAGE(Spotify[Energie]),"FORTE","FAIBLE")</f>
        <v>FAIBLE</v>
      </c>
      <c r="N871" s="2">
        <v>0.68899999999999995</v>
      </c>
      <c r="O871" s="2">
        <v>0.51600000000000001</v>
      </c>
      <c r="P871" s="2">
        <v>4.4400000000000002E-2</v>
      </c>
      <c r="Q871" s="2">
        <v>0.51300000000000001</v>
      </c>
      <c r="R871" s="2">
        <v>0.16300000000000001</v>
      </c>
      <c r="S871" s="2">
        <v>0.20899999999999999</v>
      </c>
      <c r="T871" s="2">
        <v>-5.8570000000000002</v>
      </c>
      <c r="U871">
        <v>190920</v>
      </c>
      <c r="V871">
        <f>YEAR(Spotify[[#This Row],[Date de sortie]])</f>
        <v>2018</v>
      </c>
      <c r="W871" s="2" t="str">
        <f>IF(Spotify[[#This Row],[Popularité]]&gt;=70,"FORTE","FAIBLE")</f>
        <v>FORTE</v>
      </c>
    </row>
    <row r="872" spans="1:23" x14ac:dyDescent="0.25">
      <c r="A872">
        <v>1344</v>
      </c>
      <c r="B872">
        <v>167</v>
      </c>
      <c r="C872">
        <v>1</v>
      </c>
      <c r="D872" s="1">
        <v>43896</v>
      </c>
      <c r="E872" s="59" t="str" cm="1">
        <f t="array" ref="E87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72" t="s">
        <v>2160</v>
      </c>
      <c r="G872" s="3">
        <v>5578323</v>
      </c>
      <c r="H872" t="s">
        <v>2053</v>
      </c>
      <c r="I872" s="4">
        <v>4421378</v>
      </c>
      <c r="J872" t="s">
        <v>19</v>
      </c>
      <c r="K872" s="1">
        <v>43895</v>
      </c>
      <c r="L872">
        <v>71</v>
      </c>
      <c r="M872" s="2" t="str">
        <f>IF(Spotify[[#This Row],[Energie]]&gt;AVERAGE(Spotify[Energie]),"FORTE","FAIBLE")</f>
        <v>FAIBLE</v>
      </c>
      <c r="N872" s="2">
        <v>0.71599999999999997</v>
      </c>
      <c r="O872" s="2">
        <v>0.56299999999999994</v>
      </c>
      <c r="P872" s="2">
        <v>4.2500000000000003E-2</v>
      </c>
      <c r="Q872" s="2">
        <v>0.32600000000000001</v>
      </c>
      <c r="R872" s="2">
        <v>0.11899999999999999</v>
      </c>
      <c r="S872" s="2">
        <v>0.495</v>
      </c>
      <c r="T872" s="2">
        <v>-5.4859999999999998</v>
      </c>
      <c r="U872">
        <v>160465</v>
      </c>
      <c r="V872">
        <f>YEAR(Spotify[[#This Row],[Date de sortie]])</f>
        <v>2020</v>
      </c>
      <c r="W872" s="2" t="str">
        <f>IF(Spotify[[#This Row],[Popularité]]&gt;=70,"FORTE","FAIBLE")</f>
        <v>FORTE</v>
      </c>
    </row>
    <row r="873" spans="1:23" x14ac:dyDescent="0.25">
      <c r="A873">
        <v>449</v>
      </c>
      <c r="B873">
        <v>26</v>
      </c>
      <c r="C873">
        <v>4</v>
      </c>
      <c r="D873" s="1">
        <v>44267</v>
      </c>
      <c r="E873" s="59" t="str" cm="1">
        <f t="array" ref="E87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73" t="s">
        <v>819</v>
      </c>
      <c r="G873" s="3">
        <v>5427638</v>
      </c>
      <c r="H873" t="s">
        <v>744</v>
      </c>
      <c r="I873" s="4">
        <v>1099480</v>
      </c>
      <c r="J873"/>
      <c r="K873" s="1">
        <v>44267</v>
      </c>
      <c r="L873">
        <v>71</v>
      </c>
      <c r="M873" s="2" t="str">
        <f>IF(Spotify[[#This Row],[Energie]]&gt;AVERAGE(Spotify[Energie]),"FORTE","FAIBLE")</f>
        <v>FAIBLE</v>
      </c>
      <c r="N873" s="2">
        <v>0.64700000000000002</v>
      </c>
      <c r="O873" s="2">
        <v>0.377</v>
      </c>
      <c r="P873" s="2">
        <v>3.7499999999999999E-2</v>
      </c>
      <c r="Q873" s="2">
        <v>0.59399999999999997</v>
      </c>
      <c r="R873" s="2">
        <v>7.6799999999999993E-2</v>
      </c>
      <c r="S873" s="2">
        <v>0.65300000000000002</v>
      </c>
      <c r="T873" s="2">
        <v>-6.0030000000000001</v>
      </c>
      <c r="U873">
        <v>207164</v>
      </c>
      <c r="V873">
        <f>YEAR(Spotify[[#This Row],[Date de sortie]])</f>
        <v>2021</v>
      </c>
      <c r="W873" s="2" t="str">
        <f>IF(Spotify[[#This Row],[Popularité]]&gt;=70,"FORTE","FAIBLE")</f>
        <v>FORTE</v>
      </c>
    </row>
    <row r="874" spans="1:23" x14ac:dyDescent="0.25">
      <c r="A874">
        <v>794</v>
      </c>
      <c r="B874">
        <v>49</v>
      </c>
      <c r="C874">
        <v>12</v>
      </c>
      <c r="D874" s="1">
        <v>44071</v>
      </c>
      <c r="E874" s="59" t="str" cm="1">
        <f t="array" ref="E87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874" t="s">
        <v>1381</v>
      </c>
      <c r="G874" s="3">
        <v>5220504</v>
      </c>
      <c r="H874" t="s">
        <v>1382</v>
      </c>
      <c r="I874" s="4">
        <v>3198705</v>
      </c>
      <c r="J874" t="s">
        <v>110</v>
      </c>
      <c r="K874" s="1">
        <v>44063</v>
      </c>
      <c r="L874">
        <v>71</v>
      </c>
      <c r="M874" s="2" t="str">
        <f>IF(Spotify[[#This Row],[Energie]]&gt;AVERAGE(Spotify[Energie]),"FORTE","FAIBLE")</f>
        <v>FORTE</v>
      </c>
      <c r="N874" s="2">
        <v>0.752</v>
      </c>
      <c r="O874" s="2">
        <v>0.71599999999999997</v>
      </c>
      <c r="P874" s="2">
        <v>3.2500000000000001E-2</v>
      </c>
      <c r="Q874" s="2">
        <v>0.254</v>
      </c>
      <c r="R874" s="2">
        <v>0.24299999999999999</v>
      </c>
      <c r="S874" s="2">
        <v>0.55300000000000005</v>
      </c>
      <c r="T874" s="2">
        <v>-5.2</v>
      </c>
      <c r="U874">
        <v>206760</v>
      </c>
      <c r="V874">
        <f>YEAR(Spotify[[#This Row],[Date de sortie]])</f>
        <v>2020</v>
      </c>
      <c r="W874" s="2" t="str">
        <f>IF(Spotify[[#This Row],[Popularité]]&gt;=70,"FORTE","FAIBLE")</f>
        <v>FORTE</v>
      </c>
    </row>
    <row r="875" spans="1:23" x14ac:dyDescent="0.25">
      <c r="A875">
        <v>1373</v>
      </c>
      <c r="B875">
        <v>103</v>
      </c>
      <c r="C875">
        <v>7</v>
      </c>
      <c r="D875" s="1">
        <v>43854</v>
      </c>
      <c r="E875" s="59" t="str" cm="1">
        <f t="array" ref="E87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75" t="s">
        <v>2201</v>
      </c>
      <c r="G875" s="3">
        <v>5184069</v>
      </c>
      <c r="H875" t="s">
        <v>777</v>
      </c>
      <c r="I875" s="4">
        <v>4272745</v>
      </c>
      <c r="J875" t="s">
        <v>115</v>
      </c>
      <c r="K875" s="1">
        <v>44064</v>
      </c>
      <c r="L875">
        <v>71</v>
      </c>
      <c r="M875" s="2" t="str">
        <f>IF(Spotify[[#This Row],[Energie]]&gt;AVERAGE(Spotify[Energie]),"FORTE","FAIBLE")</f>
        <v>FORTE</v>
      </c>
      <c r="N875" s="2">
        <v>0.74199999999999999</v>
      </c>
      <c r="O875" s="2">
        <v>0.67900000000000005</v>
      </c>
      <c r="P875" s="2">
        <v>2.5899999999999999E-2</v>
      </c>
      <c r="Q875" s="2">
        <v>4.8800000000000003E-2</v>
      </c>
      <c r="R875" s="2">
        <v>7.5399999999999995E-2</v>
      </c>
      <c r="S875" s="2">
        <v>0.85599999999999998</v>
      </c>
      <c r="T875" s="2">
        <v>-4.5940000000000003</v>
      </c>
      <c r="U875">
        <v>201398</v>
      </c>
      <c r="V875">
        <f>YEAR(Spotify[[#This Row],[Date de sortie]])</f>
        <v>2020</v>
      </c>
      <c r="W875" s="2" t="str">
        <f>IF(Spotify[[#This Row],[Popularité]]&gt;=70,"FORTE","FAIBLE")</f>
        <v>FORTE</v>
      </c>
    </row>
    <row r="876" spans="1:23" x14ac:dyDescent="0.25">
      <c r="A876">
        <v>182</v>
      </c>
      <c r="B876">
        <v>181</v>
      </c>
      <c r="C876">
        <v>4</v>
      </c>
      <c r="D876" s="1">
        <v>44386</v>
      </c>
      <c r="E876" s="59" t="str" cm="1">
        <f t="array" ref="E87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76" t="s">
        <v>378</v>
      </c>
      <c r="G876" s="3">
        <v>5145493</v>
      </c>
      <c r="H876" t="s">
        <v>379</v>
      </c>
      <c r="I876" s="4">
        <v>180723</v>
      </c>
      <c r="J876"/>
      <c r="K876" s="1">
        <v>44357</v>
      </c>
      <c r="L876">
        <v>71</v>
      </c>
      <c r="M876" s="2" t="str">
        <f>IF(Spotify[[#This Row],[Energie]]&gt;AVERAGE(Spotify[Energie]),"FORTE","FAIBLE")</f>
        <v>FAIBLE</v>
      </c>
      <c r="N876" s="2">
        <v>0.42199999999999999</v>
      </c>
      <c r="O876" s="2">
        <v>0.25</v>
      </c>
      <c r="P876" s="2">
        <v>3.5099999999999999E-2</v>
      </c>
      <c r="Q876" s="2">
        <v>0.441</v>
      </c>
      <c r="R876" s="2">
        <v>0.35</v>
      </c>
      <c r="S876" s="2">
        <v>0.246</v>
      </c>
      <c r="T876" s="2">
        <v>-6.8360000000000003</v>
      </c>
      <c r="U876">
        <v>161613</v>
      </c>
      <c r="V876">
        <f>YEAR(Spotify[[#This Row],[Date de sortie]])</f>
        <v>2021</v>
      </c>
      <c r="W876" s="2" t="str">
        <f>IF(Spotify[[#This Row],[Popularité]]&gt;=70,"FORTE","FAIBLE")</f>
        <v>FORTE</v>
      </c>
    </row>
    <row r="877" spans="1:23" x14ac:dyDescent="0.25">
      <c r="A877">
        <v>969</v>
      </c>
      <c r="B877">
        <v>24</v>
      </c>
      <c r="C877">
        <v>3</v>
      </c>
      <c r="D877" s="1">
        <v>44036</v>
      </c>
      <c r="E877" s="59" t="str" cm="1">
        <f t="array" ref="E87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77" t="s">
        <v>1649</v>
      </c>
      <c r="G877" s="3">
        <v>5112180</v>
      </c>
      <c r="H877" t="s">
        <v>746</v>
      </c>
      <c r="I877" s="4">
        <v>42227614</v>
      </c>
      <c r="J877" t="s">
        <v>10</v>
      </c>
      <c r="K877" s="1">
        <v>44036</v>
      </c>
      <c r="L877">
        <v>71</v>
      </c>
      <c r="M877" s="2" t="str">
        <f>IF(Spotify[[#This Row],[Energie]]&gt;AVERAGE(Spotify[Energie]),"FORTE","FAIBLE")</f>
        <v>FAIBLE</v>
      </c>
      <c r="N877" s="2">
        <v>0.59299999999999997</v>
      </c>
      <c r="O877" s="2">
        <v>0.377</v>
      </c>
      <c r="P877" s="2">
        <v>2.53E-2</v>
      </c>
      <c r="Q877" s="2">
        <v>0.6</v>
      </c>
      <c r="R877" s="2">
        <v>9.7600000000000006E-2</v>
      </c>
      <c r="S877" s="2">
        <v>0.502</v>
      </c>
      <c r="T877" s="2">
        <v>-8.7609999999999992</v>
      </c>
      <c r="U877">
        <v>294521</v>
      </c>
      <c r="V877">
        <f>YEAR(Spotify[[#This Row],[Date de sortie]])</f>
        <v>2020</v>
      </c>
      <c r="W877" s="2" t="str">
        <f>IF(Spotify[[#This Row],[Popularité]]&gt;=70,"FORTE","FAIBLE")</f>
        <v>FORTE</v>
      </c>
    </row>
    <row r="878" spans="1:23" x14ac:dyDescent="0.25">
      <c r="A878">
        <v>951</v>
      </c>
      <c r="B878">
        <v>10</v>
      </c>
      <c r="C878">
        <v>4</v>
      </c>
      <c r="D878" s="1">
        <v>44036</v>
      </c>
      <c r="E878" s="59" t="str" cm="1">
        <f t="array" ref="E87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78" t="s">
        <v>1622</v>
      </c>
      <c r="G878" s="3">
        <v>5111416</v>
      </c>
      <c r="H878" t="s">
        <v>746</v>
      </c>
      <c r="I878" s="4">
        <v>42227614</v>
      </c>
      <c r="J878" t="s">
        <v>10</v>
      </c>
      <c r="K878" s="1">
        <v>44036</v>
      </c>
      <c r="L878">
        <v>71</v>
      </c>
      <c r="M878" s="2" t="str">
        <f>IF(Spotify[[#This Row],[Energie]]&gt;AVERAGE(Spotify[Energie]),"FORTE","FAIBLE")</f>
        <v>FAIBLE</v>
      </c>
      <c r="N878" s="2">
        <v>0.45600000000000002</v>
      </c>
      <c r="O878" s="2">
        <v>0.26300000000000001</v>
      </c>
      <c r="P878" s="2">
        <v>3.32E-2</v>
      </c>
      <c r="Q878" s="2">
        <v>0.80600000000000005</v>
      </c>
      <c r="R878" s="2">
        <v>7.4899999999999994E-2</v>
      </c>
      <c r="S878" s="2">
        <v>0.111</v>
      </c>
      <c r="T878" s="2">
        <v>-10.63</v>
      </c>
      <c r="U878">
        <v>255894</v>
      </c>
      <c r="V878">
        <f>YEAR(Spotify[[#This Row],[Date de sortie]])</f>
        <v>2020</v>
      </c>
      <c r="W878" s="2" t="str">
        <f>IF(Spotify[[#This Row],[Popularité]]&gt;=70,"FORTE","FAIBLE")</f>
        <v>FORTE</v>
      </c>
    </row>
    <row r="879" spans="1:23" x14ac:dyDescent="0.25">
      <c r="A879">
        <v>1035</v>
      </c>
      <c r="B879">
        <v>53</v>
      </c>
      <c r="C879">
        <v>2</v>
      </c>
      <c r="D879" s="1">
        <v>44015</v>
      </c>
      <c r="E879" s="59" t="str" cm="1">
        <f t="array" ref="E87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79" t="s">
        <v>1736</v>
      </c>
      <c r="G879" s="3">
        <v>5104422</v>
      </c>
      <c r="H879" t="s">
        <v>338</v>
      </c>
      <c r="I879" s="4">
        <v>6852509</v>
      </c>
      <c r="J879" t="s">
        <v>158</v>
      </c>
      <c r="K879" s="1">
        <v>44015</v>
      </c>
      <c r="L879">
        <v>71</v>
      </c>
      <c r="M879" s="2" t="str">
        <f>IF(Spotify[[#This Row],[Energie]]&gt;AVERAGE(Spotify[Energie]),"FORTE","FAIBLE")</f>
        <v>FAIBLE</v>
      </c>
      <c r="N879" s="2">
        <v>0.54800000000000004</v>
      </c>
      <c r="O879" s="2">
        <v>0.50600000000000001</v>
      </c>
      <c r="P879" s="2">
        <v>0.10199999999999999</v>
      </c>
      <c r="Q879" s="2">
        <v>0.20300000000000001</v>
      </c>
      <c r="R879" s="2">
        <v>7.8799999999999995E-2</v>
      </c>
      <c r="S879" s="2">
        <v>0.55700000000000005</v>
      </c>
      <c r="T879" s="2">
        <v>-7.4340000000000002</v>
      </c>
      <c r="U879">
        <v>160000</v>
      </c>
      <c r="V879">
        <f>YEAR(Spotify[[#This Row],[Date de sortie]])</f>
        <v>2020</v>
      </c>
      <c r="W879" s="2" t="str">
        <f>IF(Spotify[[#This Row],[Popularité]]&gt;=70,"FORTE","FAIBLE")</f>
        <v>FORTE</v>
      </c>
    </row>
    <row r="880" spans="1:23" x14ac:dyDescent="0.25">
      <c r="A880">
        <v>995</v>
      </c>
      <c r="B880">
        <v>163</v>
      </c>
      <c r="C880">
        <v>1</v>
      </c>
      <c r="D880" s="1">
        <v>44036</v>
      </c>
      <c r="E880" s="59" t="str" cm="1">
        <f t="array" ref="E88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880" t="s">
        <v>1679</v>
      </c>
      <c r="G880" s="3">
        <v>5056986</v>
      </c>
      <c r="H880" t="s">
        <v>6</v>
      </c>
      <c r="I880" s="4">
        <v>2238190</v>
      </c>
      <c r="J880" t="s">
        <v>7</v>
      </c>
      <c r="K880" s="1">
        <v>44036</v>
      </c>
      <c r="L880">
        <v>71</v>
      </c>
      <c r="M880" s="2" t="str">
        <f>IF(Spotify[[#This Row],[Energie]]&gt;AVERAGE(Spotify[Energie]),"FORTE","FAIBLE")</f>
        <v>FORTE</v>
      </c>
      <c r="N880" s="2">
        <v>0.6</v>
      </c>
      <c r="O880" s="2">
        <v>0.72299999999999998</v>
      </c>
      <c r="P880" s="2">
        <v>0.158</v>
      </c>
      <c r="Q880" s="2">
        <v>0.109</v>
      </c>
      <c r="R880" s="2">
        <v>0.16700000000000001</v>
      </c>
      <c r="S880" s="2">
        <v>0.46300000000000002</v>
      </c>
      <c r="T880" s="2">
        <v>-4.9279999999999999</v>
      </c>
      <c r="U880">
        <v>195268</v>
      </c>
      <c r="V880">
        <f>YEAR(Spotify[[#This Row],[Date de sortie]])</f>
        <v>2020</v>
      </c>
      <c r="W880" s="2" t="str">
        <f>IF(Spotify[[#This Row],[Popularité]]&gt;=70,"FORTE","FAIBLE")</f>
        <v>FORTE</v>
      </c>
    </row>
    <row r="881" spans="1:23" x14ac:dyDescent="0.25">
      <c r="A881">
        <v>1461</v>
      </c>
      <c r="B881">
        <v>86</v>
      </c>
      <c r="C881">
        <v>6</v>
      </c>
      <c r="D881" s="1">
        <v>43833</v>
      </c>
      <c r="E881" s="59" t="str" cm="1">
        <f t="array" ref="E88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81" t="s">
        <v>2322</v>
      </c>
      <c r="G881" s="3">
        <v>5044853</v>
      </c>
      <c r="H881" t="s">
        <v>955</v>
      </c>
      <c r="I881" s="4">
        <v>15663384</v>
      </c>
      <c r="J881" t="s">
        <v>19</v>
      </c>
      <c r="K881" s="1">
        <v>43847</v>
      </c>
      <c r="L881">
        <v>71</v>
      </c>
      <c r="M881" s="2" t="str">
        <f>IF(Spotify[[#This Row],[Energie]]&gt;AVERAGE(Spotify[Energie]),"FORTE","FAIBLE")</f>
        <v>FAIBLE</v>
      </c>
      <c r="N881" s="2">
        <v>0.66700000000000004</v>
      </c>
      <c r="O881" s="2">
        <v>0.58299999999999996</v>
      </c>
      <c r="P881" s="2">
        <v>7.4700000000000003E-2</v>
      </c>
      <c r="Q881" s="2">
        <v>0.23100000000000001</v>
      </c>
      <c r="R881" s="2">
        <v>0.18099999999999999</v>
      </c>
      <c r="S881" s="2">
        <v>0.187</v>
      </c>
      <c r="T881" s="2">
        <v>-5.1269999999999998</v>
      </c>
      <c r="U881">
        <v>181806</v>
      </c>
      <c r="V881">
        <f>YEAR(Spotify[[#This Row],[Date de sortie]])</f>
        <v>2020</v>
      </c>
      <c r="W881" s="2" t="str">
        <f>IF(Spotify[[#This Row],[Popularité]]&gt;=70,"FORTE","FAIBLE")</f>
        <v>FORTE</v>
      </c>
    </row>
    <row r="882" spans="1:23" x14ac:dyDescent="0.25">
      <c r="A882">
        <v>460</v>
      </c>
      <c r="B882">
        <v>50</v>
      </c>
      <c r="C882">
        <v>3</v>
      </c>
      <c r="D882" s="1">
        <v>44274</v>
      </c>
      <c r="E882" s="59" t="str" cm="1">
        <f t="array" ref="E88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82" t="s">
        <v>839</v>
      </c>
      <c r="G882" s="3">
        <v>5013450</v>
      </c>
      <c r="H882" t="s">
        <v>35</v>
      </c>
      <c r="I882" s="4">
        <v>48544923</v>
      </c>
      <c r="J882" t="s">
        <v>36</v>
      </c>
      <c r="K882" s="1">
        <v>44274</v>
      </c>
      <c r="L882">
        <v>71</v>
      </c>
      <c r="M882" s="2" t="str">
        <f>IF(Spotify[[#This Row],[Energie]]&gt;AVERAGE(Spotify[Energie]),"FORTE","FAIBLE")</f>
        <v>FORTE</v>
      </c>
      <c r="N882" s="2">
        <v>0.60099999999999998</v>
      </c>
      <c r="O882" s="2">
        <v>0.74099999999999999</v>
      </c>
      <c r="P882" s="2">
        <v>4.7800000000000002E-2</v>
      </c>
      <c r="Q882" s="2">
        <v>0.185</v>
      </c>
      <c r="R882" s="2">
        <v>0.41499999999999998</v>
      </c>
      <c r="S882" s="2">
        <v>0.441</v>
      </c>
      <c r="T882" s="2">
        <v>-5.569</v>
      </c>
      <c r="U882">
        <v>153190</v>
      </c>
      <c r="V882">
        <f>YEAR(Spotify[[#This Row],[Date de sortie]])</f>
        <v>2021</v>
      </c>
      <c r="W882" s="2" t="str">
        <f>IF(Spotify[[#This Row],[Popularité]]&gt;=70,"FORTE","FAIBLE")</f>
        <v>FORTE</v>
      </c>
    </row>
    <row r="883" spans="1:23" x14ac:dyDescent="0.25">
      <c r="A883">
        <v>1159</v>
      </c>
      <c r="B883">
        <v>159</v>
      </c>
      <c r="C883">
        <v>1</v>
      </c>
      <c r="D883" s="1">
        <v>43973</v>
      </c>
      <c r="E883" s="59" t="str" cm="1">
        <f t="array" ref="E88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83" t="s">
        <v>1911</v>
      </c>
      <c r="G883" s="3">
        <v>4861870</v>
      </c>
      <c r="H883" t="s">
        <v>896</v>
      </c>
      <c r="I883" s="4">
        <v>20528724</v>
      </c>
      <c r="J883" t="s">
        <v>897</v>
      </c>
      <c r="K883" s="1">
        <v>43971</v>
      </c>
      <c r="L883">
        <v>71</v>
      </c>
      <c r="M883" s="2" t="str">
        <f>IF(Spotify[[#This Row],[Energie]]&gt;AVERAGE(Spotify[Energie]),"FORTE","FAIBLE")</f>
        <v>FORTE</v>
      </c>
      <c r="N883" s="2">
        <v>0.52100000000000002</v>
      </c>
      <c r="O883" s="2">
        <v>0.877</v>
      </c>
      <c r="P883" s="2">
        <v>6.83E-2</v>
      </c>
      <c r="Q883" s="2">
        <v>1.32E-2</v>
      </c>
      <c r="R883" s="2">
        <v>9.2899999999999996E-2</v>
      </c>
      <c r="S883" s="2">
        <v>0.19900000000000001</v>
      </c>
      <c r="T883" s="2">
        <v>-5.444</v>
      </c>
      <c r="U883">
        <v>205208</v>
      </c>
      <c r="V883">
        <f>YEAR(Spotify[[#This Row],[Date de sortie]])</f>
        <v>2020</v>
      </c>
      <c r="W883" s="2" t="str">
        <f>IF(Spotify[[#This Row],[Popularité]]&gt;=70,"FORTE","FAIBLE")</f>
        <v>FORTE</v>
      </c>
    </row>
    <row r="884" spans="1:23" x14ac:dyDescent="0.25">
      <c r="A884">
        <v>1532</v>
      </c>
      <c r="B884">
        <v>153</v>
      </c>
      <c r="C884">
        <v>3</v>
      </c>
      <c r="D884" s="1">
        <v>43826</v>
      </c>
      <c r="E884" s="59" t="str" cm="1">
        <f t="array" ref="E88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84" t="s">
        <v>2409</v>
      </c>
      <c r="G884" s="3">
        <v>4816702</v>
      </c>
      <c r="H884" t="s">
        <v>894</v>
      </c>
      <c r="I884" s="4">
        <v>7408249</v>
      </c>
      <c r="J884" t="s">
        <v>19</v>
      </c>
      <c r="K884" s="1">
        <v>43671</v>
      </c>
      <c r="L884">
        <v>71</v>
      </c>
      <c r="M884" s="2" t="str">
        <f>IF(Spotify[[#This Row],[Energie]]&gt;AVERAGE(Spotify[Energie]),"FORTE","FAIBLE")</f>
        <v>FORTE</v>
      </c>
      <c r="N884" s="2">
        <v>0.84199999999999997</v>
      </c>
      <c r="O884" s="2">
        <v>0.80100000000000005</v>
      </c>
      <c r="P884" s="2">
        <v>0.22800000000000001</v>
      </c>
      <c r="Q884" s="2">
        <v>0.157</v>
      </c>
      <c r="R884" s="2">
        <v>6.4199999999999993E-2</v>
      </c>
      <c r="S884" s="2">
        <v>0.61699999999999999</v>
      </c>
      <c r="T884" s="2">
        <v>-4.1669999999999998</v>
      </c>
      <c r="U884">
        <v>212500</v>
      </c>
      <c r="V884">
        <f>YEAR(Spotify[[#This Row],[Date de sortie]])</f>
        <v>2019</v>
      </c>
      <c r="W884" s="2" t="str">
        <f>IF(Spotify[[#This Row],[Popularité]]&gt;=70,"FORTE","FAIBLE")</f>
        <v>FORTE</v>
      </c>
    </row>
    <row r="885" spans="1:23" x14ac:dyDescent="0.25">
      <c r="A885">
        <v>605</v>
      </c>
      <c r="B885">
        <v>5</v>
      </c>
      <c r="C885">
        <v>19</v>
      </c>
      <c r="D885" s="1">
        <v>44071</v>
      </c>
      <c r="E885" s="59" t="str" cm="1">
        <f t="array" ref="E88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85" t="s">
        <v>1074</v>
      </c>
      <c r="G885" s="3">
        <v>4812765</v>
      </c>
      <c r="H885" t="s">
        <v>917</v>
      </c>
      <c r="I885" s="4">
        <v>23848461</v>
      </c>
      <c r="J885" t="s">
        <v>33</v>
      </c>
      <c r="K885" s="1">
        <v>44106</v>
      </c>
      <c r="L885">
        <v>71</v>
      </c>
      <c r="M885" s="2" t="str">
        <f>IF(Spotify[[#This Row],[Energie]]&gt;AVERAGE(Spotify[Energie]),"FORTE","FAIBLE")</f>
        <v>FORTE</v>
      </c>
      <c r="N885" s="2">
        <v>0.79</v>
      </c>
      <c r="O885" s="2">
        <v>0.70099999999999996</v>
      </c>
      <c r="P885" s="2">
        <v>0.36499999999999999</v>
      </c>
      <c r="Q885" s="2">
        <v>3.1699999999999999E-2</v>
      </c>
      <c r="R885" s="2">
        <v>3.1099999999999999E-2</v>
      </c>
      <c r="S885" s="2">
        <v>0.91</v>
      </c>
      <c r="T885" s="2">
        <v>-4.8099999999999996</v>
      </c>
      <c r="U885">
        <v>177813</v>
      </c>
      <c r="V885">
        <f>YEAR(Spotify[[#This Row],[Date de sortie]])</f>
        <v>2020</v>
      </c>
      <c r="W885" s="2" t="str">
        <f>IF(Spotify[[#This Row],[Popularité]]&gt;=70,"FORTE","FAIBLE")</f>
        <v>FORTE</v>
      </c>
    </row>
    <row r="886" spans="1:23" x14ac:dyDescent="0.25">
      <c r="A886">
        <v>881</v>
      </c>
      <c r="B886">
        <v>76</v>
      </c>
      <c r="C886">
        <v>17</v>
      </c>
      <c r="D886" s="1">
        <v>44008</v>
      </c>
      <c r="E886" s="59" t="str" cm="1">
        <f t="array" ref="E88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886" t="s">
        <v>1508</v>
      </c>
      <c r="G886" s="3">
        <v>4761286</v>
      </c>
      <c r="H886" t="s">
        <v>1509</v>
      </c>
      <c r="I886" s="4">
        <v>134339</v>
      </c>
      <c r="J886" t="s">
        <v>1510</v>
      </c>
      <c r="K886" s="1">
        <v>44022</v>
      </c>
      <c r="L886">
        <v>71</v>
      </c>
      <c r="M886" s="2" t="str">
        <f>IF(Spotify[[#This Row],[Energie]]&gt;AVERAGE(Spotify[Energie]),"FORTE","FAIBLE")</f>
        <v>FAIBLE</v>
      </c>
      <c r="N886" s="2">
        <v>0.80100000000000005</v>
      </c>
      <c r="O886" s="2">
        <v>0.57899999999999996</v>
      </c>
      <c r="P886" s="2">
        <v>8.1299999999999997E-2</v>
      </c>
      <c r="Q886" s="2">
        <v>0.33300000000000002</v>
      </c>
      <c r="R886" s="2">
        <v>0.17199999999999999</v>
      </c>
      <c r="S886" s="2">
        <v>0.23100000000000001</v>
      </c>
      <c r="T886" s="2">
        <v>-4.78</v>
      </c>
      <c r="U886">
        <v>212406</v>
      </c>
      <c r="V886">
        <f>YEAR(Spotify[[#This Row],[Date de sortie]])</f>
        <v>2020</v>
      </c>
      <c r="W886" s="2" t="str">
        <f>IF(Spotify[[#This Row],[Popularité]]&gt;=70,"FORTE","FAIBLE")</f>
        <v>FORTE</v>
      </c>
    </row>
    <row r="887" spans="1:23" x14ac:dyDescent="0.25">
      <c r="A887">
        <v>1118</v>
      </c>
      <c r="B887">
        <v>63</v>
      </c>
      <c r="C887">
        <v>2</v>
      </c>
      <c r="D887" s="1">
        <v>43980</v>
      </c>
      <c r="E887" s="59" t="str" cm="1">
        <f t="array" ref="E88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887" t="s">
        <v>1855</v>
      </c>
      <c r="G887" s="3">
        <v>4727415</v>
      </c>
      <c r="H887" t="s">
        <v>1856</v>
      </c>
      <c r="I887" s="4">
        <v>8099554</v>
      </c>
      <c r="J887" t="s">
        <v>531</v>
      </c>
      <c r="K887" s="1">
        <v>43226</v>
      </c>
      <c r="L887">
        <v>71</v>
      </c>
      <c r="M887" s="2" t="str">
        <f>IF(Spotify[[#This Row],[Energie]]&gt;AVERAGE(Spotify[Energie]),"FORTE","FAIBLE")</f>
        <v>FAIBLE</v>
      </c>
      <c r="N887" s="2">
        <v>0.85399999999999998</v>
      </c>
      <c r="O887" s="2">
        <v>0.46300000000000002</v>
      </c>
      <c r="P887" s="2">
        <v>0.13700000000000001</v>
      </c>
      <c r="Q887" s="2">
        <v>0.11700000000000001</v>
      </c>
      <c r="R887" s="2">
        <v>0.35399999999999998</v>
      </c>
      <c r="S887" s="2">
        <v>0.54900000000000004</v>
      </c>
      <c r="T887" s="2">
        <v>-6.1589999999999998</v>
      </c>
      <c r="U887">
        <v>225773</v>
      </c>
      <c r="V887">
        <f>YEAR(Spotify[[#This Row],[Date de sortie]])</f>
        <v>2018</v>
      </c>
      <c r="W887" s="2" t="str">
        <f>IF(Spotify[[#This Row],[Popularité]]&gt;=70,"FORTE","FAIBLE")</f>
        <v>FORTE</v>
      </c>
    </row>
    <row r="888" spans="1:23" x14ac:dyDescent="0.25">
      <c r="A888">
        <v>1001</v>
      </c>
      <c r="B888">
        <v>24</v>
      </c>
      <c r="C888">
        <v>3</v>
      </c>
      <c r="D888" s="1">
        <v>44022</v>
      </c>
      <c r="E888" s="59" t="str" cm="1">
        <f t="array" ref="E88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888" t="s">
        <v>1688</v>
      </c>
      <c r="G888" s="3">
        <v>4687464</v>
      </c>
      <c r="H888" t="s">
        <v>345</v>
      </c>
      <c r="I888" s="4">
        <v>19102888</v>
      </c>
      <c r="J888" t="s">
        <v>79</v>
      </c>
      <c r="K888" s="1">
        <v>44022</v>
      </c>
      <c r="L888">
        <v>71</v>
      </c>
      <c r="M888" s="2" t="str">
        <f>IF(Spotify[[#This Row],[Energie]]&gt;AVERAGE(Spotify[Energie]),"FORTE","FAIBLE")</f>
        <v>FAIBLE</v>
      </c>
      <c r="N888" s="2">
        <v>0.56699999999999995</v>
      </c>
      <c r="O888" s="2">
        <v>0.54500000000000004</v>
      </c>
      <c r="P888" s="2">
        <v>4.48E-2</v>
      </c>
      <c r="Q888" s="2">
        <v>0.16800000000000001</v>
      </c>
      <c r="R888" s="2">
        <v>0.112</v>
      </c>
      <c r="S888" s="2">
        <v>0.23400000000000001</v>
      </c>
      <c r="T888" s="2">
        <v>-6.6680000000000001</v>
      </c>
      <c r="U888">
        <v>176650</v>
      </c>
      <c r="V888">
        <f>YEAR(Spotify[[#This Row],[Date de sortie]])</f>
        <v>2020</v>
      </c>
      <c r="W888" s="2" t="str">
        <f>IF(Spotify[[#This Row],[Popularité]]&gt;=70,"FORTE","FAIBLE")</f>
        <v>FORTE</v>
      </c>
    </row>
    <row r="889" spans="1:23" x14ac:dyDescent="0.25">
      <c r="A889">
        <v>1293</v>
      </c>
      <c r="B889">
        <v>63</v>
      </c>
      <c r="C889">
        <v>4</v>
      </c>
      <c r="D889" s="1">
        <v>43889</v>
      </c>
      <c r="E889" s="59" t="str" cm="1">
        <f t="array" ref="E88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89" t="s">
        <v>2095</v>
      </c>
      <c r="G889" s="3">
        <v>4684378</v>
      </c>
      <c r="H889" t="s">
        <v>24</v>
      </c>
      <c r="I889" s="4">
        <v>36177712</v>
      </c>
      <c r="J889" t="s">
        <v>25</v>
      </c>
      <c r="K889" s="1">
        <v>43890</v>
      </c>
      <c r="L889">
        <v>71</v>
      </c>
      <c r="M889" s="2" t="str">
        <f>IF(Spotify[[#This Row],[Energie]]&gt;AVERAGE(Spotify[Energie]),"FORTE","FAIBLE")</f>
        <v>FORTE</v>
      </c>
      <c r="N889" s="2">
        <v>0.76100000000000001</v>
      </c>
      <c r="O889" s="2">
        <v>0.73199999999999998</v>
      </c>
      <c r="P889" s="2">
        <v>5.4899999999999997E-2</v>
      </c>
      <c r="Q889" s="2">
        <v>9.1999999999999998E-2</v>
      </c>
      <c r="R889" s="2">
        <v>7.1599999999999997E-2</v>
      </c>
      <c r="S889" s="2">
        <v>0.54200000000000004</v>
      </c>
      <c r="T889" s="2">
        <v>-5.4690000000000003</v>
      </c>
      <c r="U889">
        <v>243276</v>
      </c>
      <c r="V889">
        <f>YEAR(Spotify[[#This Row],[Date de sortie]])</f>
        <v>2020</v>
      </c>
      <c r="W889" s="2" t="str">
        <f>IF(Spotify[[#This Row],[Popularité]]&gt;=70,"FORTE","FAIBLE")</f>
        <v>FORTE</v>
      </c>
    </row>
    <row r="890" spans="1:23" x14ac:dyDescent="0.25">
      <c r="A890">
        <v>1092</v>
      </c>
      <c r="B890">
        <v>84</v>
      </c>
      <c r="C890">
        <v>15</v>
      </c>
      <c r="D890" s="1">
        <v>43924</v>
      </c>
      <c r="E890" s="59" t="str" cm="1">
        <f t="array" ref="E89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90" t="s">
        <v>1814</v>
      </c>
      <c r="G890" s="3">
        <v>4654587</v>
      </c>
      <c r="H890" t="s">
        <v>1815</v>
      </c>
      <c r="I890" s="4">
        <v>2786366</v>
      </c>
      <c r="J890" t="s">
        <v>19</v>
      </c>
      <c r="K890" s="1">
        <v>43840</v>
      </c>
      <c r="L890">
        <v>71</v>
      </c>
      <c r="M890" s="2" t="str">
        <f>IF(Spotify[[#This Row],[Energie]]&gt;AVERAGE(Spotify[Energie]),"FORTE","FAIBLE")</f>
        <v>FORTE</v>
      </c>
      <c r="N890" s="2">
        <v>0.56999999999999995</v>
      </c>
      <c r="O890" s="2">
        <v>0.67200000000000004</v>
      </c>
      <c r="P890" s="2">
        <v>7.1599999999999997E-2</v>
      </c>
      <c r="Q890" s="2">
        <v>0.17199999999999999</v>
      </c>
      <c r="R890" s="2">
        <v>7.6799999999999993E-2</v>
      </c>
      <c r="S890" s="2">
        <v>0.46100000000000002</v>
      </c>
      <c r="T890" s="2">
        <v>-5.8879999999999999</v>
      </c>
      <c r="U890">
        <v>208222</v>
      </c>
      <c r="V890">
        <f>YEAR(Spotify[[#This Row],[Date de sortie]])</f>
        <v>2020</v>
      </c>
      <c r="W890" s="2" t="str">
        <f>IF(Spotify[[#This Row],[Popularité]]&gt;=70,"FORTE","FAIBLE")</f>
        <v>FORTE</v>
      </c>
    </row>
    <row r="891" spans="1:23" x14ac:dyDescent="0.25">
      <c r="A891">
        <v>1163</v>
      </c>
      <c r="B891">
        <v>98</v>
      </c>
      <c r="C891">
        <v>8</v>
      </c>
      <c r="D891" s="1">
        <v>43945</v>
      </c>
      <c r="E891" s="59" t="str" cm="1">
        <f t="array" ref="E89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91" t="s">
        <v>1916</v>
      </c>
      <c r="G891" s="3">
        <v>4642284</v>
      </c>
      <c r="H891" t="s">
        <v>1917</v>
      </c>
      <c r="I891" s="4">
        <v>378114</v>
      </c>
      <c r="J891" t="s">
        <v>313</v>
      </c>
      <c r="K891" s="1">
        <v>42629</v>
      </c>
      <c r="L891">
        <v>71</v>
      </c>
      <c r="M891" s="2" t="str">
        <f>IF(Spotify[[#This Row],[Energie]]&gt;AVERAGE(Spotify[Energie]),"FORTE","FAIBLE")</f>
        <v>FORTE</v>
      </c>
      <c r="N891" s="2">
        <v>0.65300000000000002</v>
      </c>
      <c r="O891" s="2">
        <v>0.94499999999999995</v>
      </c>
      <c r="P891" s="2">
        <v>9.6000000000000002E-2</v>
      </c>
      <c r="Q891" s="2">
        <v>5.6100000000000004E-3</v>
      </c>
      <c r="R891" s="2">
        <v>0.439</v>
      </c>
      <c r="S891" s="2">
        <v>0.32600000000000001</v>
      </c>
      <c r="T891" s="2">
        <v>-2.6339999999999999</v>
      </c>
      <c r="U891">
        <v>198095</v>
      </c>
      <c r="V891">
        <f>YEAR(Spotify[[#This Row],[Date de sortie]])</f>
        <v>2016</v>
      </c>
      <c r="W891" s="2" t="str">
        <f>IF(Spotify[[#This Row],[Popularité]]&gt;=70,"FORTE","FAIBLE")</f>
        <v>FORTE</v>
      </c>
    </row>
    <row r="892" spans="1:23" x14ac:dyDescent="0.25">
      <c r="A892">
        <v>1066</v>
      </c>
      <c r="B892">
        <v>142</v>
      </c>
      <c r="C892">
        <v>3</v>
      </c>
      <c r="D892" s="1">
        <v>43994</v>
      </c>
      <c r="E892" s="59" t="str" cm="1">
        <f t="array" ref="E89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892" t="s">
        <v>1778</v>
      </c>
      <c r="G892" s="3">
        <v>4633237</v>
      </c>
      <c r="H892" t="s">
        <v>932</v>
      </c>
      <c r="I892" s="4">
        <v>7816213</v>
      </c>
      <c r="J892" t="s">
        <v>531</v>
      </c>
      <c r="K892" s="1">
        <v>43889</v>
      </c>
      <c r="L892">
        <v>71</v>
      </c>
      <c r="M892" s="2" t="str">
        <f>IF(Spotify[[#This Row],[Energie]]&gt;AVERAGE(Spotify[Energie]),"FORTE","FAIBLE")</f>
        <v>FORTE</v>
      </c>
      <c r="N892" s="2">
        <v>0.58499999999999996</v>
      </c>
      <c r="O892" s="2">
        <v>0.64100000000000001</v>
      </c>
      <c r="P892" s="2">
        <v>0.13300000000000001</v>
      </c>
      <c r="Q892" s="2">
        <v>2.86E-2</v>
      </c>
      <c r="R892" s="2">
        <v>0.316</v>
      </c>
      <c r="S892" s="2">
        <v>0.26600000000000001</v>
      </c>
      <c r="T892" s="2">
        <v>-4.2690000000000001</v>
      </c>
      <c r="U892">
        <v>197530</v>
      </c>
      <c r="V892">
        <f>YEAR(Spotify[[#This Row],[Date de sortie]])</f>
        <v>2020</v>
      </c>
      <c r="W892" s="2" t="str">
        <f>IF(Spotify[[#This Row],[Popularité]]&gt;=70,"FORTE","FAIBLE")</f>
        <v>FORTE</v>
      </c>
    </row>
    <row r="893" spans="1:23" x14ac:dyDescent="0.25">
      <c r="A893">
        <v>1294</v>
      </c>
      <c r="B893">
        <v>81</v>
      </c>
      <c r="C893">
        <v>3</v>
      </c>
      <c r="D893" s="1">
        <v>43896</v>
      </c>
      <c r="E893" s="59" t="str" cm="1">
        <f t="array" ref="E89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93" t="s">
        <v>2096</v>
      </c>
      <c r="G893" s="3">
        <v>4591194</v>
      </c>
      <c r="H893" t="s">
        <v>2097</v>
      </c>
      <c r="I893" s="4">
        <v>8123757</v>
      </c>
      <c r="J893" t="s">
        <v>1301</v>
      </c>
      <c r="K893" s="1">
        <v>43980</v>
      </c>
      <c r="L893">
        <v>71</v>
      </c>
      <c r="M893" s="2" t="str">
        <f>IF(Spotify[[#This Row],[Energie]]&gt;AVERAGE(Spotify[Energie]),"FORTE","FAIBLE")</f>
        <v>FAIBLE</v>
      </c>
      <c r="N893" s="2">
        <v>0.65</v>
      </c>
      <c r="O893" s="2">
        <v>0.55800000000000005</v>
      </c>
      <c r="P893" s="2">
        <v>3.09E-2</v>
      </c>
      <c r="Q893" s="2">
        <v>0.36799999999999999</v>
      </c>
      <c r="R893" s="2">
        <v>0.30299999999999999</v>
      </c>
      <c r="S893" s="2">
        <v>0.72499999999999998</v>
      </c>
      <c r="T893" s="2">
        <v>-3.0819999999999999</v>
      </c>
      <c r="U893">
        <v>159533</v>
      </c>
      <c r="V893">
        <f>YEAR(Spotify[[#This Row],[Date de sortie]])</f>
        <v>2020</v>
      </c>
      <c r="W893" s="2" t="str">
        <f>IF(Spotify[[#This Row],[Popularité]]&gt;=70,"FORTE","FAIBLE")</f>
        <v>FORTE</v>
      </c>
    </row>
    <row r="894" spans="1:23" x14ac:dyDescent="0.25">
      <c r="A894">
        <v>990</v>
      </c>
      <c r="B894">
        <v>86</v>
      </c>
      <c r="C894">
        <v>5</v>
      </c>
      <c r="D894" s="1">
        <v>44015</v>
      </c>
      <c r="E894" s="59" t="str" cm="1">
        <f t="array" ref="E89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894" t="s">
        <v>1673</v>
      </c>
      <c r="G894" s="3">
        <v>4583475</v>
      </c>
      <c r="H894" t="s">
        <v>1345</v>
      </c>
      <c r="I894" s="4">
        <v>3866304</v>
      </c>
      <c r="J894" t="s">
        <v>426</v>
      </c>
      <c r="K894" s="1">
        <v>44126</v>
      </c>
      <c r="L894">
        <v>71</v>
      </c>
      <c r="M894" s="2" t="str">
        <f>IF(Spotify[[#This Row],[Energie]]&gt;AVERAGE(Spotify[Energie]),"FORTE","FAIBLE")</f>
        <v>FAIBLE</v>
      </c>
      <c r="N894" s="2">
        <v>0.81799999999999995</v>
      </c>
      <c r="O894" s="2">
        <v>0.59799999999999998</v>
      </c>
      <c r="P894" s="2">
        <v>0.113</v>
      </c>
      <c r="Q894" s="2">
        <v>5.7299999999999997E-2</v>
      </c>
      <c r="R894" s="2">
        <v>0.63400000000000001</v>
      </c>
      <c r="S894" s="2">
        <v>0.33100000000000002</v>
      </c>
      <c r="T894" s="2">
        <v>-5.9480000000000004</v>
      </c>
      <c r="U894">
        <v>231618</v>
      </c>
      <c r="V894">
        <f>YEAR(Spotify[[#This Row],[Date de sortie]])</f>
        <v>2020</v>
      </c>
      <c r="W894" s="2" t="str">
        <f>IF(Spotify[[#This Row],[Popularité]]&gt;=70,"FORTE","FAIBLE")</f>
        <v>FORTE</v>
      </c>
    </row>
    <row r="895" spans="1:23" x14ac:dyDescent="0.25">
      <c r="A895">
        <v>897</v>
      </c>
      <c r="B895">
        <v>194</v>
      </c>
      <c r="C895">
        <v>1</v>
      </c>
      <c r="D895" s="1">
        <v>44092</v>
      </c>
      <c r="E895" s="59" t="str" cm="1">
        <f t="array" ref="E89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95" t="s">
        <v>1534</v>
      </c>
      <c r="G895" s="3">
        <v>4569978</v>
      </c>
      <c r="H895" t="s">
        <v>1535</v>
      </c>
      <c r="I895" s="4">
        <v>7593792</v>
      </c>
      <c r="J895" t="s">
        <v>313</v>
      </c>
      <c r="K895" s="1">
        <v>44092</v>
      </c>
      <c r="L895">
        <v>71</v>
      </c>
      <c r="M895" s="2" t="str">
        <f>IF(Spotify[[#This Row],[Energie]]&gt;AVERAGE(Spotify[Energie]),"FORTE","FAIBLE")</f>
        <v>FORTE</v>
      </c>
      <c r="N895" s="2">
        <v>0.68100000000000005</v>
      </c>
      <c r="O895" s="2">
        <v>0.77300000000000002</v>
      </c>
      <c r="P895" s="2">
        <v>0.14799999999999999</v>
      </c>
      <c r="Q895" s="2">
        <v>1.9E-2</v>
      </c>
      <c r="R895" s="2">
        <v>0.11</v>
      </c>
      <c r="S895" s="2">
        <v>0.42899999999999999</v>
      </c>
      <c r="T895" s="2">
        <v>-5.7489999999999997</v>
      </c>
      <c r="U895">
        <v>199008</v>
      </c>
      <c r="V895">
        <f>YEAR(Spotify[[#This Row],[Date de sortie]])</f>
        <v>2020</v>
      </c>
      <c r="W895" s="2" t="str">
        <f>IF(Spotify[[#This Row],[Popularité]]&gt;=70,"FORTE","FAIBLE")</f>
        <v>FORTE</v>
      </c>
    </row>
    <row r="896" spans="1:23" x14ac:dyDescent="0.25">
      <c r="A896">
        <v>991</v>
      </c>
      <c r="B896">
        <v>33</v>
      </c>
      <c r="C896">
        <v>30</v>
      </c>
      <c r="D896" s="1">
        <v>43910</v>
      </c>
      <c r="E896" s="59" t="str" cm="1">
        <f t="array" ref="E89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96" t="s">
        <v>1674</v>
      </c>
      <c r="G896" s="3">
        <v>4561936</v>
      </c>
      <c r="H896" t="s">
        <v>852</v>
      </c>
      <c r="I896" s="4">
        <v>29067437</v>
      </c>
      <c r="J896" t="s">
        <v>25</v>
      </c>
      <c r="K896" s="1">
        <v>43839</v>
      </c>
      <c r="L896">
        <v>71</v>
      </c>
      <c r="M896" s="2" t="str">
        <f>IF(Spotify[[#This Row],[Energie]]&gt;AVERAGE(Spotify[Energie]),"FORTE","FAIBLE")</f>
        <v>FORTE</v>
      </c>
      <c r="N896" s="2">
        <v>0.88100000000000001</v>
      </c>
      <c r="O896" s="2">
        <v>0.69599999999999995</v>
      </c>
      <c r="P896" s="2">
        <v>7.9699999999999993E-2</v>
      </c>
      <c r="Q896" s="2">
        <v>0.13700000000000001</v>
      </c>
      <c r="R896" s="2">
        <v>9.2700000000000005E-2</v>
      </c>
      <c r="S896" s="2">
        <v>0.78100000000000003</v>
      </c>
      <c r="T896" s="2">
        <v>-3.8380000000000001</v>
      </c>
      <c r="U896">
        <v>200667</v>
      </c>
      <c r="V896">
        <f>YEAR(Spotify[[#This Row],[Date de sortie]])</f>
        <v>2020</v>
      </c>
      <c r="W896" s="2" t="str">
        <f>IF(Spotify[[#This Row],[Popularité]]&gt;=70,"FORTE","FAIBLE")</f>
        <v>FORTE</v>
      </c>
    </row>
    <row r="897" spans="1:23" x14ac:dyDescent="0.25">
      <c r="A897">
        <v>1120</v>
      </c>
      <c r="B897">
        <v>60</v>
      </c>
      <c r="C897">
        <v>5</v>
      </c>
      <c r="D897" s="1">
        <v>43959</v>
      </c>
      <c r="E897" s="59" t="str" cm="1">
        <f t="array" ref="E89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897" t="s">
        <v>1859</v>
      </c>
      <c r="G897" s="3">
        <v>4432210</v>
      </c>
      <c r="H897" t="s">
        <v>1860</v>
      </c>
      <c r="I897" s="4">
        <v>36177712</v>
      </c>
      <c r="J897" t="s">
        <v>25</v>
      </c>
      <c r="K897" s="1">
        <v>43961</v>
      </c>
      <c r="L897">
        <v>71</v>
      </c>
      <c r="M897" s="2" t="str">
        <f>IF(Spotify[[#This Row],[Energie]]&gt;AVERAGE(Spotify[Energie]),"FORTE","FAIBLE")</f>
        <v>FORTE</v>
      </c>
      <c r="N897" s="2">
        <v>0.59</v>
      </c>
      <c r="O897" s="2">
        <v>0.72899999999999998</v>
      </c>
      <c r="P897" s="2">
        <v>8.9300000000000004E-2</v>
      </c>
      <c r="Q897" s="2">
        <v>0.32100000000000001</v>
      </c>
      <c r="R897" s="2">
        <v>0.65900000000000003</v>
      </c>
      <c r="S897" s="2">
        <v>0.71199999999999997</v>
      </c>
      <c r="T897" s="2">
        <v>-4.95</v>
      </c>
      <c r="U897">
        <v>202240</v>
      </c>
      <c r="V897">
        <f>YEAR(Spotify[[#This Row],[Date de sortie]])</f>
        <v>2020</v>
      </c>
      <c r="W897" s="2" t="str">
        <f>IF(Spotify[[#This Row],[Popularité]]&gt;=70,"FORTE","FAIBLE")</f>
        <v>FORTE</v>
      </c>
    </row>
    <row r="898" spans="1:23" x14ac:dyDescent="0.25">
      <c r="A898">
        <v>961</v>
      </c>
      <c r="B898">
        <v>17</v>
      </c>
      <c r="C898">
        <v>4</v>
      </c>
      <c r="D898" s="1">
        <v>44036</v>
      </c>
      <c r="E898" s="59" t="str" cm="1">
        <f t="array" ref="E89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98" t="s">
        <v>1637</v>
      </c>
      <c r="G898" s="3">
        <v>4424118</v>
      </c>
      <c r="H898" t="s">
        <v>746</v>
      </c>
      <c r="I898" s="4">
        <v>42227614</v>
      </c>
      <c r="J898" t="s">
        <v>10</v>
      </c>
      <c r="K898" s="1">
        <v>44036</v>
      </c>
      <c r="L898">
        <v>71</v>
      </c>
      <c r="M898" s="2" t="str">
        <f>IF(Spotify[[#This Row],[Energie]]&gt;AVERAGE(Spotify[Energie]),"FORTE","FAIBLE")</f>
        <v>FAIBLE</v>
      </c>
      <c r="N898" s="2">
        <v>0.65300000000000002</v>
      </c>
      <c r="O898" s="2">
        <v>0.45200000000000001</v>
      </c>
      <c r="P898" s="2">
        <v>5.5E-2</v>
      </c>
      <c r="Q898" s="2">
        <v>0.83799999999999997</v>
      </c>
      <c r="R898" s="2">
        <v>0.108</v>
      </c>
      <c r="S898" s="2">
        <v>0.45</v>
      </c>
      <c r="T898" s="2">
        <v>-11.143000000000001</v>
      </c>
      <c r="U898">
        <v>252881</v>
      </c>
      <c r="V898">
        <f>YEAR(Spotify[[#This Row],[Date de sortie]])</f>
        <v>2020</v>
      </c>
      <c r="W898" s="2" t="str">
        <f>IF(Spotify[[#This Row],[Popularité]]&gt;=70,"FORTE","FAIBLE")</f>
        <v>FORTE</v>
      </c>
    </row>
    <row r="899" spans="1:23" x14ac:dyDescent="0.25">
      <c r="A899">
        <v>949</v>
      </c>
      <c r="B899">
        <v>8</v>
      </c>
      <c r="C899">
        <v>5</v>
      </c>
      <c r="D899" s="1">
        <v>44036</v>
      </c>
      <c r="E899" s="59" t="str" cm="1">
        <f t="array" ref="E89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899" t="s">
        <v>1620</v>
      </c>
      <c r="G899" s="3">
        <v>4389670</v>
      </c>
      <c r="H899" t="s">
        <v>746</v>
      </c>
      <c r="I899" s="4">
        <v>42227614</v>
      </c>
      <c r="J899" t="s">
        <v>10</v>
      </c>
      <c r="K899" s="1">
        <v>44036</v>
      </c>
      <c r="L899">
        <v>71</v>
      </c>
      <c r="M899" s="2" t="str">
        <f>IF(Spotify[[#This Row],[Energie]]&gt;AVERAGE(Spotify[Energie]),"FORTE","FAIBLE")</f>
        <v>FORTE</v>
      </c>
      <c r="N899" s="2">
        <v>0.68600000000000005</v>
      </c>
      <c r="O899" s="2">
        <v>0.66200000000000003</v>
      </c>
      <c r="P899" s="2">
        <v>4.1300000000000003E-2</v>
      </c>
      <c r="Q899" s="2">
        <v>0.46700000000000003</v>
      </c>
      <c r="R899" s="2">
        <v>0.109</v>
      </c>
      <c r="S899" s="2">
        <v>0.70599999999999996</v>
      </c>
      <c r="T899" s="2">
        <v>-8.5050000000000008</v>
      </c>
      <c r="U899">
        <v>230999</v>
      </c>
      <c r="V899">
        <f>YEAR(Spotify[[#This Row],[Date de sortie]])</f>
        <v>2020</v>
      </c>
      <c r="W899" s="2" t="str">
        <f>IF(Spotify[[#This Row],[Popularité]]&gt;=70,"FORTE","FAIBLE")</f>
        <v>FORTE</v>
      </c>
    </row>
    <row r="900" spans="1:23" x14ac:dyDescent="0.25">
      <c r="A900">
        <v>1079</v>
      </c>
      <c r="B900">
        <v>145</v>
      </c>
      <c r="C900">
        <v>7</v>
      </c>
      <c r="D900" s="1">
        <v>44001</v>
      </c>
      <c r="E900" s="59" t="str" cm="1">
        <f t="array" ref="E90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900" t="s">
        <v>1796</v>
      </c>
      <c r="G900" s="3">
        <v>4352767</v>
      </c>
      <c r="H900" t="s">
        <v>428</v>
      </c>
      <c r="I900" s="4">
        <v>208926</v>
      </c>
      <c r="J900" t="s">
        <v>429</v>
      </c>
      <c r="K900" s="1">
        <v>43965</v>
      </c>
      <c r="L900">
        <v>71</v>
      </c>
      <c r="M900" s="2" t="str">
        <f>IF(Spotify[[#This Row],[Energie]]&gt;AVERAGE(Spotify[Energie]),"FORTE","FAIBLE")</f>
        <v>FAIBLE</v>
      </c>
      <c r="N900" s="2">
        <v>0.88500000000000001</v>
      </c>
      <c r="O900" s="2">
        <v>0.57799999999999996</v>
      </c>
      <c r="P900" s="2">
        <v>7.8299999999999995E-2</v>
      </c>
      <c r="Q900" s="2">
        <v>7.3899999999999993E-2</v>
      </c>
      <c r="R900" s="2">
        <v>0.10199999999999999</v>
      </c>
      <c r="S900" s="2">
        <v>0.38800000000000001</v>
      </c>
      <c r="T900" s="2">
        <v>-7.4160000000000004</v>
      </c>
      <c r="U900">
        <v>178933</v>
      </c>
      <c r="V900">
        <f>YEAR(Spotify[[#This Row],[Date de sortie]])</f>
        <v>2020</v>
      </c>
      <c r="W900" s="2" t="str">
        <f>IF(Spotify[[#This Row],[Popularité]]&gt;=70,"FORTE","FAIBLE")</f>
        <v>FORTE</v>
      </c>
    </row>
    <row r="901" spans="1:23" x14ac:dyDescent="0.25">
      <c r="A901">
        <v>1251</v>
      </c>
      <c r="B901">
        <v>117</v>
      </c>
      <c r="C901">
        <v>8</v>
      </c>
      <c r="D901" s="1">
        <v>43875</v>
      </c>
      <c r="E901" s="59" t="str" cm="1">
        <f t="array" ref="E90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01" t="s">
        <v>2042</v>
      </c>
      <c r="G901" s="3">
        <v>4176083</v>
      </c>
      <c r="H901" t="s">
        <v>2043</v>
      </c>
      <c r="I901" s="4">
        <v>3991674</v>
      </c>
      <c r="J901" t="s">
        <v>19</v>
      </c>
      <c r="K901" s="1">
        <v>42370</v>
      </c>
      <c r="L901">
        <v>71</v>
      </c>
      <c r="M901" s="2" t="str">
        <f>IF(Spotify[[#This Row],[Energie]]&gt;AVERAGE(Spotify[Energie]),"FORTE","FAIBLE")</f>
        <v>FORTE</v>
      </c>
      <c r="N901" s="2">
        <v>0.66800000000000004</v>
      </c>
      <c r="O901" s="2">
        <v>0.89200000000000002</v>
      </c>
      <c r="P901" s="2">
        <v>6.4500000000000002E-2</v>
      </c>
      <c r="Q901" s="2">
        <v>0.29799999999999999</v>
      </c>
      <c r="R901" s="2">
        <v>0.73499999999999999</v>
      </c>
      <c r="S901" s="2">
        <v>0.47799999999999998</v>
      </c>
      <c r="T901" s="2">
        <v>-3.0009999999999999</v>
      </c>
      <c r="U901">
        <v>159011</v>
      </c>
      <c r="V901">
        <f>YEAR(Spotify[[#This Row],[Date de sortie]])</f>
        <v>2016</v>
      </c>
      <c r="W901" s="2" t="str">
        <f>IF(Spotify[[#This Row],[Popularité]]&gt;=70,"FORTE","FAIBLE")</f>
        <v>FORTE</v>
      </c>
    </row>
    <row r="902" spans="1:23" x14ac:dyDescent="0.25">
      <c r="A902">
        <v>361</v>
      </c>
      <c r="B902">
        <v>32</v>
      </c>
      <c r="C902">
        <v>1</v>
      </c>
      <c r="D902" s="1">
        <v>44330</v>
      </c>
      <c r="E902" s="59" t="str" cm="1">
        <f t="array" ref="E90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902" t="s">
        <v>684</v>
      </c>
      <c r="G902" s="3">
        <v>14051831</v>
      </c>
      <c r="H902" t="s">
        <v>552</v>
      </c>
      <c r="I902" s="4">
        <v>14097410</v>
      </c>
      <c r="J902" t="s">
        <v>553</v>
      </c>
      <c r="K902" s="1">
        <v>44330</v>
      </c>
      <c r="L902">
        <v>70</v>
      </c>
      <c r="M902" s="2" t="str">
        <f>IF(Spotify[[#This Row],[Energie]]&gt;AVERAGE(Spotify[Energie]),"FORTE","FAIBLE")</f>
        <v>FORTE</v>
      </c>
      <c r="N902" s="2">
        <v>0.76900000000000002</v>
      </c>
      <c r="O902" s="2">
        <v>0.74</v>
      </c>
      <c r="P902" s="2">
        <v>0.378</v>
      </c>
      <c r="Q902" s="2">
        <v>0.19700000000000001</v>
      </c>
      <c r="R902" s="2">
        <v>0.17100000000000001</v>
      </c>
      <c r="S902" s="2">
        <v>0.69199999999999995</v>
      </c>
      <c r="T902" s="2">
        <v>-6.5789999999999997</v>
      </c>
      <c r="U902">
        <v>112579</v>
      </c>
      <c r="V902">
        <f>YEAR(Spotify[[#This Row],[Date de sortie]])</f>
        <v>2021</v>
      </c>
      <c r="W902" s="2" t="str">
        <f>IF(Spotify[[#This Row],[Popularité]]&gt;=70,"FORTE","FAIBLE")</f>
        <v>FORTE</v>
      </c>
    </row>
    <row r="903" spans="1:23" x14ac:dyDescent="0.25">
      <c r="A903">
        <v>729</v>
      </c>
      <c r="B903">
        <v>41</v>
      </c>
      <c r="C903">
        <v>1</v>
      </c>
      <c r="D903" s="1">
        <v>44162</v>
      </c>
      <c r="E903" s="59" t="str" cm="1">
        <f t="array" ref="E90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03" t="s">
        <v>1275</v>
      </c>
      <c r="G903" s="3">
        <v>12914431</v>
      </c>
      <c r="H903" t="s">
        <v>24</v>
      </c>
      <c r="I903" s="4">
        <v>36177712</v>
      </c>
      <c r="J903" t="s">
        <v>25</v>
      </c>
      <c r="K903" s="1">
        <v>44162</v>
      </c>
      <c r="L903">
        <v>70</v>
      </c>
      <c r="M903" s="2" t="str">
        <f>IF(Spotify[[#This Row],[Energie]]&gt;AVERAGE(Spotify[Energie]),"FORTE","FAIBLE")</f>
        <v>FORTE</v>
      </c>
      <c r="N903" s="2">
        <v>0.86</v>
      </c>
      <c r="O903" s="2">
        <v>0.72499999999999998</v>
      </c>
      <c r="P903" s="2">
        <v>0.249</v>
      </c>
      <c r="Q903" s="2">
        <v>4.6399999999999997E-2</v>
      </c>
      <c r="R903" s="2">
        <v>9.9400000000000002E-2</v>
      </c>
      <c r="S903" s="2">
        <v>0.375</v>
      </c>
      <c r="T903" s="2">
        <v>-6.7</v>
      </c>
      <c r="U903">
        <v>162151</v>
      </c>
      <c r="V903">
        <f>YEAR(Spotify[[#This Row],[Date de sortie]])</f>
        <v>2020</v>
      </c>
      <c r="W903" s="2" t="str">
        <f>IF(Spotify[[#This Row],[Popularité]]&gt;=70,"FORTE","FAIBLE")</f>
        <v>FORTE</v>
      </c>
    </row>
    <row r="904" spans="1:23" x14ac:dyDescent="0.25">
      <c r="A904">
        <v>362</v>
      </c>
      <c r="B904">
        <v>36</v>
      </c>
      <c r="C904">
        <v>2</v>
      </c>
      <c r="D904" s="1">
        <v>44330</v>
      </c>
      <c r="E904" s="59" t="str" cm="1">
        <f t="array" ref="E90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904" t="s">
        <v>685</v>
      </c>
      <c r="G904" s="3">
        <v>12648655</v>
      </c>
      <c r="H904" t="s">
        <v>552</v>
      </c>
      <c r="I904" s="4">
        <v>14097410</v>
      </c>
      <c r="J904" t="s">
        <v>553</v>
      </c>
      <c r="K904" s="1">
        <v>44330</v>
      </c>
      <c r="L904">
        <v>70</v>
      </c>
      <c r="M904" s="2" t="str">
        <f>IF(Spotify[[#This Row],[Energie]]&gt;AVERAGE(Spotify[Energie]),"FORTE","FAIBLE")</f>
        <v>FAIBLE</v>
      </c>
      <c r="N904" s="2">
        <v>0.61799999999999999</v>
      </c>
      <c r="O904" s="2">
        <v>0.63200000000000001</v>
      </c>
      <c r="P904" s="2">
        <v>0.34599999999999997</v>
      </c>
      <c r="Q904" s="2">
        <v>5.2600000000000001E-2</v>
      </c>
      <c r="R904" s="2">
        <v>0.35299999999999998</v>
      </c>
      <c r="S904" s="2">
        <v>0.31900000000000001</v>
      </c>
      <c r="T904" s="2">
        <v>-6.9729999999999999</v>
      </c>
      <c r="U904">
        <v>306257</v>
      </c>
      <c r="V904">
        <f>YEAR(Spotify[[#This Row],[Date de sortie]])</f>
        <v>2021</v>
      </c>
      <c r="W904" s="2" t="str">
        <f>IF(Spotify[[#This Row],[Popularité]]&gt;=70,"FORTE","FAIBLE")</f>
        <v>FORTE</v>
      </c>
    </row>
    <row r="905" spans="1:23" x14ac:dyDescent="0.25">
      <c r="A905">
        <v>733</v>
      </c>
      <c r="B905">
        <v>59</v>
      </c>
      <c r="C905">
        <v>1</v>
      </c>
      <c r="D905" s="1">
        <v>44162</v>
      </c>
      <c r="E905" s="59" t="str" cm="1">
        <f t="array" ref="E90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05" t="s">
        <v>1279</v>
      </c>
      <c r="G905" s="3">
        <v>11066606</v>
      </c>
      <c r="H905" t="s">
        <v>1280</v>
      </c>
      <c r="I905" s="4">
        <v>36177712</v>
      </c>
      <c r="J905" t="s">
        <v>25</v>
      </c>
      <c r="K905" s="1">
        <v>44162</v>
      </c>
      <c r="L905">
        <v>70</v>
      </c>
      <c r="M905" s="2" t="str">
        <f>IF(Spotify[[#This Row],[Energie]]&gt;AVERAGE(Spotify[Energie]),"FORTE","FAIBLE")</f>
        <v>FAIBLE</v>
      </c>
      <c r="N905" s="2">
        <v>0.61199999999999999</v>
      </c>
      <c r="O905" s="2">
        <v>0.56100000000000005</v>
      </c>
      <c r="P905" s="2">
        <v>8.5099999999999995E-2</v>
      </c>
      <c r="Q905" s="2">
        <v>6.0100000000000001E-2</v>
      </c>
      <c r="R905" s="2">
        <v>0.14499999999999999</v>
      </c>
      <c r="S905" s="2">
        <v>0.39300000000000002</v>
      </c>
      <c r="T905" s="2">
        <v>-6.0540000000000003</v>
      </c>
      <c r="U905">
        <v>163053</v>
      </c>
      <c r="V905">
        <f>YEAR(Spotify[[#This Row],[Date de sortie]])</f>
        <v>2020</v>
      </c>
      <c r="W905" s="2" t="str">
        <f>IF(Spotify[[#This Row],[Popularité]]&gt;=70,"FORTE","FAIBLE")</f>
        <v>FORTE</v>
      </c>
    </row>
    <row r="906" spans="1:23" x14ac:dyDescent="0.25">
      <c r="A906">
        <v>715</v>
      </c>
      <c r="B906">
        <v>74</v>
      </c>
      <c r="C906">
        <v>1</v>
      </c>
      <c r="D906" s="1">
        <v>44169</v>
      </c>
      <c r="E906" s="59" t="str" cm="1">
        <f t="array" ref="E90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906" t="s">
        <v>1257</v>
      </c>
      <c r="G906" s="3">
        <v>9325928</v>
      </c>
      <c r="H906" t="s">
        <v>345</v>
      </c>
      <c r="I906" s="4">
        <v>19102888</v>
      </c>
      <c r="J906" t="s">
        <v>79</v>
      </c>
      <c r="K906" s="1">
        <v>44167</v>
      </c>
      <c r="L906">
        <v>70</v>
      </c>
      <c r="M906" s="2" t="str">
        <f>IF(Spotify[[#This Row],[Energie]]&gt;AVERAGE(Spotify[Energie]),"FORTE","FAIBLE")</f>
        <v>FORTE</v>
      </c>
      <c r="N906" s="2">
        <v>0.70299999999999996</v>
      </c>
      <c r="O906" s="2">
        <v>0.70299999999999996</v>
      </c>
      <c r="P906" s="2">
        <v>0.13300000000000001</v>
      </c>
      <c r="Q906" s="2">
        <v>0.60499999999999998</v>
      </c>
      <c r="R906" s="2">
        <v>0.12</v>
      </c>
      <c r="S906" s="2">
        <v>0.69699999999999995</v>
      </c>
      <c r="T906" s="2">
        <v>-4.6719999999999997</v>
      </c>
      <c r="U906">
        <v>183783</v>
      </c>
      <c r="V906">
        <f>YEAR(Spotify[[#This Row],[Date de sortie]])</f>
        <v>2020</v>
      </c>
      <c r="W906" s="2" t="str">
        <f>IF(Spotify[[#This Row],[Popularité]]&gt;=70,"FORTE","FAIBLE")</f>
        <v>FORTE</v>
      </c>
    </row>
    <row r="907" spans="1:23" x14ac:dyDescent="0.25">
      <c r="A907">
        <v>664</v>
      </c>
      <c r="B907">
        <v>107</v>
      </c>
      <c r="C907">
        <v>1</v>
      </c>
      <c r="D907" s="1">
        <v>44183</v>
      </c>
      <c r="E907" s="59" t="str" cm="1">
        <f t="array" ref="E90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907" t="s">
        <v>1184</v>
      </c>
      <c r="G907" s="3">
        <v>8614955</v>
      </c>
      <c r="H907" t="s">
        <v>412</v>
      </c>
      <c r="I907" s="4">
        <v>46814751</v>
      </c>
      <c r="J907" t="s">
        <v>413</v>
      </c>
      <c r="K907" s="1">
        <v>44183</v>
      </c>
      <c r="L907">
        <v>70</v>
      </c>
      <c r="M907" s="2" t="str">
        <f>IF(Spotify[[#This Row],[Energie]]&gt;AVERAGE(Spotify[Energie]),"FORTE","FAIBLE")</f>
        <v>FORTE</v>
      </c>
      <c r="N907" s="2">
        <v>0.83499999999999996</v>
      </c>
      <c r="O907" s="2">
        <v>0.86899999999999999</v>
      </c>
      <c r="P907" s="2">
        <v>0.27</v>
      </c>
      <c r="Q907" s="2">
        <v>0.248</v>
      </c>
      <c r="R907" s="2">
        <v>0.46200000000000002</v>
      </c>
      <c r="S907" s="2">
        <v>0.82</v>
      </c>
      <c r="T907" s="2">
        <v>-4.5819999999999999</v>
      </c>
      <c r="U907">
        <v>224656</v>
      </c>
      <c r="V907">
        <f>YEAR(Spotify[[#This Row],[Date de sortie]])</f>
        <v>2020</v>
      </c>
      <c r="W907" s="2" t="str">
        <f>IF(Spotify[[#This Row],[Popularité]]&gt;=70,"FORTE","FAIBLE")</f>
        <v>FORTE</v>
      </c>
    </row>
    <row r="908" spans="1:23" x14ac:dyDescent="0.25">
      <c r="A908">
        <v>1299</v>
      </c>
      <c r="B908">
        <v>68</v>
      </c>
      <c r="C908">
        <v>1</v>
      </c>
      <c r="D908" s="1">
        <v>43903</v>
      </c>
      <c r="E908" s="59" t="str" cm="1">
        <f t="array" ref="E90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908" t="s">
        <v>2104</v>
      </c>
      <c r="G908" s="3">
        <v>8374259</v>
      </c>
      <c r="H908" t="s">
        <v>2105</v>
      </c>
      <c r="I908" s="4">
        <v>11821805</v>
      </c>
      <c r="J908" t="s">
        <v>235</v>
      </c>
      <c r="K908" s="1">
        <v>43903</v>
      </c>
      <c r="L908">
        <v>70</v>
      </c>
      <c r="M908" s="2" t="str">
        <f>IF(Spotify[[#This Row],[Energie]]&gt;AVERAGE(Spotify[Energie]),"FORTE","FAIBLE")</f>
        <v>FORTE</v>
      </c>
      <c r="N908" s="2">
        <v>0.89500000000000002</v>
      </c>
      <c r="O908" s="2">
        <v>0.73899999999999999</v>
      </c>
      <c r="P908" s="2">
        <v>0.28299999999999997</v>
      </c>
      <c r="Q908" s="2">
        <v>1.83E-2</v>
      </c>
      <c r="R908" s="2">
        <v>0.10199999999999999</v>
      </c>
      <c r="S908" s="2">
        <v>0.76300000000000001</v>
      </c>
      <c r="T908" s="2">
        <v>-6.633</v>
      </c>
      <c r="U908">
        <v>219340</v>
      </c>
      <c r="V908">
        <f>YEAR(Spotify[[#This Row],[Date de sortie]])</f>
        <v>2020</v>
      </c>
      <c r="W908" s="2" t="str">
        <f>IF(Spotify[[#This Row],[Popularité]]&gt;=70,"FORTE","FAIBLE")</f>
        <v>FORTE</v>
      </c>
    </row>
    <row r="909" spans="1:23" x14ac:dyDescent="0.25">
      <c r="A909">
        <v>672</v>
      </c>
      <c r="B909">
        <v>19</v>
      </c>
      <c r="C909">
        <v>2</v>
      </c>
      <c r="D909" s="1">
        <v>44176</v>
      </c>
      <c r="E909" s="59" t="str" cm="1">
        <f t="array" ref="E90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09" t="s">
        <v>1198</v>
      </c>
      <c r="G909" s="3">
        <v>7901968</v>
      </c>
      <c r="H909" t="s">
        <v>746</v>
      </c>
      <c r="I909" s="4">
        <v>42227614</v>
      </c>
      <c r="J909" t="s">
        <v>10</v>
      </c>
      <c r="K909" s="1">
        <v>44176</v>
      </c>
      <c r="L909">
        <v>70</v>
      </c>
      <c r="M909" s="2" t="str">
        <f>IF(Spotify[[#This Row],[Energie]]&gt;AVERAGE(Spotify[Energie]),"FORTE","FAIBLE")</f>
        <v>FAIBLE</v>
      </c>
      <c r="N909" s="2">
        <v>0.51200000000000001</v>
      </c>
      <c r="O909" s="2">
        <v>0.46200000000000002</v>
      </c>
      <c r="P909" s="2">
        <v>4.0800000000000003E-2</v>
      </c>
      <c r="Q909" s="2">
        <v>0.83</v>
      </c>
      <c r="R909" s="2">
        <v>0.121</v>
      </c>
      <c r="S909" s="2">
        <v>0.35299999999999998</v>
      </c>
      <c r="T909" s="2">
        <v>-10.491</v>
      </c>
      <c r="U909">
        <v>185320</v>
      </c>
      <c r="V909">
        <f>YEAR(Spotify[[#This Row],[Date de sortie]])</f>
        <v>2020</v>
      </c>
      <c r="W909" s="2" t="str">
        <f>IF(Spotify[[#This Row],[Popularité]]&gt;=70,"FORTE","FAIBLE")</f>
        <v>FORTE</v>
      </c>
    </row>
    <row r="910" spans="1:23" x14ac:dyDescent="0.25">
      <c r="A910">
        <v>340</v>
      </c>
      <c r="B910">
        <v>95</v>
      </c>
      <c r="C910">
        <v>1</v>
      </c>
      <c r="D910" s="1">
        <v>44337</v>
      </c>
      <c r="E910" s="59" t="str" cm="1">
        <f t="array" ref="E91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10" t="s">
        <v>645</v>
      </c>
      <c r="G910" s="3">
        <v>7450126</v>
      </c>
      <c r="H910" t="s">
        <v>32</v>
      </c>
      <c r="I910" s="4">
        <v>37106176</v>
      </c>
      <c r="J910" t="s">
        <v>33</v>
      </c>
      <c r="K910" s="1">
        <v>44351</v>
      </c>
      <c r="L910">
        <v>70</v>
      </c>
      <c r="M910" s="2" t="str">
        <f>IF(Spotify[[#This Row],[Energie]]&gt;AVERAGE(Spotify[Energie]),"FORTE","FAIBLE")</f>
        <v>FAIBLE</v>
      </c>
      <c r="N910" s="2">
        <v>0.42899999999999999</v>
      </c>
      <c r="O910" s="2">
        <v>0.38700000000000001</v>
      </c>
      <c r="P910" s="2">
        <v>7.5300000000000006E-2</v>
      </c>
      <c r="Q910" s="2">
        <v>1.7799999999999999E-4</v>
      </c>
      <c r="R910" s="2">
        <v>0.14199999999999999</v>
      </c>
      <c r="S910" s="2">
        <v>0.41</v>
      </c>
      <c r="T910" s="2">
        <v>-7.4859999999999998</v>
      </c>
      <c r="U910">
        <v>162147</v>
      </c>
      <c r="V910">
        <f>YEAR(Spotify[[#This Row],[Date de sortie]])</f>
        <v>2021</v>
      </c>
      <c r="W910" s="2" t="str">
        <f>IF(Spotify[[#This Row],[Popularité]]&gt;=70,"FORTE","FAIBLE")</f>
        <v>FORTE</v>
      </c>
    </row>
    <row r="911" spans="1:23" x14ac:dyDescent="0.25">
      <c r="A911">
        <v>1047</v>
      </c>
      <c r="B911">
        <v>100</v>
      </c>
      <c r="C911">
        <v>1</v>
      </c>
      <c r="D911" s="1">
        <v>44015</v>
      </c>
      <c r="E911" s="59" t="str" cm="1">
        <f t="array" ref="E91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11" t="s">
        <v>1751</v>
      </c>
      <c r="G911" s="3">
        <v>6620040</v>
      </c>
      <c r="H911" t="s">
        <v>338</v>
      </c>
      <c r="I911" s="4">
        <v>6852509</v>
      </c>
      <c r="J911" t="s">
        <v>158</v>
      </c>
      <c r="K911" s="1">
        <v>44015</v>
      </c>
      <c r="L911">
        <v>70</v>
      </c>
      <c r="M911" s="2" t="str">
        <f>IF(Spotify[[#This Row],[Energie]]&gt;AVERAGE(Spotify[Energie]),"FORTE","FAIBLE")</f>
        <v>FORTE</v>
      </c>
      <c r="N911" s="2">
        <v>0.76400000000000001</v>
      </c>
      <c r="O911" s="2">
        <v>0.67600000000000005</v>
      </c>
      <c r="P911" s="2">
        <v>9.2700000000000005E-2</v>
      </c>
      <c r="Q911" s="2">
        <v>0.38900000000000001</v>
      </c>
      <c r="R911" s="2">
        <v>0.215</v>
      </c>
      <c r="S911" s="2">
        <v>0.46100000000000002</v>
      </c>
      <c r="T911" s="2">
        <v>-6.7610000000000001</v>
      </c>
      <c r="U911">
        <v>197938</v>
      </c>
      <c r="V911">
        <f>YEAR(Spotify[[#This Row],[Date de sortie]])</f>
        <v>2020</v>
      </c>
      <c r="W911" s="2" t="str">
        <f>IF(Spotify[[#This Row],[Popularité]]&gt;=70,"FORTE","FAIBLE")</f>
        <v>FORTE</v>
      </c>
    </row>
    <row r="912" spans="1:23" x14ac:dyDescent="0.25">
      <c r="A912">
        <v>1300</v>
      </c>
      <c r="B912">
        <v>104</v>
      </c>
      <c r="C912">
        <v>1</v>
      </c>
      <c r="D912" s="1">
        <v>43903</v>
      </c>
      <c r="E912" s="59" t="str" cm="1">
        <f t="array" ref="E91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912" t="s">
        <v>2106</v>
      </c>
      <c r="G912" s="3">
        <v>6586204</v>
      </c>
      <c r="H912" t="s">
        <v>711</v>
      </c>
      <c r="I912" s="4">
        <v>1606884</v>
      </c>
      <c r="J912" t="s">
        <v>186</v>
      </c>
      <c r="K912" s="1">
        <v>43903</v>
      </c>
      <c r="L912">
        <v>70</v>
      </c>
      <c r="M912" s="2" t="str">
        <f>IF(Spotify[[#This Row],[Energie]]&gt;AVERAGE(Spotify[Energie]),"FORTE","FAIBLE")</f>
        <v>FAIBLE</v>
      </c>
      <c r="N912" s="2">
        <v>0.747</v>
      </c>
      <c r="O912" s="2">
        <v>0.497</v>
      </c>
      <c r="P912" s="2">
        <v>4.0099999999999997E-2</v>
      </c>
      <c r="Q912" s="2">
        <v>0.248</v>
      </c>
      <c r="R912" s="2">
        <v>0.13800000000000001</v>
      </c>
      <c r="S912" s="2">
        <v>6.6299999999999998E-2</v>
      </c>
      <c r="T912" s="2">
        <v>-6.5419999999999998</v>
      </c>
      <c r="U912">
        <v>158709</v>
      </c>
      <c r="V912">
        <f>YEAR(Spotify[[#This Row],[Date de sortie]])</f>
        <v>2020</v>
      </c>
      <c r="W912" s="2" t="str">
        <f>IF(Spotify[[#This Row],[Popularité]]&gt;=70,"FORTE","FAIBLE")</f>
        <v>FORTE</v>
      </c>
    </row>
    <row r="913" spans="1:23" x14ac:dyDescent="0.25">
      <c r="A913">
        <v>1432</v>
      </c>
      <c r="B913">
        <v>105</v>
      </c>
      <c r="C913">
        <v>1</v>
      </c>
      <c r="D913" s="1">
        <v>43868</v>
      </c>
      <c r="E913" s="59" t="str" cm="1">
        <f t="array" ref="E91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13" t="s">
        <v>2277</v>
      </c>
      <c r="G913" s="3">
        <v>6561188</v>
      </c>
      <c r="H913" t="s">
        <v>655</v>
      </c>
      <c r="I913" s="4">
        <v>22170982</v>
      </c>
      <c r="J913" t="s">
        <v>19</v>
      </c>
      <c r="K913" s="1">
        <v>43868</v>
      </c>
      <c r="L913">
        <v>70</v>
      </c>
      <c r="M913" s="2" t="str">
        <f>IF(Spotify[[#This Row],[Energie]]&gt;AVERAGE(Spotify[Energie]),"FORTE","FAIBLE")</f>
        <v>FORTE</v>
      </c>
      <c r="N913" s="2">
        <v>0.91100000000000003</v>
      </c>
      <c r="O913" s="2">
        <v>0.63700000000000001</v>
      </c>
      <c r="P913" s="2">
        <v>0.44700000000000001</v>
      </c>
      <c r="Q913" s="2">
        <v>4.0899999999999999E-2</v>
      </c>
      <c r="R913" s="2">
        <v>0.23799999999999999</v>
      </c>
      <c r="S913" s="2">
        <v>0.66</v>
      </c>
      <c r="T913" s="2">
        <v>-8.3810000000000002</v>
      </c>
      <c r="U913">
        <v>156882</v>
      </c>
      <c r="V913">
        <f>YEAR(Spotify[[#This Row],[Date de sortie]])</f>
        <v>2020</v>
      </c>
      <c r="W913" s="2" t="str">
        <f>IF(Spotify[[#This Row],[Popularité]]&gt;=70,"FORTE","FAIBLE")</f>
        <v>FORTE</v>
      </c>
    </row>
    <row r="914" spans="1:23" x14ac:dyDescent="0.25">
      <c r="A914">
        <v>1433</v>
      </c>
      <c r="B914">
        <v>66</v>
      </c>
      <c r="C914">
        <v>7</v>
      </c>
      <c r="D914" s="1">
        <v>43833</v>
      </c>
      <c r="E914" s="59" t="str" cm="1">
        <f t="array" ref="E91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14" t="s">
        <v>2278</v>
      </c>
      <c r="G914" s="3">
        <v>6554824</v>
      </c>
      <c r="H914" t="s">
        <v>2279</v>
      </c>
      <c r="I914" s="4">
        <v>82522</v>
      </c>
      <c r="J914" t="s">
        <v>247</v>
      </c>
      <c r="K914" s="1">
        <v>43634</v>
      </c>
      <c r="L914">
        <v>70</v>
      </c>
      <c r="M914" s="2" t="str">
        <f>IF(Spotify[[#This Row],[Energie]]&gt;AVERAGE(Spotify[Energie]),"FORTE","FAIBLE")</f>
        <v>FAIBLE</v>
      </c>
      <c r="N914" s="2">
        <v>0.86599999999999999</v>
      </c>
      <c r="O914" s="2">
        <v>0.438</v>
      </c>
      <c r="P914" s="2">
        <v>7.1900000000000006E-2</v>
      </c>
      <c r="Q914" s="2">
        <v>0.17699999999999999</v>
      </c>
      <c r="R914" s="2">
        <v>7.4300000000000005E-2</v>
      </c>
      <c r="S914" s="2">
        <v>0.69499999999999995</v>
      </c>
      <c r="T914" s="2">
        <v>-8.9429999999999996</v>
      </c>
      <c r="U914">
        <v>223258</v>
      </c>
      <c r="V914">
        <f>YEAR(Spotify[[#This Row],[Date de sortie]])</f>
        <v>2019</v>
      </c>
      <c r="W914" s="2" t="str">
        <f>IF(Spotify[[#This Row],[Popularité]]&gt;=70,"FORTE","FAIBLE")</f>
        <v>FORTE</v>
      </c>
    </row>
    <row r="915" spans="1:23" x14ac:dyDescent="0.25">
      <c r="A915">
        <v>719</v>
      </c>
      <c r="B915">
        <v>29</v>
      </c>
      <c r="C915">
        <v>2</v>
      </c>
      <c r="D915" s="1">
        <v>44162</v>
      </c>
      <c r="E915" s="59" t="str" cm="1">
        <f t="array" ref="E91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15" t="s">
        <v>1262</v>
      </c>
      <c r="G915" s="3">
        <v>6204228</v>
      </c>
      <c r="H915" t="s">
        <v>24</v>
      </c>
      <c r="I915" s="4">
        <v>36177712</v>
      </c>
      <c r="J915" t="s">
        <v>25</v>
      </c>
      <c r="K915" s="1">
        <v>44162</v>
      </c>
      <c r="L915">
        <v>70</v>
      </c>
      <c r="M915" s="2" t="str">
        <f>IF(Spotify[[#This Row],[Energie]]&gt;AVERAGE(Spotify[Energie]),"FORTE","FAIBLE")</f>
        <v>FAIBLE</v>
      </c>
      <c r="N915" s="2">
        <v>0.76300000000000001</v>
      </c>
      <c r="O915" s="2">
        <v>0.59699999999999998</v>
      </c>
      <c r="P915" s="2">
        <v>4.1599999999999998E-2</v>
      </c>
      <c r="Q915" s="2">
        <v>0.158</v>
      </c>
      <c r="R915" s="2">
        <v>0.111</v>
      </c>
      <c r="S915" s="2">
        <v>0.19400000000000001</v>
      </c>
      <c r="T915" s="2">
        <v>-5.0540000000000003</v>
      </c>
      <c r="U915">
        <v>139576</v>
      </c>
      <c r="V915">
        <f>YEAR(Spotify[[#This Row],[Date de sortie]])</f>
        <v>2020</v>
      </c>
      <c r="W915" s="2" t="str">
        <f>IF(Spotify[[#This Row],[Popularité]]&gt;=70,"FORTE","FAIBLE")</f>
        <v>FORTE</v>
      </c>
    </row>
    <row r="916" spans="1:23" x14ac:dyDescent="0.25">
      <c r="A916">
        <v>1009</v>
      </c>
      <c r="B916">
        <v>36</v>
      </c>
      <c r="C916">
        <v>2</v>
      </c>
      <c r="D916" s="1">
        <v>44022</v>
      </c>
      <c r="E916" s="59" t="str" cm="1">
        <f t="array" ref="E91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916" t="s">
        <v>1699</v>
      </c>
      <c r="G916" s="3">
        <v>5946573</v>
      </c>
      <c r="H916" t="s">
        <v>345</v>
      </c>
      <c r="I916" s="4">
        <v>19102888</v>
      </c>
      <c r="J916" t="s">
        <v>79</v>
      </c>
      <c r="K916" s="1">
        <v>44022</v>
      </c>
      <c r="L916">
        <v>70</v>
      </c>
      <c r="M916" s="2" t="str">
        <f>IF(Spotify[[#This Row],[Energie]]&gt;AVERAGE(Spotify[Energie]),"FORTE","FAIBLE")</f>
        <v>FORTE</v>
      </c>
      <c r="N916" s="2">
        <v>0.70699999999999996</v>
      </c>
      <c r="O916" s="2">
        <v>0.67</v>
      </c>
      <c r="P916" s="2">
        <v>0.25700000000000001</v>
      </c>
      <c r="Q916" s="2">
        <v>8.1299999999999997E-2</v>
      </c>
      <c r="R916" s="2">
        <v>9.8000000000000004E-2</v>
      </c>
      <c r="S916" s="2">
        <v>0.23499999999999999</v>
      </c>
      <c r="T916" s="2">
        <v>-6.3280000000000003</v>
      </c>
      <c r="U916">
        <v>200629</v>
      </c>
      <c r="V916">
        <f>YEAR(Spotify[[#This Row],[Date de sortie]])</f>
        <v>2020</v>
      </c>
      <c r="W916" s="2" t="str">
        <f>IF(Spotify[[#This Row],[Popularité]]&gt;=70,"FORTE","FAIBLE")</f>
        <v>FORTE</v>
      </c>
    </row>
    <row r="917" spans="1:23" x14ac:dyDescent="0.25">
      <c r="A917">
        <v>790</v>
      </c>
      <c r="B917">
        <v>38</v>
      </c>
      <c r="C917">
        <v>2</v>
      </c>
      <c r="D917" s="1">
        <v>44134</v>
      </c>
      <c r="E917" s="59" t="str" cm="1">
        <f t="array" ref="E91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17" t="s">
        <v>1377</v>
      </c>
      <c r="G917" s="3">
        <v>5798744</v>
      </c>
      <c r="H917" t="s">
        <v>202</v>
      </c>
      <c r="I917" s="4">
        <v>67208170</v>
      </c>
      <c r="J917" t="s">
        <v>19</v>
      </c>
      <c r="K917" s="1">
        <v>44134</v>
      </c>
      <c r="L917">
        <v>70</v>
      </c>
      <c r="M917" s="2" t="str">
        <f>IF(Spotify[[#This Row],[Energie]]&gt;AVERAGE(Spotify[Energie]),"FORTE","FAIBLE")</f>
        <v>FAIBLE</v>
      </c>
      <c r="N917" s="2">
        <v>0.55200000000000005</v>
      </c>
      <c r="O917" s="2">
        <v>0.59899999999999998</v>
      </c>
      <c r="P917" s="2">
        <v>4.0399999999999998E-2</v>
      </c>
      <c r="Q917" s="2">
        <v>7.0300000000000001E-2</v>
      </c>
      <c r="R917" s="2">
        <v>9.8599999999999993E-2</v>
      </c>
      <c r="S917" s="2">
        <v>9.1600000000000001E-2</v>
      </c>
      <c r="T917" s="2">
        <v>-5.75</v>
      </c>
      <c r="U917">
        <v>208457</v>
      </c>
      <c r="V917">
        <f>YEAR(Spotify[[#This Row],[Date de sortie]])</f>
        <v>2020</v>
      </c>
      <c r="W917" s="2" t="str">
        <f>IF(Spotify[[#This Row],[Popularité]]&gt;=70,"FORTE","FAIBLE")</f>
        <v>FORTE</v>
      </c>
    </row>
    <row r="918" spans="1:23" x14ac:dyDescent="0.25">
      <c r="A918">
        <v>468</v>
      </c>
      <c r="B918">
        <v>44</v>
      </c>
      <c r="C918">
        <v>2</v>
      </c>
      <c r="D918" s="1">
        <v>44274</v>
      </c>
      <c r="E918" s="59" t="str" cm="1">
        <f t="array" ref="E91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18" t="s">
        <v>854</v>
      </c>
      <c r="G918" s="3">
        <v>5794583</v>
      </c>
      <c r="H918" t="s">
        <v>35</v>
      </c>
      <c r="I918" s="4">
        <v>48544923</v>
      </c>
      <c r="J918" t="s">
        <v>36</v>
      </c>
      <c r="K918" s="1">
        <v>44274</v>
      </c>
      <c r="L918">
        <v>70</v>
      </c>
      <c r="M918" s="2" t="str">
        <f>IF(Spotify[[#This Row],[Energie]]&gt;AVERAGE(Spotify[Energie]),"FORTE","FAIBLE")</f>
        <v>FAIBLE</v>
      </c>
      <c r="N918" s="2">
        <v>0.58299999999999996</v>
      </c>
      <c r="O918" s="2">
        <v>0.44400000000000001</v>
      </c>
      <c r="P918" s="2">
        <v>4.5600000000000002E-2</v>
      </c>
      <c r="Q918" s="2">
        <v>0.59299999999999997</v>
      </c>
      <c r="R918" s="2">
        <v>0.35299999999999998</v>
      </c>
      <c r="S918" s="2">
        <v>0.16700000000000001</v>
      </c>
      <c r="T918" s="2">
        <v>-8.6010000000000009</v>
      </c>
      <c r="U918">
        <v>152796</v>
      </c>
      <c r="V918">
        <f>YEAR(Spotify[[#This Row],[Date de sortie]])</f>
        <v>2021</v>
      </c>
      <c r="W918" s="2" t="str">
        <f>IF(Spotify[[#This Row],[Popularité]]&gt;=70,"FORTE","FAIBLE")</f>
        <v>FORTE</v>
      </c>
    </row>
    <row r="919" spans="1:23" x14ac:dyDescent="0.25">
      <c r="A919">
        <v>1207</v>
      </c>
      <c r="B919">
        <v>25</v>
      </c>
      <c r="C919">
        <v>6</v>
      </c>
      <c r="D919" s="1">
        <v>43917</v>
      </c>
      <c r="E919" s="59" t="str" cm="1">
        <f t="array" ref="E91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919" t="s">
        <v>1977</v>
      </c>
      <c r="G919" s="3">
        <v>5594561</v>
      </c>
      <c r="H919" t="s">
        <v>1978</v>
      </c>
      <c r="I919" s="4">
        <v>2613211</v>
      </c>
      <c r="J919" t="s">
        <v>155</v>
      </c>
      <c r="K919" s="1">
        <v>43917</v>
      </c>
      <c r="L919">
        <v>70</v>
      </c>
      <c r="M919" s="2" t="str">
        <f>IF(Spotify[[#This Row],[Energie]]&gt;AVERAGE(Spotify[Energie]),"FORTE","FAIBLE")</f>
        <v>FAIBLE</v>
      </c>
      <c r="N919" s="2">
        <v>0.89300000000000002</v>
      </c>
      <c r="O919" s="2">
        <v>0.61799999999999999</v>
      </c>
      <c r="P919" s="2">
        <v>0.112</v>
      </c>
      <c r="Q919" s="2">
        <v>8.2699999999999996E-2</v>
      </c>
      <c r="R919" s="2">
        <v>0.54200000000000004</v>
      </c>
      <c r="S919" s="2">
        <v>0.38900000000000001</v>
      </c>
      <c r="T919" s="2">
        <v>-4.4249999999999998</v>
      </c>
      <c r="U919">
        <v>161377</v>
      </c>
      <c r="V919">
        <f>YEAR(Spotify[[#This Row],[Date de sortie]])</f>
        <v>2020</v>
      </c>
      <c r="W919" s="2" t="str">
        <f>IF(Spotify[[#This Row],[Popularité]]&gt;=70,"FORTE","FAIBLE")</f>
        <v>FORTE</v>
      </c>
    </row>
    <row r="920" spans="1:23" x14ac:dyDescent="0.25">
      <c r="A920">
        <v>1536</v>
      </c>
      <c r="B920">
        <v>38</v>
      </c>
      <c r="C920">
        <v>2</v>
      </c>
      <c r="D920" s="1">
        <v>43826</v>
      </c>
      <c r="E920" s="59" t="str" cm="1">
        <f t="array" ref="E92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920" t="s">
        <v>2415</v>
      </c>
      <c r="G920" s="3">
        <v>5586351</v>
      </c>
      <c r="H920" t="s">
        <v>1588</v>
      </c>
      <c r="I920" s="4">
        <v>437907</v>
      </c>
      <c r="J920" t="s">
        <v>186</v>
      </c>
      <c r="K920" s="1">
        <v>43826</v>
      </c>
      <c r="L920">
        <v>70</v>
      </c>
      <c r="M920" s="2" t="str">
        <f>IF(Spotify[[#This Row],[Energie]]&gt;AVERAGE(Spotify[Energie]),"FORTE","FAIBLE")</f>
        <v>FAIBLE</v>
      </c>
      <c r="N920" s="2">
        <v>0.64300000000000002</v>
      </c>
      <c r="O920" s="2">
        <v>0.59399999999999997</v>
      </c>
      <c r="P920" s="2">
        <v>3.1199999999999999E-2</v>
      </c>
      <c r="Q920" s="2">
        <v>6.9500000000000006E-2</v>
      </c>
      <c r="R920" s="2">
        <v>0.115</v>
      </c>
      <c r="S920" s="2">
        <v>0.19500000000000001</v>
      </c>
      <c r="T920" s="2">
        <v>-5.1909999999999998</v>
      </c>
      <c r="U920">
        <v>250142</v>
      </c>
      <c r="V920">
        <f>YEAR(Spotify[[#This Row],[Date de sortie]])</f>
        <v>2019</v>
      </c>
      <c r="W920" s="2" t="str">
        <f>IF(Spotify[[#This Row],[Popularité]]&gt;=70,"FORTE","FAIBLE")</f>
        <v>FORTE</v>
      </c>
    </row>
    <row r="921" spans="1:23" x14ac:dyDescent="0.25">
      <c r="A921">
        <v>966</v>
      </c>
      <c r="B921">
        <v>13</v>
      </c>
      <c r="C921">
        <v>3</v>
      </c>
      <c r="D921" s="1">
        <v>44036</v>
      </c>
      <c r="E921" s="59" t="str" cm="1">
        <f t="array" ref="E92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21" t="s">
        <v>1646</v>
      </c>
      <c r="G921" s="3">
        <v>5564072</v>
      </c>
      <c r="H921" t="s">
        <v>746</v>
      </c>
      <c r="I921" s="4">
        <v>42227614</v>
      </c>
      <c r="J921" t="s">
        <v>10</v>
      </c>
      <c r="K921" s="1">
        <v>44036</v>
      </c>
      <c r="L921">
        <v>70</v>
      </c>
      <c r="M921" s="2" t="str">
        <f>IF(Spotify[[#This Row],[Energie]]&gt;AVERAGE(Spotify[Energie]),"FORTE","FAIBLE")</f>
        <v>FAIBLE</v>
      </c>
      <c r="N921" s="2">
        <v>0.55300000000000005</v>
      </c>
      <c r="O921" s="2">
        <v>0.41299999999999998</v>
      </c>
      <c r="P921" s="2">
        <v>3.3399999999999999E-2</v>
      </c>
      <c r="Q921" s="2">
        <v>0.68700000000000006</v>
      </c>
      <c r="R921" s="2">
        <v>5.9400000000000001E-2</v>
      </c>
      <c r="S921" s="2">
        <v>0.379</v>
      </c>
      <c r="T921" s="2">
        <v>-10.037000000000001</v>
      </c>
      <c r="U921">
        <v>208978</v>
      </c>
      <c r="V921">
        <f>YEAR(Spotify[[#This Row],[Date de sortie]])</f>
        <v>2020</v>
      </c>
      <c r="W921" s="2" t="str">
        <f>IF(Spotify[[#This Row],[Popularité]]&gt;=70,"FORTE","FAIBLE")</f>
        <v>FORTE</v>
      </c>
    </row>
    <row r="922" spans="1:23" x14ac:dyDescent="0.25">
      <c r="A922">
        <v>769</v>
      </c>
      <c r="B922">
        <v>140</v>
      </c>
      <c r="C922">
        <v>5</v>
      </c>
      <c r="D922" s="1">
        <v>44134</v>
      </c>
      <c r="E922" s="59" t="str" cm="1">
        <f t="array" ref="E92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22" t="s">
        <v>1338</v>
      </c>
      <c r="G922" s="3">
        <v>5561227</v>
      </c>
      <c r="H922" t="s">
        <v>21</v>
      </c>
      <c r="I922" s="4">
        <v>6096559</v>
      </c>
      <c r="J922" t="s">
        <v>22</v>
      </c>
      <c r="K922" s="1">
        <v>44092</v>
      </c>
      <c r="L922">
        <v>70</v>
      </c>
      <c r="M922" s="2" t="str">
        <f>IF(Spotify[[#This Row],[Energie]]&gt;AVERAGE(Spotify[Energie]),"FORTE","FAIBLE")</f>
        <v>FORTE</v>
      </c>
      <c r="N922" s="2">
        <v>0.76300000000000001</v>
      </c>
      <c r="O922" s="2">
        <v>0.66600000000000004</v>
      </c>
      <c r="P922" s="2">
        <v>0.19400000000000001</v>
      </c>
      <c r="Q922" s="2">
        <v>0.153</v>
      </c>
      <c r="R922" s="2">
        <v>0.30099999999999999</v>
      </c>
      <c r="S922" s="2">
        <v>0.58699999999999997</v>
      </c>
      <c r="T922" s="2">
        <v>-3.3159999999999998</v>
      </c>
      <c r="U922">
        <v>185719</v>
      </c>
      <c r="V922">
        <f>YEAR(Spotify[[#This Row],[Date de sortie]])</f>
        <v>2020</v>
      </c>
      <c r="W922" s="2" t="str">
        <f>IF(Spotify[[#This Row],[Popularité]]&gt;=70,"FORTE","FAIBLE")</f>
        <v>FORTE</v>
      </c>
    </row>
    <row r="923" spans="1:23" x14ac:dyDescent="0.25">
      <c r="A923">
        <v>571</v>
      </c>
      <c r="B923">
        <v>99</v>
      </c>
      <c r="C923">
        <v>3</v>
      </c>
      <c r="D923" s="1">
        <v>44211</v>
      </c>
      <c r="E923" s="59" t="str" cm="1">
        <f t="array" ref="E92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923" t="s">
        <v>1021</v>
      </c>
      <c r="G923" s="3">
        <v>5487774</v>
      </c>
      <c r="H923" t="s">
        <v>1022</v>
      </c>
      <c r="I923" s="4">
        <v>197320</v>
      </c>
      <c r="J923" t="s">
        <v>429</v>
      </c>
      <c r="K923" s="1">
        <v>44210</v>
      </c>
      <c r="L923">
        <v>70</v>
      </c>
      <c r="M923" s="2" t="str">
        <f>IF(Spotify[[#This Row],[Energie]]&gt;AVERAGE(Spotify[Energie]),"FORTE","FAIBLE")</f>
        <v>FAIBLE</v>
      </c>
      <c r="N923" s="2">
        <v>0.80700000000000005</v>
      </c>
      <c r="O923" s="2">
        <v>0.53500000000000003</v>
      </c>
      <c r="P923" s="2">
        <v>0.34899999999999998</v>
      </c>
      <c r="Q923" s="2">
        <v>0.191</v>
      </c>
      <c r="R923" s="2">
        <v>0.125</v>
      </c>
      <c r="S923" s="2">
        <v>0.92500000000000004</v>
      </c>
      <c r="T923" s="2">
        <v>-6.5190000000000001</v>
      </c>
      <c r="U923">
        <v>125720</v>
      </c>
      <c r="V923">
        <f>YEAR(Spotify[[#This Row],[Date de sortie]])</f>
        <v>2021</v>
      </c>
      <c r="W923" s="2" t="str">
        <f>IF(Spotify[[#This Row],[Popularité]]&gt;=70,"FORTE","FAIBLE")</f>
        <v>FORTE</v>
      </c>
    </row>
    <row r="924" spans="1:23" x14ac:dyDescent="0.25">
      <c r="A924">
        <v>725</v>
      </c>
      <c r="B924">
        <v>43</v>
      </c>
      <c r="C924">
        <v>2</v>
      </c>
      <c r="D924" s="1">
        <v>44162</v>
      </c>
      <c r="E924" s="59" t="str" cm="1">
        <f t="array" ref="E92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24" t="s">
        <v>1270</v>
      </c>
      <c r="G924" s="3">
        <v>5375449</v>
      </c>
      <c r="H924" t="s">
        <v>24</v>
      </c>
      <c r="I924" s="4">
        <v>36177712</v>
      </c>
      <c r="J924" t="s">
        <v>25</v>
      </c>
      <c r="K924" s="1">
        <v>44162</v>
      </c>
      <c r="L924">
        <v>70</v>
      </c>
      <c r="M924" s="2" t="str">
        <f>IF(Spotify[[#This Row],[Energie]]&gt;AVERAGE(Spotify[Energie]),"FORTE","FAIBLE")</f>
        <v>FORTE</v>
      </c>
      <c r="N924" s="2">
        <v>0.64300000000000002</v>
      </c>
      <c r="O924" s="2">
        <v>0.72699999999999998</v>
      </c>
      <c r="P924" s="2">
        <v>3.8899999999999997E-2</v>
      </c>
      <c r="Q924" s="2">
        <v>4.3900000000000002E-2</v>
      </c>
      <c r="R924" s="2">
        <v>0.123</v>
      </c>
      <c r="S924" s="2">
        <v>0.29499999999999998</v>
      </c>
      <c r="T924" s="2">
        <v>-5.5060000000000002</v>
      </c>
      <c r="U924">
        <v>162299</v>
      </c>
      <c r="V924">
        <f>YEAR(Spotify[[#This Row],[Date de sortie]])</f>
        <v>2020</v>
      </c>
      <c r="W924" s="2" t="str">
        <f>IF(Spotify[[#This Row],[Popularité]]&gt;=70,"FORTE","FAIBLE")</f>
        <v>FORTE</v>
      </c>
    </row>
    <row r="925" spans="1:23" x14ac:dyDescent="0.25">
      <c r="A925">
        <v>1184</v>
      </c>
      <c r="B925">
        <v>130</v>
      </c>
      <c r="C925">
        <v>1</v>
      </c>
      <c r="D925" s="1">
        <v>43959</v>
      </c>
      <c r="E925" s="59" t="str" cm="1">
        <f t="array" ref="E92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25" t="s">
        <v>1947</v>
      </c>
      <c r="G925" s="3">
        <v>5368705</v>
      </c>
      <c r="H925" t="s">
        <v>674</v>
      </c>
      <c r="I925" s="4">
        <v>3559267</v>
      </c>
      <c r="J925" t="s">
        <v>158</v>
      </c>
      <c r="K925" s="1">
        <v>43959</v>
      </c>
      <c r="L925">
        <v>70</v>
      </c>
      <c r="M925" s="2" t="str">
        <f>IF(Spotify[[#This Row],[Energie]]&gt;AVERAGE(Spotify[Energie]),"FORTE","FAIBLE")</f>
        <v>FAIBLE</v>
      </c>
      <c r="N925" s="2">
        <v>0.56499999999999995</v>
      </c>
      <c r="O925" s="2">
        <v>0.56899999999999995</v>
      </c>
      <c r="P925" s="2">
        <v>0.379</v>
      </c>
      <c r="Q925" s="2">
        <v>3.5200000000000002E-2</v>
      </c>
      <c r="R925" s="2">
        <v>0.106</v>
      </c>
      <c r="S925" s="2">
        <v>0.30299999999999999</v>
      </c>
      <c r="T925" s="2">
        <v>-6.0839999999999996</v>
      </c>
      <c r="U925">
        <v>214825</v>
      </c>
      <c r="V925">
        <f>YEAR(Spotify[[#This Row],[Date de sortie]])</f>
        <v>2020</v>
      </c>
      <c r="W925" s="2" t="str">
        <f>IF(Spotify[[#This Row],[Popularité]]&gt;=70,"FORTE","FAIBLE")</f>
        <v>FORTE</v>
      </c>
    </row>
    <row r="926" spans="1:23" x14ac:dyDescent="0.25">
      <c r="A926">
        <v>580</v>
      </c>
      <c r="B926">
        <v>90</v>
      </c>
      <c r="C926">
        <v>4</v>
      </c>
      <c r="D926" s="1">
        <v>44204</v>
      </c>
      <c r="E926" s="59" t="str" cm="1">
        <f t="array" ref="E92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COUNTRY</v>
      </c>
      <c r="F926" t="s">
        <v>1037</v>
      </c>
      <c r="G926" s="3">
        <v>5332437</v>
      </c>
      <c r="H926" t="s">
        <v>1030</v>
      </c>
      <c r="I926" s="4">
        <v>2147875</v>
      </c>
      <c r="J926" t="s">
        <v>382</v>
      </c>
      <c r="K926" s="1">
        <v>44155</v>
      </c>
      <c r="L926">
        <v>70</v>
      </c>
      <c r="M926" s="2" t="str">
        <f>IF(Spotify[[#This Row],[Energie]]&gt;AVERAGE(Spotify[Energie]),"FORTE","FAIBLE")</f>
        <v>FAIBLE</v>
      </c>
      <c r="N926" s="2">
        <v>0.65700000000000003</v>
      </c>
      <c r="O926" s="2">
        <v>0.54</v>
      </c>
      <c r="P926" s="2">
        <v>2.87E-2</v>
      </c>
      <c r="Q926" s="2">
        <v>0.66200000000000003</v>
      </c>
      <c r="R926" s="2">
        <v>0.123</v>
      </c>
      <c r="S926" s="2">
        <v>0.625</v>
      </c>
      <c r="T926" s="2">
        <v>-7.6749999999999998</v>
      </c>
      <c r="U926">
        <v>161773</v>
      </c>
      <c r="V926">
        <f>YEAR(Spotify[[#This Row],[Date de sortie]])</f>
        <v>2020</v>
      </c>
      <c r="W926" s="2" t="str">
        <f>IF(Spotify[[#This Row],[Popularité]]&gt;=70,"FORTE","FAIBLE")</f>
        <v>FORTE</v>
      </c>
    </row>
    <row r="927" spans="1:23" x14ac:dyDescent="0.25">
      <c r="A927">
        <v>581</v>
      </c>
      <c r="B927">
        <v>66</v>
      </c>
      <c r="C927">
        <v>2</v>
      </c>
      <c r="D927" s="1">
        <v>44211</v>
      </c>
      <c r="E927" s="59" t="str" cm="1">
        <f t="array" ref="E92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27" t="s">
        <v>1038</v>
      </c>
      <c r="G927" s="3">
        <v>5186567</v>
      </c>
      <c r="H927" t="s">
        <v>454</v>
      </c>
      <c r="I927" s="4">
        <v>28931149</v>
      </c>
      <c r="J927" t="s">
        <v>19</v>
      </c>
      <c r="K927" s="1">
        <v>44267</v>
      </c>
      <c r="L927">
        <v>70</v>
      </c>
      <c r="M927" s="2" t="str">
        <f>IF(Spotify[[#This Row],[Energie]]&gt;AVERAGE(Spotify[Energie]),"FORTE","FAIBLE")</f>
        <v>FAIBLE</v>
      </c>
      <c r="N927" s="2">
        <v>0.65900000000000003</v>
      </c>
      <c r="O927" s="2">
        <v>0.47899999999999998</v>
      </c>
      <c r="P927" s="2">
        <v>0.2</v>
      </c>
      <c r="Q927" s="2">
        <v>0.152</v>
      </c>
      <c r="R927" s="2">
        <v>0.26800000000000002</v>
      </c>
      <c r="S927" s="2">
        <v>3.95E-2</v>
      </c>
      <c r="T927" s="2">
        <v>-6.79</v>
      </c>
      <c r="U927">
        <v>155956</v>
      </c>
      <c r="V927">
        <f>YEAR(Spotify[[#This Row],[Date de sortie]])</f>
        <v>2021</v>
      </c>
      <c r="W927" s="2" t="str">
        <f>IF(Spotify[[#This Row],[Popularité]]&gt;=70,"FORTE","FAIBLE")</f>
        <v>FORTE</v>
      </c>
    </row>
    <row r="928" spans="1:23" x14ac:dyDescent="0.25">
      <c r="A928">
        <v>1115</v>
      </c>
      <c r="B928">
        <v>134</v>
      </c>
      <c r="C928">
        <v>1</v>
      </c>
      <c r="D928" s="1">
        <v>43987</v>
      </c>
      <c r="E928" s="59" t="str" cm="1">
        <f t="array" ref="E92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928" t="s">
        <v>1851</v>
      </c>
      <c r="G928" s="3">
        <v>5163633</v>
      </c>
      <c r="H928" t="s">
        <v>556</v>
      </c>
      <c r="I928" s="4">
        <v>29566516</v>
      </c>
      <c r="J928" t="s">
        <v>557</v>
      </c>
      <c r="K928" s="1">
        <v>43983</v>
      </c>
      <c r="L928">
        <v>70</v>
      </c>
      <c r="M928" s="2" t="str">
        <f>IF(Spotify[[#This Row],[Energie]]&gt;AVERAGE(Spotify[Energie]),"FORTE","FAIBLE")</f>
        <v>FAIBLE</v>
      </c>
      <c r="N928" s="2">
        <v>0.50900000000000001</v>
      </c>
      <c r="O928" s="2">
        <v>0.54200000000000004</v>
      </c>
      <c r="P928" s="2">
        <v>0.442</v>
      </c>
      <c r="Q928" s="2">
        <v>1.9E-2</v>
      </c>
      <c r="R928" s="2">
        <v>0.23</v>
      </c>
      <c r="S928" s="2">
        <v>0.151</v>
      </c>
      <c r="T928" s="2">
        <v>-8.0269999999999992</v>
      </c>
      <c r="U928">
        <v>78681</v>
      </c>
      <c r="V928">
        <f>YEAR(Spotify[[#This Row],[Date de sortie]])</f>
        <v>2020</v>
      </c>
      <c r="W928" s="2" t="str">
        <f>IF(Spotify[[#This Row],[Popularité]]&gt;=70,"FORTE","FAIBLE")</f>
        <v>FORTE</v>
      </c>
    </row>
    <row r="929" spans="1:23" x14ac:dyDescent="0.25">
      <c r="A929">
        <v>597</v>
      </c>
      <c r="B929">
        <v>168</v>
      </c>
      <c r="C929">
        <v>1</v>
      </c>
      <c r="D929" s="1">
        <v>44204</v>
      </c>
      <c r="E929" s="59" t="str" cm="1">
        <f t="array" ref="E92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COUNTRY</v>
      </c>
      <c r="F929" t="s">
        <v>1065</v>
      </c>
      <c r="G929" s="3">
        <v>5160123</v>
      </c>
      <c r="H929" t="s">
        <v>1030</v>
      </c>
      <c r="I929" s="4">
        <v>2147875</v>
      </c>
      <c r="J929" t="s">
        <v>382</v>
      </c>
      <c r="K929" s="1">
        <v>44204</v>
      </c>
      <c r="L929">
        <v>70</v>
      </c>
      <c r="M929" s="2" t="str">
        <f>IF(Spotify[[#This Row],[Energie]]&gt;AVERAGE(Spotify[Energie]),"FORTE","FAIBLE")</f>
        <v>FAIBLE</v>
      </c>
      <c r="N929" s="2">
        <v>0.53200000000000003</v>
      </c>
      <c r="O929" s="2">
        <v>0.58399999999999996</v>
      </c>
      <c r="P929" s="2">
        <v>2.4799999999999999E-2</v>
      </c>
      <c r="Q929" s="2">
        <v>0.72299999999999998</v>
      </c>
      <c r="R929" s="2">
        <v>0.10100000000000001</v>
      </c>
      <c r="S929" s="2">
        <v>0.36699999999999999</v>
      </c>
      <c r="T929" s="2">
        <v>-5.2539999999999996</v>
      </c>
      <c r="U929">
        <v>190680</v>
      </c>
      <c r="V929">
        <f>YEAR(Spotify[[#This Row],[Date de sortie]])</f>
        <v>2021</v>
      </c>
      <c r="W929" s="2" t="str">
        <f>IF(Spotify[[#This Row],[Popularité]]&gt;=70,"FORTE","FAIBLE")</f>
        <v>FORTE</v>
      </c>
    </row>
    <row r="930" spans="1:23" x14ac:dyDescent="0.25">
      <c r="A930">
        <v>357</v>
      </c>
      <c r="B930">
        <v>199</v>
      </c>
      <c r="C930">
        <v>1</v>
      </c>
      <c r="D930" s="1">
        <v>44337</v>
      </c>
      <c r="E930" s="59" t="str" cm="1">
        <f t="array" ref="E93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30" t="s">
        <v>678</v>
      </c>
      <c r="G930" s="3">
        <v>5152139</v>
      </c>
      <c r="H930" t="s">
        <v>679</v>
      </c>
      <c r="I930" s="4">
        <v>169137</v>
      </c>
      <c r="J930" t="s">
        <v>680</v>
      </c>
      <c r="K930" s="1">
        <v>44268</v>
      </c>
      <c r="L930">
        <v>70</v>
      </c>
      <c r="M930" s="2" t="str">
        <f>IF(Spotify[[#This Row],[Energie]]&gt;AVERAGE(Spotify[Energie]),"FORTE","FAIBLE")</f>
        <v>FAIBLE</v>
      </c>
      <c r="N930" s="2">
        <v>0.79800000000000004</v>
      </c>
      <c r="O930" s="2">
        <v>0.621</v>
      </c>
      <c r="P930" s="2">
        <v>3.9100000000000003E-2</v>
      </c>
      <c r="Q930" s="2">
        <v>1.41E-2</v>
      </c>
      <c r="R930" s="2">
        <v>9.2600000000000002E-2</v>
      </c>
      <c r="S930" s="2">
        <v>0.443</v>
      </c>
      <c r="T930" s="2">
        <v>-6.9160000000000004</v>
      </c>
      <c r="U930">
        <v>166000</v>
      </c>
      <c r="V930">
        <f>YEAR(Spotify[[#This Row],[Date de sortie]])</f>
        <v>2021</v>
      </c>
      <c r="W930" s="2" t="str">
        <f>IF(Spotify[[#This Row],[Popularité]]&gt;=70,"FORTE","FAIBLE")</f>
        <v>FORTE</v>
      </c>
    </row>
    <row r="931" spans="1:23" x14ac:dyDescent="0.25">
      <c r="A931">
        <v>1314</v>
      </c>
      <c r="B931">
        <v>53</v>
      </c>
      <c r="C931">
        <v>12</v>
      </c>
      <c r="D931" s="1">
        <v>43833</v>
      </c>
      <c r="E931" s="59" t="str" cm="1">
        <f t="array" ref="E93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31" t="s">
        <v>2125</v>
      </c>
      <c r="G931" s="3">
        <v>5130783</v>
      </c>
      <c r="H931" t="s">
        <v>2126</v>
      </c>
      <c r="I931" s="4">
        <v>14831925</v>
      </c>
      <c r="J931" t="s">
        <v>25</v>
      </c>
      <c r="K931" s="1">
        <v>43770</v>
      </c>
      <c r="L931">
        <v>70</v>
      </c>
      <c r="M931" s="2" t="str">
        <f>IF(Spotify[[#This Row],[Energie]]&gt;AVERAGE(Spotify[Energie]),"FORTE","FAIBLE")</f>
        <v>FORTE</v>
      </c>
      <c r="N931" s="2">
        <v>0.81699999999999995</v>
      </c>
      <c r="O931" s="2">
        <v>0.66500000000000004</v>
      </c>
      <c r="P931" s="2">
        <v>7.5800000000000006E-2</v>
      </c>
      <c r="Q931" s="2">
        <v>5.4899999999999997E-2</v>
      </c>
      <c r="R931" s="2">
        <v>0.10299999999999999</v>
      </c>
      <c r="S931" s="2">
        <v>0.66200000000000003</v>
      </c>
      <c r="T931" s="2">
        <v>-6.2240000000000002</v>
      </c>
      <c r="U931">
        <v>215460</v>
      </c>
      <c r="V931">
        <f>YEAR(Spotify[[#This Row],[Date de sortie]])</f>
        <v>2019</v>
      </c>
      <c r="W931" s="2" t="str">
        <f>IF(Spotify[[#This Row],[Popularité]]&gt;=70,"FORTE","FAIBLE")</f>
        <v>FORTE</v>
      </c>
    </row>
    <row r="932" spans="1:23" x14ac:dyDescent="0.25">
      <c r="A932">
        <v>968</v>
      </c>
      <c r="B932">
        <v>18</v>
      </c>
      <c r="C932">
        <v>3</v>
      </c>
      <c r="D932" s="1">
        <v>44036</v>
      </c>
      <c r="E932" s="59" t="str" cm="1">
        <f t="array" ref="E93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32" t="s">
        <v>1648</v>
      </c>
      <c r="G932" s="3">
        <v>5128412</v>
      </c>
      <c r="H932" t="s">
        <v>746</v>
      </c>
      <c r="I932" s="4">
        <v>42227614</v>
      </c>
      <c r="J932" t="s">
        <v>10</v>
      </c>
      <c r="K932" s="1">
        <v>44036</v>
      </c>
      <c r="L932">
        <v>70</v>
      </c>
      <c r="M932" s="2" t="str">
        <f>IF(Spotify[[#This Row],[Energie]]&gt;AVERAGE(Spotify[Energie]),"FORTE","FAIBLE")</f>
        <v>FAIBLE</v>
      </c>
      <c r="N932" s="2">
        <v>0.51500000000000001</v>
      </c>
      <c r="O932" s="2">
        <v>0.47599999999999998</v>
      </c>
      <c r="P932" s="2">
        <v>3.2800000000000003E-2</v>
      </c>
      <c r="Q932" s="2">
        <v>0.314</v>
      </c>
      <c r="R932" s="2">
        <v>0.17100000000000001</v>
      </c>
      <c r="S932" s="2">
        <v>0.41199999999999998</v>
      </c>
      <c r="T932" s="2">
        <v>-9.843</v>
      </c>
      <c r="U932">
        <v>195097</v>
      </c>
      <c r="V932">
        <f>YEAR(Spotify[[#This Row],[Date de sortie]])</f>
        <v>2020</v>
      </c>
      <c r="W932" s="2" t="str">
        <f>IF(Spotify[[#This Row],[Popularité]]&gt;=70,"FORTE","FAIBLE")</f>
        <v>FORTE</v>
      </c>
    </row>
    <row r="933" spans="1:23" x14ac:dyDescent="0.25">
      <c r="A933">
        <v>525</v>
      </c>
      <c r="B933">
        <v>185</v>
      </c>
      <c r="C933">
        <v>1</v>
      </c>
      <c r="D933" s="1">
        <v>44253</v>
      </c>
      <c r="E933" s="59" t="str" cm="1">
        <f t="array" ref="E93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33" t="s">
        <v>952</v>
      </c>
      <c r="G933" s="3">
        <v>5079580</v>
      </c>
      <c r="H933" t="s">
        <v>953</v>
      </c>
      <c r="I933" s="4">
        <v>1453875</v>
      </c>
      <c r="J933" t="s">
        <v>946</v>
      </c>
      <c r="K933" s="1">
        <v>44253</v>
      </c>
      <c r="L933">
        <v>70</v>
      </c>
      <c r="M933" s="2" t="str">
        <f>IF(Spotify[[#This Row],[Energie]]&gt;AVERAGE(Spotify[Energie]),"FORTE","FAIBLE")</f>
        <v>FAIBLE</v>
      </c>
      <c r="N933" s="2">
        <v>0.76100000000000001</v>
      </c>
      <c r="O933" s="2">
        <v>0.29599999999999999</v>
      </c>
      <c r="P933" s="2">
        <v>4.8399999999999999E-2</v>
      </c>
      <c r="Q933" s="2">
        <v>0.55100000000000005</v>
      </c>
      <c r="R933" s="2">
        <v>0.13400000000000001</v>
      </c>
      <c r="S933" s="2">
        <v>0.57899999999999996</v>
      </c>
      <c r="T933" s="2">
        <v>-10.220000000000001</v>
      </c>
      <c r="U933">
        <v>167867</v>
      </c>
      <c r="V933">
        <f>YEAR(Spotify[[#This Row],[Date de sortie]])</f>
        <v>2021</v>
      </c>
      <c r="W933" s="2" t="str">
        <f>IF(Spotify[[#This Row],[Popularité]]&gt;=70,"FORTE","FAIBLE")</f>
        <v>FORTE</v>
      </c>
    </row>
    <row r="934" spans="1:23" x14ac:dyDescent="0.25">
      <c r="A934">
        <v>971</v>
      </c>
      <c r="B934">
        <v>20</v>
      </c>
      <c r="C934">
        <v>3</v>
      </c>
      <c r="D934" s="1">
        <v>44036</v>
      </c>
      <c r="E934" s="59" t="str" cm="1">
        <f t="array" ref="E93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34" t="s">
        <v>1651</v>
      </c>
      <c r="G934" s="3">
        <v>5053658</v>
      </c>
      <c r="H934" t="s">
        <v>746</v>
      </c>
      <c r="I934" s="4">
        <v>42227614</v>
      </c>
      <c r="J934" t="s">
        <v>10</v>
      </c>
      <c r="K934" s="1">
        <v>44036</v>
      </c>
      <c r="L934">
        <v>70</v>
      </c>
      <c r="M934" s="2" t="str">
        <f>IF(Spotify[[#This Row],[Energie]]&gt;AVERAGE(Spotify[Energie]),"FORTE","FAIBLE")</f>
        <v>FAIBLE</v>
      </c>
      <c r="N934" s="2">
        <v>0.55900000000000005</v>
      </c>
      <c r="O934" s="2">
        <v>0.31</v>
      </c>
      <c r="P934" s="2">
        <v>3.3799999999999997E-2</v>
      </c>
      <c r="Q934" s="2">
        <v>0.88100000000000001</v>
      </c>
      <c r="R934" s="2">
        <v>0.106</v>
      </c>
      <c r="S934" s="2">
        <v>0.46</v>
      </c>
      <c r="T934" s="2">
        <v>-10.445</v>
      </c>
      <c r="U934">
        <v>190898</v>
      </c>
      <c r="V934">
        <f>YEAR(Spotify[[#This Row],[Date de sortie]])</f>
        <v>2020</v>
      </c>
      <c r="W934" s="2" t="str">
        <f>IF(Spotify[[#This Row],[Popularité]]&gt;=70,"FORTE","FAIBLE")</f>
        <v>FORTE</v>
      </c>
    </row>
    <row r="935" spans="1:23" x14ac:dyDescent="0.25">
      <c r="A935">
        <v>1036</v>
      </c>
      <c r="B935">
        <v>164</v>
      </c>
      <c r="C935">
        <v>1</v>
      </c>
      <c r="D935" s="1">
        <v>44022</v>
      </c>
      <c r="E935" s="59" t="str" cm="1">
        <f t="array" ref="E93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35" t="s">
        <v>1737</v>
      </c>
      <c r="G935" s="3">
        <v>5030481</v>
      </c>
      <c r="H935" t="s">
        <v>1738</v>
      </c>
      <c r="I935" s="4">
        <v>383695</v>
      </c>
      <c r="J935" t="s">
        <v>33</v>
      </c>
      <c r="K935" s="1">
        <v>44018</v>
      </c>
      <c r="L935">
        <v>70</v>
      </c>
      <c r="M935" s="2" t="str">
        <f>IF(Spotify[[#This Row],[Energie]]&gt;AVERAGE(Spotify[Energie]),"FORTE","FAIBLE")</f>
        <v>FORTE</v>
      </c>
      <c r="N935" s="2">
        <v>0.63100000000000001</v>
      </c>
      <c r="O935" s="2">
        <v>0.748</v>
      </c>
      <c r="P935" s="2">
        <v>4.8800000000000003E-2</v>
      </c>
      <c r="Q935" s="2">
        <v>0.21199999999999999</v>
      </c>
      <c r="R935" s="2">
        <v>0.53700000000000003</v>
      </c>
      <c r="S935" s="2">
        <v>0.35099999999999998</v>
      </c>
      <c r="T935" s="2">
        <v>-2.569</v>
      </c>
      <c r="U935">
        <v>178413</v>
      </c>
      <c r="V935">
        <f>YEAR(Spotify[[#This Row],[Date de sortie]])</f>
        <v>2020</v>
      </c>
      <c r="W935" s="2" t="str">
        <f>IF(Spotify[[#This Row],[Popularité]]&gt;=70,"FORTE","FAIBLE")</f>
        <v>FORTE</v>
      </c>
    </row>
    <row r="936" spans="1:23" x14ac:dyDescent="0.25">
      <c r="A936">
        <v>1157</v>
      </c>
      <c r="B936">
        <v>92</v>
      </c>
      <c r="C936">
        <v>2</v>
      </c>
      <c r="D936" s="1">
        <v>43966</v>
      </c>
      <c r="E936" s="59" t="str" cm="1">
        <f t="array" ref="E93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36" t="s">
        <v>1908</v>
      </c>
      <c r="G936" s="3">
        <v>5018592</v>
      </c>
      <c r="H936" t="s">
        <v>1179</v>
      </c>
      <c r="I936" s="4">
        <v>5436999</v>
      </c>
      <c r="J936" t="s">
        <v>1180</v>
      </c>
      <c r="K936" s="1">
        <v>43966</v>
      </c>
      <c r="L936">
        <v>70</v>
      </c>
      <c r="M936" s="2" t="str">
        <f>IF(Spotify[[#This Row],[Energie]]&gt;AVERAGE(Spotify[Energie]),"FORTE","FAIBLE")</f>
        <v>FORTE</v>
      </c>
      <c r="N936" s="2">
        <v>0.71499999999999997</v>
      </c>
      <c r="O936" s="2">
        <v>0.82699999999999996</v>
      </c>
      <c r="P936" s="2">
        <v>6.1699999999999998E-2</v>
      </c>
      <c r="Q936" s="2">
        <v>4.8500000000000001E-2</v>
      </c>
      <c r="R936" s="2">
        <v>0.32100000000000001</v>
      </c>
      <c r="S936" s="2">
        <v>0.75</v>
      </c>
      <c r="T936" s="2">
        <v>-5.09</v>
      </c>
      <c r="U936">
        <v>185277</v>
      </c>
      <c r="V936">
        <f>YEAR(Spotify[[#This Row],[Date de sortie]])</f>
        <v>2020</v>
      </c>
      <c r="W936" s="2" t="str">
        <f>IF(Spotify[[#This Row],[Popularité]]&gt;=70,"FORTE","FAIBLE")</f>
        <v>FORTE</v>
      </c>
    </row>
    <row r="937" spans="1:23" x14ac:dyDescent="0.25">
      <c r="A937">
        <v>903</v>
      </c>
      <c r="B937">
        <v>167</v>
      </c>
      <c r="C937">
        <v>1</v>
      </c>
      <c r="D937" s="1">
        <v>44085</v>
      </c>
      <c r="E937" s="59" t="str" cm="1">
        <f t="array" ref="E93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37" t="s">
        <v>1543</v>
      </c>
      <c r="G937" s="3">
        <v>4938139</v>
      </c>
      <c r="H937" t="s">
        <v>1544</v>
      </c>
      <c r="I937" s="4">
        <v>3263283</v>
      </c>
      <c r="J937" t="s">
        <v>1545</v>
      </c>
      <c r="K937" s="1">
        <v>44084</v>
      </c>
      <c r="L937">
        <v>70</v>
      </c>
      <c r="M937" s="2" t="str">
        <f>IF(Spotify[[#This Row],[Energie]]&gt;AVERAGE(Spotify[Energie]),"FORTE","FAIBLE")</f>
        <v>FORTE</v>
      </c>
      <c r="N937" s="2">
        <v>0.629</v>
      </c>
      <c r="O937" s="2">
        <v>0.72699999999999998</v>
      </c>
      <c r="P937" s="2">
        <v>4.99E-2</v>
      </c>
      <c r="Q937" s="2">
        <v>6.4699999999999994E-2</v>
      </c>
      <c r="R937" s="2">
        <v>0.13800000000000001</v>
      </c>
      <c r="S937" s="2">
        <v>0.13200000000000001</v>
      </c>
      <c r="T937" s="2">
        <v>-4.3869999999999996</v>
      </c>
      <c r="U937">
        <v>230400</v>
      </c>
      <c r="V937">
        <f>YEAR(Spotify[[#This Row],[Date de sortie]])</f>
        <v>2020</v>
      </c>
      <c r="W937" s="2" t="str">
        <f>IF(Spotify[[#This Row],[Popularité]]&gt;=70,"FORTE","FAIBLE")</f>
        <v>FORTE</v>
      </c>
    </row>
    <row r="938" spans="1:23" x14ac:dyDescent="0.25">
      <c r="A938">
        <v>600</v>
      </c>
      <c r="B938">
        <v>65</v>
      </c>
      <c r="C938">
        <v>10</v>
      </c>
      <c r="D938" s="1">
        <v>44141</v>
      </c>
      <c r="E938" s="59" t="str" cm="1">
        <f t="array" ref="E93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38" t="s">
        <v>1068</v>
      </c>
      <c r="G938" s="3">
        <v>4906324</v>
      </c>
      <c r="H938" t="s">
        <v>1069</v>
      </c>
      <c r="I938" s="4">
        <v>8766508</v>
      </c>
      <c r="J938" t="s">
        <v>25</v>
      </c>
      <c r="K938" s="1">
        <v>44135</v>
      </c>
      <c r="L938">
        <v>70</v>
      </c>
      <c r="M938" s="2" t="str">
        <f>IF(Spotify[[#This Row],[Energie]]&gt;AVERAGE(Spotify[Energie]),"FORTE","FAIBLE")</f>
        <v>FORTE</v>
      </c>
      <c r="N938" s="2">
        <v>0.66500000000000004</v>
      </c>
      <c r="O938" s="2">
        <v>0.69699999999999995</v>
      </c>
      <c r="P938" s="2">
        <v>0.154</v>
      </c>
      <c r="Q938" s="2">
        <v>0.42699999999999999</v>
      </c>
      <c r="R938" s="2">
        <v>0.59899999999999998</v>
      </c>
      <c r="S938" s="2">
        <v>0.55600000000000005</v>
      </c>
      <c r="T938" s="2">
        <v>-4.819</v>
      </c>
      <c r="U938">
        <v>216747</v>
      </c>
      <c r="V938">
        <f>YEAR(Spotify[[#This Row],[Date de sortie]])</f>
        <v>2020</v>
      </c>
      <c r="W938" s="2" t="str">
        <f>IF(Spotify[[#This Row],[Popularité]]&gt;=70,"FORTE","FAIBLE")</f>
        <v>FORTE</v>
      </c>
    </row>
    <row r="939" spans="1:23" x14ac:dyDescent="0.25">
      <c r="A939">
        <v>1276</v>
      </c>
      <c r="B939">
        <v>85</v>
      </c>
      <c r="C939">
        <v>8</v>
      </c>
      <c r="D939" s="1">
        <v>43868</v>
      </c>
      <c r="E939" s="59" t="str" cm="1">
        <f t="array" ref="E93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39" t="s">
        <v>2073</v>
      </c>
      <c r="G939" s="3">
        <v>4901559</v>
      </c>
      <c r="H939" t="s">
        <v>2074</v>
      </c>
      <c r="I939" s="4">
        <v>2435159</v>
      </c>
      <c r="J939" t="s">
        <v>25</v>
      </c>
      <c r="K939" s="1">
        <v>43866</v>
      </c>
      <c r="L939">
        <v>70</v>
      </c>
      <c r="M939" s="2" t="str">
        <f>IF(Spotify[[#This Row],[Energie]]&gt;AVERAGE(Spotify[Energie]),"FORTE","FAIBLE")</f>
        <v>FAIBLE</v>
      </c>
      <c r="N939" s="2">
        <v>0.88600000000000001</v>
      </c>
      <c r="O939" s="2">
        <v>0.60399999999999998</v>
      </c>
      <c r="P939" s="2">
        <v>0.20799999999999999</v>
      </c>
      <c r="Q939" s="2">
        <v>0.19400000000000001</v>
      </c>
      <c r="R939" s="2">
        <v>0.107</v>
      </c>
      <c r="S939" s="2">
        <v>0.38300000000000001</v>
      </c>
      <c r="T939" s="2">
        <v>-7.2930000000000001</v>
      </c>
      <c r="U939">
        <v>305333</v>
      </c>
      <c r="V939">
        <f>YEAR(Spotify[[#This Row],[Date de sortie]])</f>
        <v>2020</v>
      </c>
      <c r="W939" s="2" t="str">
        <f>IF(Spotify[[#This Row],[Popularité]]&gt;=70,"FORTE","FAIBLE")</f>
        <v>FORTE</v>
      </c>
    </row>
    <row r="940" spans="1:23" x14ac:dyDescent="0.25">
      <c r="A940">
        <v>1323</v>
      </c>
      <c r="B940">
        <v>19</v>
      </c>
      <c r="C940">
        <v>9</v>
      </c>
      <c r="D940" s="1">
        <v>43847</v>
      </c>
      <c r="E940" s="59" t="str" cm="1">
        <f t="array" ref="E94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40" t="s">
        <v>2135</v>
      </c>
      <c r="G940" s="3">
        <v>4802069</v>
      </c>
      <c r="H940" t="s">
        <v>32</v>
      </c>
      <c r="I940" s="4">
        <v>37151476</v>
      </c>
      <c r="J940" t="s">
        <v>33</v>
      </c>
      <c r="K940" s="1">
        <v>43882</v>
      </c>
      <c r="L940">
        <v>70</v>
      </c>
      <c r="M940" s="2" t="str">
        <f>IF(Spotify[[#This Row],[Energie]]&gt;AVERAGE(Spotify[Energie]),"FORTE","FAIBLE")</f>
        <v>FORTE</v>
      </c>
      <c r="N940" s="2">
        <v>0.71899999999999997</v>
      </c>
      <c r="O940" s="2">
        <v>0.75800000000000001</v>
      </c>
      <c r="P940" s="2">
        <v>8.5099999999999995E-2</v>
      </c>
      <c r="Q940" s="2">
        <v>0.13700000000000001</v>
      </c>
      <c r="R940" s="2">
        <v>0.129</v>
      </c>
      <c r="S940" s="2">
        <v>0.49</v>
      </c>
      <c r="T940" s="2">
        <v>-5.1669999999999998</v>
      </c>
      <c r="U940">
        <v>198261</v>
      </c>
      <c r="V940">
        <f>YEAR(Spotify[[#This Row],[Date de sortie]])</f>
        <v>2020</v>
      </c>
      <c r="W940" s="2" t="str">
        <f>IF(Spotify[[#This Row],[Popularité]]&gt;=70,"FORTE","FAIBLE")</f>
        <v>FORTE</v>
      </c>
    </row>
    <row r="941" spans="1:23" x14ac:dyDescent="0.25">
      <c r="A941">
        <v>1105</v>
      </c>
      <c r="B941">
        <v>79</v>
      </c>
      <c r="C941">
        <v>11</v>
      </c>
      <c r="D941" s="1">
        <v>43945</v>
      </c>
      <c r="E941" s="59" t="str" cm="1">
        <f t="array" ref="E94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41" t="s">
        <v>1836</v>
      </c>
      <c r="G941" s="3">
        <v>4754830</v>
      </c>
      <c r="H941" t="s">
        <v>221</v>
      </c>
      <c r="I941" s="4">
        <v>3370013</v>
      </c>
      <c r="J941" t="s">
        <v>222</v>
      </c>
      <c r="K941" s="1">
        <v>43875</v>
      </c>
      <c r="L941">
        <v>70</v>
      </c>
      <c r="M941" s="2" t="str">
        <f>IF(Spotify[[#This Row],[Energie]]&gt;AVERAGE(Spotify[Energie]),"FORTE","FAIBLE")</f>
        <v>FAIBLE</v>
      </c>
      <c r="N941" s="2">
        <v>0.375</v>
      </c>
      <c r="O941" s="2">
        <v>0.46100000000000002</v>
      </c>
      <c r="P941" s="2">
        <v>2.7900000000000001E-2</v>
      </c>
      <c r="Q941" s="2">
        <v>0.627</v>
      </c>
      <c r="R941" s="2">
        <v>0.38600000000000001</v>
      </c>
      <c r="S941" s="2">
        <v>0.23300000000000001</v>
      </c>
      <c r="T941" s="2">
        <v>-6.202</v>
      </c>
      <c r="U941">
        <v>223270</v>
      </c>
      <c r="V941">
        <f>YEAR(Spotify[[#This Row],[Date de sortie]])</f>
        <v>2020</v>
      </c>
      <c r="W941" s="2" t="str">
        <f>IF(Spotify[[#This Row],[Popularité]]&gt;=70,"FORTE","FAIBLE")</f>
        <v>FORTE</v>
      </c>
    </row>
    <row r="942" spans="1:23" x14ac:dyDescent="0.25">
      <c r="A942">
        <v>1540</v>
      </c>
      <c r="B942">
        <v>150</v>
      </c>
      <c r="C942">
        <v>2</v>
      </c>
      <c r="D942" s="1">
        <v>43826</v>
      </c>
      <c r="E942" s="59" t="str" cm="1">
        <f t="array" ref="E94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942" t="s">
        <v>2421</v>
      </c>
      <c r="G942" s="3">
        <v>4732292</v>
      </c>
      <c r="H942" t="s">
        <v>1079</v>
      </c>
      <c r="I942" s="4">
        <v>1674348</v>
      </c>
      <c r="J942" t="s">
        <v>206</v>
      </c>
      <c r="K942" s="1">
        <v>43763</v>
      </c>
      <c r="L942">
        <v>70</v>
      </c>
      <c r="M942" s="2" t="str">
        <f>IF(Spotify[[#This Row],[Energie]]&gt;AVERAGE(Spotify[Energie]),"FORTE","FAIBLE")</f>
        <v>FORTE</v>
      </c>
      <c r="N942" s="2">
        <v>0.94099999999999995</v>
      </c>
      <c r="O942" s="2">
        <v>0.75800000000000001</v>
      </c>
      <c r="P942" s="2">
        <v>0.17</v>
      </c>
      <c r="Q942" s="2">
        <v>2.5600000000000001E-2</v>
      </c>
      <c r="R942" s="2">
        <v>0.193</v>
      </c>
      <c r="S942" s="2">
        <v>0.68300000000000005</v>
      </c>
      <c r="T942" s="2">
        <v>-6.47</v>
      </c>
      <c r="U942">
        <v>157093</v>
      </c>
      <c r="V942">
        <f>YEAR(Spotify[[#This Row],[Date de sortie]])</f>
        <v>2019</v>
      </c>
      <c r="W942" s="2" t="str">
        <f>IF(Spotify[[#This Row],[Popularité]]&gt;=70,"FORTE","FAIBLE")</f>
        <v>FORTE</v>
      </c>
    </row>
    <row r="943" spans="1:23" x14ac:dyDescent="0.25">
      <c r="A943">
        <v>850</v>
      </c>
      <c r="B943">
        <v>81</v>
      </c>
      <c r="C943">
        <v>16</v>
      </c>
      <c r="D943" s="1">
        <v>44029</v>
      </c>
      <c r="E943" s="59" t="str" cm="1">
        <f t="array" ref="E94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43" t="s">
        <v>1466</v>
      </c>
      <c r="G943" s="3">
        <v>4727923</v>
      </c>
      <c r="H943" t="s">
        <v>1467</v>
      </c>
      <c r="I943" s="4">
        <v>613348</v>
      </c>
      <c r="J943" t="s">
        <v>72</v>
      </c>
      <c r="K943" s="1">
        <v>44008</v>
      </c>
      <c r="L943">
        <v>70</v>
      </c>
      <c r="M943" s="2" t="str">
        <f>IF(Spotify[[#This Row],[Energie]]&gt;AVERAGE(Spotify[Energie]),"FORTE","FAIBLE")</f>
        <v>FORTE</v>
      </c>
      <c r="N943" s="2">
        <v>0.79300000000000004</v>
      </c>
      <c r="O943" s="2">
        <v>0.73699999999999999</v>
      </c>
      <c r="P943" s="2">
        <v>7.85E-2</v>
      </c>
      <c r="Q943" s="2">
        <v>7.6499999999999999E-2</v>
      </c>
      <c r="R943" s="2">
        <v>7.4700000000000003E-2</v>
      </c>
      <c r="S943" s="2">
        <v>0.69699999999999995</v>
      </c>
      <c r="T943" s="2">
        <v>-4.7309999999999999</v>
      </c>
      <c r="U943">
        <v>333800</v>
      </c>
      <c r="V943">
        <f>YEAR(Spotify[[#This Row],[Date de sortie]])</f>
        <v>2020</v>
      </c>
      <c r="W943" s="2" t="str">
        <f>IF(Spotify[[#This Row],[Popularité]]&gt;=70,"FORTE","FAIBLE")</f>
        <v>FORTE</v>
      </c>
    </row>
    <row r="944" spans="1:23" x14ac:dyDescent="0.25">
      <c r="A944">
        <v>895</v>
      </c>
      <c r="B944">
        <v>4</v>
      </c>
      <c r="C944">
        <v>20</v>
      </c>
      <c r="D944" s="1">
        <v>43959</v>
      </c>
      <c r="E944" s="59" t="str" cm="1">
        <f t="array" ref="E94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944" t="s">
        <v>1531</v>
      </c>
      <c r="G944" s="3">
        <v>4690955</v>
      </c>
      <c r="H944" t="s">
        <v>1532</v>
      </c>
      <c r="I944" s="4">
        <v>6514102</v>
      </c>
      <c r="J944" t="s">
        <v>557</v>
      </c>
      <c r="K944" s="1">
        <v>43959</v>
      </c>
      <c r="L944">
        <v>70</v>
      </c>
      <c r="M944" s="2" t="str">
        <f>IF(Spotify[[#This Row],[Energie]]&gt;AVERAGE(Spotify[Energie]),"FORTE","FAIBLE")</f>
        <v>FORTE</v>
      </c>
      <c r="N944" s="2">
        <v>0.61099999999999999</v>
      </c>
      <c r="O944" s="2">
        <v>0.68799999999999994</v>
      </c>
      <c r="P944" s="2">
        <v>0.34100000000000003</v>
      </c>
      <c r="Q944" s="2">
        <v>2.64E-2</v>
      </c>
      <c r="R944" s="2">
        <v>0.251</v>
      </c>
      <c r="S944" s="2">
        <v>0.39300000000000002</v>
      </c>
      <c r="T944" s="2">
        <v>-5.6879999999999997</v>
      </c>
      <c r="U944">
        <v>132303</v>
      </c>
      <c r="V944">
        <f>YEAR(Spotify[[#This Row],[Date de sortie]])</f>
        <v>2020</v>
      </c>
      <c r="W944" s="2" t="str">
        <f>IF(Spotify[[#This Row],[Popularité]]&gt;=70,"FORTE","FAIBLE")</f>
        <v>FORTE</v>
      </c>
    </row>
    <row r="945" spans="1:23" x14ac:dyDescent="0.25">
      <c r="A945">
        <v>1235</v>
      </c>
      <c r="B945">
        <v>80</v>
      </c>
      <c r="C945">
        <v>3</v>
      </c>
      <c r="D945" s="1">
        <v>43924</v>
      </c>
      <c r="E945" s="59" t="str" cm="1">
        <f t="array" ref="E94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45" t="s">
        <v>2016</v>
      </c>
      <c r="G945" s="3">
        <v>4674532</v>
      </c>
      <c r="H945" t="s">
        <v>2017</v>
      </c>
      <c r="I945" s="4">
        <v>7593792</v>
      </c>
      <c r="J945" t="s">
        <v>313</v>
      </c>
      <c r="K945" s="1">
        <v>43924</v>
      </c>
      <c r="L945">
        <v>70</v>
      </c>
      <c r="M945" s="2" t="str">
        <f>IF(Spotify[[#This Row],[Energie]]&gt;AVERAGE(Spotify[Energie]),"FORTE","FAIBLE")</f>
        <v>FORTE</v>
      </c>
      <c r="N945" s="2">
        <v>0.61099999999999999</v>
      </c>
      <c r="O945" s="2">
        <v>0.65100000000000002</v>
      </c>
      <c r="P945" s="2">
        <v>5.8900000000000001E-2</v>
      </c>
      <c r="Q945" s="2">
        <v>0.14399999999999999</v>
      </c>
      <c r="R945" s="2">
        <v>0.105</v>
      </c>
      <c r="S945" s="2">
        <v>0.35099999999999998</v>
      </c>
      <c r="T945" s="2">
        <v>-6.9729999999999999</v>
      </c>
      <c r="U945">
        <v>215361</v>
      </c>
      <c r="V945">
        <f>YEAR(Spotify[[#This Row],[Date de sortie]])</f>
        <v>2020</v>
      </c>
      <c r="W945" s="2" t="str">
        <f>IF(Spotify[[#This Row],[Popularité]]&gt;=70,"FORTE","FAIBLE")</f>
        <v>FORTE</v>
      </c>
    </row>
    <row r="946" spans="1:23" x14ac:dyDescent="0.25">
      <c r="A946">
        <v>919</v>
      </c>
      <c r="B946">
        <v>82</v>
      </c>
      <c r="C946">
        <v>2</v>
      </c>
      <c r="D946" s="1">
        <v>44071</v>
      </c>
      <c r="E946" s="59" t="str" cm="1">
        <f t="array" ref="E94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46" t="s">
        <v>1568</v>
      </c>
      <c r="G946" s="3">
        <v>4642057</v>
      </c>
      <c r="H946" t="s">
        <v>1569</v>
      </c>
      <c r="I946" s="4">
        <v>1245965</v>
      </c>
      <c r="J946" t="s">
        <v>662</v>
      </c>
      <c r="K946" s="1">
        <v>44070</v>
      </c>
      <c r="L946">
        <v>70</v>
      </c>
      <c r="M946" s="2" t="str">
        <f>IF(Spotify[[#This Row],[Energie]]&gt;AVERAGE(Spotify[Energie]),"FORTE","FAIBLE")</f>
        <v>FORTE</v>
      </c>
      <c r="N946" s="2">
        <v>0.67600000000000005</v>
      </c>
      <c r="O946" s="2">
        <v>0.85699999999999998</v>
      </c>
      <c r="P946" s="2">
        <v>4.3799999999999999E-2</v>
      </c>
      <c r="Q946" s="2">
        <v>2.1499999999999998E-2</v>
      </c>
      <c r="R946" s="2">
        <v>0.254</v>
      </c>
      <c r="S946" s="2">
        <v>0.71699999999999997</v>
      </c>
      <c r="T946" s="2">
        <v>-4.3680000000000003</v>
      </c>
      <c r="U946">
        <v>162600</v>
      </c>
      <c r="V946">
        <f>YEAR(Spotify[[#This Row],[Date de sortie]])</f>
        <v>2020</v>
      </c>
      <c r="W946" s="2" t="str">
        <f>IF(Spotify[[#This Row],[Popularité]]&gt;=70,"FORTE","FAIBLE")</f>
        <v>FORTE</v>
      </c>
    </row>
    <row r="947" spans="1:23" x14ac:dyDescent="0.25">
      <c r="A947">
        <v>1003</v>
      </c>
      <c r="B947">
        <v>47</v>
      </c>
      <c r="C947">
        <v>7</v>
      </c>
      <c r="D947" s="1">
        <v>43994</v>
      </c>
      <c r="E947" s="59" t="str" cm="1">
        <f t="array" ref="E94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947" t="s">
        <v>1691</v>
      </c>
      <c r="G947" s="3">
        <v>4629083</v>
      </c>
      <c r="H947" t="s">
        <v>932</v>
      </c>
      <c r="I947" s="4">
        <v>7816213</v>
      </c>
      <c r="J947" t="s">
        <v>531</v>
      </c>
      <c r="K947" s="1">
        <v>43994</v>
      </c>
      <c r="L947">
        <v>70</v>
      </c>
      <c r="M947" s="2" t="str">
        <f>IF(Spotify[[#This Row],[Energie]]&gt;AVERAGE(Spotify[Energie]),"FORTE","FAIBLE")</f>
        <v>FAIBLE</v>
      </c>
      <c r="N947" s="2">
        <v>0.59</v>
      </c>
      <c r="O947" s="2">
        <v>0.61799999999999999</v>
      </c>
      <c r="P947" s="2">
        <v>0.33400000000000002</v>
      </c>
      <c r="Q947" s="2">
        <v>1.2699999999999999E-2</v>
      </c>
      <c r="R947" s="2">
        <v>0.24399999999999999</v>
      </c>
      <c r="S947" s="2">
        <v>0.153</v>
      </c>
      <c r="T947" s="2">
        <v>-5.7560000000000002</v>
      </c>
      <c r="U947">
        <v>252729</v>
      </c>
      <c r="V947">
        <f>YEAR(Spotify[[#This Row],[Date de sortie]])</f>
        <v>2020</v>
      </c>
      <c r="W947" s="2" t="str">
        <f>IF(Spotify[[#This Row],[Popularité]]&gt;=70,"FORTE","FAIBLE")</f>
        <v>FORTE</v>
      </c>
    </row>
    <row r="948" spans="1:23" x14ac:dyDescent="0.25">
      <c r="A948">
        <v>884</v>
      </c>
      <c r="B948">
        <v>65</v>
      </c>
      <c r="C948">
        <v>5</v>
      </c>
      <c r="D948" s="1">
        <v>44071</v>
      </c>
      <c r="E948" s="59" t="str" cm="1">
        <f t="array" ref="E94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48" t="s">
        <v>1514</v>
      </c>
      <c r="G948" s="3">
        <v>4628159</v>
      </c>
      <c r="H948" t="s">
        <v>1515</v>
      </c>
      <c r="I948" s="4">
        <v>412466</v>
      </c>
      <c r="J948" t="s">
        <v>230</v>
      </c>
      <c r="K948" s="1">
        <v>44072</v>
      </c>
      <c r="L948">
        <v>70</v>
      </c>
      <c r="M948" s="2" t="str">
        <f>IF(Spotify[[#This Row],[Energie]]&gt;AVERAGE(Spotify[Energie]),"FORTE","FAIBLE")</f>
        <v>FAIBLE</v>
      </c>
      <c r="N948" s="2">
        <v>0.76100000000000001</v>
      </c>
      <c r="O948" s="2">
        <v>0.51700000000000002</v>
      </c>
      <c r="P948" s="2">
        <v>9.2700000000000005E-2</v>
      </c>
      <c r="Q948" s="2">
        <v>0.114</v>
      </c>
      <c r="R948" s="2">
        <v>0.157</v>
      </c>
      <c r="S948" s="2">
        <v>0.46</v>
      </c>
      <c r="T948" s="2">
        <v>-6.9160000000000004</v>
      </c>
      <c r="U948">
        <v>174730</v>
      </c>
      <c r="V948">
        <f>YEAR(Spotify[[#This Row],[Date de sortie]])</f>
        <v>2020</v>
      </c>
      <c r="W948" s="2" t="str">
        <f>IF(Spotify[[#This Row],[Popularité]]&gt;=70,"FORTE","FAIBLE")</f>
        <v>FORTE</v>
      </c>
    </row>
    <row r="949" spans="1:23" x14ac:dyDescent="0.25">
      <c r="A949">
        <v>927</v>
      </c>
      <c r="B949">
        <v>71</v>
      </c>
      <c r="C949">
        <v>12</v>
      </c>
      <c r="D949" s="1">
        <v>44015</v>
      </c>
      <c r="E949" s="59" t="str" cm="1">
        <f t="array" ref="E94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49" t="s">
        <v>1582</v>
      </c>
      <c r="G949" s="3">
        <v>4624448</v>
      </c>
      <c r="H949" t="s">
        <v>1583</v>
      </c>
      <c r="I949" s="4">
        <v>67074</v>
      </c>
      <c r="J949" t="s">
        <v>1584</v>
      </c>
      <c r="K949" s="1">
        <v>43966</v>
      </c>
      <c r="L949">
        <v>70</v>
      </c>
      <c r="M949" s="2" t="str">
        <f>IF(Spotify[[#This Row],[Energie]]&gt;AVERAGE(Spotify[Energie]),"FORTE","FAIBLE")</f>
        <v>FORTE</v>
      </c>
      <c r="N949" s="2">
        <v>0.82399999999999995</v>
      </c>
      <c r="O949" s="2">
        <v>0.85399999999999998</v>
      </c>
      <c r="P949" s="2">
        <v>0.17699999999999999</v>
      </c>
      <c r="Q949" s="2">
        <v>1.6E-2</v>
      </c>
      <c r="R949" s="2">
        <v>0.11700000000000001</v>
      </c>
      <c r="S949" s="2">
        <v>0.89600000000000002</v>
      </c>
      <c r="T949" s="2">
        <v>-5.3120000000000003</v>
      </c>
      <c r="U949">
        <v>210329</v>
      </c>
      <c r="V949">
        <f>YEAR(Spotify[[#This Row],[Date de sortie]])</f>
        <v>2020</v>
      </c>
      <c r="W949" s="2" t="str">
        <f>IF(Spotify[[#This Row],[Popularité]]&gt;=70,"FORTE","FAIBLE")</f>
        <v>FORTE</v>
      </c>
    </row>
    <row r="950" spans="1:23" x14ac:dyDescent="0.25">
      <c r="A950">
        <v>1556</v>
      </c>
      <c r="B950">
        <v>199</v>
      </c>
      <c r="C950">
        <v>1</v>
      </c>
      <c r="D950" s="1">
        <v>43826</v>
      </c>
      <c r="E950" s="59" t="str" cm="1">
        <f t="array" ref="E95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50" t="s">
        <v>2442</v>
      </c>
      <c r="G950" s="3">
        <v>4595450</v>
      </c>
      <c r="H950" t="s">
        <v>746</v>
      </c>
      <c r="I950" s="4">
        <v>42227614</v>
      </c>
      <c r="J950" t="s">
        <v>10</v>
      </c>
      <c r="K950" s="1">
        <v>43782</v>
      </c>
      <c r="L950">
        <v>70</v>
      </c>
      <c r="M950" s="2" t="str">
        <f>IF(Spotify[[#This Row],[Energie]]&gt;AVERAGE(Spotify[Energie]),"FORTE","FAIBLE")</f>
        <v>FAIBLE</v>
      </c>
      <c r="N950" s="2">
        <v>0.44800000000000001</v>
      </c>
      <c r="O950" s="2">
        <v>0.60299999999999998</v>
      </c>
      <c r="P950" s="2">
        <v>6.4000000000000001E-2</v>
      </c>
      <c r="Q950" s="2">
        <v>0.433</v>
      </c>
      <c r="R950" s="2">
        <v>8.6199999999999999E-2</v>
      </c>
      <c r="S950" s="2">
        <v>0.42199999999999999</v>
      </c>
      <c r="T950" s="2">
        <v>-7.1760000000000002</v>
      </c>
      <c r="U950">
        <v>221307</v>
      </c>
      <c r="V950">
        <f>YEAR(Spotify[[#This Row],[Date de sortie]])</f>
        <v>2019</v>
      </c>
      <c r="W950" s="2" t="str">
        <f>IF(Spotify[[#This Row],[Popularité]]&gt;=70,"FORTE","FAIBLE")</f>
        <v>FORTE</v>
      </c>
    </row>
    <row r="951" spans="1:23" x14ac:dyDescent="0.25">
      <c r="A951">
        <v>1068</v>
      </c>
      <c r="B951">
        <v>67</v>
      </c>
      <c r="C951">
        <v>5</v>
      </c>
      <c r="D951" s="1">
        <v>43987</v>
      </c>
      <c r="E951" s="59" t="str" cm="1">
        <f t="array" ref="E95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51" t="s">
        <v>1781</v>
      </c>
      <c r="G951" s="3">
        <v>4592745</v>
      </c>
      <c r="H951" t="s">
        <v>461</v>
      </c>
      <c r="I951" s="4">
        <v>9998991</v>
      </c>
      <c r="J951" t="s">
        <v>33</v>
      </c>
      <c r="K951" s="1">
        <v>43983</v>
      </c>
      <c r="L951">
        <v>70</v>
      </c>
      <c r="M951" s="2" t="str">
        <f>IF(Spotify[[#This Row],[Energie]]&gt;AVERAGE(Spotify[Energie]),"FORTE","FAIBLE")</f>
        <v>FORTE</v>
      </c>
      <c r="N951" s="2">
        <v>0.73899999999999999</v>
      </c>
      <c r="O951" s="2">
        <v>0.84099999999999997</v>
      </c>
      <c r="P951" s="2">
        <v>0.06</v>
      </c>
      <c r="Q951" s="2">
        <v>3.1199999999999999E-2</v>
      </c>
      <c r="R951" s="2">
        <v>0.17299999999999999</v>
      </c>
      <c r="S951" s="2">
        <v>0.56200000000000006</v>
      </c>
      <c r="T951" s="2">
        <v>-4.1619999999999999</v>
      </c>
      <c r="U951">
        <v>199653</v>
      </c>
      <c r="V951">
        <f>YEAR(Spotify[[#This Row],[Date de sortie]])</f>
        <v>2020</v>
      </c>
      <c r="W951" s="2" t="str">
        <f>IF(Spotify[[#This Row],[Popularité]]&gt;=70,"FORTE","FAIBLE")</f>
        <v>FORTE</v>
      </c>
    </row>
    <row r="952" spans="1:23" x14ac:dyDescent="0.25">
      <c r="A952">
        <v>932</v>
      </c>
      <c r="B952">
        <v>5</v>
      </c>
      <c r="C952">
        <v>11</v>
      </c>
      <c r="D952" s="1">
        <v>43980</v>
      </c>
      <c r="E952" s="59" t="str" cm="1">
        <f t="array" ref="E95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52" t="s">
        <v>1593</v>
      </c>
      <c r="G952" s="3">
        <v>4556900</v>
      </c>
      <c r="H952" t="s">
        <v>607</v>
      </c>
      <c r="I952" s="4">
        <v>18585963</v>
      </c>
      <c r="J952" t="s">
        <v>19</v>
      </c>
      <c r="K952" s="1">
        <v>43979</v>
      </c>
      <c r="L952">
        <v>70</v>
      </c>
      <c r="M952" s="2" t="str">
        <f>IF(Spotify[[#This Row],[Energie]]&gt;AVERAGE(Spotify[Energie]),"FORTE","FAIBLE")</f>
        <v>FORTE</v>
      </c>
      <c r="N952" s="2">
        <v>0.752</v>
      </c>
      <c r="O952" s="2">
        <v>0.87</v>
      </c>
      <c r="P952" s="2">
        <v>6.2300000000000001E-2</v>
      </c>
      <c r="Q952" s="2">
        <v>6.0400000000000002E-2</v>
      </c>
      <c r="R952" s="2">
        <v>0.48899999999999999</v>
      </c>
      <c r="S952" s="2">
        <v>0.78400000000000003</v>
      </c>
      <c r="T952" s="2">
        <v>-3.8119999999999998</v>
      </c>
      <c r="U952">
        <v>157707</v>
      </c>
      <c r="V952">
        <f>YEAR(Spotify[[#This Row],[Date de sortie]])</f>
        <v>2020</v>
      </c>
      <c r="W952" s="2" t="str">
        <f>IF(Spotify[[#This Row],[Popularité]]&gt;=70,"FORTE","FAIBLE")</f>
        <v>FORTE</v>
      </c>
    </row>
    <row r="953" spans="1:23" x14ac:dyDescent="0.25">
      <c r="A953">
        <v>1244</v>
      </c>
      <c r="B953">
        <v>30</v>
      </c>
      <c r="C953">
        <v>9</v>
      </c>
      <c r="D953" s="1">
        <v>43875</v>
      </c>
      <c r="E953" s="59" t="str" cm="1">
        <f t="array" ref="E95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53" t="s">
        <v>2030</v>
      </c>
      <c r="G953" s="3">
        <v>4527835</v>
      </c>
      <c r="H953" t="s">
        <v>1041</v>
      </c>
      <c r="I953" s="4">
        <v>17097317</v>
      </c>
      <c r="J953" t="s">
        <v>19</v>
      </c>
      <c r="K953" s="1">
        <v>43875</v>
      </c>
      <c r="L953">
        <v>70</v>
      </c>
      <c r="M953" s="2" t="str">
        <f>IF(Spotify[[#This Row],[Energie]]&gt;AVERAGE(Spotify[Energie]),"FORTE","FAIBLE")</f>
        <v>FAIBLE</v>
      </c>
      <c r="N953" s="2">
        <v>0.48299999999999998</v>
      </c>
      <c r="O953" s="2">
        <v>0.36099999999999999</v>
      </c>
      <c r="P953" s="2">
        <v>7.3800000000000004E-2</v>
      </c>
      <c r="Q953" s="2">
        <v>0.83199999999999996</v>
      </c>
      <c r="R953" s="2">
        <v>9.8000000000000004E-2</v>
      </c>
      <c r="S953" s="2">
        <v>0.307</v>
      </c>
      <c r="T953" s="2">
        <v>-7.8890000000000002</v>
      </c>
      <c r="U953">
        <v>193795</v>
      </c>
      <c r="V953">
        <f>YEAR(Spotify[[#This Row],[Date de sortie]])</f>
        <v>2020</v>
      </c>
      <c r="W953" s="2" t="str">
        <f>IF(Spotify[[#This Row],[Popularité]]&gt;=70,"FORTE","FAIBLE")</f>
        <v>FORTE</v>
      </c>
    </row>
    <row r="954" spans="1:23" x14ac:dyDescent="0.25">
      <c r="A954">
        <v>1214</v>
      </c>
      <c r="B954">
        <v>103</v>
      </c>
      <c r="C954">
        <v>4</v>
      </c>
      <c r="D954" s="1">
        <v>43938</v>
      </c>
      <c r="E954" s="59" t="str" cm="1">
        <f t="array" ref="E95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54" t="s">
        <v>1986</v>
      </c>
      <c r="G954" s="3">
        <v>4478685</v>
      </c>
      <c r="H954" t="s">
        <v>728</v>
      </c>
      <c r="I954" s="4">
        <v>10580764</v>
      </c>
      <c r="J954" t="s">
        <v>72</v>
      </c>
      <c r="K954" s="1">
        <v>43899</v>
      </c>
      <c r="L954">
        <v>70</v>
      </c>
      <c r="M954" s="2" t="str">
        <f>IF(Spotify[[#This Row],[Energie]]&gt;AVERAGE(Spotify[Energie]),"FORTE","FAIBLE")</f>
        <v>FAIBLE</v>
      </c>
      <c r="N954" s="2">
        <v>0.71599999999999997</v>
      </c>
      <c r="O954" s="2">
        <v>0.58799999999999997</v>
      </c>
      <c r="P954" s="2">
        <v>0.11600000000000001</v>
      </c>
      <c r="Q954" s="2">
        <v>0.152</v>
      </c>
      <c r="R954" s="2">
        <v>8.4699999999999998E-2</v>
      </c>
      <c r="S954" s="2">
        <v>0.70699999999999996</v>
      </c>
      <c r="T954" s="2">
        <v>-3.952</v>
      </c>
      <c r="U954">
        <v>183547</v>
      </c>
      <c r="V954">
        <f>YEAR(Spotify[[#This Row],[Date de sortie]])</f>
        <v>2020</v>
      </c>
      <c r="W954" s="2" t="str">
        <f>IF(Spotify[[#This Row],[Popularité]]&gt;=70,"FORTE","FAIBLE")</f>
        <v>FORTE</v>
      </c>
    </row>
    <row r="955" spans="1:23" x14ac:dyDescent="0.25">
      <c r="A955">
        <v>1217</v>
      </c>
      <c r="B955">
        <v>139</v>
      </c>
      <c r="C955">
        <v>8</v>
      </c>
      <c r="D955" s="1">
        <v>43903</v>
      </c>
      <c r="E955" s="59" t="str" cm="1">
        <f t="array" ref="E95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55" t="s">
        <v>1990</v>
      </c>
      <c r="G955" s="3">
        <v>4401019</v>
      </c>
      <c r="H955" t="s">
        <v>1991</v>
      </c>
      <c r="I955" s="4">
        <v>6096559</v>
      </c>
      <c r="J955" t="s">
        <v>22</v>
      </c>
      <c r="K955" s="1">
        <v>43896</v>
      </c>
      <c r="L955">
        <v>70</v>
      </c>
      <c r="M955" s="2" t="str">
        <f>IF(Spotify[[#This Row],[Energie]]&gt;AVERAGE(Spotify[Energie]),"FORTE","FAIBLE")</f>
        <v>FORTE</v>
      </c>
      <c r="N955" s="2">
        <v>0.81599999999999995</v>
      </c>
      <c r="O955" s="2">
        <v>0.72</v>
      </c>
      <c r="P955" s="2">
        <v>6.8400000000000002E-2</v>
      </c>
      <c r="Q955" s="2">
        <v>0.20599999999999999</v>
      </c>
      <c r="R955" s="2">
        <v>0.27700000000000002</v>
      </c>
      <c r="S955" s="2">
        <v>0.78</v>
      </c>
      <c r="T955" s="2">
        <v>-4.4539999999999997</v>
      </c>
      <c r="U955">
        <v>267242</v>
      </c>
      <c r="V955">
        <f>YEAR(Spotify[[#This Row],[Date de sortie]])</f>
        <v>2020</v>
      </c>
      <c r="W955" s="2" t="str">
        <f>IF(Spotify[[#This Row],[Popularité]]&gt;=70,"FORTE","FAIBLE")</f>
        <v>FORTE</v>
      </c>
    </row>
    <row r="956" spans="1:23" x14ac:dyDescent="0.25">
      <c r="A956">
        <v>1247</v>
      </c>
      <c r="B956">
        <v>190</v>
      </c>
      <c r="C956">
        <v>2</v>
      </c>
      <c r="D956" s="1">
        <v>43924</v>
      </c>
      <c r="E956" s="59" t="str" cm="1">
        <f t="array" ref="E95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956" t="s">
        <v>2034</v>
      </c>
      <c r="G956" s="3">
        <v>4324610</v>
      </c>
      <c r="H956" t="s">
        <v>850</v>
      </c>
      <c r="I956" s="4">
        <v>2203386</v>
      </c>
      <c r="J956" t="s">
        <v>1595</v>
      </c>
      <c r="K956" s="1">
        <v>43630</v>
      </c>
      <c r="L956">
        <v>70</v>
      </c>
      <c r="M956" s="2" t="str">
        <f>IF(Spotify[[#This Row],[Energie]]&gt;AVERAGE(Spotify[Energie]),"FORTE","FAIBLE")</f>
        <v>FAIBLE</v>
      </c>
      <c r="N956" s="2">
        <v>0.73299999999999998</v>
      </c>
      <c r="O956" s="2">
        <v>0.38900000000000001</v>
      </c>
      <c r="P956" s="2">
        <v>7.3800000000000004E-2</v>
      </c>
      <c r="Q956" s="2">
        <v>5.1299999999999998E-2</v>
      </c>
      <c r="R956" s="2">
        <v>0.14099999999999999</v>
      </c>
      <c r="S956" s="2">
        <v>0.24399999999999999</v>
      </c>
      <c r="T956" s="2">
        <v>-8.468</v>
      </c>
      <c r="U956">
        <v>159670</v>
      </c>
      <c r="V956">
        <f>YEAR(Spotify[[#This Row],[Date de sortie]])</f>
        <v>2019</v>
      </c>
      <c r="W956" s="2" t="str">
        <f>IF(Spotify[[#This Row],[Popularité]]&gt;=70,"FORTE","FAIBLE")</f>
        <v>FORTE</v>
      </c>
    </row>
    <row r="957" spans="1:23" x14ac:dyDescent="0.25">
      <c r="A957">
        <v>430</v>
      </c>
      <c r="B957">
        <v>54</v>
      </c>
      <c r="C957">
        <v>1</v>
      </c>
      <c r="D957" s="1">
        <v>44295</v>
      </c>
      <c r="E957" s="59" t="str" cm="1">
        <f t="array" ref="E95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57" t="s">
        <v>795</v>
      </c>
      <c r="G957" s="3">
        <v>9676024</v>
      </c>
      <c r="H957" t="s">
        <v>746</v>
      </c>
      <c r="I957" s="4">
        <v>42227614</v>
      </c>
      <c r="J957" t="s">
        <v>10</v>
      </c>
      <c r="K957" s="1">
        <v>44295</v>
      </c>
      <c r="L957">
        <v>69</v>
      </c>
      <c r="M957" s="2" t="str">
        <f>IF(Spotify[[#This Row],[Energie]]&gt;AVERAGE(Spotify[Energie]),"FORTE","FAIBLE")</f>
        <v>FORTE</v>
      </c>
      <c r="N957" s="2">
        <v>0.56899999999999995</v>
      </c>
      <c r="O957" s="2">
        <v>0.74099999999999999</v>
      </c>
      <c r="P957" s="2">
        <v>2.8199999999999999E-2</v>
      </c>
      <c r="Q957" s="2">
        <v>1.2200000000000001E-2</v>
      </c>
      <c r="R957" s="2">
        <v>0.33300000000000002</v>
      </c>
      <c r="S957" s="2">
        <v>0.43</v>
      </c>
      <c r="T957" s="2">
        <v>-4.9630000000000001</v>
      </c>
      <c r="U957">
        <v>241592</v>
      </c>
      <c r="V957">
        <f>YEAR(Spotify[[#This Row],[Date de sortie]])</f>
        <v>2021</v>
      </c>
      <c r="W957" s="2" t="str">
        <f>IF(Spotify[[#This Row],[Popularité]]&gt;=70,"FORTE","FAIBLE")</f>
        <v>FAIBLE</v>
      </c>
    </row>
    <row r="958" spans="1:23" x14ac:dyDescent="0.25">
      <c r="A958">
        <v>421</v>
      </c>
      <c r="B958">
        <v>75</v>
      </c>
      <c r="C958">
        <v>1</v>
      </c>
      <c r="D958" s="1">
        <v>44302</v>
      </c>
      <c r="E958" s="59" t="str" cm="1">
        <f t="array" ref="E95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958" t="s">
        <v>783</v>
      </c>
      <c r="G958" s="3">
        <v>7515766</v>
      </c>
      <c r="H958" t="s">
        <v>618</v>
      </c>
      <c r="I958" s="4">
        <v>61930</v>
      </c>
      <c r="J958" t="s">
        <v>186</v>
      </c>
      <c r="K958" s="1">
        <v>44302</v>
      </c>
      <c r="L958">
        <v>69</v>
      </c>
      <c r="M958" s="2" t="str">
        <f>IF(Spotify[[#This Row],[Energie]]&gt;AVERAGE(Spotify[Energie]),"FORTE","FAIBLE")</f>
        <v>FORTE</v>
      </c>
      <c r="N958" s="2">
        <v>0.85099999999999998</v>
      </c>
      <c r="O958" s="2">
        <v>0.70299999999999996</v>
      </c>
      <c r="P958" s="2">
        <v>0.30299999999999999</v>
      </c>
      <c r="Q958" s="2">
        <v>9.4900000000000002E-3</v>
      </c>
      <c r="R958" s="2">
        <v>8.9499999999999996E-2</v>
      </c>
      <c r="S958" s="2">
        <v>0.59599999999999997</v>
      </c>
      <c r="T958" s="2">
        <v>-7.351</v>
      </c>
      <c r="U958">
        <v>242600</v>
      </c>
      <c r="V958">
        <f>YEAR(Spotify[[#This Row],[Date de sortie]])</f>
        <v>2021</v>
      </c>
      <c r="W958" s="2" t="str">
        <f>IF(Spotify[[#This Row],[Popularité]]&gt;=70,"FORTE","FAIBLE")</f>
        <v>FAIBLE</v>
      </c>
    </row>
    <row r="959" spans="1:23" x14ac:dyDescent="0.25">
      <c r="A959">
        <v>865</v>
      </c>
      <c r="B959">
        <v>58</v>
      </c>
      <c r="C959">
        <v>4</v>
      </c>
      <c r="D959" s="1">
        <v>43938</v>
      </c>
      <c r="E959" s="59" t="str" cm="1">
        <f t="array" ref="E95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59" t="s">
        <v>1487</v>
      </c>
      <c r="G959" s="3">
        <v>7471309</v>
      </c>
      <c r="H959" t="s">
        <v>1370</v>
      </c>
      <c r="I959" s="4">
        <v>4759367</v>
      </c>
      <c r="J959" t="s">
        <v>761</v>
      </c>
      <c r="K959" s="1">
        <v>43937</v>
      </c>
      <c r="L959">
        <v>69</v>
      </c>
      <c r="M959" s="2" t="str">
        <f>IF(Spotify[[#This Row],[Energie]]&gt;AVERAGE(Spotify[Energie]),"FORTE","FAIBLE")</f>
        <v>FAIBLE</v>
      </c>
      <c r="N959" s="2">
        <v>0.48199999999999998</v>
      </c>
      <c r="O959" s="2">
        <v>0.63100000000000001</v>
      </c>
      <c r="P959" s="2">
        <v>9.8599999999999993E-2</v>
      </c>
      <c r="Q959" s="2">
        <v>0.69599999999999995</v>
      </c>
      <c r="R959" s="2">
        <v>0.20899999999999999</v>
      </c>
      <c r="S959" s="2">
        <v>7.4300000000000005E-2</v>
      </c>
      <c r="T959" s="2">
        <v>-6.9169999999999998</v>
      </c>
      <c r="U959">
        <v>214558</v>
      </c>
      <c r="V959">
        <f>YEAR(Spotify[[#This Row],[Date de sortie]])</f>
        <v>2020</v>
      </c>
      <c r="W959" s="2" t="str">
        <f>IF(Spotify[[#This Row],[Popularité]]&gt;=70,"FORTE","FAIBLE")</f>
        <v>FAIBLE</v>
      </c>
    </row>
    <row r="960" spans="1:23" x14ac:dyDescent="0.25">
      <c r="A960">
        <v>746</v>
      </c>
      <c r="B960">
        <v>105</v>
      </c>
      <c r="C960">
        <v>1</v>
      </c>
      <c r="D960" s="1">
        <v>44155</v>
      </c>
      <c r="E960" s="59" t="str" cm="1">
        <f t="array" ref="E96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960" t="s">
        <v>1295</v>
      </c>
      <c r="G960" s="3">
        <v>7276896</v>
      </c>
      <c r="H960" t="s">
        <v>1296</v>
      </c>
      <c r="I960" s="4">
        <v>4430628</v>
      </c>
      <c r="J960" t="s">
        <v>438</v>
      </c>
      <c r="K960" s="1">
        <v>44183</v>
      </c>
      <c r="L960">
        <v>69</v>
      </c>
      <c r="M960" s="2" t="str">
        <f>IF(Spotify[[#This Row],[Energie]]&gt;AVERAGE(Spotify[Energie]),"FORTE","FAIBLE")</f>
        <v>FORTE</v>
      </c>
      <c r="N960" s="2">
        <v>0.755</v>
      </c>
      <c r="O960" s="2">
        <v>0.88200000000000001</v>
      </c>
      <c r="P960" s="2">
        <v>5.3199999999999997E-2</v>
      </c>
      <c r="Q960" s="2">
        <v>0.125</v>
      </c>
      <c r="R960" s="2">
        <v>0.10299999999999999</v>
      </c>
      <c r="S960" s="2">
        <v>0.60599999999999998</v>
      </c>
      <c r="T960" s="2">
        <v>-1.9570000000000001</v>
      </c>
      <c r="U960">
        <v>193555</v>
      </c>
      <c r="V960">
        <f>YEAR(Spotify[[#This Row],[Date de sortie]])</f>
        <v>2020</v>
      </c>
      <c r="W960" s="2" t="str">
        <f>IF(Spotify[[#This Row],[Popularité]]&gt;=70,"FORTE","FAIBLE")</f>
        <v>FAIBLE</v>
      </c>
    </row>
    <row r="961" spans="1:23" x14ac:dyDescent="0.25">
      <c r="A961">
        <v>1388</v>
      </c>
      <c r="B961">
        <v>104</v>
      </c>
      <c r="C961">
        <v>1</v>
      </c>
      <c r="D961" s="1">
        <v>43882</v>
      </c>
      <c r="E961" s="59" t="str" cm="1">
        <f t="array" ref="E96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61" t="s">
        <v>2219</v>
      </c>
      <c r="G961" s="3">
        <v>6857808</v>
      </c>
      <c r="H961" t="s">
        <v>32</v>
      </c>
      <c r="I961" s="4">
        <v>37151476</v>
      </c>
      <c r="J961" t="s">
        <v>33</v>
      </c>
      <c r="K961" s="1">
        <v>43882</v>
      </c>
      <c r="L961">
        <v>69</v>
      </c>
      <c r="M961" s="2" t="str">
        <f>IF(Spotify[[#This Row],[Energie]]&gt;AVERAGE(Spotify[Energie]),"FORTE","FAIBLE")</f>
        <v>FORTE</v>
      </c>
      <c r="N961" s="2">
        <v>0.80800000000000005</v>
      </c>
      <c r="O961" s="2">
        <v>0.90300000000000002</v>
      </c>
      <c r="P961" s="2">
        <v>9.5799999999999996E-2</v>
      </c>
      <c r="Q961" s="2">
        <v>1.21E-2</v>
      </c>
      <c r="R961" s="2">
        <v>9.9299999999999999E-2</v>
      </c>
      <c r="S961" s="2">
        <v>0.47299999999999998</v>
      </c>
      <c r="T961" s="2">
        <v>-3.1059999999999999</v>
      </c>
      <c r="U961">
        <v>196199</v>
      </c>
      <c r="V961">
        <f>YEAR(Spotify[[#This Row],[Date de sortie]])</f>
        <v>2020</v>
      </c>
      <c r="W961" s="2" t="str">
        <f>IF(Spotify[[#This Row],[Popularité]]&gt;=70,"FORTE","FAIBLE")</f>
        <v>FAIBLE</v>
      </c>
    </row>
    <row r="962" spans="1:23" x14ac:dyDescent="0.25">
      <c r="A962">
        <v>1302</v>
      </c>
      <c r="B962">
        <v>70</v>
      </c>
      <c r="C962">
        <v>3</v>
      </c>
      <c r="D962" s="1">
        <v>43889</v>
      </c>
      <c r="E962" s="59" t="str" cm="1">
        <f t="array" ref="E96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62" t="s">
        <v>2108</v>
      </c>
      <c r="G962" s="3">
        <v>6105711</v>
      </c>
      <c r="H962" t="s">
        <v>2109</v>
      </c>
      <c r="I962" s="4">
        <v>36177712</v>
      </c>
      <c r="J962" t="s">
        <v>25</v>
      </c>
      <c r="K962" s="1">
        <v>43890</v>
      </c>
      <c r="L962">
        <v>69</v>
      </c>
      <c r="M962" s="2" t="str">
        <f>IF(Spotify[[#This Row],[Energie]]&gt;AVERAGE(Spotify[Energie]),"FORTE","FAIBLE")</f>
        <v>FORTE</v>
      </c>
      <c r="N962" s="2">
        <v>0.68300000000000005</v>
      </c>
      <c r="O962" s="2">
        <v>0.67700000000000005</v>
      </c>
      <c r="P962" s="2">
        <v>4.6899999999999997E-2</v>
      </c>
      <c r="Q962" s="2">
        <v>8.6900000000000005E-2</v>
      </c>
      <c r="R962" s="2">
        <v>9.98E-2</v>
      </c>
      <c r="S962" s="2">
        <v>0.51400000000000001</v>
      </c>
      <c r="T962" s="2">
        <v>-4.4960000000000004</v>
      </c>
      <c r="U962">
        <v>240253</v>
      </c>
      <c r="V962">
        <f>YEAR(Spotify[[#This Row],[Date de sortie]])</f>
        <v>2020</v>
      </c>
      <c r="W962" s="2" t="str">
        <f>IF(Spotify[[#This Row],[Popularité]]&gt;=70,"FORTE","FAIBLE")</f>
        <v>FAIBLE</v>
      </c>
    </row>
    <row r="963" spans="1:23" x14ac:dyDescent="0.25">
      <c r="A963">
        <v>1534</v>
      </c>
      <c r="B963">
        <v>36</v>
      </c>
      <c r="C963">
        <v>2</v>
      </c>
      <c r="D963" s="1">
        <v>43826</v>
      </c>
      <c r="E963" s="59" t="str" cm="1">
        <f t="array" ref="E96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963" t="s">
        <v>2412</v>
      </c>
      <c r="G963" s="3">
        <v>5898484</v>
      </c>
      <c r="H963" t="s">
        <v>2413</v>
      </c>
      <c r="I963" s="4">
        <v>437907</v>
      </c>
      <c r="J963" t="s">
        <v>186</v>
      </c>
      <c r="K963" s="1">
        <v>43826</v>
      </c>
      <c r="L963">
        <v>69</v>
      </c>
      <c r="M963" s="2" t="str">
        <f>IF(Spotify[[#This Row],[Energie]]&gt;AVERAGE(Spotify[Energie]),"FORTE","FAIBLE")</f>
        <v>FAIBLE</v>
      </c>
      <c r="N963" s="2">
        <v>0.85899999999999999</v>
      </c>
      <c r="O963" s="2">
        <v>0.6</v>
      </c>
      <c r="P963" s="2">
        <v>0.30099999999999999</v>
      </c>
      <c r="Q963" s="2">
        <v>7.0999999999999994E-2</v>
      </c>
      <c r="R963" s="2">
        <v>0.35299999999999998</v>
      </c>
      <c r="S963" s="2">
        <v>0.56799999999999995</v>
      </c>
      <c r="T963" s="2">
        <v>-4.63</v>
      </c>
      <c r="U963">
        <v>244761</v>
      </c>
      <c r="V963">
        <f>YEAR(Spotify[[#This Row],[Date de sortie]])</f>
        <v>2019</v>
      </c>
      <c r="W963" s="2" t="str">
        <f>IF(Spotify[[#This Row],[Popularité]]&gt;=70,"FORTE","FAIBLE")</f>
        <v>FAIBLE</v>
      </c>
    </row>
    <row r="964" spans="1:23" x14ac:dyDescent="0.25">
      <c r="A964">
        <v>533</v>
      </c>
      <c r="B964">
        <v>144</v>
      </c>
      <c r="C964">
        <v>1</v>
      </c>
      <c r="D964" s="1">
        <v>44246</v>
      </c>
      <c r="E964" s="59" t="str" cm="1">
        <f t="array" ref="E96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964" t="s">
        <v>964</v>
      </c>
      <c r="G964" s="3">
        <v>5897983</v>
      </c>
      <c r="H964" t="s">
        <v>965</v>
      </c>
      <c r="I964" s="4">
        <v>5831194</v>
      </c>
      <c r="J964" t="s">
        <v>426</v>
      </c>
      <c r="K964" s="1">
        <v>44245</v>
      </c>
      <c r="L964">
        <v>69</v>
      </c>
      <c r="M964" s="2" t="str">
        <f>IF(Spotify[[#This Row],[Energie]]&gt;AVERAGE(Spotify[Energie]),"FORTE","FAIBLE")</f>
        <v>FORTE</v>
      </c>
      <c r="N964" s="2">
        <v>0.79300000000000004</v>
      </c>
      <c r="O964" s="2">
        <v>0.65</v>
      </c>
      <c r="P964" s="2">
        <v>0.39700000000000002</v>
      </c>
      <c r="Q964" s="2">
        <v>0.371</v>
      </c>
      <c r="R964" s="2">
        <v>0.85399999999999998</v>
      </c>
      <c r="S964" s="2">
        <v>0.80900000000000005</v>
      </c>
      <c r="T964" s="2">
        <v>-3.944</v>
      </c>
      <c r="U964">
        <v>243750</v>
      </c>
      <c r="V964">
        <f>YEAR(Spotify[[#This Row],[Date de sortie]])</f>
        <v>2021</v>
      </c>
      <c r="W964" s="2" t="str">
        <f>IF(Spotify[[#This Row],[Popularité]]&gt;=70,"FORTE","FAIBLE")</f>
        <v>FAIBLE</v>
      </c>
    </row>
    <row r="965" spans="1:23" x14ac:dyDescent="0.25">
      <c r="A965">
        <v>467</v>
      </c>
      <c r="B965">
        <v>49</v>
      </c>
      <c r="C965">
        <v>2</v>
      </c>
      <c r="D965" s="1">
        <v>44274</v>
      </c>
      <c r="E965" s="59" t="str" cm="1">
        <f t="array" ref="E96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65" t="s">
        <v>853</v>
      </c>
      <c r="G965" s="3">
        <v>5837372</v>
      </c>
      <c r="H965" t="s">
        <v>35</v>
      </c>
      <c r="I965" s="4">
        <v>48544923</v>
      </c>
      <c r="J965" t="s">
        <v>36</v>
      </c>
      <c r="K965" s="1">
        <v>44274</v>
      </c>
      <c r="L965">
        <v>69</v>
      </c>
      <c r="M965" s="2" t="str">
        <f>IF(Spotify[[#This Row],[Energie]]&gt;AVERAGE(Spotify[Energie]),"FORTE","FAIBLE")</f>
        <v>FAIBLE</v>
      </c>
      <c r="N965" s="2">
        <v>0.67700000000000005</v>
      </c>
      <c r="O965" s="2">
        <v>0.63300000000000001</v>
      </c>
      <c r="P965" s="2">
        <v>7.7100000000000002E-2</v>
      </c>
      <c r="Q965" s="2">
        <v>3.1399999999999997E-2</v>
      </c>
      <c r="R965" s="2">
        <v>0.112</v>
      </c>
      <c r="S965" s="2">
        <v>0.40899999999999997</v>
      </c>
      <c r="T965" s="2">
        <v>-7.8310000000000004</v>
      </c>
      <c r="U965">
        <v>187239</v>
      </c>
      <c r="V965">
        <f>YEAR(Spotify[[#This Row],[Date de sortie]])</f>
        <v>2021</v>
      </c>
      <c r="W965" s="2" t="str">
        <f>IF(Spotify[[#This Row],[Popularité]]&gt;=70,"FORTE","FAIBLE")</f>
        <v>FAIBLE</v>
      </c>
    </row>
    <row r="966" spans="1:23" x14ac:dyDescent="0.25">
      <c r="A966">
        <v>1516</v>
      </c>
      <c r="B966">
        <v>83</v>
      </c>
      <c r="C966">
        <v>3</v>
      </c>
      <c r="D966" s="1">
        <v>43833</v>
      </c>
      <c r="E966" s="59" t="str" cm="1">
        <f t="array" ref="E96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66" t="s">
        <v>2389</v>
      </c>
      <c r="G966" s="3">
        <v>5834918</v>
      </c>
      <c r="H966" t="s">
        <v>300</v>
      </c>
      <c r="I966" s="4">
        <v>14190858</v>
      </c>
      <c r="J966" t="s">
        <v>10</v>
      </c>
      <c r="K966" s="1">
        <v>43783</v>
      </c>
      <c r="L966">
        <v>69</v>
      </c>
      <c r="M966" s="2" t="str">
        <f>IF(Spotify[[#This Row],[Energie]]&gt;AVERAGE(Spotify[Energie]),"FORTE","FAIBLE")</f>
        <v>FORTE</v>
      </c>
      <c r="N966" s="2">
        <v>0.66500000000000004</v>
      </c>
      <c r="O966" s="2">
        <v>0.71199999999999997</v>
      </c>
      <c r="P966" s="2">
        <v>5.2699999999999997E-2</v>
      </c>
      <c r="Q966" s="2">
        <v>1.0300000000000001E-3</v>
      </c>
      <c r="R966" s="2">
        <v>0.10199999999999999</v>
      </c>
      <c r="S966" s="2">
        <v>0.66900000000000004</v>
      </c>
      <c r="T966" s="2">
        <v>-7.5359999999999996</v>
      </c>
      <c r="U966">
        <v>157220</v>
      </c>
      <c r="V966">
        <f>YEAR(Spotify[[#This Row],[Date de sortie]])</f>
        <v>2019</v>
      </c>
      <c r="W966" s="2" t="str">
        <f>IF(Spotify[[#This Row],[Popularité]]&gt;=70,"FORTE","FAIBLE")</f>
        <v>FAIBLE</v>
      </c>
    </row>
    <row r="967" spans="1:23" x14ac:dyDescent="0.25">
      <c r="A967">
        <v>397</v>
      </c>
      <c r="B967">
        <v>137</v>
      </c>
      <c r="C967">
        <v>1</v>
      </c>
      <c r="D967" s="1">
        <v>44316</v>
      </c>
      <c r="E967" s="59" t="str" cm="1">
        <f t="array" ref="E96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67" t="s">
        <v>741</v>
      </c>
      <c r="G967" s="3">
        <v>5768836</v>
      </c>
      <c r="H967" t="s">
        <v>742</v>
      </c>
      <c r="I967" s="4">
        <v>10740222</v>
      </c>
      <c r="J967" t="s">
        <v>407</v>
      </c>
      <c r="K967" s="1">
        <v>44337</v>
      </c>
      <c r="L967">
        <v>69</v>
      </c>
      <c r="M967" s="2" t="str">
        <f>IF(Spotify[[#This Row],[Energie]]&gt;AVERAGE(Spotify[Energie]),"FORTE","FAIBLE")</f>
        <v>FAIBLE</v>
      </c>
      <c r="N967" s="2">
        <v>0.73199999999999998</v>
      </c>
      <c r="O967" s="2">
        <v>0.60399999999999998</v>
      </c>
      <c r="P967" s="2">
        <v>4.4299999999999999E-2</v>
      </c>
      <c r="Q967" s="2">
        <v>1.12E-2</v>
      </c>
      <c r="R967" s="2">
        <v>0.219</v>
      </c>
      <c r="S967" s="2">
        <v>0.73199999999999998</v>
      </c>
      <c r="T967" s="2">
        <v>-7.4720000000000004</v>
      </c>
      <c r="U967">
        <v>195429</v>
      </c>
      <c r="V967">
        <f>YEAR(Spotify[[#This Row],[Date de sortie]])</f>
        <v>2021</v>
      </c>
      <c r="W967" s="2" t="str">
        <f>IF(Spotify[[#This Row],[Popularité]]&gt;=70,"FORTE","FAIBLE")</f>
        <v>FAIBLE</v>
      </c>
    </row>
    <row r="968" spans="1:23" x14ac:dyDescent="0.25">
      <c r="A968">
        <v>1285</v>
      </c>
      <c r="B968">
        <v>15</v>
      </c>
      <c r="C968">
        <v>3</v>
      </c>
      <c r="D968" s="1">
        <v>43896</v>
      </c>
      <c r="E968" s="59" t="str" cm="1">
        <f t="array" ref="E96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968" t="s">
        <v>2084</v>
      </c>
      <c r="G968" s="3">
        <v>5600261</v>
      </c>
      <c r="H968" t="s">
        <v>1780</v>
      </c>
      <c r="I968" s="4">
        <v>11821805</v>
      </c>
      <c r="J968" t="s">
        <v>235</v>
      </c>
      <c r="K968" s="1">
        <v>43896</v>
      </c>
      <c r="L968">
        <v>69</v>
      </c>
      <c r="M968" s="2" t="str">
        <f>IF(Spotify[[#This Row],[Energie]]&gt;AVERAGE(Spotify[Energie]),"FORTE","FAIBLE")</f>
        <v>FORTE</v>
      </c>
      <c r="N968" s="2">
        <v>0.77200000000000002</v>
      </c>
      <c r="O968" s="2">
        <v>0.63400000000000001</v>
      </c>
      <c r="P968" s="2">
        <v>0.21199999999999999</v>
      </c>
      <c r="Q968" s="2">
        <v>0.13500000000000001</v>
      </c>
      <c r="R968" s="2">
        <v>0.432</v>
      </c>
      <c r="S968" s="2">
        <v>0.67100000000000004</v>
      </c>
      <c r="T968" s="2">
        <v>-6.101</v>
      </c>
      <c r="U968">
        <v>210261</v>
      </c>
      <c r="V968">
        <f>YEAR(Spotify[[#This Row],[Date de sortie]])</f>
        <v>2020</v>
      </c>
      <c r="W968" s="2" t="str">
        <f>IF(Spotify[[#This Row],[Popularité]]&gt;=70,"FORTE","FAIBLE")</f>
        <v>FAIBLE</v>
      </c>
    </row>
    <row r="969" spans="1:23" x14ac:dyDescent="0.25">
      <c r="A969">
        <v>859</v>
      </c>
      <c r="B969">
        <v>153</v>
      </c>
      <c r="C969">
        <v>1</v>
      </c>
      <c r="D969" s="1">
        <v>44106</v>
      </c>
      <c r="E969" s="59" t="str" cm="1">
        <f t="array" ref="E96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69" t="s">
        <v>1479</v>
      </c>
      <c r="G969" s="3">
        <v>5550390</v>
      </c>
      <c r="H969" t="s">
        <v>229</v>
      </c>
      <c r="I969" s="4">
        <v>412466</v>
      </c>
      <c r="J969" t="s">
        <v>230</v>
      </c>
      <c r="K969" s="1">
        <v>44104</v>
      </c>
      <c r="L969">
        <v>69</v>
      </c>
      <c r="M969" s="2" t="str">
        <f>IF(Spotify[[#This Row],[Energie]]&gt;AVERAGE(Spotify[Energie]),"FORTE","FAIBLE")</f>
        <v>FAIBLE</v>
      </c>
      <c r="N969" s="2">
        <v>0.83199999999999996</v>
      </c>
      <c r="O969" s="2">
        <v>0.54900000000000004</v>
      </c>
      <c r="P969" s="2">
        <v>6.0199999999999997E-2</v>
      </c>
      <c r="Q969" s="2">
        <v>0.16800000000000001</v>
      </c>
      <c r="R969" s="2">
        <v>0.11</v>
      </c>
      <c r="S969" s="2">
        <v>0.38400000000000001</v>
      </c>
      <c r="T969" s="2">
        <v>-8.2590000000000003</v>
      </c>
      <c r="U969">
        <v>181496</v>
      </c>
      <c r="V969">
        <f>YEAR(Spotify[[#This Row],[Date de sortie]])</f>
        <v>2020</v>
      </c>
      <c r="W969" s="2" t="str">
        <f>IF(Spotify[[#This Row],[Popularité]]&gt;=70,"FORTE","FAIBLE")</f>
        <v>FAIBLE</v>
      </c>
    </row>
    <row r="970" spans="1:23" x14ac:dyDescent="0.25">
      <c r="A970">
        <v>1305</v>
      </c>
      <c r="B970">
        <v>57</v>
      </c>
      <c r="C970">
        <v>3</v>
      </c>
      <c r="D970" s="1">
        <v>43889</v>
      </c>
      <c r="E970" s="59" t="str" cm="1">
        <f t="array" ref="E97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70" t="s">
        <v>2113</v>
      </c>
      <c r="G970" s="3">
        <v>5544180</v>
      </c>
      <c r="H970" t="s">
        <v>2114</v>
      </c>
      <c r="I970" s="4">
        <v>36177712</v>
      </c>
      <c r="J970" t="s">
        <v>25</v>
      </c>
      <c r="K970" s="1">
        <v>43890</v>
      </c>
      <c r="L970">
        <v>69</v>
      </c>
      <c r="M970" s="2" t="str">
        <f>IF(Spotify[[#This Row],[Energie]]&gt;AVERAGE(Spotify[Energie]),"FORTE","FAIBLE")</f>
        <v>FORTE</v>
      </c>
      <c r="N970" s="2">
        <v>0.80200000000000005</v>
      </c>
      <c r="O970" s="2">
        <v>0.78700000000000003</v>
      </c>
      <c r="P970" s="2">
        <v>5.9900000000000002E-2</v>
      </c>
      <c r="Q970" s="2">
        <v>8.3199999999999996E-2</v>
      </c>
      <c r="R970" s="2">
        <v>0.153</v>
      </c>
      <c r="S970" s="2">
        <v>0.44600000000000001</v>
      </c>
      <c r="T970" s="2">
        <v>-6.181</v>
      </c>
      <c r="U970">
        <v>167975</v>
      </c>
      <c r="V970">
        <f>YEAR(Spotify[[#This Row],[Date de sortie]])</f>
        <v>2020</v>
      </c>
      <c r="W970" s="2" t="str">
        <f>IF(Spotify[[#This Row],[Popularité]]&gt;=70,"FORTE","FAIBLE")</f>
        <v>FAIBLE</v>
      </c>
    </row>
    <row r="971" spans="1:23" x14ac:dyDescent="0.25">
      <c r="A971">
        <v>872</v>
      </c>
      <c r="B971">
        <v>151</v>
      </c>
      <c r="C971">
        <v>1</v>
      </c>
      <c r="D971" s="1">
        <v>44099</v>
      </c>
      <c r="E971" s="59" t="str" cm="1">
        <f t="array" ref="E97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71" t="s">
        <v>1495</v>
      </c>
      <c r="G971" s="3">
        <v>5482390</v>
      </c>
      <c r="H971" t="s">
        <v>1370</v>
      </c>
      <c r="I971" s="4">
        <v>4759367</v>
      </c>
      <c r="J971" t="s">
        <v>761</v>
      </c>
      <c r="K971" s="1">
        <v>43630</v>
      </c>
      <c r="L971">
        <v>69</v>
      </c>
      <c r="M971" s="2" t="str">
        <f>IF(Spotify[[#This Row],[Energie]]&gt;AVERAGE(Spotify[Energie]),"FORTE","FAIBLE")</f>
        <v>FORTE</v>
      </c>
      <c r="N971" s="2">
        <v>0.55200000000000005</v>
      </c>
      <c r="O971" s="2">
        <v>0.65</v>
      </c>
      <c r="P971" s="2">
        <v>0.128</v>
      </c>
      <c r="Q971" s="2">
        <v>0.42199999999999999</v>
      </c>
      <c r="R971" s="2">
        <v>0.372</v>
      </c>
      <c r="S971" s="2">
        <v>0.316</v>
      </c>
      <c r="T971" s="2">
        <v>-7.1989999999999998</v>
      </c>
      <c r="U971">
        <v>180019</v>
      </c>
      <c r="V971">
        <f>YEAR(Spotify[[#This Row],[Date de sortie]])</f>
        <v>2019</v>
      </c>
      <c r="W971" s="2" t="str">
        <f>IF(Spotify[[#This Row],[Popularité]]&gt;=70,"FORTE","FAIBLE")</f>
        <v>FAIBLE</v>
      </c>
    </row>
    <row r="972" spans="1:23" x14ac:dyDescent="0.25">
      <c r="A972">
        <v>967</v>
      </c>
      <c r="B972">
        <v>15</v>
      </c>
      <c r="C972">
        <v>3</v>
      </c>
      <c r="D972" s="1">
        <v>44036</v>
      </c>
      <c r="E972" s="59" t="str" cm="1">
        <f t="array" ref="E97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72" t="s">
        <v>1647</v>
      </c>
      <c r="G972" s="3">
        <v>5459423</v>
      </c>
      <c r="H972" t="s">
        <v>746</v>
      </c>
      <c r="I972" s="4">
        <v>42227614</v>
      </c>
      <c r="J972" t="s">
        <v>10</v>
      </c>
      <c r="K972" s="1">
        <v>44036</v>
      </c>
      <c r="L972">
        <v>69</v>
      </c>
      <c r="M972" s="2" t="str">
        <f>IF(Spotify[[#This Row],[Energie]]&gt;AVERAGE(Spotify[Energie]),"FORTE","FAIBLE")</f>
        <v>FAIBLE</v>
      </c>
      <c r="N972" s="2">
        <v>0.59599999999999997</v>
      </c>
      <c r="O972" s="2">
        <v>0.48799999999999999</v>
      </c>
      <c r="P972" s="2">
        <v>2.7400000000000001E-2</v>
      </c>
      <c r="Q972" s="2">
        <v>0.9</v>
      </c>
      <c r="R972" s="2">
        <v>9.0999999999999998E-2</v>
      </c>
      <c r="S972" s="2">
        <v>0.41499999999999998</v>
      </c>
      <c r="T972" s="2">
        <v>-10.769</v>
      </c>
      <c r="U972">
        <v>208907</v>
      </c>
      <c r="V972">
        <f>YEAR(Spotify[[#This Row],[Date de sortie]])</f>
        <v>2020</v>
      </c>
      <c r="W972" s="2" t="str">
        <f>IF(Spotify[[#This Row],[Popularité]]&gt;=70,"FORTE","FAIBLE")</f>
        <v>FAIBLE</v>
      </c>
    </row>
    <row r="973" spans="1:23" x14ac:dyDescent="0.25">
      <c r="A973">
        <v>1308</v>
      </c>
      <c r="B973">
        <v>60</v>
      </c>
      <c r="C973">
        <v>3</v>
      </c>
      <c r="D973" s="1">
        <v>43889</v>
      </c>
      <c r="E973" s="59" t="str" cm="1">
        <f t="array" ref="E97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73" t="s">
        <v>2117</v>
      </c>
      <c r="G973" s="3">
        <v>5440382</v>
      </c>
      <c r="H973" t="s">
        <v>24</v>
      </c>
      <c r="I973" s="4">
        <v>36177712</v>
      </c>
      <c r="J973" t="s">
        <v>25</v>
      </c>
      <c r="K973" s="1">
        <v>43890</v>
      </c>
      <c r="L973">
        <v>69</v>
      </c>
      <c r="M973" s="2" t="str">
        <f>IF(Spotify[[#This Row],[Energie]]&gt;AVERAGE(Spotify[Energie]),"FORTE","FAIBLE")</f>
        <v>FORTE</v>
      </c>
      <c r="N973" s="2">
        <v>0.76200000000000001</v>
      </c>
      <c r="O973" s="2">
        <v>0.80100000000000005</v>
      </c>
      <c r="P973" s="2">
        <v>4.0899999999999999E-2</v>
      </c>
      <c r="Q973" s="2">
        <v>0.2</v>
      </c>
      <c r="R973" s="2">
        <v>0.254</v>
      </c>
      <c r="S973" s="2">
        <v>0.81</v>
      </c>
      <c r="T973" s="2">
        <v>-3.661</v>
      </c>
      <c r="U973">
        <v>136893</v>
      </c>
      <c r="V973">
        <f>YEAR(Spotify[[#This Row],[Date de sortie]])</f>
        <v>2020</v>
      </c>
      <c r="W973" s="2" t="str">
        <f>IF(Spotify[[#This Row],[Popularité]]&gt;=70,"FORTE","FAIBLE")</f>
        <v>FAIBLE</v>
      </c>
    </row>
    <row r="974" spans="1:23" x14ac:dyDescent="0.25">
      <c r="A974">
        <v>471</v>
      </c>
      <c r="B974">
        <v>61</v>
      </c>
      <c r="C974">
        <v>2</v>
      </c>
      <c r="D974" s="1">
        <v>44274</v>
      </c>
      <c r="E974" s="59" t="str" cm="1">
        <f t="array" ref="E97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74" t="s">
        <v>859</v>
      </c>
      <c r="G974" s="3">
        <v>5419040</v>
      </c>
      <c r="H974" t="s">
        <v>35</v>
      </c>
      <c r="I974" s="4">
        <v>48544923</v>
      </c>
      <c r="J974" t="s">
        <v>36</v>
      </c>
      <c r="K974" s="1">
        <v>44274</v>
      </c>
      <c r="L974">
        <v>69</v>
      </c>
      <c r="M974" s="2" t="str">
        <f>IF(Spotify[[#This Row],[Energie]]&gt;AVERAGE(Spotify[Energie]),"FORTE","FAIBLE")</f>
        <v>FORTE</v>
      </c>
      <c r="N974" s="2">
        <v>0.79</v>
      </c>
      <c r="O974" s="2">
        <v>0.72399999999999998</v>
      </c>
      <c r="P974" s="2">
        <v>8.5199999999999998E-2</v>
      </c>
      <c r="Q974" s="2">
        <v>6.9599999999999995E-2</v>
      </c>
      <c r="R974" s="2">
        <v>0.113</v>
      </c>
      <c r="S974" s="2">
        <v>0.64200000000000002</v>
      </c>
      <c r="T974" s="2">
        <v>-6.9720000000000004</v>
      </c>
      <c r="U974">
        <v>159250</v>
      </c>
      <c r="V974">
        <f>YEAR(Spotify[[#This Row],[Date de sortie]])</f>
        <v>2021</v>
      </c>
      <c r="W974" s="2" t="str">
        <f>IF(Spotify[[#This Row],[Popularité]]&gt;=70,"FORTE","FAIBLE")</f>
        <v>FAIBLE</v>
      </c>
    </row>
    <row r="975" spans="1:23" x14ac:dyDescent="0.25">
      <c r="A975">
        <v>1011</v>
      </c>
      <c r="B975">
        <v>44</v>
      </c>
      <c r="C975">
        <v>2</v>
      </c>
      <c r="D975" s="1">
        <v>44022</v>
      </c>
      <c r="E975" s="59" t="str" cm="1">
        <f t="array" ref="E97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975" t="s">
        <v>1701</v>
      </c>
      <c r="G975" s="3">
        <v>5394197</v>
      </c>
      <c r="H975" t="s">
        <v>345</v>
      </c>
      <c r="I975" s="4">
        <v>19102888</v>
      </c>
      <c r="J975" t="s">
        <v>79</v>
      </c>
      <c r="K975" s="1">
        <v>44022</v>
      </c>
      <c r="L975">
        <v>69</v>
      </c>
      <c r="M975" s="2" t="str">
        <f>IF(Spotify[[#This Row],[Energie]]&gt;AVERAGE(Spotify[Energie]),"FORTE","FAIBLE")</f>
        <v>FAIBLE</v>
      </c>
      <c r="N975" s="2">
        <v>0.59499999999999997</v>
      </c>
      <c r="O975" s="2">
        <v>0.52800000000000002</v>
      </c>
      <c r="P975" s="2">
        <v>9.35E-2</v>
      </c>
      <c r="Q975" s="2">
        <v>8.2000000000000003E-2</v>
      </c>
      <c r="R975" s="2">
        <v>0.14199999999999999</v>
      </c>
      <c r="S975" s="2">
        <v>0.51500000000000001</v>
      </c>
      <c r="T975" s="2">
        <v>-7.3710000000000004</v>
      </c>
      <c r="U975">
        <v>179464</v>
      </c>
      <c r="V975">
        <f>YEAR(Spotify[[#This Row],[Date de sortie]])</f>
        <v>2020</v>
      </c>
      <c r="W975" s="2" t="str">
        <f>IF(Spotify[[#This Row],[Popularité]]&gt;=70,"FORTE","FAIBLE")</f>
        <v>FAIBLE</v>
      </c>
    </row>
    <row r="976" spans="1:23" x14ac:dyDescent="0.25">
      <c r="A976">
        <v>792</v>
      </c>
      <c r="B976">
        <v>42</v>
      </c>
      <c r="C976">
        <v>2</v>
      </c>
      <c r="D976" s="1">
        <v>44134</v>
      </c>
      <c r="E976" s="59" t="str" cm="1">
        <f t="array" ref="E97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76" t="s">
        <v>1379</v>
      </c>
      <c r="G976" s="3">
        <v>5249342</v>
      </c>
      <c r="H976" t="s">
        <v>202</v>
      </c>
      <c r="I976" s="4">
        <v>67208170</v>
      </c>
      <c r="J976" t="s">
        <v>19</v>
      </c>
      <c r="K976" s="1">
        <v>44134</v>
      </c>
      <c r="L976">
        <v>69</v>
      </c>
      <c r="M976" s="2" t="str">
        <f>IF(Spotify[[#This Row],[Energie]]&gt;AVERAGE(Spotify[Energie]),"FORTE","FAIBLE")</f>
        <v>FAIBLE</v>
      </c>
      <c r="N976" s="2">
        <v>0.77200000000000002</v>
      </c>
      <c r="O976" s="2">
        <v>0.50600000000000001</v>
      </c>
      <c r="P976" s="2">
        <v>0.13900000000000001</v>
      </c>
      <c r="Q976" s="2">
        <v>8.14E-2</v>
      </c>
      <c r="R976" s="2">
        <v>0.182</v>
      </c>
      <c r="S976" s="2">
        <v>0.45600000000000002</v>
      </c>
      <c r="T976" s="2">
        <v>-6.5579999999999998</v>
      </c>
      <c r="U976">
        <v>200733</v>
      </c>
      <c r="V976">
        <f>YEAR(Spotify[[#This Row],[Date de sortie]])</f>
        <v>2020</v>
      </c>
      <c r="W976" s="2" t="str">
        <f>IF(Spotify[[#This Row],[Popularité]]&gt;=70,"FORTE","FAIBLE")</f>
        <v>FAIBLE</v>
      </c>
    </row>
    <row r="977" spans="1:23" x14ac:dyDescent="0.25">
      <c r="A977">
        <v>1209</v>
      </c>
      <c r="B977">
        <v>29</v>
      </c>
      <c r="C977">
        <v>15</v>
      </c>
      <c r="D977" s="1">
        <v>43854</v>
      </c>
      <c r="E977" s="59" t="str" cm="1">
        <f t="array" ref="E97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977" t="s">
        <v>1980</v>
      </c>
      <c r="G977" s="3">
        <v>5234645</v>
      </c>
      <c r="H977" t="s">
        <v>1434</v>
      </c>
      <c r="I977" s="4">
        <v>1758300</v>
      </c>
      <c r="J977" t="s">
        <v>155</v>
      </c>
      <c r="K977" s="1">
        <v>44281</v>
      </c>
      <c r="L977">
        <v>69</v>
      </c>
      <c r="M977" s="2" t="str">
        <f>IF(Spotify[[#This Row],[Energie]]&gt;AVERAGE(Spotify[Energie]),"FORTE","FAIBLE")</f>
        <v>FAIBLE</v>
      </c>
      <c r="N977" s="2">
        <v>0.59599999999999997</v>
      </c>
      <c r="O977" s="2">
        <v>0.36599999999999999</v>
      </c>
      <c r="P977" s="2">
        <v>0.115</v>
      </c>
      <c r="Q977" s="2">
        <v>0.63</v>
      </c>
      <c r="R977" s="2">
        <v>5.5399999999999998E-2</v>
      </c>
      <c r="S977" s="2">
        <v>0.22900000000000001</v>
      </c>
      <c r="T977" s="2">
        <v>-11.144</v>
      </c>
      <c r="U977">
        <v>193668</v>
      </c>
      <c r="V977">
        <f>YEAR(Spotify[[#This Row],[Date de sortie]])</f>
        <v>2021</v>
      </c>
      <c r="W977" s="2" t="str">
        <f>IF(Spotify[[#This Row],[Popularité]]&gt;=70,"FORTE","FAIBLE")</f>
        <v>FAIBLE</v>
      </c>
    </row>
    <row r="978" spans="1:23" x14ac:dyDescent="0.25">
      <c r="A978">
        <v>354</v>
      </c>
      <c r="B978">
        <v>195</v>
      </c>
      <c r="C978">
        <v>1</v>
      </c>
      <c r="D978" s="1">
        <v>44337</v>
      </c>
      <c r="E978" s="59" t="str" cm="1">
        <f t="array" ref="E97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78" t="s">
        <v>671</v>
      </c>
      <c r="G978" s="3">
        <v>5174437</v>
      </c>
      <c r="H978" t="s">
        <v>672</v>
      </c>
      <c r="I978" s="4">
        <v>32257</v>
      </c>
      <c r="J978"/>
      <c r="K978" s="1">
        <v>44265</v>
      </c>
      <c r="L978">
        <v>69</v>
      </c>
      <c r="M978" s="2" t="str">
        <f>IF(Spotify[[#This Row],[Energie]]&gt;AVERAGE(Spotify[Energie]),"FORTE","FAIBLE")</f>
        <v>FAIBLE</v>
      </c>
      <c r="N978" s="2">
        <v>0.53400000000000003</v>
      </c>
      <c r="O978" s="2">
        <v>0.36499999999999999</v>
      </c>
      <c r="P978" s="2">
        <v>3.3000000000000002E-2</v>
      </c>
      <c r="Q978" s="2">
        <v>0.81</v>
      </c>
      <c r="R978" s="2">
        <v>0.158</v>
      </c>
      <c r="S978" s="2">
        <v>0.23699999999999999</v>
      </c>
      <c r="T978" s="2">
        <v>-9.1869999999999994</v>
      </c>
      <c r="U978">
        <v>183707</v>
      </c>
      <c r="V978">
        <f>YEAR(Spotify[[#This Row],[Date de sortie]])</f>
        <v>2021</v>
      </c>
      <c r="W978" s="2" t="str">
        <f>IF(Spotify[[#This Row],[Popularité]]&gt;=70,"FORTE","FAIBLE")</f>
        <v>FAIBLE</v>
      </c>
    </row>
    <row r="979" spans="1:23" x14ac:dyDescent="0.25">
      <c r="A979">
        <v>1013</v>
      </c>
      <c r="B979">
        <v>45</v>
      </c>
      <c r="C979">
        <v>2</v>
      </c>
      <c r="D979" s="1">
        <v>44022</v>
      </c>
      <c r="E979" s="59" t="str" cm="1">
        <f t="array" ref="E97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979" t="s">
        <v>1704</v>
      </c>
      <c r="G979" s="3">
        <v>5137482</v>
      </c>
      <c r="H979" t="s">
        <v>345</v>
      </c>
      <c r="I979" s="4">
        <v>19102888</v>
      </c>
      <c r="J979" t="s">
        <v>79</v>
      </c>
      <c r="K979" s="1">
        <v>44022</v>
      </c>
      <c r="L979">
        <v>69</v>
      </c>
      <c r="M979" s="2" t="str">
        <f>IF(Spotify[[#This Row],[Energie]]&gt;AVERAGE(Spotify[Energie]),"FORTE","FAIBLE")</f>
        <v>FORTE</v>
      </c>
      <c r="N979" s="2">
        <v>0.28799999999999998</v>
      </c>
      <c r="O979" s="2">
        <v>0.63800000000000001</v>
      </c>
      <c r="P979" s="2">
        <v>7.7899999999999997E-2</v>
      </c>
      <c r="Q979" s="2">
        <v>0.13300000000000001</v>
      </c>
      <c r="R979" s="2">
        <v>0.14000000000000001</v>
      </c>
      <c r="S979" s="2">
        <v>0.14699999999999999</v>
      </c>
      <c r="T979" s="2">
        <v>-6.9349999999999996</v>
      </c>
      <c r="U979">
        <v>173114</v>
      </c>
      <c r="V979">
        <f>YEAR(Spotify[[#This Row],[Date de sortie]])</f>
        <v>2020</v>
      </c>
      <c r="W979" s="2" t="str">
        <f>IF(Spotify[[#This Row],[Popularité]]&gt;=70,"FORTE","FAIBLE")</f>
        <v>FAIBLE</v>
      </c>
    </row>
    <row r="980" spans="1:23" x14ac:dyDescent="0.25">
      <c r="A980">
        <v>831</v>
      </c>
      <c r="B980">
        <v>35</v>
      </c>
      <c r="C980">
        <v>3</v>
      </c>
      <c r="D980" s="1">
        <v>44106</v>
      </c>
      <c r="E980" s="59" t="str" cm="1">
        <f t="array" ref="E98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80" t="s">
        <v>1437</v>
      </c>
      <c r="G980" s="3">
        <v>5125708</v>
      </c>
      <c r="H980" t="s">
        <v>917</v>
      </c>
      <c r="I980" s="4">
        <v>23848461</v>
      </c>
      <c r="J980" t="s">
        <v>33</v>
      </c>
      <c r="K980" s="1">
        <v>44106</v>
      </c>
      <c r="L980">
        <v>69</v>
      </c>
      <c r="M980" s="2" t="str">
        <f>IF(Spotify[[#This Row],[Energie]]&gt;AVERAGE(Spotify[Energie]),"FORTE","FAIBLE")</f>
        <v>FORTE</v>
      </c>
      <c r="N980" s="2">
        <v>0.68600000000000005</v>
      </c>
      <c r="O980" s="2">
        <v>0.64</v>
      </c>
      <c r="P980" s="2">
        <v>0.159</v>
      </c>
      <c r="Q980" s="2">
        <v>3.3399999999999999E-2</v>
      </c>
      <c r="R980" s="2">
        <v>8.0100000000000005E-2</v>
      </c>
      <c r="S980" s="2">
        <v>0.59699999999999998</v>
      </c>
      <c r="T980" s="2">
        <v>-5.4909999999999997</v>
      </c>
      <c r="U980">
        <v>171798</v>
      </c>
      <c r="V980">
        <f>YEAR(Spotify[[#This Row],[Date de sortie]])</f>
        <v>2020</v>
      </c>
      <c r="W980" s="2" t="str">
        <f>IF(Spotify[[#This Row],[Popularité]]&gt;=70,"FORTE","FAIBLE")</f>
        <v>FAIBLE</v>
      </c>
    </row>
    <row r="981" spans="1:23" x14ac:dyDescent="0.25">
      <c r="A981">
        <v>1427</v>
      </c>
      <c r="B981">
        <v>187</v>
      </c>
      <c r="C981">
        <v>1</v>
      </c>
      <c r="D981" s="1">
        <v>43875</v>
      </c>
      <c r="E981" s="59" t="str" cm="1">
        <f t="array" ref="E98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81" t="s">
        <v>2271</v>
      </c>
      <c r="G981" s="3">
        <v>5096624</v>
      </c>
      <c r="H981" t="s">
        <v>906</v>
      </c>
      <c r="I981" s="4">
        <v>5064200</v>
      </c>
      <c r="J981" t="s">
        <v>907</v>
      </c>
      <c r="K981" s="1">
        <v>43875</v>
      </c>
      <c r="L981">
        <v>69</v>
      </c>
      <c r="M981" s="2" t="str">
        <f>IF(Spotify[[#This Row],[Energie]]&gt;AVERAGE(Spotify[Energie]),"FORTE","FAIBLE")</f>
        <v>FORTE</v>
      </c>
      <c r="N981" s="2">
        <v>0.56899999999999995</v>
      </c>
      <c r="O981" s="2">
        <v>0.84</v>
      </c>
      <c r="P981" s="2">
        <v>0.11799999999999999</v>
      </c>
      <c r="Q981" s="2">
        <v>2.9499999999999998E-2</v>
      </c>
      <c r="R981" s="2">
        <v>9.9500000000000005E-2</v>
      </c>
      <c r="S981" s="2">
        <v>0.749</v>
      </c>
      <c r="T981" s="2">
        <v>-4.1230000000000002</v>
      </c>
      <c r="U981">
        <v>249587</v>
      </c>
      <c r="V981">
        <f>YEAR(Spotify[[#This Row],[Date de sortie]])</f>
        <v>2020</v>
      </c>
      <c r="W981" s="2" t="str">
        <f>IF(Spotify[[#This Row],[Popularité]]&gt;=70,"FORTE","FAIBLE")</f>
        <v>FAIBLE</v>
      </c>
    </row>
    <row r="982" spans="1:23" x14ac:dyDescent="0.25">
      <c r="A982">
        <v>970</v>
      </c>
      <c r="B982">
        <v>157</v>
      </c>
      <c r="C982">
        <v>1</v>
      </c>
      <c r="D982" s="1">
        <v>44050</v>
      </c>
      <c r="E982" s="59" t="str" cm="1">
        <f t="array" ref="E98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982" t="s">
        <v>1650</v>
      </c>
      <c r="G982" s="3">
        <v>5074613</v>
      </c>
      <c r="H982" t="s">
        <v>264</v>
      </c>
      <c r="I982" s="4">
        <v>7601122</v>
      </c>
      <c r="J982" t="s">
        <v>265</v>
      </c>
      <c r="K982" s="1">
        <v>44047</v>
      </c>
      <c r="L982">
        <v>69</v>
      </c>
      <c r="M982" s="2" t="str">
        <f>IF(Spotify[[#This Row],[Energie]]&gt;AVERAGE(Spotify[Energie]),"FORTE","FAIBLE")</f>
        <v>FORTE</v>
      </c>
      <c r="N982" s="2">
        <v>0.70899999999999996</v>
      </c>
      <c r="O982" s="2">
        <v>0.67900000000000005</v>
      </c>
      <c r="P982" s="2">
        <v>0.34599999999999997</v>
      </c>
      <c r="Q982" s="2">
        <v>1.15E-2</v>
      </c>
      <c r="R982" s="2">
        <v>9.7100000000000006E-2</v>
      </c>
      <c r="S982" s="2">
        <v>0.754</v>
      </c>
      <c r="T982" s="2">
        <v>-6.5030000000000001</v>
      </c>
      <c r="U982">
        <v>153467</v>
      </c>
      <c r="V982">
        <f>YEAR(Spotify[[#This Row],[Date de sortie]])</f>
        <v>2020</v>
      </c>
      <c r="W982" s="2" t="str">
        <f>IF(Spotify[[#This Row],[Popularité]]&gt;=70,"FORTE","FAIBLE")</f>
        <v>FAIBLE</v>
      </c>
    </row>
    <row r="983" spans="1:23" x14ac:dyDescent="0.25">
      <c r="A983">
        <v>573</v>
      </c>
      <c r="B983">
        <v>55</v>
      </c>
      <c r="C983">
        <v>4</v>
      </c>
      <c r="D983" s="1">
        <v>44211</v>
      </c>
      <c r="E983" s="59" t="str" cm="1">
        <f t="array" ref="E98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83" t="s">
        <v>1025</v>
      </c>
      <c r="G983" s="3">
        <v>5071718</v>
      </c>
      <c r="H983" t="s">
        <v>1026</v>
      </c>
      <c r="I983" s="4">
        <v>16655692</v>
      </c>
      <c r="J983" t="s">
        <v>19</v>
      </c>
      <c r="K983" s="1">
        <v>44204</v>
      </c>
      <c r="L983">
        <v>69</v>
      </c>
      <c r="M983" s="2" t="str">
        <f>IF(Spotify[[#This Row],[Energie]]&gt;AVERAGE(Spotify[Energie]),"FORTE","FAIBLE")</f>
        <v>FORTE</v>
      </c>
      <c r="N983" s="2">
        <v>0.63500000000000001</v>
      </c>
      <c r="O983" s="2">
        <v>0.65900000000000003</v>
      </c>
      <c r="P983" s="2">
        <v>0.11600000000000001</v>
      </c>
      <c r="Q983" s="2">
        <v>0.24199999999999999</v>
      </c>
      <c r="R983" s="2">
        <v>0.105</v>
      </c>
      <c r="S983" s="2">
        <v>0.34</v>
      </c>
      <c r="T983" s="2">
        <v>-7.4989999999999997</v>
      </c>
      <c r="U983">
        <v>163127</v>
      </c>
      <c r="V983">
        <f>YEAR(Spotify[[#This Row],[Date de sortie]])</f>
        <v>2021</v>
      </c>
      <c r="W983" s="2" t="str">
        <f>IF(Spotify[[#This Row],[Popularité]]&gt;=70,"FORTE","FAIBLE")</f>
        <v>FAIBLE</v>
      </c>
    </row>
    <row r="984" spans="1:23" x14ac:dyDescent="0.25">
      <c r="A984">
        <v>779</v>
      </c>
      <c r="B984">
        <v>25</v>
      </c>
      <c r="C984">
        <v>3</v>
      </c>
      <c r="D984" s="1">
        <v>44134</v>
      </c>
      <c r="E984" s="59" t="str" cm="1">
        <f t="array" ref="E98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84" t="s">
        <v>1355</v>
      </c>
      <c r="G984" s="3">
        <v>4980571</v>
      </c>
      <c r="H984" t="s">
        <v>202</v>
      </c>
      <c r="I984" s="4">
        <v>67208170</v>
      </c>
      <c r="J984" t="s">
        <v>19</v>
      </c>
      <c r="K984" s="1">
        <v>44134</v>
      </c>
      <c r="L984">
        <v>69</v>
      </c>
      <c r="M984" s="2" t="str">
        <f>IF(Spotify[[#This Row],[Energie]]&gt;AVERAGE(Spotify[Energie]),"FORTE","FAIBLE")</f>
        <v>FAIBLE</v>
      </c>
      <c r="N984" s="2">
        <v>0.71899999999999997</v>
      </c>
      <c r="O984" s="2">
        <v>0.60699999999999998</v>
      </c>
      <c r="P984" s="2">
        <v>0.16500000000000001</v>
      </c>
      <c r="Q984" s="2">
        <v>0.08</v>
      </c>
      <c r="R984" s="2">
        <v>0.125</v>
      </c>
      <c r="S984" s="2">
        <v>0.46400000000000002</v>
      </c>
      <c r="T984" s="2">
        <v>-5.1559999999999997</v>
      </c>
      <c r="U984">
        <v>149900</v>
      </c>
      <c r="V984">
        <f>YEAR(Spotify[[#This Row],[Date de sortie]])</f>
        <v>2020</v>
      </c>
      <c r="W984" s="2" t="str">
        <f>IF(Spotify[[#This Row],[Popularité]]&gt;=70,"FORTE","FAIBLE")</f>
        <v>FAIBLE</v>
      </c>
    </row>
    <row r="985" spans="1:23" x14ac:dyDescent="0.25">
      <c r="A985">
        <v>1186</v>
      </c>
      <c r="B985">
        <v>71</v>
      </c>
      <c r="C985">
        <v>2</v>
      </c>
      <c r="D985" s="1">
        <v>43952</v>
      </c>
      <c r="E985" s="59" t="str" cm="1">
        <f t="array" ref="E98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85" t="s">
        <v>1950</v>
      </c>
      <c r="G985" s="3">
        <v>4971559</v>
      </c>
      <c r="H985" t="s">
        <v>1951</v>
      </c>
      <c r="I985" s="4">
        <v>12140496</v>
      </c>
      <c r="J985" t="s">
        <v>1952</v>
      </c>
      <c r="K985" s="1">
        <v>43952</v>
      </c>
      <c r="L985">
        <v>69</v>
      </c>
      <c r="M985" s="2" t="str">
        <f>IF(Spotify[[#This Row],[Energie]]&gt;AVERAGE(Spotify[Energie]),"FORTE","FAIBLE")</f>
        <v>FAIBLE</v>
      </c>
      <c r="N985" s="2">
        <v>0.755</v>
      </c>
      <c r="O985" s="2">
        <v>0.53100000000000003</v>
      </c>
      <c r="P985" s="2">
        <v>0.19600000000000001</v>
      </c>
      <c r="Q985" s="2">
        <v>0.21299999999999999</v>
      </c>
      <c r="R985" s="2">
        <v>0.13</v>
      </c>
      <c r="S985" s="2">
        <v>0.68300000000000005</v>
      </c>
      <c r="T985" s="2">
        <v>-8.0510000000000002</v>
      </c>
      <c r="U985">
        <v>203360</v>
      </c>
      <c r="V985">
        <f>YEAR(Spotify[[#This Row],[Date de sortie]])</f>
        <v>2020</v>
      </c>
      <c r="W985" s="2" t="str">
        <f>IF(Spotify[[#This Row],[Popularité]]&gt;=70,"FORTE","FAIBLE")</f>
        <v>FAIBLE</v>
      </c>
    </row>
    <row r="986" spans="1:23" x14ac:dyDescent="0.25">
      <c r="A986">
        <v>846</v>
      </c>
      <c r="B986">
        <v>53</v>
      </c>
      <c r="C986">
        <v>2</v>
      </c>
      <c r="D986" s="1">
        <v>44106</v>
      </c>
      <c r="E986" s="59" t="str" cm="1">
        <f t="array" ref="E98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986" t="s">
        <v>1461</v>
      </c>
      <c r="G986" s="3">
        <v>4947593</v>
      </c>
      <c r="H986" t="s">
        <v>1320</v>
      </c>
      <c r="I986" s="4">
        <v>9949044</v>
      </c>
      <c r="J986" t="s">
        <v>531</v>
      </c>
      <c r="K986" s="1">
        <v>44106</v>
      </c>
      <c r="L986">
        <v>69</v>
      </c>
      <c r="M986" s="2" t="str">
        <f>IF(Spotify[[#This Row],[Energie]]&gt;AVERAGE(Spotify[Energie]),"FORTE","FAIBLE")</f>
        <v>FORTE</v>
      </c>
      <c r="N986" s="2">
        <v>0.84699999999999998</v>
      </c>
      <c r="O986" s="2">
        <v>0.73299999999999998</v>
      </c>
      <c r="P986" s="2">
        <v>0.16</v>
      </c>
      <c r="Q986" s="2">
        <v>5.7400000000000003E-3</v>
      </c>
      <c r="R986" s="2">
        <v>0.151</v>
      </c>
      <c r="S986" s="2">
        <v>0.20200000000000001</v>
      </c>
      <c r="T986" s="2">
        <v>-6.4390000000000001</v>
      </c>
      <c r="U986">
        <v>193591</v>
      </c>
      <c r="V986">
        <f>YEAR(Spotify[[#This Row],[Date de sortie]])</f>
        <v>2020</v>
      </c>
      <c r="W986" s="2" t="str">
        <f>IF(Spotify[[#This Row],[Popularité]]&gt;=70,"FORTE","FAIBLE")</f>
        <v>FAIBLE</v>
      </c>
    </row>
    <row r="987" spans="1:23" x14ac:dyDescent="0.25">
      <c r="A987">
        <v>551</v>
      </c>
      <c r="B987">
        <v>167</v>
      </c>
      <c r="C987">
        <v>2</v>
      </c>
      <c r="D987" s="1">
        <v>44232</v>
      </c>
      <c r="E987" s="59" t="str" cm="1">
        <f t="array" ref="E98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87" t="s">
        <v>990</v>
      </c>
      <c r="G987" s="3">
        <v>4929647</v>
      </c>
      <c r="H987" t="s">
        <v>41</v>
      </c>
      <c r="I987" s="4">
        <v>35340069</v>
      </c>
      <c r="J987" t="s">
        <v>42</v>
      </c>
      <c r="K987" s="1">
        <v>42244</v>
      </c>
      <c r="L987">
        <v>69</v>
      </c>
      <c r="M987" s="2" t="str">
        <f>IF(Spotify[[#This Row],[Energie]]&gt;AVERAGE(Spotify[Energie]),"FORTE","FAIBLE")</f>
        <v>FAIBLE</v>
      </c>
      <c r="N987" s="2">
        <v>0.65900000000000003</v>
      </c>
      <c r="O987" s="2">
        <v>0.29099999999999998</v>
      </c>
      <c r="P987" s="2">
        <v>3.4799999999999998E-2</v>
      </c>
      <c r="Q987" s="2">
        <v>0.40500000000000003</v>
      </c>
      <c r="R987" s="2">
        <v>7.7100000000000002E-2</v>
      </c>
      <c r="S987" s="2">
        <v>0.40600000000000003</v>
      </c>
      <c r="T987" s="2">
        <v>-8.2750000000000004</v>
      </c>
      <c r="U987">
        <v>277680</v>
      </c>
      <c r="V987">
        <f>YEAR(Spotify[[#This Row],[Date de sortie]])</f>
        <v>2015</v>
      </c>
      <c r="W987" s="2" t="str">
        <f>IF(Spotify[[#This Row],[Popularité]]&gt;=70,"FORTE","FAIBLE")</f>
        <v>FAIBLE</v>
      </c>
    </row>
    <row r="988" spans="1:23" x14ac:dyDescent="0.25">
      <c r="A988">
        <v>1465</v>
      </c>
      <c r="B988">
        <v>106</v>
      </c>
      <c r="C988">
        <v>6</v>
      </c>
      <c r="D988" s="1">
        <v>43833</v>
      </c>
      <c r="E988" s="59" t="str" cm="1">
        <f t="array" ref="E98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88" t="s">
        <v>2328</v>
      </c>
      <c r="G988" s="3">
        <v>4896939</v>
      </c>
      <c r="H988" t="s">
        <v>68</v>
      </c>
      <c r="I988" s="4">
        <v>22698747</v>
      </c>
      <c r="J988" t="s">
        <v>19</v>
      </c>
      <c r="K988" s="1">
        <v>43712</v>
      </c>
      <c r="L988">
        <v>69</v>
      </c>
      <c r="M988" s="2" t="str">
        <f>IF(Spotify[[#This Row],[Energie]]&gt;AVERAGE(Spotify[Energie]),"FORTE","FAIBLE")</f>
        <v>FAIBLE</v>
      </c>
      <c r="N988" s="2">
        <v>0.74</v>
      </c>
      <c r="O988" s="2">
        <v>0.498</v>
      </c>
      <c r="P988" s="2">
        <v>4.5600000000000002E-2</v>
      </c>
      <c r="Q988" s="2">
        <v>1.6899999999999998E-2</v>
      </c>
      <c r="R988" s="2">
        <v>0.31900000000000001</v>
      </c>
      <c r="S988" s="2">
        <v>0.65200000000000002</v>
      </c>
      <c r="T988" s="2">
        <v>-6.6840000000000002</v>
      </c>
      <c r="U988">
        <v>207039</v>
      </c>
      <c r="V988">
        <f>YEAR(Spotify[[#This Row],[Date de sortie]])</f>
        <v>2019</v>
      </c>
      <c r="W988" s="2" t="str">
        <f>IF(Spotify[[#This Row],[Popularité]]&gt;=70,"FORTE","FAIBLE")</f>
        <v>FAIBLE</v>
      </c>
    </row>
    <row r="989" spans="1:23" x14ac:dyDescent="0.25">
      <c r="A989">
        <v>939</v>
      </c>
      <c r="B989">
        <v>106</v>
      </c>
      <c r="C989">
        <v>4</v>
      </c>
      <c r="D989" s="1">
        <v>44043</v>
      </c>
      <c r="E989" s="59" t="str" cm="1">
        <f t="array" ref="E98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89" t="s">
        <v>1604</v>
      </c>
      <c r="G989" s="3">
        <v>4887204</v>
      </c>
      <c r="H989" t="s">
        <v>1041</v>
      </c>
      <c r="I989" s="4">
        <v>17097317</v>
      </c>
      <c r="J989" t="s">
        <v>19</v>
      </c>
      <c r="K989" s="1">
        <v>44042</v>
      </c>
      <c r="L989">
        <v>69</v>
      </c>
      <c r="M989" s="2" t="str">
        <f>IF(Spotify[[#This Row],[Energie]]&gt;AVERAGE(Spotify[Energie]),"FORTE","FAIBLE")</f>
        <v>FAIBLE</v>
      </c>
      <c r="N989" s="2">
        <v>0.69099999999999995</v>
      </c>
      <c r="O989" s="2">
        <v>0.47399999999999998</v>
      </c>
      <c r="P989" s="2">
        <v>5.8299999999999998E-2</v>
      </c>
      <c r="Q989" s="2">
        <v>0.56899999999999995</v>
      </c>
      <c r="R989" s="2">
        <v>9.9000000000000005E-2</v>
      </c>
      <c r="S989" s="2">
        <v>0.38100000000000001</v>
      </c>
      <c r="T989" s="2">
        <v>-8.7420000000000009</v>
      </c>
      <c r="U989">
        <v>179917</v>
      </c>
      <c r="V989">
        <f>YEAR(Spotify[[#This Row],[Date de sortie]])</f>
        <v>2020</v>
      </c>
      <c r="W989" s="2" t="str">
        <f>IF(Spotify[[#This Row],[Popularité]]&gt;=70,"FORTE","FAIBLE")</f>
        <v>FAIBLE</v>
      </c>
    </row>
    <row r="990" spans="1:23" x14ac:dyDescent="0.25">
      <c r="A990">
        <v>835</v>
      </c>
      <c r="B990">
        <v>109</v>
      </c>
      <c r="C990">
        <v>2</v>
      </c>
      <c r="D990" s="1">
        <v>44113</v>
      </c>
      <c r="E990" s="59" t="str" cm="1">
        <f t="array" ref="E99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990" t="s">
        <v>1443</v>
      </c>
      <c r="G990" s="3">
        <v>4870203</v>
      </c>
      <c r="H990" t="s">
        <v>1444</v>
      </c>
      <c r="I990" s="4">
        <v>6569150</v>
      </c>
      <c r="J990" t="s">
        <v>19</v>
      </c>
      <c r="K990" s="1">
        <v>44113</v>
      </c>
      <c r="L990">
        <v>69</v>
      </c>
      <c r="M990" s="2" t="str">
        <f>IF(Spotify[[#This Row],[Energie]]&gt;AVERAGE(Spotify[Energie]),"FORTE","FAIBLE")</f>
        <v>FORTE</v>
      </c>
      <c r="N990" s="2">
        <v>0.73699999999999999</v>
      </c>
      <c r="O990" s="2">
        <v>0.86699999999999999</v>
      </c>
      <c r="P990" s="2">
        <v>4.58E-2</v>
      </c>
      <c r="Q990" s="2">
        <v>3.9800000000000002E-2</v>
      </c>
      <c r="R990" s="2">
        <v>0.32</v>
      </c>
      <c r="S990" s="2">
        <v>0.50600000000000001</v>
      </c>
      <c r="T990" s="2">
        <v>-2.2589999999999999</v>
      </c>
      <c r="U990">
        <v>175873</v>
      </c>
      <c r="V990">
        <f>YEAR(Spotify[[#This Row],[Date de sortie]])</f>
        <v>2020</v>
      </c>
      <c r="W990" s="2" t="str">
        <f>IF(Spotify[[#This Row],[Popularité]]&gt;=70,"FORTE","FAIBLE")</f>
        <v>FAIBLE</v>
      </c>
    </row>
    <row r="991" spans="1:23" x14ac:dyDescent="0.25">
      <c r="A991">
        <v>604</v>
      </c>
      <c r="B991">
        <v>117</v>
      </c>
      <c r="C991">
        <v>10</v>
      </c>
      <c r="D991" s="1">
        <v>44190</v>
      </c>
      <c r="E991" s="59" t="str" cm="1">
        <f t="array" ref="E99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91" t="s">
        <v>1073</v>
      </c>
      <c r="G991" s="3">
        <v>4815342</v>
      </c>
      <c r="H991" t="s">
        <v>788</v>
      </c>
      <c r="I991" s="4">
        <v>4281787</v>
      </c>
      <c r="J991" t="s">
        <v>334</v>
      </c>
      <c r="K991" s="1">
        <v>43938</v>
      </c>
      <c r="L991">
        <v>69</v>
      </c>
      <c r="M991" s="2" t="str">
        <f>IF(Spotify[[#This Row],[Energie]]&gt;AVERAGE(Spotify[Energie]),"FORTE","FAIBLE")</f>
        <v>FORTE</v>
      </c>
      <c r="N991" s="2">
        <v>0.58199999999999996</v>
      </c>
      <c r="O991" s="2">
        <v>0.93700000000000006</v>
      </c>
      <c r="P991" s="2">
        <v>8.5800000000000001E-2</v>
      </c>
      <c r="Q991" s="2">
        <v>0.44900000000000001</v>
      </c>
      <c r="R991" s="2">
        <v>0.68400000000000005</v>
      </c>
      <c r="S991" s="2">
        <v>0.93899999999999995</v>
      </c>
      <c r="T991" s="2">
        <v>-2.1179999999999999</v>
      </c>
      <c r="U991">
        <v>166838</v>
      </c>
      <c r="V991">
        <f>YEAR(Spotify[[#This Row],[Date de sortie]])</f>
        <v>2020</v>
      </c>
      <c r="W991" s="2" t="str">
        <f>IF(Spotify[[#This Row],[Popularité]]&gt;=70,"FORTE","FAIBLE")</f>
        <v>FAIBLE</v>
      </c>
    </row>
    <row r="992" spans="1:23" x14ac:dyDescent="0.25">
      <c r="A992">
        <v>1326</v>
      </c>
      <c r="B992">
        <v>66</v>
      </c>
      <c r="C992">
        <v>3</v>
      </c>
      <c r="D992" s="1">
        <v>43889</v>
      </c>
      <c r="E992" s="59" t="str" cm="1">
        <f t="array" ref="E99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92" t="s">
        <v>2138</v>
      </c>
      <c r="G992" s="3">
        <v>4755477</v>
      </c>
      <c r="H992" t="s">
        <v>24</v>
      </c>
      <c r="I992" s="4">
        <v>36177712</v>
      </c>
      <c r="J992" t="s">
        <v>25</v>
      </c>
      <c r="K992" s="1">
        <v>43890</v>
      </c>
      <c r="L992">
        <v>69</v>
      </c>
      <c r="M992" s="2" t="str">
        <f>IF(Spotify[[#This Row],[Energie]]&gt;AVERAGE(Spotify[Energie]),"FORTE","FAIBLE")</f>
        <v>FORTE</v>
      </c>
      <c r="N992" s="2">
        <v>0.63100000000000001</v>
      </c>
      <c r="O992" s="2">
        <v>0.66500000000000004</v>
      </c>
      <c r="P992" s="2">
        <v>0.22900000000000001</v>
      </c>
      <c r="Q992" s="2">
        <v>0.60199999999999998</v>
      </c>
      <c r="R992" s="2">
        <v>0.152</v>
      </c>
      <c r="S992" s="2">
        <v>0.63400000000000001</v>
      </c>
      <c r="T992" s="2">
        <v>-7.5890000000000004</v>
      </c>
      <c r="U992">
        <v>157967</v>
      </c>
      <c r="V992">
        <f>YEAR(Spotify[[#This Row],[Date de sortie]])</f>
        <v>2020</v>
      </c>
      <c r="W992" s="2" t="str">
        <f>IF(Spotify[[#This Row],[Popularité]]&gt;=70,"FORTE","FAIBLE")</f>
        <v>FAIBLE</v>
      </c>
    </row>
    <row r="993" spans="1:23" x14ac:dyDescent="0.25">
      <c r="A993">
        <v>787</v>
      </c>
      <c r="B993">
        <v>92</v>
      </c>
      <c r="C993">
        <v>10</v>
      </c>
      <c r="D993" s="1">
        <v>44092</v>
      </c>
      <c r="E993" s="59" t="str" cm="1">
        <f t="array" ref="E99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93" t="s">
        <v>1371</v>
      </c>
      <c r="G993" s="3">
        <v>4731423</v>
      </c>
      <c r="H993" t="s">
        <v>1372</v>
      </c>
      <c r="I993" s="4">
        <v>23936368</v>
      </c>
      <c r="J993" t="s">
        <v>25</v>
      </c>
      <c r="K993" s="1">
        <v>44085</v>
      </c>
      <c r="L993">
        <v>69</v>
      </c>
      <c r="M993" s="2" t="str">
        <f>IF(Spotify[[#This Row],[Energie]]&gt;AVERAGE(Spotify[Energie]),"FORTE","FAIBLE")</f>
        <v>FORTE</v>
      </c>
      <c r="N993" s="2">
        <v>0.83799999999999997</v>
      </c>
      <c r="O993" s="2">
        <v>0.81899999999999995</v>
      </c>
      <c r="P993" s="2">
        <v>0.21099999999999999</v>
      </c>
      <c r="Q993" s="2">
        <v>0.28499999999999998</v>
      </c>
      <c r="R993" s="2">
        <v>0.224</v>
      </c>
      <c r="S993" s="2">
        <v>0.65600000000000003</v>
      </c>
      <c r="T993" s="2">
        <v>-4.681</v>
      </c>
      <c r="U993">
        <v>275893</v>
      </c>
      <c r="V993">
        <f>YEAR(Spotify[[#This Row],[Date de sortie]])</f>
        <v>2020</v>
      </c>
      <c r="W993" s="2" t="str">
        <f>IF(Spotify[[#This Row],[Popularité]]&gt;=70,"FORTE","FAIBLE")</f>
        <v>FAIBLE</v>
      </c>
    </row>
    <row r="994" spans="1:23" x14ac:dyDescent="0.25">
      <c r="A994">
        <v>1177</v>
      </c>
      <c r="B994">
        <v>179</v>
      </c>
      <c r="C994">
        <v>1</v>
      </c>
      <c r="D994" s="1">
        <v>43966</v>
      </c>
      <c r="E994" s="59" t="str" cm="1">
        <f t="array" ref="E99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994" t="s">
        <v>1936</v>
      </c>
      <c r="G994" s="3">
        <v>4687909</v>
      </c>
      <c r="H994" t="s">
        <v>78</v>
      </c>
      <c r="I994" s="4">
        <v>4849204</v>
      </c>
      <c r="J994" t="s">
        <v>79</v>
      </c>
      <c r="K994" s="1">
        <v>43966</v>
      </c>
      <c r="L994">
        <v>69</v>
      </c>
      <c r="M994" s="2" t="str">
        <f>IF(Spotify[[#This Row],[Energie]]&gt;AVERAGE(Spotify[Energie]),"FORTE","FAIBLE")</f>
        <v>FAIBLE</v>
      </c>
      <c r="N994" s="2">
        <v>0.82899999999999996</v>
      </c>
      <c r="O994" s="2">
        <v>0.52</v>
      </c>
      <c r="P994" s="2">
        <v>0.29399999999999998</v>
      </c>
      <c r="Q994" s="2">
        <v>2.3199999999999998E-2</v>
      </c>
      <c r="R994" s="2">
        <v>0.13400000000000001</v>
      </c>
      <c r="S994" s="2">
        <v>0.248</v>
      </c>
      <c r="T994" s="2">
        <v>-10.34</v>
      </c>
      <c r="U994">
        <v>194118</v>
      </c>
      <c r="V994">
        <f>YEAR(Spotify[[#This Row],[Date de sortie]])</f>
        <v>2020</v>
      </c>
      <c r="W994" s="2" t="str">
        <f>IF(Spotify[[#This Row],[Popularité]]&gt;=70,"FORTE","FAIBLE")</f>
        <v>FAIBLE</v>
      </c>
    </row>
    <row r="995" spans="1:23" x14ac:dyDescent="0.25">
      <c r="A995">
        <v>988</v>
      </c>
      <c r="B995">
        <v>179</v>
      </c>
      <c r="C995">
        <v>3</v>
      </c>
      <c r="D995" s="1">
        <v>44029</v>
      </c>
      <c r="E995" s="59" t="str" cm="1">
        <f t="array" ref="E99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95" t="s">
        <v>1670</v>
      </c>
      <c r="G995" s="3">
        <v>4661170</v>
      </c>
      <c r="H995" t="s">
        <v>1671</v>
      </c>
      <c r="I995" s="4">
        <v>1779640</v>
      </c>
      <c r="J995" t="s">
        <v>576</v>
      </c>
      <c r="K995" s="1">
        <v>43966</v>
      </c>
      <c r="L995">
        <v>69</v>
      </c>
      <c r="M995" s="2" t="str">
        <f>IF(Spotify[[#This Row],[Energie]]&gt;AVERAGE(Spotify[Energie]),"FORTE","FAIBLE")</f>
        <v>FORTE</v>
      </c>
      <c r="N995" s="2">
        <v>0.85299999999999998</v>
      </c>
      <c r="O995" s="2">
        <v>0.90900000000000003</v>
      </c>
      <c r="P995" s="2">
        <v>0.22900000000000001</v>
      </c>
      <c r="Q995" s="2">
        <v>5.2200000000000003E-2</v>
      </c>
      <c r="R995" s="2">
        <v>0.129</v>
      </c>
      <c r="S995" s="2">
        <v>0.80300000000000005</v>
      </c>
      <c r="T995" s="2">
        <v>-2.4729999999999999</v>
      </c>
      <c r="U995">
        <v>178407</v>
      </c>
      <c r="V995">
        <f>YEAR(Spotify[[#This Row],[Date de sortie]])</f>
        <v>2020</v>
      </c>
      <c r="W995" s="2" t="str">
        <f>IF(Spotify[[#This Row],[Popularité]]&gt;=70,"FORTE","FAIBLE")</f>
        <v>FAIBLE</v>
      </c>
    </row>
    <row r="996" spans="1:23" x14ac:dyDescent="0.25">
      <c r="A996">
        <v>1236</v>
      </c>
      <c r="B996">
        <v>63</v>
      </c>
      <c r="C996">
        <v>6</v>
      </c>
      <c r="D996" s="1">
        <v>43903</v>
      </c>
      <c r="E996" s="59" t="str" cm="1">
        <f t="array" ref="E99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996" t="s">
        <v>2018</v>
      </c>
      <c r="G996" s="3">
        <v>4618744</v>
      </c>
      <c r="H996" t="s">
        <v>1890</v>
      </c>
      <c r="I996" s="4">
        <v>7358720</v>
      </c>
      <c r="J996" t="s">
        <v>531</v>
      </c>
      <c r="K996" s="1">
        <v>43899</v>
      </c>
      <c r="L996">
        <v>69</v>
      </c>
      <c r="M996" s="2" t="str">
        <f>IF(Spotify[[#This Row],[Energie]]&gt;AVERAGE(Spotify[Energie]),"FORTE","FAIBLE")</f>
        <v>FAIBLE</v>
      </c>
      <c r="N996" s="2">
        <v>0.83599999999999997</v>
      </c>
      <c r="O996" s="2">
        <v>0.61699999999999999</v>
      </c>
      <c r="P996" s="2">
        <v>5.3400000000000003E-2</v>
      </c>
      <c r="Q996" s="2">
        <v>0.17</v>
      </c>
      <c r="R996" s="2">
        <v>0.31900000000000001</v>
      </c>
      <c r="S996" s="2">
        <v>0.86599999999999999</v>
      </c>
      <c r="T996" s="2">
        <v>-4.3630000000000004</v>
      </c>
      <c r="U996">
        <v>206702</v>
      </c>
      <c r="V996">
        <f>YEAR(Spotify[[#This Row],[Date de sortie]])</f>
        <v>2020</v>
      </c>
      <c r="W996" s="2" t="str">
        <f>IF(Spotify[[#This Row],[Popularité]]&gt;=70,"FORTE","FAIBLE")</f>
        <v>FAIBLE</v>
      </c>
    </row>
    <row r="997" spans="1:23" x14ac:dyDescent="0.25">
      <c r="A997">
        <v>910</v>
      </c>
      <c r="B997">
        <v>142</v>
      </c>
      <c r="C997">
        <v>4</v>
      </c>
      <c r="D997" s="1">
        <v>44064</v>
      </c>
      <c r="E997" s="59" t="str" cm="1">
        <f t="array" ref="E99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997" t="s">
        <v>1554</v>
      </c>
      <c r="G997" s="3">
        <v>4602336</v>
      </c>
      <c r="H997" t="s">
        <v>1555</v>
      </c>
      <c r="I997" s="4">
        <v>328877</v>
      </c>
      <c r="J997" t="s">
        <v>217</v>
      </c>
      <c r="K997" s="1">
        <v>44063</v>
      </c>
      <c r="L997">
        <v>69</v>
      </c>
      <c r="M997" s="2" t="str">
        <f>IF(Spotify[[#This Row],[Energie]]&gt;AVERAGE(Spotify[Energie]),"FORTE","FAIBLE")</f>
        <v>FAIBLE</v>
      </c>
      <c r="N997" s="2">
        <v>0.76700000000000002</v>
      </c>
      <c r="O997" s="2">
        <v>0.56899999999999995</v>
      </c>
      <c r="P997" s="2">
        <v>0.216</v>
      </c>
      <c r="Q997" s="2">
        <v>9.8799999999999999E-3</v>
      </c>
      <c r="R997" s="2">
        <v>0.109</v>
      </c>
      <c r="S997" s="2">
        <v>0.52400000000000002</v>
      </c>
      <c r="T997" s="2">
        <v>-6.8049999999999997</v>
      </c>
      <c r="U997">
        <v>196363</v>
      </c>
      <c r="V997">
        <f>YEAR(Spotify[[#This Row],[Date de sortie]])</f>
        <v>2020</v>
      </c>
      <c r="W997" s="2" t="str">
        <f>IF(Spotify[[#This Row],[Popularité]]&gt;=70,"FORTE","FAIBLE")</f>
        <v>FAIBLE</v>
      </c>
    </row>
    <row r="998" spans="1:23" x14ac:dyDescent="0.25">
      <c r="A998">
        <v>1145</v>
      </c>
      <c r="B998">
        <v>190</v>
      </c>
      <c r="C998">
        <v>1</v>
      </c>
      <c r="D998" s="1">
        <v>43980</v>
      </c>
      <c r="E998" s="59" t="str" cm="1">
        <f t="array" ref="E99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998" t="s">
        <v>1891</v>
      </c>
      <c r="G998" s="3">
        <v>4598294</v>
      </c>
      <c r="H998" t="s">
        <v>1890</v>
      </c>
      <c r="I998" s="4">
        <v>7358720</v>
      </c>
      <c r="J998" t="s">
        <v>531</v>
      </c>
      <c r="K998" s="1">
        <v>43899</v>
      </c>
      <c r="L998">
        <v>69</v>
      </c>
      <c r="M998" s="2" t="str">
        <f>IF(Spotify[[#This Row],[Energie]]&gt;AVERAGE(Spotify[Energie]),"FORTE","FAIBLE")</f>
        <v>FAIBLE</v>
      </c>
      <c r="N998" s="2">
        <v>0.83599999999999997</v>
      </c>
      <c r="O998" s="2">
        <v>0.61699999999999999</v>
      </c>
      <c r="P998" s="2">
        <v>5.3400000000000003E-2</v>
      </c>
      <c r="Q998" s="2">
        <v>0.17</v>
      </c>
      <c r="R998" s="2">
        <v>0.31900000000000001</v>
      </c>
      <c r="S998" s="2">
        <v>0.86599999999999999</v>
      </c>
      <c r="T998" s="2">
        <v>-4.3630000000000004</v>
      </c>
      <c r="U998">
        <v>206702</v>
      </c>
      <c r="V998">
        <f>YEAR(Spotify[[#This Row],[Date de sortie]])</f>
        <v>2020</v>
      </c>
      <c r="W998" s="2" t="str">
        <f>IF(Spotify[[#This Row],[Popularité]]&gt;=70,"FORTE","FAIBLE")</f>
        <v>FAIBLE</v>
      </c>
    </row>
    <row r="999" spans="1:23" x14ac:dyDescent="0.25">
      <c r="A999">
        <v>931</v>
      </c>
      <c r="B999">
        <v>111</v>
      </c>
      <c r="C999">
        <v>11</v>
      </c>
      <c r="D999" s="1">
        <v>44015</v>
      </c>
      <c r="E999" s="59" t="str" cm="1">
        <f t="array" ref="E99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999" t="s">
        <v>1591</v>
      </c>
      <c r="G999" s="3">
        <v>4564331</v>
      </c>
      <c r="H999" t="s">
        <v>1592</v>
      </c>
      <c r="I999" s="4">
        <v>18306226</v>
      </c>
      <c r="J999" t="s">
        <v>25</v>
      </c>
      <c r="K999" s="1">
        <v>43980</v>
      </c>
      <c r="L999">
        <v>69</v>
      </c>
      <c r="M999" s="2" t="str">
        <f>IF(Spotify[[#This Row],[Energie]]&gt;AVERAGE(Spotify[Energie]),"FORTE","FAIBLE")</f>
        <v>FORTE</v>
      </c>
      <c r="N999" s="2">
        <v>0.69399999999999995</v>
      </c>
      <c r="O999" s="2">
        <v>0.79600000000000004</v>
      </c>
      <c r="P999" s="2">
        <v>5.6500000000000002E-2</v>
      </c>
      <c r="Q999" s="2">
        <v>0.48</v>
      </c>
      <c r="R999" s="2">
        <v>0.108</v>
      </c>
      <c r="S999" s="2">
        <v>0.51500000000000001</v>
      </c>
      <c r="T999" s="2">
        <v>-4.1639999999999997</v>
      </c>
      <c r="U999">
        <v>212312</v>
      </c>
      <c r="V999">
        <f>YEAR(Spotify[[#This Row],[Date de sortie]])</f>
        <v>2020</v>
      </c>
      <c r="W999" s="2" t="str">
        <f>IF(Spotify[[#This Row],[Popularité]]&gt;=70,"FORTE","FAIBLE")</f>
        <v>FAIBLE</v>
      </c>
    </row>
    <row r="1000" spans="1:23" x14ac:dyDescent="0.25">
      <c r="A1000">
        <v>958</v>
      </c>
      <c r="B1000">
        <v>176</v>
      </c>
      <c r="C1000">
        <v>3</v>
      </c>
      <c r="D1000" s="1">
        <v>44050</v>
      </c>
      <c r="E1000" s="59" t="str" cm="1">
        <f t="array" ref="E100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00" t="s">
        <v>1632</v>
      </c>
      <c r="G1000" s="3">
        <v>4462411</v>
      </c>
      <c r="H1000" t="s">
        <v>1633</v>
      </c>
      <c r="I1000" s="4">
        <v>9778632</v>
      </c>
      <c r="J1000" t="s">
        <v>19</v>
      </c>
      <c r="K1000" s="1">
        <v>44015</v>
      </c>
      <c r="L1000">
        <v>69</v>
      </c>
      <c r="M1000" s="2" t="str">
        <f>IF(Spotify[[#This Row],[Energie]]&gt;AVERAGE(Spotify[Energie]),"FORTE","FAIBLE")</f>
        <v>FAIBLE</v>
      </c>
      <c r="N1000" s="2">
        <v>0.89900000000000002</v>
      </c>
      <c r="O1000" s="2">
        <v>0.52800000000000002</v>
      </c>
      <c r="P1000" s="2">
        <v>0.18099999999999999</v>
      </c>
      <c r="Q1000" s="2">
        <v>5.5400000000000002E-4</v>
      </c>
      <c r="R1000" s="2">
        <v>0.105</v>
      </c>
      <c r="S1000" s="2">
        <v>0.45600000000000002</v>
      </c>
      <c r="T1000" s="2">
        <v>-5.4420000000000002</v>
      </c>
      <c r="U1000">
        <v>111852</v>
      </c>
      <c r="V1000">
        <f>YEAR(Spotify[[#This Row],[Date de sortie]])</f>
        <v>2020</v>
      </c>
      <c r="W1000" s="2" t="str">
        <f>IF(Spotify[[#This Row],[Popularité]]&gt;=70,"FORTE","FAIBLE")</f>
        <v>FAIBLE</v>
      </c>
    </row>
    <row r="1001" spans="1:23" x14ac:dyDescent="0.25">
      <c r="A1001">
        <v>959</v>
      </c>
      <c r="B1001">
        <v>126</v>
      </c>
      <c r="C1001">
        <v>5</v>
      </c>
      <c r="D1001" s="1">
        <v>44029</v>
      </c>
      <c r="E1001" s="59" t="str" cm="1">
        <f t="array" ref="E100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01" t="s">
        <v>1634</v>
      </c>
      <c r="G1001" s="3">
        <v>4449437</v>
      </c>
      <c r="H1001" t="s">
        <v>1310</v>
      </c>
      <c r="I1001" s="4">
        <v>2953525</v>
      </c>
      <c r="J1001" t="s">
        <v>1311</v>
      </c>
      <c r="K1001" s="1">
        <v>44148</v>
      </c>
      <c r="L1001">
        <v>69</v>
      </c>
      <c r="M1001" s="2" t="str">
        <f>IF(Spotify[[#This Row],[Energie]]&gt;AVERAGE(Spotify[Energie]),"FORTE","FAIBLE")</f>
        <v>FORTE</v>
      </c>
      <c r="N1001" s="2">
        <v>0.81299999999999994</v>
      </c>
      <c r="O1001" s="2">
        <v>0.64</v>
      </c>
      <c r="P1001" s="2">
        <v>0.27200000000000002</v>
      </c>
      <c r="Q1001" s="2">
        <v>0.26900000000000002</v>
      </c>
      <c r="R1001" s="2">
        <v>0.13100000000000001</v>
      </c>
      <c r="S1001" s="2">
        <v>0.48799999999999999</v>
      </c>
      <c r="T1001" s="2">
        <v>-5.9080000000000004</v>
      </c>
      <c r="U1001">
        <v>147076</v>
      </c>
      <c r="V1001">
        <f>YEAR(Spotify[[#This Row],[Date de sortie]])</f>
        <v>2020</v>
      </c>
      <c r="W1001" s="2" t="str">
        <f>IF(Spotify[[#This Row],[Popularité]]&gt;=70,"FORTE","FAIBLE")</f>
        <v>FAIBLE</v>
      </c>
    </row>
    <row r="1002" spans="1:23" x14ac:dyDescent="0.25">
      <c r="A1002">
        <v>1167</v>
      </c>
      <c r="B1002">
        <v>120</v>
      </c>
      <c r="C1002">
        <v>7</v>
      </c>
      <c r="D1002" s="1">
        <v>43938</v>
      </c>
      <c r="E1002" s="59" t="str" cm="1">
        <f t="array" ref="E100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02" t="s">
        <v>1921</v>
      </c>
      <c r="G1002" s="3">
        <v>4440738</v>
      </c>
      <c r="H1002" t="s">
        <v>1922</v>
      </c>
      <c r="I1002" s="4">
        <v>6671084</v>
      </c>
      <c r="J1002" t="s">
        <v>25</v>
      </c>
      <c r="K1002" s="1">
        <v>43931</v>
      </c>
      <c r="L1002">
        <v>69</v>
      </c>
      <c r="M1002" s="2" t="str">
        <f>IF(Spotify[[#This Row],[Energie]]&gt;AVERAGE(Spotify[Energie]),"FORTE","FAIBLE")</f>
        <v>FORTE</v>
      </c>
      <c r="N1002" s="2">
        <v>0.747</v>
      </c>
      <c r="O1002" s="2">
        <v>0.69299999999999995</v>
      </c>
      <c r="P1002" s="2">
        <v>0.29799999999999999</v>
      </c>
      <c r="Q1002" s="2">
        <v>0.10199999999999999</v>
      </c>
      <c r="R1002" s="2">
        <v>8.72E-2</v>
      </c>
      <c r="S1002" s="2">
        <v>0.73599999999999999</v>
      </c>
      <c r="T1002" s="2">
        <v>-2.97</v>
      </c>
      <c r="U1002">
        <v>189567</v>
      </c>
      <c r="V1002">
        <f>YEAR(Spotify[[#This Row],[Date de sortie]])</f>
        <v>2020</v>
      </c>
      <c r="W1002" s="2" t="str">
        <f>IF(Spotify[[#This Row],[Popularité]]&gt;=70,"FORTE","FAIBLE")</f>
        <v>FAIBLE</v>
      </c>
    </row>
    <row r="1003" spans="1:23" x14ac:dyDescent="0.25">
      <c r="A1003">
        <v>1297</v>
      </c>
      <c r="B1003">
        <v>55</v>
      </c>
      <c r="C1003">
        <v>4</v>
      </c>
      <c r="D1003" s="1">
        <v>43889</v>
      </c>
      <c r="E1003" s="59" t="str" cm="1">
        <f t="array" ref="E100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03" t="s">
        <v>2101</v>
      </c>
      <c r="G1003" s="3">
        <v>4438261</v>
      </c>
      <c r="H1003" t="s">
        <v>2102</v>
      </c>
      <c r="I1003" s="4">
        <v>36177712</v>
      </c>
      <c r="J1003" t="s">
        <v>25</v>
      </c>
      <c r="K1003" s="1">
        <v>43890</v>
      </c>
      <c r="L1003">
        <v>69</v>
      </c>
      <c r="M1003" s="2" t="str">
        <f>IF(Spotify[[#This Row],[Energie]]&gt;AVERAGE(Spotify[Energie]),"FORTE","FAIBLE")</f>
        <v>FORTE</v>
      </c>
      <c r="N1003" s="2">
        <v>0.81</v>
      </c>
      <c r="O1003" s="2">
        <v>0.85399999999999998</v>
      </c>
      <c r="P1003" s="2">
        <v>0.254</v>
      </c>
      <c r="Q1003" s="2">
        <v>7.3200000000000001E-2</v>
      </c>
      <c r="R1003" s="2">
        <v>0.123</v>
      </c>
      <c r="S1003" s="2">
        <v>0.879</v>
      </c>
      <c r="T1003" s="2">
        <v>-3.9990000000000001</v>
      </c>
      <c r="U1003">
        <v>227939</v>
      </c>
      <c r="V1003">
        <f>YEAR(Spotify[[#This Row],[Date de sortie]])</f>
        <v>2020</v>
      </c>
      <c r="W1003" s="2" t="str">
        <f>IF(Spotify[[#This Row],[Popularité]]&gt;=70,"FORTE","FAIBLE")</f>
        <v>FAIBLE</v>
      </c>
    </row>
    <row r="1004" spans="1:23" x14ac:dyDescent="0.25">
      <c r="A1004">
        <v>1258</v>
      </c>
      <c r="B1004">
        <v>77</v>
      </c>
      <c r="C1004">
        <v>14</v>
      </c>
      <c r="D1004" s="1">
        <v>43889</v>
      </c>
      <c r="E1004" s="59" t="str" cm="1">
        <f t="array" ref="E100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004" t="s">
        <v>2050</v>
      </c>
      <c r="G1004" s="3">
        <v>4425610</v>
      </c>
      <c r="H1004" t="s">
        <v>932</v>
      </c>
      <c r="I1004" s="4">
        <v>7816213</v>
      </c>
      <c r="J1004" t="s">
        <v>531</v>
      </c>
      <c r="K1004" s="1">
        <v>43777</v>
      </c>
      <c r="L1004">
        <v>69</v>
      </c>
      <c r="M1004" s="2" t="str">
        <f>IF(Spotify[[#This Row],[Energie]]&gt;AVERAGE(Spotify[Energie]),"FORTE","FAIBLE")</f>
        <v>FAIBLE</v>
      </c>
      <c r="N1004" s="2">
        <v>0.88200000000000001</v>
      </c>
      <c r="O1004" s="2">
        <v>0.60199999999999998</v>
      </c>
      <c r="P1004" s="2">
        <v>0.245</v>
      </c>
      <c r="Q1004" s="2">
        <v>1.77E-2</v>
      </c>
      <c r="R1004" s="2">
        <v>0.17799999999999999</v>
      </c>
      <c r="S1004" s="2">
        <v>0.43</v>
      </c>
      <c r="T1004" s="2">
        <v>-5.5540000000000003</v>
      </c>
      <c r="U1004">
        <v>183011</v>
      </c>
      <c r="V1004">
        <f>YEAR(Spotify[[#This Row],[Date de sortie]])</f>
        <v>2019</v>
      </c>
      <c r="W1004" s="2" t="str">
        <f>IF(Spotify[[#This Row],[Popularité]]&gt;=70,"FORTE","FAIBLE")</f>
        <v>FAIBLE</v>
      </c>
    </row>
    <row r="1005" spans="1:23" x14ac:dyDescent="0.25">
      <c r="A1005">
        <v>1180</v>
      </c>
      <c r="B1005">
        <v>196</v>
      </c>
      <c r="C1005">
        <v>1</v>
      </c>
      <c r="D1005" s="1">
        <v>43966</v>
      </c>
      <c r="E1005" s="59" t="str" cm="1">
        <f t="array" ref="E100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005" t="s">
        <v>1941</v>
      </c>
      <c r="G1005" s="3">
        <v>4416484</v>
      </c>
      <c r="H1005" t="s">
        <v>1942</v>
      </c>
      <c r="I1005" s="4">
        <v>6434201</v>
      </c>
      <c r="J1005" t="s">
        <v>235</v>
      </c>
      <c r="K1005" s="1">
        <v>44134</v>
      </c>
      <c r="L1005">
        <v>69</v>
      </c>
      <c r="M1005" s="2" t="str">
        <f>IF(Spotify[[#This Row],[Energie]]&gt;AVERAGE(Spotify[Energie]),"FORTE","FAIBLE")</f>
        <v>FAIBLE</v>
      </c>
      <c r="N1005" s="2">
        <v>0.443</v>
      </c>
      <c r="O1005" s="2">
        <v>0.53600000000000003</v>
      </c>
      <c r="P1005" s="2">
        <v>3.78E-2</v>
      </c>
      <c r="Q1005" s="2">
        <v>1.9400000000000001E-2</v>
      </c>
      <c r="R1005" s="2">
        <v>0.1</v>
      </c>
      <c r="S1005" s="2">
        <v>3.9100000000000003E-2</v>
      </c>
      <c r="T1005" s="2">
        <v>-8.1869999999999994</v>
      </c>
      <c r="U1005">
        <v>283285</v>
      </c>
      <c r="V1005">
        <f>YEAR(Spotify[[#This Row],[Date de sortie]])</f>
        <v>2020</v>
      </c>
      <c r="W1005" s="2" t="str">
        <f>IF(Spotify[[#This Row],[Popularité]]&gt;=70,"FORTE","FAIBLE")</f>
        <v>FAIBLE</v>
      </c>
    </row>
    <row r="1006" spans="1:23" x14ac:dyDescent="0.25">
      <c r="A1006">
        <v>1075</v>
      </c>
      <c r="B1006">
        <v>25</v>
      </c>
      <c r="C1006">
        <v>9</v>
      </c>
      <c r="D1006" s="1">
        <v>43966</v>
      </c>
      <c r="E1006" s="59" t="str" cm="1">
        <f t="array" ref="E100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06" t="s">
        <v>1790</v>
      </c>
      <c r="G1006" s="3">
        <v>4385148</v>
      </c>
      <c r="H1006" t="s">
        <v>18</v>
      </c>
      <c r="I1006" s="4">
        <v>8671649</v>
      </c>
      <c r="J1006" t="s">
        <v>19</v>
      </c>
      <c r="K1006" s="1">
        <v>43952</v>
      </c>
      <c r="L1006">
        <v>69</v>
      </c>
      <c r="M1006" s="2" t="str">
        <f>IF(Spotify[[#This Row],[Energie]]&gt;AVERAGE(Spotify[Energie]),"FORTE","FAIBLE")</f>
        <v>FORTE</v>
      </c>
      <c r="N1006" s="2">
        <v>0.85599999999999998</v>
      </c>
      <c r="O1006" s="2">
        <v>0.64100000000000001</v>
      </c>
      <c r="P1006" s="2">
        <v>0.20399999999999999</v>
      </c>
      <c r="Q1006" s="2">
        <v>0.11899999999999999</v>
      </c>
      <c r="R1006" s="2">
        <v>0.42699999999999999</v>
      </c>
      <c r="S1006" s="2">
        <v>0.745</v>
      </c>
      <c r="T1006" s="2">
        <v>-4.6399999999999997</v>
      </c>
      <c r="U1006">
        <v>206221</v>
      </c>
      <c r="V1006">
        <f>YEAR(Spotify[[#This Row],[Date de sortie]])</f>
        <v>2020</v>
      </c>
      <c r="W1006" s="2" t="str">
        <f>IF(Spotify[[#This Row],[Popularité]]&gt;=70,"FORTE","FAIBLE")</f>
        <v>FAIBLE</v>
      </c>
    </row>
    <row r="1007" spans="1:23" x14ac:dyDescent="0.25">
      <c r="A1007">
        <v>1248</v>
      </c>
      <c r="B1007">
        <v>194</v>
      </c>
      <c r="C1007">
        <v>2</v>
      </c>
      <c r="D1007" s="1">
        <v>43924</v>
      </c>
      <c r="E1007" s="59" t="str" cm="1">
        <f t="array" ref="E100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07" t="s">
        <v>2035</v>
      </c>
      <c r="G1007" s="3">
        <v>4261965</v>
      </c>
      <c r="H1007" t="s">
        <v>2036</v>
      </c>
      <c r="I1007" s="4">
        <v>4963516</v>
      </c>
      <c r="J1007" t="s">
        <v>25</v>
      </c>
      <c r="K1007" s="1">
        <v>43917</v>
      </c>
      <c r="L1007">
        <v>69</v>
      </c>
      <c r="M1007" s="2" t="str">
        <f>IF(Spotify[[#This Row],[Energie]]&gt;AVERAGE(Spotify[Energie]),"FORTE","FAIBLE")</f>
        <v>FORTE</v>
      </c>
      <c r="N1007" s="2">
        <v>0.73699999999999999</v>
      </c>
      <c r="O1007" s="2">
        <v>0.83199999999999996</v>
      </c>
      <c r="P1007" s="2">
        <v>7.9799999999999996E-2</v>
      </c>
      <c r="Q1007" s="2">
        <v>0.12</v>
      </c>
      <c r="R1007" s="2">
        <v>0.255</v>
      </c>
      <c r="S1007" s="2">
        <v>0.86499999999999999</v>
      </c>
      <c r="T1007" s="2">
        <v>-2.6219999999999999</v>
      </c>
      <c r="U1007">
        <v>330240</v>
      </c>
      <c r="V1007">
        <f>YEAR(Spotify[[#This Row],[Date de sortie]])</f>
        <v>2020</v>
      </c>
      <c r="W1007" s="2" t="str">
        <f>IF(Spotify[[#This Row],[Popularité]]&gt;=70,"FORTE","FAIBLE")</f>
        <v>FAIBLE</v>
      </c>
    </row>
    <row r="1008" spans="1:23" x14ac:dyDescent="0.25">
      <c r="A1008">
        <v>716</v>
      </c>
      <c r="B1008">
        <v>104</v>
      </c>
      <c r="C1008">
        <v>1</v>
      </c>
      <c r="D1008" s="1">
        <v>44169</v>
      </c>
      <c r="E1008" s="59" t="str" cm="1">
        <f t="array" ref="E100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08" t="s">
        <v>1258</v>
      </c>
      <c r="G1008" s="3">
        <v>7932101</v>
      </c>
      <c r="H1008" t="s">
        <v>771</v>
      </c>
      <c r="I1008" s="4">
        <v>33893352</v>
      </c>
      <c r="J1008" t="s">
        <v>36</v>
      </c>
      <c r="K1008" s="1">
        <v>44169</v>
      </c>
      <c r="L1008">
        <v>68</v>
      </c>
      <c r="M1008" s="2" t="str">
        <f>IF(Spotify[[#This Row],[Energie]]&gt;AVERAGE(Spotify[Energie]),"FORTE","FAIBLE")</f>
        <v>FORTE</v>
      </c>
      <c r="N1008" s="2">
        <v>0.59199999999999997</v>
      </c>
      <c r="O1008" s="2">
        <v>0.88500000000000001</v>
      </c>
      <c r="P1008" s="2">
        <v>8.0699999999999994E-2</v>
      </c>
      <c r="Q1008" s="2">
        <v>5.0500000000000003E-2</v>
      </c>
      <c r="R1008" s="2">
        <v>8.43E-2</v>
      </c>
      <c r="S1008" s="2">
        <v>0.73099999999999998</v>
      </c>
      <c r="T1008" s="2">
        <v>-4.944</v>
      </c>
      <c r="U1008">
        <v>202357</v>
      </c>
      <c r="V1008">
        <f>YEAR(Spotify[[#This Row],[Date de sortie]])</f>
        <v>2020</v>
      </c>
      <c r="W1008" s="2" t="str">
        <f>IF(Spotify[[#This Row],[Popularité]]&gt;=70,"FORTE","FAIBLE")</f>
        <v>FAIBLE</v>
      </c>
    </row>
    <row r="1009" spans="1:23" x14ac:dyDescent="0.25">
      <c r="A1009">
        <v>855</v>
      </c>
      <c r="B1009">
        <v>84</v>
      </c>
      <c r="C1009">
        <v>1</v>
      </c>
      <c r="D1009" s="1">
        <v>44106</v>
      </c>
      <c r="E1009" s="59" t="str" cm="1">
        <f t="array" ref="E100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009" t="s">
        <v>1473</v>
      </c>
      <c r="G1009" s="3">
        <v>7762934</v>
      </c>
      <c r="H1009" t="s">
        <v>1474</v>
      </c>
      <c r="I1009" s="4">
        <v>5019909</v>
      </c>
      <c r="J1009" t="s">
        <v>1475</v>
      </c>
      <c r="K1009" s="1">
        <v>44106</v>
      </c>
      <c r="L1009">
        <v>68</v>
      </c>
      <c r="M1009" s="2" t="str">
        <f>IF(Spotify[[#This Row],[Energie]]&gt;AVERAGE(Spotify[Energie]),"FORTE","FAIBLE")</f>
        <v>FAIBLE</v>
      </c>
      <c r="N1009" s="2">
        <v>0.71399999999999997</v>
      </c>
      <c r="O1009" s="2">
        <v>0.58199999999999996</v>
      </c>
      <c r="P1009" s="2">
        <v>8.0799999999999997E-2</v>
      </c>
      <c r="Q1009" s="2">
        <v>1.29E-2</v>
      </c>
      <c r="R1009" s="2">
        <v>7.7399999999999997E-2</v>
      </c>
      <c r="S1009" s="2">
        <v>0.33800000000000002</v>
      </c>
      <c r="T1009" s="2">
        <v>-7.2720000000000002</v>
      </c>
      <c r="U1009">
        <v>198822</v>
      </c>
      <c r="V1009">
        <f>YEAR(Spotify[[#This Row],[Date de sortie]])</f>
        <v>2020</v>
      </c>
      <c r="W1009" s="2" t="str">
        <f>IF(Spotify[[#This Row],[Popularité]]&gt;=70,"FORTE","FAIBLE")</f>
        <v>FAIBLE</v>
      </c>
    </row>
    <row r="1010" spans="1:23" x14ac:dyDescent="0.25">
      <c r="A1010">
        <v>1389</v>
      </c>
      <c r="B1010">
        <v>109</v>
      </c>
      <c r="C1010">
        <v>1</v>
      </c>
      <c r="D1010" s="1">
        <v>43882</v>
      </c>
      <c r="E1010" s="59" t="str" cm="1">
        <f t="array" ref="E101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10" t="s">
        <v>2220</v>
      </c>
      <c r="G1010" s="3">
        <v>6655856</v>
      </c>
      <c r="H1010" t="s">
        <v>32</v>
      </c>
      <c r="I1010" s="4">
        <v>37151476</v>
      </c>
      <c r="J1010" t="s">
        <v>33</v>
      </c>
      <c r="K1010" s="1">
        <v>43882</v>
      </c>
      <c r="L1010">
        <v>68</v>
      </c>
      <c r="M1010" s="2" t="str">
        <f>IF(Spotify[[#This Row],[Energie]]&gt;AVERAGE(Spotify[Energie]),"FORTE","FAIBLE")</f>
        <v>FORTE</v>
      </c>
      <c r="N1010" s="2">
        <v>0.38500000000000001</v>
      </c>
      <c r="O1010" s="2">
        <v>0.79800000000000004</v>
      </c>
      <c r="P1010" s="2">
        <v>0.48299999999999998</v>
      </c>
      <c r="Q1010" s="2">
        <v>0.115</v>
      </c>
      <c r="R1010" s="2">
        <v>0.18099999999999999</v>
      </c>
      <c r="S1010" s="2">
        <v>0.14099999999999999</v>
      </c>
      <c r="T1010" s="2">
        <v>-6.4390000000000001</v>
      </c>
      <c r="U1010">
        <v>259821</v>
      </c>
      <c r="V1010">
        <f>YEAR(Spotify[[#This Row],[Date de sortie]])</f>
        <v>2020</v>
      </c>
      <c r="W1010" s="2" t="str">
        <f>IF(Spotify[[#This Row],[Popularité]]&gt;=70,"FORTE","FAIBLE")</f>
        <v>FAIBLE</v>
      </c>
    </row>
    <row r="1011" spans="1:23" x14ac:dyDescent="0.25">
      <c r="A1011">
        <v>1252</v>
      </c>
      <c r="B1011">
        <v>15</v>
      </c>
      <c r="C1011">
        <v>8</v>
      </c>
      <c r="D1011" s="1">
        <v>43875</v>
      </c>
      <c r="E1011" s="59" t="str" cm="1">
        <f t="array" ref="E101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11" t="s">
        <v>2044</v>
      </c>
      <c r="G1011" s="3">
        <v>6517807</v>
      </c>
      <c r="H1011" t="s">
        <v>35</v>
      </c>
      <c r="I1011" s="4">
        <v>48544923</v>
      </c>
      <c r="J1011" t="s">
        <v>36</v>
      </c>
      <c r="K1011" s="1">
        <v>43875</v>
      </c>
      <c r="L1011">
        <v>68</v>
      </c>
      <c r="M1011" s="2" t="str">
        <f>IF(Spotify[[#This Row],[Energie]]&gt;AVERAGE(Spotify[Energie]),"FORTE","FAIBLE")</f>
        <v>FAIBLE</v>
      </c>
      <c r="N1011" s="2">
        <v>0.82499999999999996</v>
      </c>
      <c r="O1011" s="2">
        <v>0.48299999999999998</v>
      </c>
      <c r="P1011" s="2">
        <v>0.08</v>
      </c>
      <c r="Q1011" s="2">
        <v>0.53800000000000003</v>
      </c>
      <c r="R1011" s="2">
        <v>0.20399999999999999</v>
      </c>
      <c r="S1011" s="2">
        <v>0.89200000000000002</v>
      </c>
      <c r="T1011" s="2">
        <v>-5.7460000000000004</v>
      </c>
      <c r="U1011">
        <v>219933</v>
      </c>
      <c r="V1011">
        <f>YEAR(Spotify[[#This Row],[Date de sortie]])</f>
        <v>2020</v>
      </c>
      <c r="W1011" s="2" t="str">
        <f>IF(Spotify[[#This Row],[Popularité]]&gt;=70,"FORTE","FAIBLE")</f>
        <v>FAIBLE</v>
      </c>
    </row>
    <row r="1012" spans="1:23" x14ac:dyDescent="0.25">
      <c r="A1012">
        <v>1435</v>
      </c>
      <c r="B1012">
        <v>16</v>
      </c>
      <c r="C1012">
        <v>7</v>
      </c>
      <c r="D1012" s="1">
        <v>43826</v>
      </c>
      <c r="E1012" s="59" t="str" cm="1">
        <f t="array" ref="E101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012" t="s">
        <v>2282</v>
      </c>
      <c r="G1012" s="3">
        <v>6107499</v>
      </c>
      <c r="H1012" t="s">
        <v>310</v>
      </c>
      <c r="I1012" s="4">
        <v>437907</v>
      </c>
      <c r="J1012" t="s">
        <v>186</v>
      </c>
      <c r="K1012" s="1">
        <v>43826</v>
      </c>
      <c r="L1012">
        <v>68</v>
      </c>
      <c r="M1012" s="2" t="str">
        <f>IF(Spotify[[#This Row],[Energie]]&gt;AVERAGE(Spotify[Energie]),"FORTE","FAIBLE")</f>
        <v>FAIBLE</v>
      </c>
      <c r="N1012" s="2">
        <v>0.55900000000000005</v>
      </c>
      <c r="O1012" s="2">
        <v>0.49099999999999999</v>
      </c>
      <c r="P1012" s="2">
        <v>3.4599999999999999E-2</v>
      </c>
      <c r="Q1012" s="2">
        <v>5.67E-2</v>
      </c>
      <c r="R1012" s="2">
        <v>9.9199999999999997E-2</v>
      </c>
      <c r="S1012" s="2">
        <v>0.114</v>
      </c>
      <c r="T1012" s="2">
        <v>-6.4059999999999997</v>
      </c>
      <c r="U1012">
        <v>244874</v>
      </c>
      <c r="V1012">
        <f>YEAR(Spotify[[#This Row],[Date de sortie]])</f>
        <v>2019</v>
      </c>
      <c r="W1012" s="2" t="str">
        <f>IF(Spotify[[#This Row],[Popularité]]&gt;=70,"FORTE","FAIBLE")</f>
        <v>FAIBLE</v>
      </c>
    </row>
    <row r="1013" spans="1:23" x14ac:dyDescent="0.25">
      <c r="A1013">
        <v>1341</v>
      </c>
      <c r="B1013">
        <v>108</v>
      </c>
      <c r="C1013">
        <v>3</v>
      </c>
      <c r="D1013" s="1">
        <v>43882</v>
      </c>
      <c r="E1013" s="59" t="str" cm="1">
        <f t="array" ref="E101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13" t="s">
        <v>2157</v>
      </c>
      <c r="G1013" s="3">
        <v>6020508</v>
      </c>
      <c r="H1013" t="s">
        <v>1786</v>
      </c>
      <c r="I1013" s="4">
        <v>4442273</v>
      </c>
      <c r="J1013" t="s">
        <v>19</v>
      </c>
      <c r="K1013" s="1">
        <v>43896</v>
      </c>
      <c r="L1013">
        <v>68</v>
      </c>
      <c r="M1013" s="2" t="str">
        <f>IF(Spotify[[#This Row],[Energie]]&gt;AVERAGE(Spotify[Energie]),"FORTE","FAIBLE")</f>
        <v>FAIBLE</v>
      </c>
      <c r="N1013" s="2">
        <v>0.70199999999999996</v>
      </c>
      <c r="O1013" s="2">
        <v>0.50800000000000001</v>
      </c>
      <c r="P1013" s="2">
        <v>3.5000000000000003E-2</v>
      </c>
      <c r="Q1013" s="2">
        <v>0.14399999999999999</v>
      </c>
      <c r="R1013" s="2">
        <v>0.108</v>
      </c>
      <c r="S1013" s="2">
        <v>0.14299999999999999</v>
      </c>
      <c r="T1013" s="2">
        <v>-7.1050000000000004</v>
      </c>
      <c r="U1013">
        <v>252337</v>
      </c>
      <c r="V1013">
        <f>YEAR(Spotify[[#This Row],[Date de sortie]])</f>
        <v>2020</v>
      </c>
      <c r="W1013" s="2" t="str">
        <f>IF(Spotify[[#This Row],[Popularité]]&gt;=70,"FORTE","FAIBLE")</f>
        <v>FAIBLE</v>
      </c>
    </row>
    <row r="1014" spans="1:23" x14ac:dyDescent="0.25">
      <c r="A1014">
        <v>556</v>
      </c>
      <c r="B1014">
        <v>19</v>
      </c>
      <c r="C1014">
        <v>3</v>
      </c>
      <c r="D1014" s="1">
        <v>44218</v>
      </c>
      <c r="E1014" s="59" t="str" cm="1">
        <f t="array" ref="E101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14" t="s">
        <v>997</v>
      </c>
      <c r="G1014" s="3">
        <v>5963380</v>
      </c>
      <c r="H1014" t="s">
        <v>114</v>
      </c>
      <c r="I1014" s="4">
        <v>47061119</v>
      </c>
      <c r="J1014" t="s">
        <v>115</v>
      </c>
      <c r="K1014" s="1">
        <v>44217</v>
      </c>
      <c r="L1014">
        <v>68</v>
      </c>
      <c r="M1014" s="2" t="str">
        <f>IF(Spotify[[#This Row],[Energie]]&gt;AVERAGE(Spotify[Energie]),"FORTE","FAIBLE")</f>
        <v>FAIBLE</v>
      </c>
      <c r="N1014" s="2">
        <v>0.34300000000000003</v>
      </c>
      <c r="O1014" s="2">
        <v>0.24299999999999999</v>
      </c>
      <c r="P1014" s="2">
        <v>7.7700000000000005E-2</v>
      </c>
      <c r="Q1014" s="2">
        <v>0.72099999999999997</v>
      </c>
      <c r="R1014" s="2">
        <v>6.6799999999999998E-2</v>
      </c>
      <c r="S1014" s="2">
        <v>3.2000000000000001E-2</v>
      </c>
      <c r="T1014" s="2">
        <v>-14.66</v>
      </c>
      <c r="U1014">
        <v>203464</v>
      </c>
      <c r="V1014">
        <f>YEAR(Spotify[[#This Row],[Date de sortie]])</f>
        <v>2021</v>
      </c>
      <c r="W1014" s="2" t="str">
        <f>IF(Spotify[[#This Row],[Popularité]]&gt;=70,"FORTE","FAIBLE")</f>
        <v>FAIBLE</v>
      </c>
    </row>
    <row r="1015" spans="1:23" x14ac:dyDescent="0.25">
      <c r="A1015">
        <v>532</v>
      </c>
      <c r="B1015">
        <v>140</v>
      </c>
      <c r="C1015">
        <v>1</v>
      </c>
      <c r="D1015" s="1">
        <v>44246</v>
      </c>
      <c r="E1015" s="59" t="str" cm="1">
        <f t="array" ref="E101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015" t="s">
        <v>962</v>
      </c>
      <c r="G1015" s="3">
        <v>5936752</v>
      </c>
      <c r="H1015" t="s">
        <v>963</v>
      </c>
      <c r="I1015" s="4">
        <v>961181</v>
      </c>
      <c r="J1015" t="s">
        <v>206</v>
      </c>
      <c r="K1015" s="1">
        <v>44253</v>
      </c>
      <c r="L1015">
        <v>68</v>
      </c>
      <c r="M1015" s="2" t="str">
        <f>IF(Spotify[[#This Row],[Energie]]&gt;AVERAGE(Spotify[Energie]),"FORTE","FAIBLE")</f>
        <v>FAIBLE</v>
      </c>
      <c r="N1015" s="2">
        <v>0.80600000000000005</v>
      </c>
      <c r="O1015" s="2">
        <v>0.56499999999999995</v>
      </c>
      <c r="P1015" s="2">
        <v>0.113</v>
      </c>
      <c r="Q1015" s="2">
        <v>0.47</v>
      </c>
      <c r="R1015" s="2">
        <v>8.2400000000000001E-2</v>
      </c>
      <c r="S1015" s="2">
        <v>0.311</v>
      </c>
      <c r="T1015" s="2">
        <v>-8.9600000000000009</v>
      </c>
      <c r="U1015">
        <v>195734</v>
      </c>
      <c r="V1015">
        <f>YEAR(Spotify[[#This Row],[Date de sortie]])</f>
        <v>2021</v>
      </c>
      <c r="W1015" s="2" t="str">
        <f>IF(Spotify[[#This Row],[Popularité]]&gt;=70,"FORTE","FAIBLE")</f>
        <v>FAIBLE</v>
      </c>
    </row>
    <row r="1016" spans="1:23" x14ac:dyDescent="0.25">
      <c r="A1016">
        <v>720</v>
      </c>
      <c r="B1016">
        <v>167</v>
      </c>
      <c r="C1016">
        <v>1</v>
      </c>
      <c r="D1016" s="1">
        <v>44169</v>
      </c>
      <c r="E1016" s="59" t="str" cm="1">
        <f t="array" ref="E101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016" t="s">
        <v>1263</v>
      </c>
      <c r="G1016" s="3">
        <v>5929516</v>
      </c>
      <c r="H1016" t="s">
        <v>932</v>
      </c>
      <c r="I1016" s="4">
        <v>7816213</v>
      </c>
      <c r="J1016" t="s">
        <v>531</v>
      </c>
      <c r="K1016" s="1">
        <v>44168</v>
      </c>
      <c r="L1016">
        <v>68</v>
      </c>
      <c r="M1016" s="2" t="str">
        <f>IF(Spotify[[#This Row],[Energie]]&gt;AVERAGE(Spotify[Energie]),"FORTE","FAIBLE")</f>
        <v>FAIBLE</v>
      </c>
      <c r="N1016" s="2">
        <v>0.88700000000000001</v>
      </c>
      <c r="O1016" s="2">
        <v>0.60599999999999998</v>
      </c>
      <c r="P1016" s="2">
        <v>0.32400000000000001</v>
      </c>
      <c r="Q1016" s="2">
        <v>4.0700000000000003E-4</v>
      </c>
      <c r="R1016" s="2">
        <v>0.151</v>
      </c>
      <c r="S1016" s="2">
        <v>0.27200000000000002</v>
      </c>
      <c r="T1016" s="2">
        <v>-6.5720000000000001</v>
      </c>
      <c r="U1016">
        <v>210699</v>
      </c>
      <c r="V1016">
        <f>YEAR(Spotify[[#This Row],[Date de sortie]])</f>
        <v>2020</v>
      </c>
      <c r="W1016" s="2" t="str">
        <f>IF(Spotify[[#This Row],[Popularité]]&gt;=70,"FORTE","FAIBLE")</f>
        <v>FAIBLE</v>
      </c>
    </row>
    <row r="1017" spans="1:23" x14ac:dyDescent="0.25">
      <c r="A1017">
        <v>1517</v>
      </c>
      <c r="B1017">
        <v>111</v>
      </c>
      <c r="C1017">
        <v>3</v>
      </c>
      <c r="D1017" s="1">
        <v>43833</v>
      </c>
      <c r="E1017" s="59" t="str" cm="1">
        <f t="array" ref="E101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17" t="s">
        <v>2390</v>
      </c>
      <c r="G1017" s="3">
        <v>5730427</v>
      </c>
      <c r="H1017" t="s">
        <v>2087</v>
      </c>
      <c r="I1017" s="4">
        <v>7564659</v>
      </c>
      <c r="J1017" t="s">
        <v>19</v>
      </c>
      <c r="K1017" s="1">
        <v>43742</v>
      </c>
      <c r="L1017">
        <v>68</v>
      </c>
      <c r="M1017" s="2" t="str">
        <f>IF(Spotify[[#This Row],[Energie]]&gt;AVERAGE(Spotify[Energie]),"FORTE","FAIBLE")</f>
        <v>FORTE</v>
      </c>
      <c r="N1017" s="2">
        <v>0.59099999999999997</v>
      </c>
      <c r="O1017" s="2">
        <v>0.84099999999999997</v>
      </c>
      <c r="P1017" s="2">
        <v>3.04E-2</v>
      </c>
      <c r="Q1017" s="2">
        <v>1.1900000000000001E-2</v>
      </c>
      <c r="R1017" s="2">
        <v>0.39500000000000002</v>
      </c>
      <c r="S1017" s="2">
        <v>0.39200000000000002</v>
      </c>
      <c r="T1017" s="2">
        <v>-4.351</v>
      </c>
      <c r="U1017">
        <v>158805</v>
      </c>
      <c r="V1017">
        <f>YEAR(Spotify[[#This Row],[Date de sortie]])</f>
        <v>2019</v>
      </c>
      <c r="W1017" s="2" t="str">
        <f>IF(Spotify[[#This Row],[Popularité]]&gt;=70,"FORTE","FAIBLE")</f>
        <v>FAIBLE</v>
      </c>
    </row>
    <row r="1018" spans="1:23" x14ac:dyDescent="0.25">
      <c r="A1018">
        <v>808</v>
      </c>
      <c r="B1018">
        <v>146</v>
      </c>
      <c r="C1018">
        <v>1</v>
      </c>
      <c r="D1018" s="1">
        <v>44134</v>
      </c>
      <c r="E1018" s="59" t="str" cm="1">
        <f t="array" ref="E101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18" t="s">
        <v>1397</v>
      </c>
      <c r="G1018" s="3">
        <v>5605234</v>
      </c>
      <c r="H1018" t="s">
        <v>1398</v>
      </c>
      <c r="I1018" s="4">
        <v>19345579</v>
      </c>
      <c r="J1018" t="s">
        <v>10</v>
      </c>
      <c r="K1018" s="1">
        <v>43005</v>
      </c>
      <c r="L1018">
        <v>68</v>
      </c>
      <c r="M1018" s="2" t="str">
        <f>IF(Spotify[[#This Row],[Energie]]&gt;AVERAGE(Spotify[Energie]),"FORTE","FAIBLE")</f>
        <v>FORTE</v>
      </c>
      <c r="N1018" s="2">
        <v>0.76400000000000001</v>
      </c>
      <c r="O1018" s="2">
        <v>0.88700000000000001</v>
      </c>
      <c r="P1018" s="2">
        <v>7.4399999999999994E-2</v>
      </c>
      <c r="Q1018" s="2">
        <v>8.1600000000000006E-2</v>
      </c>
      <c r="R1018" s="2">
        <v>0.84699999999999998</v>
      </c>
      <c r="S1018" s="2">
        <v>0.72</v>
      </c>
      <c r="T1018" s="2">
        <v>-3.726</v>
      </c>
      <c r="U1018">
        <v>358053</v>
      </c>
      <c r="V1018">
        <f>YEAR(Spotify[[#This Row],[Date de sortie]])</f>
        <v>2017</v>
      </c>
      <c r="W1018" s="2" t="str">
        <f>IF(Spotify[[#This Row],[Popularité]]&gt;=70,"FORTE","FAIBLE")</f>
        <v>FAIBLE</v>
      </c>
    </row>
    <row r="1019" spans="1:23" x14ac:dyDescent="0.25">
      <c r="A1019">
        <v>1346</v>
      </c>
      <c r="B1019">
        <v>53</v>
      </c>
      <c r="C1019">
        <v>4</v>
      </c>
      <c r="D1019" s="1">
        <v>43875</v>
      </c>
      <c r="E1019" s="59" t="str" cm="1">
        <f t="array" ref="E101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019" t="s">
        <v>2163</v>
      </c>
      <c r="G1019" s="3">
        <v>5487069</v>
      </c>
      <c r="H1019" t="s">
        <v>1810</v>
      </c>
      <c r="I1019" s="4">
        <v>5865895</v>
      </c>
      <c r="J1019" t="s">
        <v>235</v>
      </c>
      <c r="K1019" s="1">
        <v>43875</v>
      </c>
      <c r="L1019">
        <v>68</v>
      </c>
      <c r="M1019" s="2" t="str">
        <f>IF(Spotify[[#This Row],[Energie]]&gt;AVERAGE(Spotify[Energie]),"FORTE","FAIBLE")</f>
        <v>FORTE</v>
      </c>
      <c r="N1019" s="2">
        <v>0.81899999999999995</v>
      </c>
      <c r="O1019" s="2">
        <v>0.65400000000000003</v>
      </c>
      <c r="P1019" s="2">
        <v>0.13600000000000001</v>
      </c>
      <c r="Q1019" s="2">
        <v>0.51700000000000002</v>
      </c>
      <c r="R1019" s="2">
        <v>9.9599999999999994E-2</v>
      </c>
      <c r="S1019" s="2">
        <v>0.45500000000000002</v>
      </c>
      <c r="T1019" s="2">
        <v>-6.665</v>
      </c>
      <c r="U1019">
        <v>188563</v>
      </c>
      <c r="V1019">
        <f>YEAR(Spotify[[#This Row],[Date de sortie]])</f>
        <v>2020</v>
      </c>
      <c r="W1019" s="2" t="str">
        <f>IF(Spotify[[#This Row],[Popularité]]&gt;=70,"FORTE","FAIBLE")</f>
        <v>FAIBLE</v>
      </c>
    </row>
    <row r="1020" spans="1:23" x14ac:dyDescent="0.25">
      <c r="A1020">
        <v>860</v>
      </c>
      <c r="B1020">
        <v>77</v>
      </c>
      <c r="C1020">
        <v>2</v>
      </c>
      <c r="D1020" s="1">
        <v>44099</v>
      </c>
      <c r="E1020" s="59" t="str" cm="1">
        <f t="array" ref="E102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20" t="s">
        <v>1480</v>
      </c>
      <c r="G1020" s="3">
        <v>5233336</v>
      </c>
      <c r="H1020" t="s">
        <v>1370</v>
      </c>
      <c r="I1020" s="4">
        <v>4759367</v>
      </c>
      <c r="J1020" t="s">
        <v>761</v>
      </c>
      <c r="K1020" s="1">
        <v>44098</v>
      </c>
      <c r="L1020">
        <v>68</v>
      </c>
      <c r="M1020" s="2" t="str">
        <f>IF(Spotify[[#This Row],[Energie]]&gt;AVERAGE(Spotify[Energie]),"FORTE","FAIBLE")</f>
        <v>FORTE</v>
      </c>
      <c r="N1020" s="2">
        <v>0.78500000000000003</v>
      </c>
      <c r="O1020" s="2">
        <v>0.81799999999999995</v>
      </c>
      <c r="P1020" s="2">
        <v>9.9000000000000005E-2</v>
      </c>
      <c r="Q1020" s="2">
        <v>0.624</v>
      </c>
      <c r="R1020" s="2">
        <v>0.14899999999999999</v>
      </c>
      <c r="S1020" s="2">
        <v>5.0299999999999997E-2</v>
      </c>
      <c r="T1020" s="2">
        <v>-8.7110000000000003</v>
      </c>
      <c r="U1020">
        <v>163759</v>
      </c>
      <c r="V1020">
        <f>YEAR(Spotify[[#This Row],[Date de sortie]])</f>
        <v>2020</v>
      </c>
      <c r="W1020" s="2" t="str">
        <f>IF(Spotify[[#This Row],[Popularité]]&gt;=70,"FORTE","FAIBLE")</f>
        <v>FAIBLE</v>
      </c>
    </row>
    <row r="1021" spans="1:23" x14ac:dyDescent="0.25">
      <c r="A1021">
        <v>1353</v>
      </c>
      <c r="B1021">
        <v>78</v>
      </c>
      <c r="C1021">
        <v>11</v>
      </c>
      <c r="D1021" s="1">
        <v>43826</v>
      </c>
      <c r="E1021" s="59" t="str" cm="1">
        <f t="array" ref="E102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21" t="s">
        <v>2172</v>
      </c>
      <c r="G1021" s="3">
        <v>5206102</v>
      </c>
      <c r="H1021" t="s">
        <v>2173</v>
      </c>
      <c r="I1021" s="4">
        <v>4963516</v>
      </c>
      <c r="J1021" t="s">
        <v>25</v>
      </c>
      <c r="K1021" s="1">
        <v>43763</v>
      </c>
      <c r="L1021">
        <v>68</v>
      </c>
      <c r="M1021" s="2" t="str">
        <f>IF(Spotify[[#This Row],[Energie]]&gt;AVERAGE(Spotify[Energie]),"FORTE","FAIBLE")</f>
        <v>FORTE</v>
      </c>
      <c r="N1021" s="2">
        <v>0.72899999999999998</v>
      </c>
      <c r="O1021" s="2">
        <v>0.72599999999999998</v>
      </c>
      <c r="P1021" s="2">
        <v>4.2200000000000001E-2</v>
      </c>
      <c r="Q1021" s="2">
        <v>0.223</v>
      </c>
      <c r="R1021" s="2">
        <v>0.10100000000000001</v>
      </c>
      <c r="S1021" s="2">
        <v>0.876</v>
      </c>
      <c r="T1021" s="2">
        <v>-3.2080000000000002</v>
      </c>
      <c r="U1021">
        <v>217130</v>
      </c>
      <c r="V1021">
        <f>YEAR(Spotify[[#This Row],[Date de sortie]])</f>
        <v>2019</v>
      </c>
      <c r="W1021" s="2" t="str">
        <f>IF(Spotify[[#This Row],[Popularité]]&gt;=70,"FORTE","FAIBLE")</f>
        <v>FAIBLE</v>
      </c>
    </row>
    <row r="1022" spans="1:23" x14ac:dyDescent="0.25">
      <c r="A1022">
        <v>1354</v>
      </c>
      <c r="B1022">
        <v>12</v>
      </c>
      <c r="C1022">
        <v>9</v>
      </c>
      <c r="D1022" s="1">
        <v>43840</v>
      </c>
      <c r="E1022" s="59" t="str" cm="1">
        <f t="array" ref="E102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22" t="s">
        <v>2174</v>
      </c>
      <c r="G1022" s="3">
        <v>5195842</v>
      </c>
      <c r="H1022" t="s">
        <v>454</v>
      </c>
      <c r="I1022" s="4">
        <v>28931149</v>
      </c>
      <c r="J1022" t="s">
        <v>19</v>
      </c>
      <c r="K1022" s="1">
        <v>43840</v>
      </c>
      <c r="L1022">
        <v>68</v>
      </c>
      <c r="M1022" s="2" t="str">
        <f>IF(Spotify[[#This Row],[Energie]]&gt;AVERAGE(Spotify[Energie]),"FORTE","FAIBLE")</f>
        <v>FAIBLE</v>
      </c>
      <c r="N1022" s="2">
        <v>0.83799999999999997</v>
      </c>
      <c r="O1022" s="2">
        <v>0.54500000000000004</v>
      </c>
      <c r="P1022" s="2">
        <v>7.0599999999999996E-2</v>
      </c>
      <c r="Q1022" s="2">
        <v>0.20799999999999999</v>
      </c>
      <c r="R1022" s="2">
        <v>0.10299999999999999</v>
      </c>
      <c r="S1022" s="2">
        <v>0.63100000000000001</v>
      </c>
      <c r="T1022" s="2">
        <v>-6.7130000000000001</v>
      </c>
      <c r="U1022">
        <v>220590</v>
      </c>
      <c r="V1022">
        <f>YEAR(Spotify[[#This Row],[Date de sortie]])</f>
        <v>2020</v>
      </c>
      <c r="W1022" s="2" t="str">
        <f>IF(Spotify[[#This Row],[Popularité]]&gt;=70,"FORTE","FAIBLE")</f>
        <v>FAIBLE</v>
      </c>
    </row>
    <row r="1023" spans="1:23" x14ac:dyDescent="0.25">
      <c r="A1023">
        <v>1313</v>
      </c>
      <c r="B1023">
        <v>81</v>
      </c>
      <c r="C1023">
        <v>3</v>
      </c>
      <c r="D1023" s="1">
        <v>43889</v>
      </c>
      <c r="E1023" s="59" t="str" cm="1">
        <f t="array" ref="E102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23" t="s">
        <v>2123</v>
      </c>
      <c r="G1023" s="3">
        <v>5193927</v>
      </c>
      <c r="H1023" t="s">
        <v>2124</v>
      </c>
      <c r="I1023" s="4">
        <v>5888533</v>
      </c>
      <c r="J1023" t="s">
        <v>10</v>
      </c>
      <c r="K1023" s="1">
        <v>43887</v>
      </c>
      <c r="L1023">
        <v>68</v>
      </c>
      <c r="M1023" s="2" t="str">
        <f>IF(Spotify[[#This Row],[Energie]]&gt;AVERAGE(Spotify[Energie]),"FORTE","FAIBLE")</f>
        <v>FAIBLE</v>
      </c>
      <c r="N1023" s="2">
        <v>0.76</v>
      </c>
      <c r="O1023" s="2">
        <v>0.60699999999999998</v>
      </c>
      <c r="P1023" s="2">
        <v>9.64E-2</v>
      </c>
      <c r="Q1023" s="2">
        <v>2.7699999999999999E-3</v>
      </c>
      <c r="R1023" s="2">
        <v>0.13200000000000001</v>
      </c>
      <c r="S1023" s="2">
        <v>0.70899999999999996</v>
      </c>
      <c r="T1023" s="2">
        <v>-6.274</v>
      </c>
      <c r="U1023">
        <v>188187</v>
      </c>
      <c r="V1023">
        <f>YEAR(Spotify[[#This Row],[Date de sortie]])</f>
        <v>2020</v>
      </c>
      <c r="W1023" s="2" t="str">
        <f>IF(Spotify[[#This Row],[Popularité]]&gt;=70,"FORTE","FAIBLE")</f>
        <v>FAIBLE</v>
      </c>
    </row>
    <row r="1024" spans="1:23" x14ac:dyDescent="0.25">
      <c r="A1024">
        <v>830</v>
      </c>
      <c r="B1024">
        <v>68</v>
      </c>
      <c r="C1024">
        <v>18</v>
      </c>
      <c r="D1024" s="1">
        <v>44029</v>
      </c>
      <c r="E1024" s="59" t="str" cm="1">
        <f t="array" ref="E102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24" t="s">
        <v>1435</v>
      </c>
      <c r="G1024" s="3">
        <v>5183246</v>
      </c>
      <c r="H1024" t="s">
        <v>1436</v>
      </c>
      <c r="I1024" s="4">
        <v>68875</v>
      </c>
      <c r="J1024"/>
      <c r="K1024" s="1">
        <v>44113</v>
      </c>
      <c r="L1024">
        <v>68</v>
      </c>
      <c r="M1024" s="2" t="str">
        <f>IF(Spotify[[#This Row],[Energie]]&gt;AVERAGE(Spotify[Energie]),"FORTE","FAIBLE")</f>
        <v>FORTE</v>
      </c>
      <c r="N1024" s="2">
        <v>0.88500000000000001</v>
      </c>
      <c r="O1024" s="2">
        <v>0.68500000000000005</v>
      </c>
      <c r="P1024" s="2">
        <v>6.2700000000000006E-2</v>
      </c>
      <c r="Q1024" s="2">
        <v>0.33</v>
      </c>
      <c r="R1024" s="2">
        <v>0.14799999999999999</v>
      </c>
      <c r="S1024" s="2">
        <v>0.93700000000000006</v>
      </c>
      <c r="T1024" s="2">
        <v>-6.4290000000000003</v>
      </c>
      <c r="U1024">
        <v>144000</v>
      </c>
      <c r="V1024">
        <f>YEAR(Spotify[[#This Row],[Date de sortie]])</f>
        <v>2020</v>
      </c>
      <c r="W1024" s="2" t="str">
        <f>IF(Spotify[[#This Row],[Popularité]]&gt;=70,"FORTE","FAIBLE")</f>
        <v>FAIBLE</v>
      </c>
    </row>
    <row r="1025" spans="1:23" x14ac:dyDescent="0.25">
      <c r="A1025">
        <v>832</v>
      </c>
      <c r="B1025">
        <v>165</v>
      </c>
      <c r="C1025">
        <v>1</v>
      </c>
      <c r="D1025" s="1">
        <v>44120</v>
      </c>
      <c r="E1025" s="59" t="str" cm="1">
        <f t="array" ref="E102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025" t="s">
        <v>1438</v>
      </c>
      <c r="G1025" s="3">
        <v>5116071</v>
      </c>
      <c r="H1025" t="s">
        <v>1439</v>
      </c>
      <c r="I1025" s="4">
        <v>4894656</v>
      </c>
      <c r="J1025" t="s">
        <v>426</v>
      </c>
      <c r="K1025" s="1">
        <v>44120</v>
      </c>
      <c r="L1025">
        <v>68</v>
      </c>
      <c r="M1025" s="2" t="str">
        <f>IF(Spotify[[#This Row],[Energie]]&gt;AVERAGE(Spotify[Energie]),"FORTE","FAIBLE")</f>
        <v>FORTE</v>
      </c>
      <c r="N1025" s="2">
        <v>0.56899999999999995</v>
      </c>
      <c r="O1025" s="2">
        <v>0.86499999999999999</v>
      </c>
      <c r="P1025" s="2">
        <v>0.26600000000000001</v>
      </c>
      <c r="Q1025" s="2">
        <v>6.7299999999999999E-2</v>
      </c>
      <c r="R1025" s="2">
        <v>0.312</v>
      </c>
      <c r="S1025" s="2">
        <v>0.36099999999999999</v>
      </c>
      <c r="T1025" s="2">
        <v>-3.8439999999999999</v>
      </c>
      <c r="U1025">
        <v>214363</v>
      </c>
      <c r="V1025">
        <f>YEAR(Spotify[[#This Row],[Date de sortie]])</f>
        <v>2020</v>
      </c>
      <c r="W1025" s="2" t="str">
        <f>IF(Spotify[[#This Row],[Popularité]]&gt;=70,"FORTE","FAIBLE")</f>
        <v>FAIBLE</v>
      </c>
    </row>
    <row r="1026" spans="1:23" x14ac:dyDescent="0.25">
      <c r="A1026">
        <v>1524</v>
      </c>
      <c r="B1026">
        <v>182</v>
      </c>
      <c r="C1026">
        <v>2</v>
      </c>
      <c r="D1026" s="1">
        <v>43840</v>
      </c>
      <c r="E1026" s="59" t="str" cm="1">
        <f t="array" ref="E102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026" t="s">
        <v>2398</v>
      </c>
      <c r="G1026" s="3">
        <v>5085706</v>
      </c>
      <c r="H1026" t="s">
        <v>409</v>
      </c>
      <c r="I1026" s="4">
        <v>6608815</v>
      </c>
      <c r="J1026" t="s">
        <v>235</v>
      </c>
      <c r="K1026" s="1">
        <v>43805</v>
      </c>
      <c r="L1026">
        <v>68</v>
      </c>
      <c r="M1026" s="2" t="str">
        <f>IF(Spotify[[#This Row],[Energie]]&gt;AVERAGE(Spotify[Energie]),"FORTE","FAIBLE")</f>
        <v>FAIBLE</v>
      </c>
      <c r="N1026" s="2">
        <v>0.88600000000000001</v>
      </c>
      <c r="O1026" s="2">
        <v>0.47899999999999998</v>
      </c>
      <c r="P1026" s="2">
        <v>0.33400000000000002</v>
      </c>
      <c r="Q1026" s="2">
        <v>7.6999999999999999E-2</v>
      </c>
      <c r="R1026" s="2">
        <v>0.13500000000000001</v>
      </c>
      <c r="S1026" s="2">
        <v>0.40799999999999997</v>
      </c>
      <c r="T1026" s="2">
        <v>-8.0540000000000003</v>
      </c>
      <c r="U1026">
        <v>158692</v>
      </c>
      <c r="V1026">
        <f>YEAR(Spotify[[#This Row],[Date de sortie]])</f>
        <v>2019</v>
      </c>
      <c r="W1026" s="2" t="str">
        <f>IF(Spotify[[#This Row],[Popularité]]&gt;=70,"FORTE","FAIBLE")</f>
        <v>FAIBLE</v>
      </c>
    </row>
    <row r="1027" spans="1:23" x14ac:dyDescent="0.25">
      <c r="A1027">
        <v>834</v>
      </c>
      <c r="B1027">
        <v>32</v>
      </c>
      <c r="C1027">
        <v>3</v>
      </c>
      <c r="D1027" s="1">
        <v>44106</v>
      </c>
      <c r="E1027" s="59" t="str" cm="1">
        <f t="array" ref="E102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27" t="s">
        <v>1442</v>
      </c>
      <c r="G1027" s="3">
        <v>5056387</v>
      </c>
      <c r="H1027" t="s">
        <v>917</v>
      </c>
      <c r="I1027" s="4">
        <v>23848461</v>
      </c>
      <c r="J1027" t="s">
        <v>33</v>
      </c>
      <c r="K1027" s="1">
        <v>44106</v>
      </c>
      <c r="L1027">
        <v>68</v>
      </c>
      <c r="M1027" s="2" t="str">
        <f>IF(Spotify[[#This Row],[Energie]]&gt;AVERAGE(Spotify[Energie]),"FORTE","FAIBLE")</f>
        <v>FAIBLE</v>
      </c>
      <c r="N1027" s="2">
        <v>0.80400000000000005</v>
      </c>
      <c r="O1027" s="2">
        <v>0.63300000000000001</v>
      </c>
      <c r="P1027" s="2">
        <v>6.1199999999999997E-2</v>
      </c>
      <c r="Q1027" s="2">
        <v>3.7100000000000001E-2</v>
      </c>
      <c r="R1027" s="2">
        <v>0.10199999999999999</v>
      </c>
      <c r="S1027" s="2">
        <v>0.67</v>
      </c>
      <c r="T1027" s="2">
        <v>-6.1859999999999999</v>
      </c>
      <c r="U1027">
        <v>163946</v>
      </c>
      <c r="V1027">
        <f>YEAR(Spotify[[#This Row],[Date de sortie]])</f>
        <v>2020</v>
      </c>
      <c r="W1027" s="2" t="str">
        <f>IF(Spotify[[#This Row],[Popularité]]&gt;=70,"FORTE","FAIBLE")</f>
        <v>FAIBLE</v>
      </c>
    </row>
    <row r="1028" spans="1:23" x14ac:dyDescent="0.25">
      <c r="A1028">
        <v>609</v>
      </c>
      <c r="B1028">
        <v>15</v>
      </c>
      <c r="C1028">
        <v>4</v>
      </c>
      <c r="D1028" s="1">
        <v>44176</v>
      </c>
      <c r="E1028" s="59" t="str" cm="1">
        <f t="array" ref="E102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28" t="s">
        <v>1080</v>
      </c>
      <c r="G1028" s="3">
        <v>4986214</v>
      </c>
      <c r="H1028" t="s">
        <v>746</v>
      </c>
      <c r="I1028" s="4">
        <v>42227614</v>
      </c>
      <c r="J1028" t="s">
        <v>10</v>
      </c>
      <c r="K1028" s="1">
        <v>44176</v>
      </c>
      <c r="L1028">
        <v>68</v>
      </c>
      <c r="M1028" s="2" t="str">
        <f>IF(Spotify[[#This Row],[Energie]]&gt;AVERAGE(Spotify[Energie]),"FORTE","FAIBLE")</f>
        <v>FAIBLE</v>
      </c>
      <c r="N1028" s="2">
        <v>0.54600000000000004</v>
      </c>
      <c r="O1028" s="2">
        <v>0.61299999999999999</v>
      </c>
      <c r="P1028" s="2">
        <v>2.64E-2</v>
      </c>
      <c r="Q1028" s="2">
        <v>0.41799999999999998</v>
      </c>
      <c r="R1028" s="2">
        <v>0.10299999999999999</v>
      </c>
      <c r="S1028" s="2">
        <v>0.53500000000000003</v>
      </c>
      <c r="T1028" s="2">
        <v>-7.5890000000000004</v>
      </c>
      <c r="U1028">
        <v>215627</v>
      </c>
      <c r="V1028">
        <f>YEAR(Spotify[[#This Row],[Date de sortie]])</f>
        <v>2020</v>
      </c>
      <c r="W1028" s="2" t="str">
        <f>IF(Spotify[[#This Row],[Popularité]]&gt;=70,"FORTE","FAIBLE")</f>
        <v>FAIBLE</v>
      </c>
    </row>
    <row r="1029" spans="1:23" x14ac:dyDescent="0.25">
      <c r="A1029">
        <v>1448</v>
      </c>
      <c r="B1029">
        <v>51</v>
      </c>
      <c r="C1029">
        <v>5</v>
      </c>
      <c r="D1029" s="1">
        <v>43840</v>
      </c>
      <c r="E1029" s="59" t="str" cm="1">
        <f t="array" ref="E102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29" t="s">
        <v>2303</v>
      </c>
      <c r="G1029" s="3">
        <v>4947780</v>
      </c>
      <c r="H1029" t="s">
        <v>300</v>
      </c>
      <c r="I1029" s="4">
        <v>14190858</v>
      </c>
      <c r="J1029" t="s">
        <v>10</v>
      </c>
      <c r="K1029" s="1">
        <v>43952</v>
      </c>
      <c r="L1029">
        <v>68</v>
      </c>
      <c r="M1029" s="2" t="str">
        <f>IF(Spotify[[#This Row],[Energie]]&gt;AVERAGE(Spotify[Energie]),"FORTE","FAIBLE")</f>
        <v>FAIBLE</v>
      </c>
      <c r="N1029" s="2">
        <v>0.67900000000000005</v>
      </c>
      <c r="O1029" s="2">
        <v>0.40799999999999997</v>
      </c>
      <c r="P1029" s="2">
        <v>8.8200000000000001E-2</v>
      </c>
      <c r="Q1029" s="2">
        <v>0.13300000000000001</v>
      </c>
      <c r="R1029" s="2">
        <v>0.23</v>
      </c>
      <c r="S1029" s="2">
        <v>0.151</v>
      </c>
      <c r="T1029" s="2">
        <v>-9.7539999999999996</v>
      </c>
      <c r="U1029">
        <v>206080</v>
      </c>
      <c r="V1029">
        <f>YEAR(Spotify[[#This Row],[Date de sortie]])</f>
        <v>2020</v>
      </c>
      <c r="W1029" s="2" t="str">
        <f>IF(Spotify[[#This Row],[Popularité]]&gt;=70,"FORTE","FAIBLE")</f>
        <v>FAIBLE</v>
      </c>
    </row>
    <row r="1030" spans="1:23" x14ac:dyDescent="0.25">
      <c r="A1030">
        <v>847</v>
      </c>
      <c r="B1030">
        <v>49</v>
      </c>
      <c r="C1030">
        <v>4</v>
      </c>
      <c r="D1030" s="1">
        <v>44099</v>
      </c>
      <c r="E1030" s="59" t="str" cm="1">
        <f t="array" ref="E103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30" t="s">
        <v>1462</v>
      </c>
      <c r="G1030" s="3">
        <v>4933462</v>
      </c>
      <c r="H1030" t="s">
        <v>1026</v>
      </c>
      <c r="I1030" s="4">
        <v>16655692</v>
      </c>
      <c r="J1030" t="s">
        <v>19</v>
      </c>
      <c r="K1030" s="1">
        <v>44099</v>
      </c>
      <c r="L1030">
        <v>68</v>
      </c>
      <c r="M1030" s="2" t="str">
        <f>IF(Spotify[[#This Row],[Energie]]&gt;AVERAGE(Spotify[Energie]),"FORTE","FAIBLE")</f>
        <v>FAIBLE</v>
      </c>
      <c r="N1030" s="2">
        <v>0.63700000000000001</v>
      </c>
      <c r="O1030" s="2">
        <v>0.41799999999999998</v>
      </c>
      <c r="P1030" s="2">
        <v>0.30099999999999999</v>
      </c>
      <c r="Q1030" s="2">
        <v>0.35299999999999998</v>
      </c>
      <c r="R1030" s="2">
        <v>0.13100000000000001</v>
      </c>
      <c r="S1030" s="2">
        <v>8.0699999999999994E-2</v>
      </c>
      <c r="T1030" s="2">
        <v>-7.1369999999999996</v>
      </c>
      <c r="U1030">
        <v>174517</v>
      </c>
      <c r="V1030">
        <f>YEAR(Spotify[[#This Row],[Date de sortie]])</f>
        <v>2020</v>
      </c>
      <c r="W1030" s="2" t="str">
        <f>IF(Spotify[[#This Row],[Popularité]]&gt;=70,"FORTE","FAIBLE")</f>
        <v>FAIBLE</v>
      </c>
    </row>
    <row r="1031" spans="1:23" x14ac:dyDescent="0.25">
      <c r="A1031">
        <v>1450</v>
      </c>
      <c r="B1031">
        <v>117</v>
      </c>
      <c r="C1031">
        <v>7</v>
      </c>
      <c r="D1031" s="1">
        <v>43833</v>
      </c>
      <c r="E1031" s="59" t="str" cm="1">
        <f t="array" ref="E103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031" t="s">
        <v>2305</v>
      </c>
      <c r="G1031" s="3">
        <v>4905155</v>
      </c>
      <c r="H1031" t="s">
        <v>2306</v>
      </c>
      <c r="I1031" s="4">
        <v>3337982</v>
      </c>
      <c r="J1031" t="s">
        <v>531</v>
      </c>
      <c r="K1031" s="1">
        <v>43770</v>
      </c>
      <c r="L1031">
        <v>68</v>
      </c>
      <c r="M1031" s="2" t="str">
        <f>IF(Spotify[[#This Row],[Energie]]&gt;AVERAGE(Spotify[Energie]),"FORTE","FAIBLE")</f>
        <v>FAIBLE</v>
      </c>
      <c r="N1031" s="2">
        <v>0.84499999999999997</v>
      </c>
      <c r="O1031" s="2">
        <v>0.63100000000000001</v>
      </c>
      <c r="P1031" s="2">
        <v>0.216</v>
      </c>
      <c r="Q1031" s="2">
        <v>0.188</v>
      </c>
      <c r="R1031" s="2">
        <v>8.0600000000000005E-2</v>
      </c>
      <c r="S1031" s="2">
        <v>0.54500000000000004</v>
      </c>
      <c r="T1031" s="2">
        <v>-8.2059999999999995</v>
      </c>
      <c r="U1031">
        <v>279907</v>
      </c>
      <c r="V1031">
        <f>YEAR(Spotify[[#This Row],[Date de sortie]])</f>
        <v>2019</v>
      </c>
      <c r="W1031" s="2" t="str">
        <f>IF(Spotify[[#This Row],[Popularité]]&gt;=70,"FORTE","FAIBLE")</f>
        <v>FAIBLE</v>
      </c>
    </row>
    <row r="1032" spans="1:23" x14ac:dyDescent="0.25">
      <c r="A1032">
        <v>603</v>
      </c>
      <c r="B1032">
        <v>190</v>
      </c>
      <c r="C1032">
        <v>1</v>
      </c>
      <c r="D1032" s="1">
        <v>44204</v>
      </c>
      <c r="E1032" s="59" t="str" cm="1">
        <f t="array" ref="E103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COUNTRY</v>
      </c>
      <c r="F1032" t="s">
        <v>1072</v>
      </c>
      <c r="G1032" s="3">
        <v>4860714</v>
      </c>
      <c r="H1032" t="s">
        <v>1030</v>
      </c>
      <c r="I1032" s="4">
        <v>2147875</v>
      </c>
      <c r="J1032" t="s">
        <v>382</v>
      </c>
      <c r="K1032" s="1">
        <v>44204</v>
      </c>
      <c r="L1032">
        <v>68</v>
      </c>
      <c r="M1032" s="2" t="str">
        <f>IF(Spotify[[#This Row],[Energie]]&gt;AVERAGE(Spotify[Energie]),"FORTE","FAIBLE")</f>
        <v>FORTE</v>
      </c>
      <c r="N1032" s="2">
        <v>0.63300000000000001</v>
      </c>
      <c r="O1032" s="2">
        <v>0.66400000000000003</v>
      </c>
      <c r="P1032" s="2">
        <v>2.9399999999999999E-2</v>
      </c>
      <c r="Q1032" s="2">
        <v>0.46</v>
      </c>
      <c r="R1032" s="2">
        <v>0.108</v>
      </c>
      <c r="S1032" s="2">
        <v>0.26800000000000002</v>
      </c>
      <c r="T1032" s="2">
        <v>-5.0369999999999999</v>
      </c>
      <c r="U1032">
        <v>156747</v>
      </c>
      <c r="V1032">
        <f>YEAR(Spotify[[#This Row],[Date de sortie]])</f>
        <v>2021</v>
      </c>
      <c r="W1032" s="2" t="str">
        <f>IF(Spotify[[#This Row],[Popularité]]&gt;=70,"FORTE","FAIBLE")</f>
        <v>FAIBLE</v>
      </c>
    </row>
    <row r="1033" spans="1:23" x14ac:dyDescent="0.25">
      <c r="A1033">
        <v>1065</v>
      </c>
      <c r="B1033">
        <v>52</v>
      </c>
      <c r="C1033">
        <v>7</v>
      </c>
      <c r="D1033" s="1">
        <v>43966</v>
      </c>
      <c r="E1033" s="59" t="str" cm="1">
        <f t="array" ref="E103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33" t="s">
        <v>1777</v>
      </c>
      <c r="G1033" s="3">
        <v>4838067</v>
      </c>
      <c r="H1033" t="s">
        <v>1230</v>
      </c>
      <c r="I1033" s="4">
        <v>18936929</v>
      </c>
      <c r="J1033" t="s">
        <v>19</v>
      </c>
      <c r="K1033" s="1">
        <v>43966</v>
      </c>
      <c r="L1033">
        <v>68</v>
      </c>
      <c r="M1033" s="2" t="str">
        <f>IF(Spotify[[#This Row],[Energie]]&gt;AVERAGE(Spotify[Energie]),"FORTE","FAIBLE")</f>
        <v>FAIBLE</v>
      </c>
      <c r="N1033" s="2">
        <v>0.63900000000000001</v>
      </c>
      <c r="O1033" s="2">
        <v>0.54600000000000004</v>
      </c>
      <c r="P1033" s="2">
        <v>4.07E-2</v>
      </c>
      <c r="Q1033" s="2">
        <v>8.3699999999999997E-2</v>
      </c>
      <c r="R1033" s="2">
        <v>0.122</v>
      </c>
      <c r="S1033" s="2">
        <v>0.14899999999999999</v>
      </c>
      <c r="T1033" s="2">
        <v>-5.3819999999999997</v>
      </c>
      <c r="U1033">
        <v>173124</v>
      </c>
      <c r="V1033">
        <f>YEAR(Spotify[[#This Row],[Date de sortie]])</f>
        <v>2020</v>
      </c>
      <c r="W1033" s="2" t="str">
        <f>IF(Spotify[[#This Row],[Popularité]]&gt;=70,"FORTE","FAIBLE")</f>
        <v>FAIBLE</v>
      </c>
    </row>
    <row r="1034" spans="1:23" x14ac:dyDescent="0.25">
      <c r="A1034">
        <v>1471</v>
      </c>
      <c r="B1034">
        <v>123</v>
      </c>
      <c r="C1034">
        <v>6</v>
      </c>
      <c r="D1034" s="1">
        <v>43826</v>
      </c>
      <c r="E1034" s="59" t="str" cm="1">
        <f t="array" ref="E103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034" t="s">
        <v>2336</v>
      </c>
      <c r="G1034" s="3">
        <v>4781697</v>
      </c>
      <c r="H1034" t="s">
        <v>1869</v>
      </c>
      <c r="I1034" s="4">
        <v>6332535</v>
      </c>
      <c r="J1034" t="s">
        <v>235</v>
      </c>
      <c r="K1034" s="1">
        <v>43686</v>
      </c>
      <c r="L1034">
        <v>68</v>
      </c>
      <c r="M1034" s="2" t="str">
        <f>IF(Spotify[[#This Row],[Energie]]&gt;AVERAGE(Spotify[Energie]),"FORTE","FAIBLE")</f>
        <v>FAIBLE</v>
      </c>
      <c r="N1034" s="2">
        <v>0.93200000000000005</v>
      </c>
      <c r="O1034" s="2">
        <v>0.54700000000000004</v>
      </c>
      <c r="P1034" s="2">
        <v>0.33300000000000002</v>
      </c>
      <c r="Q1034" s="2">
        <v>3.8800000000000001E-2</v>
      </c>
      <c r="R1034" s="2">
        <v>9.2399999999999996E-2</v>
      </c>
      <c r="S1034" s="2">
        <v>0.69499999999999995</v>
      </c>
      <c r="T1034" s="2">
        <v>-7.7869999999999999</v>
      </c>
      <c r="U1034">
        <v>176640</v>
      </c>
      <c r="V1034">
        <f>YEAR(Spotify[[#This Row],[Date de sortie]])</f>
        <v>2019</v>
      </c>
      <c r="W1034" s="2" t="str">
        <f>IF(Spotify[[#This Row],[Popularité]]&gt;=70,"FORTE","FAIBLE")</f>
        <v>FAIBLE</v>
      </c>
    </row>
    <row r="1035" spans="1:23" x14ac:dyDescent="0.25">
      <c r="A1035">
        <v>1117</v>
      </c>
      <c r="B1035">
        <v>27</v>
      </c>
      <c r="C1035">
        <v>8</v>
      </c>
      <c r="D1035" s="1">
        <v>43938</v>
      </c>
      <c r="E1035" s="59" t="str" cm="1">
        <f t="array" ref="E103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35" t="s">
        <v>1854</v>
      </c>
      <c r="G1035" s="3">
        <v>4764355</v>
      </c>
      <c r="H1035" t="s">
        <v>1041</v>
      </c>
      <c r="I1035" s="4">
        <v>17097317</v>
      </c>
      <c r="J1035" t="s">
        <v>19</v>
      </c>
      <c r="K1035" s="1">
        <v>43937</v>
      </c>
      <c r="L1035">
        <v>68</v>
      </c>
      <c r="M1035" s="2" t="str">
        <f>IF(Spotify[[#This Row],[Energie]]&gt;AVERAGE(Spotify[Energie]),"FORTE","FAIBLE")</f>
        <v>FORTE</v>
      </c>
      <c r="N1035" s="2">
        <v>0.501</v>
      </c>
      <c r="O1035" s="2">
        <v>0.67400000000000004</v>
      </c>
      <c r="P1035" s="2">
        <v>4.0800000000000003E-2</v>
      </c>
      <c r="Q1035" s="2">
        <v>3.46E-3</v>
      </c>
      <c r="R1035" s="2">
        <v>0.28199999999999997</v>
      </c>
      <c r="S1035" s="2">
        <v>0.152</v>
      </c>
      <c r="T1035" s="2">
        <v>-6.3630000000000004</v>
      </c>
      <c r="U1035">
        <v>200838</v>
      </c>
      <c r="V1035">
        <f>YEAR(Spotify[[#This Row],[Date de sortie]])</f>
        <v>2020</v>
      </c>
      <c r="W1035" s="2" t="str">
        <f>IF(Spotify[[#This Row],[Popularité]]&gt;=70,"FORTE","FAIBLE")</f>
        <v>FAIBLE</v>
      </c>
    </row>
    <row r="1036" spans="1:23" x14ac:dyDescent="0.25">
      <c r="A1036">
        <v>1038</v>
      </c>
      <c r="B1036">
        <v>174</v>
      </c>
      <c r="C1036">
        <v>2</v>
      </c>
      <c r="D1036" s="1">
        <v>44015</v>
      </c>
      <c r="E1036" s="59" t="str" cm="1">
        <f t="array" ref="E103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36" t="s">
        <v>1740</v>
      </c>
      <c r="G1036" s="3">
        <v>4633313</v>
      </c>
      <c r="H1036" t="s">
        <v>1592</v>
      </c>
      <c r="I1036" s="4">
        <v>18306226</v>
      </c>
      <c r="J1036" t="s">
        <v>25</v>
      </c>
      <c r="K1036" s="1">
        <v>43980</v>
      </c>
      <c r="L1036">
        <v>68</v>
      </c>
      <c r="M1036" s="2" t="str">
        <f>IF(Spotify[[#This Row],[Energie]]&gt;AVERAGE(Spotify[Energie]),"FORTE","FAIBLE")</f>
        <v>FORTE</v>
      </c>
      <c r="N1036" s="2">
        <v>0.61399999999999999</v>
      </c>
      <c r="O1036" s="2">
        <v>0.746</v>
      </c>
      <c r="P1036" s="2">
        <v>0.19600000000000001</v>
      </c>
      <c r="Q1036" s="2">
        <v>0.34699999999999998</v>
      </c>
      <c r="R1036" s="2">
        <v>8.7400000000000005E-2</v>
      </c>
      <c r="S1036" s="2">
        <v>0.60099999999999998</v>
      </c>
      <c r="T1036" s="2">
        <v>-3.5270000000000001</v>
      </c>
      <c r="U1036">
        <v>259250</v>
      </c>
      <c r="V1036">
        <f>YEAR(Spotify[[#This Row],[Date de sortie]])</f>
        <v>2020</v>
      </c>
      <c r="W1036" s="2" t="str">
        <f>IF(Spotify[[#This Row],[Popularité]]&gt;=70,"FORTE","FAIBLE")</f>
        <v>FAIBLE</v>
      </c>
    </row>
    <row r="1037" spans="1:23" x14ac:dyDescent="0.25">
      <c r="A1037">
        <v>920</v>
      </c>
      <c r="B1037">
        <v>112</v>
      </c>
      <c r="C1037">
        <v>10</v>
      </c>
      <c r="D1037" s="1">
        <v>44015</v>
      </c>
      <c r="E1037" s="59" t="str" cm="1">
        <f t="array" ref="E103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37" t="s">
        <v>1570</v>
      </c>
      <c r="G1037" s="3">
        <v>4615520</v>
      </c>
      <c r="H1037" t="s">
        <v>1571</v>
      </c>
      <c r="I1037" s="4">
        <v>1555628</v>
      </c>
      <c r="J1037" t="s">
        <v>407</v>
      </c>
      <c r="K1037" s="1">
        <v>44008</v>
      </c>
      <c r="L1037">
        <v>68</v>
      </c>
      <c r="M1037" s="2" t="str">
        <f>IF(Spotify[[#This Row],[Energie]]&gt;AVERAGE(Spotify[Energie]),"FORTE","FAIBLE")</f>
        <v>FORTE</v>
      </c>
      <c r="N1037" s="2">
        <v>0.93500000000000005</v>
      </c>
      <c r="O1037" s="2">
        <v>0.71</v>
      </c>
      <c r="P1037" s="2">
        <v>0.158</v>
      </c>
      <c r="Q1037" s="2">
        <v>7.6899999999999996E-2</v>
      </c>
      <c r="R1037" s="2">
        <v>0.17299999999999999</v>
      </c>
      <c r="S1037" s="2">
        <v>0.63500000000000001</v>
      </c>
      <c r="T1037" s="2">
        <v>-5.085</v>
      </c>
      <c r="U1037">
        <v>168507</v>
      </c>
      <c r="V1037">
        <f>YEAR(Spotify[[#This Row],[Date de sortie]])</f>
        <v>2020</v>
      </c>
      <c r="W1037" s="2" t="str">
        <f>IF(Spotify[[#This Row],[Popularité]]&gt;=70,"FORTE","FAIBLE")</f>
        <v>FAIBLE</v>
      </c>
    </row>
    <row r="1038" spans="1:23" x14ac:dyDescent="0.25">
      <c r="A1038">
        <v>1191</v>
      </c>
      <c r="B1038">
        <v>177</v>
      </c>
      <c r="C1038">
        <v>1</v>
      </c>
      <c r="D1038" s="1">
        <v>43959</v>
      </c>
      <c r="E1038" s="59" t="str" cm="1">
        <f t="array" ref="E103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38" t="s">
        <v>1959</v>
      </c>
      <c r="G1038" s="3">
        <v>4603243</v>
      </c>
      <c r="H1038" t="s">
        <v>1960</v>
      </c>
      <c r="I1038" s="4">
        <v>4894562</v>
      </c>
      <c r="J1038" t="s">
        <v>19</v>
      </c>
      <c r="K1038" s="1">
        <v>43959</v>
      </c>
      <c r="L1038">
        <v>68</v>
      </c>
      <c r="M1038" s="2" t="str">
        <f>IF(Spotify[[#This Row],[Energie]]&gt;AVERAGE(Spotify[Energie]),"FORTE","FAIBLE")</f>
        <v>FORTE</v>
      </c>
      <c r="N1038" s="2">
        <v>0.57399999999999995</v>
      </c>
      <c r="O1038" s="2">
        <v>0.79100000000000004</v>
      </c>
      <c r="P1038" s="2">
        <v>0.11</v>
      </c>
      <c r="Q1038" s="2">
        <v>0.41899999999999998</v>
      </c>
      <c r="R1038" s="2">
        <v>9.8199999999999996E-2</v>
      </c>
      <c r="S1038" s="2">
        <v>0.61199999999999999</v>
      </c>
      <c r="T1038" s="2">
        <v>-3.7519999999999998</v>
      </c>
      <c r="U1038">
        <v>167810</v>
      </c>
      <c r="V1038">
        <f>YEAR(Spotify[[#This Row],[Date de sortie]])</f>
        <v>2020</v>
      </c>
      <c r="W1038" s="2" t="str">
        <f>IF(Spotify[[#This Row],[Popularité]]&gt;=70,"FORTE","FAIBLE")</f>
        <v>FAIBLE</v>
      </c>
    </row>
    <row r="1039" spans="1:23" x14ac:dyDescent="0.25">
      <c r="A1039">
        <v>615</v>
      </c>
      <c r="B1039">
        <v>183</v>
      </c>
      <c r="C1039">
        <v>2</v>
      </c>
      <c r="D1039" s="1">
        <v>44190</v>
      </c>
      <c r="E1039" s="59" t="str" cm="1">
        <f t="array" ref="E103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39" t="s">
        <v>1089</v>
      </c>
      <c r="G1039" s="3">
        <v>4580123</v>
      </c>
      <c r="H1039" t="s">
        <v>1090</v>
      </c>
      <c r="I1039" s="4">
        <v>4281787</v>
      </c>
      <c r="J1039" t="s">
        <v>334</v>
      </c>
      <c r="K1039" s="1">
        <v>43980</v>
      </c>
      <c r="L1039">
        <v>68</v>
      </c>
      <c r="M1039" s="2" t="str">
        <f>IF(Spotify[[#This Row],[Energie]]&gt;AVERAGE(Spotify[Energie]),"FORTE","FAIBLE")</f>
        <v>FORTE</v>
      </c>
      <c r="N1039" s="2">
        <v>0.59899999999999998</v>
      </c>
      <c r="O1039" s="2">
        <v>0.91400000000000003</v>
      </c>
      <c r="P1039" s="2">
        <v>6.2899999999999998E-2</v>
      </c>
      <c r="Q1039" s="2">
        <v>0.5</v>
      </c>
      <c r="R1039" s="2">
        <v>0.69399999999999995</v>
      </c>
      <c r="S1039" s="2">
        <v>0.83099999999999996</v>
      </c>
      <c r="T1039" s="2">
        <v>-2.415</v>
      </c>
      <c r="U1039">
        <v>182977</v>
      </c>
      <c r="V1039">
        <f>YEAR(Spotify[[#This Row],[Date de sortie]])</f>
        <v>2020</v>
      </c>
      <c r="W1039" s="2" t="str">
        <f>IF(Spotify[[#This Row],[Popularité]]&gt;=70,"FORTE","FAIBLE")</f>
        <v>FAIBLE</v>
      </c>
    </row>
    <row r="1040" spans="1:23" x14ac:dyDescent="0.25">
      <c r="A1040">
        <v>924</v>
      </c>
      <c r="B1040">
        <v>134</v>
      </c>
      <c r="C1040">
        <v>6</v>
      </c>
      <c r="D1040" s="1">
        <v>44036</v>
      </c>
      <c r="E1040" s="59" t="str" cm="1">
        <f t="array" ref="E104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040" t="s">
        <v>1577</v>
      </c>
      <c r="G1040" s="3">
        <v>4572706</v>
      </c>
      <c r="H1040" t="s">
        <v>1578</v>
      </c>
      <c r="I1040" s="4">
        <v>166517</v>
      </c>
      <c r="J1040" t="s">
        <v>206</v>
      </c>
      <c r="K1040" s="1">
        <v>44050</v>
      </c>
      <c r="L1040">
        <v>68</v>
      </c>
      <c r="M1040" s="2" t="str">
        <f>IF(Spotify[[#This Row],[Energie]]&gt;AVERAGE(Spotify[Energie]),"FORTE","FAIBLE")</f>
        <v>FAIBLE</v>
      </c>
      <c r="N1040" s="2">
        <v>0.88</v>
      </c>
      <c r="O1040" s="2">
        <v>0.60699999999999998</v>
      </c>
      <c r="P1040" s="2">
        <v>7.7700000000000005E-2</v>
      </c>
      <c r="Q1040" s="2">
        <v>0.19500000000000001</v>
      </c>
      <c r="R1040" s="2">
        <v>0.15</v>
      </c>
      <c r="S1040" s="2">
        <v>0.82299999999999995</v>
      </c>
      <c r="T1040" s="2">
        <v>-7.0670000000000002</v>
      </c>
      <c r="U1040">
        <v>233905</v>
      </c>
      <c r="V1040">
        <f>YEAR(Spotify[[#This Row],[Date de sortie]])</f>
        <v>2020</v>
      </c>
      <c r="W1040" s="2" t="str">
        <f>IF(Spotify[[#This Row],[Popularité]]&gt;=70,"FORTE","FAIBLE")</f>
        <v>FAIBLE</v>
      </c>
    </row>
    <row r="1041" spans="1:23" x14ac:dyDescent="0.25">
      <c r="A1041">
        <v>1055</v>
      </c>
      <c r="B1041">
        <v>177</v>
      </c>
      <c r="C1041">
        <v>2</v>
      </c>
      <c r="D1041" s="1">
        <v>44008</v>
      </c>
      <c r="E1041" s="59" t="str" cm="1">
        <f t="array" ref="E104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041" t="s">
        <v>1761</v>
      </c>
      <c r="G1041" s="3">
        <v>4571916</v>
      </c>
      <c r="H1041" t="s">
        <v>1762</v>
      </c>
      <c r="I1041" s="4">
        <v>1276292</v>
      </c>
      <c r="J1041" t="s">
        <v>235</v>
      </c>
      <c r="K1041" s="1">
        <v>43994</v>
      </c>
      <c r="L1041">
        <v>68</v>
      </c>
      <c r="M1041" s="2" t="str">
        <f>IF(Spotify[[#This Row],[Energie]]&gt;AVERAGE(Spotify[Energie]),"FORTE","FAIBLE")</f>
        <v>FAIBLE</v>
      </c>
      <c r="N1041" s="2">
        <v>0.81599999999999995</v>
      </c>
      <c r="O1041" s="2">
        <v>0.57899999999999996</v>
      </c>
      <c r="P1041" s="2">
        <v>8.6699999999999999E-2</v>
      </c>
      <c r="Q1041" s="2">
        <v>0.20300000000000001</v>
      </c>
      <c r="R1041" s="2">
        <v>0.127</v>
      </c>
      <c r="S1041" s="2">
        <v>0.43</v>
      </c>
      <c r="T1041" s="2">
        <v>-6.0970000000000004</v>
      </c>
      <c r="U1041">
        <v>226314</v>
      </c>
      <c r="V1041">
        <f>YEAR(Spotify[[#This Row],[Date de sortie]])</f>
        <v>2020</v>
      </c>
      <c r="W1041" s="2" t="str">
        <f>IF(Spotify[[#This Row],[Popularité]]&gt;=70,"FORTE","FAIBLE")</f>
        <v>FAIBLE</v>
      </c>
    </row>
    <row r="1042" spans="1:23" x14ac:dyDescent="0.25">
      <c r="A1042">
        <v>955</v>
      </c>
      <c r="B1042">
        <v>74</v>
      </c>
      <c r="C1042">
        <v>5</v>
      </c>
      <c r="D1042" s="1">
        <v>44036</v>
      </c>
      <c r="E1042" s="59" t="str" cm="1">
        <f t="array" ref="E104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042" t="s">
        <v>1627</v>
      </c>
      <c r="G1042" s="3">
        <v>4480780</v>
      </c>
      <c r="H1042" t="s">
        <v>1628</v>
      </c>
      <c r="I1042" s="4">
        <v>328877</v>
      </c>
      <c r="J1042" t="s">
        <v>217</v>
      </c>
      <c r="K1042" s="1">
        <v>44032</v>
      </c>
      <c r="L1042">
        <v>68</v>
      </c>
      <c r="M1042" s="2" t="str">
        <f>IF(Spotify[[#This Row],[Energie]]&gt;AVERAGE(Spotify[Energie]),"FORTE","FAIBLE")</f>
        <v>FORTE</v>
      </c>
      <c r="N1042" s="2">
        <v>0.68</v>
      </c>
      <c r="O1042" s="2">
        <v>0.82599999999999996</v>
      </c>
      <c r="P1042" s="2">
        <v>0.27</v>
      </c>
      <c r="Q1042" s="2">
        <v>0.56200000000000006</v>
      </c>
      <c r="R1042" s="2">
        <v>0.254</v>
      </c>
      <c r="S1042" s="2">
        <v>0.80400000000000005</v>
      </c>
      <c r="T1042" s="2">
        <v>-2.5609999999999999</v>
      </c>
      <c r="U1042">
        <v>248937</v>
      </c>
      <c r="V1042">
        <f>YEAR(Spotify[[#This Row],[Date de sortie]])</f>
        <v>2020</v>
      </c>
      <c r="W1042" s="2" t="str">
        <f>IF(Spotify[[#This Row],[Popularité]]&gt;=70,"FORTE","FAIBLE")</f>
        <v>FAIBLE</v>
      </c>
    </row>
    <row r="1043" spans="1:23" x14ac:dyDescent="0.25">
      <c r="A1043">
        <v>1110</v>
      </c>
      <c r="B1043">
        <v>43</v>
      </c>
      <c r="C1043">
        <v>12</v>
      </c>
      <c r="D1043" s="1">
        <v>43917</v>
      </c>
      <c r="E1043" s="59" t="str" cm="1">
        <f t="array" ref="E104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43" t="s">
        <v>1843</v>
      </c>
      <c r="G1043" s="3">
        <v>4463865</v>
      </c>
      <c r="H1043" t="s">
        <v>1844</v>
      </c>
      <c r="I1043" s="4">
        <v>7593792</v>
      </c>
      <c r="J1043" t="s">
        <v>313</v>
      </c>
      <c r="K1043" s="1">
        <v>43917</v>
      </c>
      <c r="L1043">
        <v>68</v>
      </c>
      <c r="M1043" s="2" t="str">
        <f>IF(Spotify[[#This Row],[Energie]]&gt;AVERAGE(Spotify[Energie]),"FORTE","FAIBLE")</f>
        <v>FORTE</v>
      </c>
      <c r="N1043" s="2">
        <v>0.79400000000000004</v>
      </c>
      <c r="O1043" s="2">
        <v>0.72799999999999998</v>
      </c>
      <c r="P1043" s="2">
        <v>0.114</v>
      </c>
      <c r="Q1043" s="2">
        <v>0.121</v>
      </c>
      <c r="R1043" s="2">
        <v>0.22700000000000001</v>
      </c>
      <c r="S1043" s="2">
        <v>0.36</v>
      </c>
      <c r="T1043" s="2">
        <v>-6.7590000000000003</v>
      </c>
      <c r="U1043">
        <v>183067</v>
      </c>
      <c r="V1043">
        <f>YEAR(Spotify[[#This Row],[Date de sortie]])</f>
        <v>2020</v>
      </c>
      <c r="W1043" s="2" t="str">
        <f>IF(Spotify[[#This Row],[Popularité]]&gt;=70,"FORTE","FAIBLE")</f>
        <v>FAIBLE</v>
      </c>
    </row>
    <row r="1044" spans="1:23" x14ac:dyDescent="0.25">
      <c r="A1044">
        <v>730</v>
      </c>
      <c r="B1044">
        <v>44</v>
      </c>
      <c r="C1044">
        <v>1</v>
      </c>
      <c r="D1044" s="1">
        <v>44162</v>
      </c>
      <c r="E1044" s="59" t="str" cm="1">
        <f t="array" ref="E104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44" t="s">
        <v>1276</v>
      </c>
      <c r="G1044" s="3">
        <v>12660806</v>
      </c>
      <c r="H1044" t="s">
        <v>24</v>
      </c>
      <c r="I1044" s="4">
        <v>36177712</v>
      </c>
      <c r="J1044" t="s">
        <v>25</v>
      </c>
      <c r="K1044" s="1">
        <v>44162</v>
      </c>
      <c r="L1044">
        <v>67</v>
      </c>
      <c r="M1044" s="2" t="str">
        <f>IF(Spotify[[#This Row],[Energie]]&gt;AVERAGE(Spotify[Energie]),"FORTE","FAIBLE")</f>
        <v>FORTE</v>
      </c>
      <c r="N1044" s="2">
        <v>0.76200000000000001</v>
      </c>
      <c r="O1044" s="2">
        <v>0.86099999999999999</v>
      </c>
      <c r="P1044" s="2">
        <v>6.5199999999999994E-2</v>
      </c>
      <c r="Q1044" s="2">
        <v>0.13900000000000001</v>
      </c>
      <c r="R1044" s="2">
        <v>9.5600000000000004E-2</v>
      </c>
      <c r="S1044" s="2">
        <v>0.58799999999999997</v>
      </c>
      <c r="T1044" s="2">
        <v>-4.0750000000000002</v>
      </c>
      <c r="U1044">
        <v>213609</v>
      </c>
      <c r="V1044">
        <f>YEAR(Spotify[[#This Row],[Date de sortie]])</f>
        <v>2020</v>
      </c>
      <c r="W1044" s="2" t="str">
        <f>IF(Spotify[[#This Row],[Popularité]]&gt;=70,"FORTE","FAIBLE")</f>
        <v>FAIBLE</v>
      </c>
    </row>
    <row r="1045" spans="1:23" x14ac:dyDescent="0.25">
      <c r="A1045">
        <v>731</v>
      </c>
      <c r="B1045">
        <v>48</v>
      </c>
      <c r="C1045">
        <v>1</v>
      </c>
      <c r="D1045" s="1">
        <v>44162</v>
      </c>
      <c r="E1045" s="59" t="str" cm="1">
        <f t="array" ref="E104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45" t="s">
        <v>1277</v>
      </c>
      <c r="G1045" s="3">
        <v>12507010</v>
      </c>
      <c r="H1045" t="s">
        <v>24</v>
      </c>
      <c r="I1045" s="4">
        <v>36177712</v>
      </c>
      <c r="J1045" t="s">
        <v>25</v>
      </c>
      <c r="K1045" s="1">
        <v>44162</v>
      </c>
      <c r="L1045">
        <v>67</v>
      </c>
      <c r="M1045" s="2" t="str">
        <f>IF(Spotify[[#This Row],[Energie]]&gt;AVERAGE(Spotify[Energie]),"FORTE","FAIBLE")</f>
        <v>FAIBLE</v>
      </c>
      <c r="N1045" s="2">
        <v>0.71599999999999997</v>
      </c>
      <c r="O1045" s="2">
        <v>0.52200000000000002</v>
      </c>
      <c r="P1045" s="2">
        <v>5.8200000000000002E-2</v>
      </c>
      <c r="Q1045" s="2">
        <v>0.16600000000000001</v>
      </c>
      <c r="R1045" s="2">
        <v>0.113</v>
      </c>
      <c r="S1045" s="2">
        <v>0.224</v>
      </c>
      <c r="T1045" s="2">
        <v>-6.8339999999999996</v>
      </c>
      <c r="U1045">
        <v>165199</v>
      </c>
      <c r="V1045">
        <f>YEAR(Spotify[[#This Row],[Date de sortie]])</f>
        <v>2020</v>
      </c>
      <c r="W1045" s="2" t="str">
        <f>IF(Spotify[[#This Row],[Popularité]]&gt;=70,"FORTE","FAIBLE")</f>
        <v>FAIBLE</v>
      </c>
    </row>
    <row r="1046" spans="1:23" x14ac:dyDescent="0.25">
      <c r="A1046">
        <v>1357</v>
      </c>
      <c r="B1046">
        <v>49</v>
      </c>
      <c r="C1046">
        <v>1</v>
      </c>
      <c r="D1046" s="1">
        <v>43889</v>
      </c>
      <c r="E1046" s="59" t="str" cm="1">
        <f t="array" ref="E104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046" t="s">
        <v>2178</v>
      </c>
      <c r="G1046" s="3">
        <v>12059592</v>
      </c>
      <c r="H1046" t="s">
        <v>1780</v>
      </c>
      <c r="I1046" s="4">
        <v>11821805</v>
      </c>
      <c r="J1046" t="s">
        <v>235</v>
      </c>
      <c r="K1046" s="1">
        <v>43891</v>
      </c>
      <c r="L1046">
        <v>67</v>
      </c>
      <c r="M1046" s="2" t="str">
        <f>IF(Spotify[[#This Row],[Energie]]&gt;AVERAGE(Spotify[Energie]),"FORTE","FAIBLE")</f>
        <v>FAIBLE</v>
      </c>
      <c r="N1046" s="2">
        <v>0.71899999999999997</v>
      </c>
      <c r="O1046" s="2">
        <v>0.61099999999999999</v>
      </c>
      <c r="P1046" s="2">
        <v>4.0300000000000002E-2</v>
      </c>
      <c r="Q1046" s="2">
        <v>5.8200000000000002E-2</v>
      </c>
      <c r="R1046" s="2">
        <v>0.155</v>
      </c>
      <c r="S1046" s="2">
        <v>0.48899999999999999</v>
      </c>
      <c r="T1046" s="2">
        <v>-5.01</v>
      </c>
      <c r="U1046">
        <v>212354</v>
      </c>
      <c r="V1046">
        <f>YEAR(Spotify[[#This Row],[Date de sortie]])</f>
        <v>2020</v>
      </c>
      <c r="W1046" s="2" t="str">
        <f>IF(Spotify[[#This Row],[Popularité]]&gt;=70,"FORTE","FAIBLE")</f>
        <v>FAIBLE</v>
      </c>
    </row>
    <row r="1047" spans="1:23" x14ac:dyDescent="0.25">
      <c r="A1047">
        <v>1298</v>
      </c>
      <c r="B1047">
        <v>61</v>
      </c>
      <c r="C1047">
        <v>1</v>
      </c>
      <c r="D1047" s="1">
        <v>43903</v>
      </c>
      <c r="E1047" s="59" t="str" cm="1">
        <f t="array" ref="E104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047" t="s">
        <v>2103</v>
      </c>
      <c r="G1047" s="3">
        <v>9039518</v>
      </c>
      <c r="H1047" t="s">
        <v>1780</v>
      </c>
      <c r="I1047" s="4">
        <v>11821805</v>
      </c>
      <c r="J1047" t="s">
        <v>235</v>
      </c>
      <c r="K1047" s="1">
        <v>43903</v>
      </c>
      <c r="L1047">
        <v>67</v>
      </c>
      <c r="M1047" s="2" t="str">
        <f>IF(Spotify[[#This Row],[Energie]]&gt;AVERAGE(Spotify[Energie]),"FORTE","FAIBLE")</f>
        <v>FAIBLE</v>
      </c>
      <c r="N1047" s="2">
        <v>0.73299999999999998</v>
      </c>
      <c r="O1047" s="2">
        <v>0.56699999999999995</v>
      </c>
      <c r="P1047" s="2">
        <v>0.31900000000000001</v>
      </c>
      <c r="Q1047" s="2">
        <v>1.29E-2</v>
      </c>
      <c r="R1047" s="2">
        <v>0.38200000000000001</v>
      </c>
      <c r="S1047" s="2">
        <v>0.31900000000000001</v>
      </c>
      <c r="T1047" s="2">
        <v>-6.718</v>
      </c>
      <c r="U1047">
        <v>238816</v>
      </c>
      <c r="V1047">
        <f>YEAR(Spotify[[#This Row],[Date de sortie]])</f>
        <v>2020</v>
      </c>
      <c r="W1047" s="2" t="str">
        <f>IF(Spotify[[#This Row],[Popularité]]&gt;=70,"FORTE","FAIBLE")</f>
        <v>FAIBLE</v>
      </c>
    </row>
    <row r="1048" spans="1:23" x14ac:dyDescent="0.25">
      <c r="A1048">
        <v>1043</v>
      </c>
      <c r="B1048">
        <v>58</v>
      </c>
      <c r="C1048">
        <v>1</v>
      </c>
      <c r="D1048" s="1">
        <v>44015</v>
      </c>
      <c r="E1048" s="59" t="str" cm="1">
        <f t="array" ref="E104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48" t="s">
        <v>1747</v>
      </c>
      <c r="G1048" s="3">
        <v>9011502</v>
      </c>
      <c r="H1048" t="s">
        <v>338</v>
      </c>
      <c r="I1048" s="4">
        <v>6852509</v>
      </c>
      <c r="J1048" t="s">
        <v>158</v>
      </c>
      <c r="K1048" s="1">
        <v>44015</v>
      </c>
      <c r="L1048">
        <v>67</v>
      </c>
      <c r="M1048" s="2" t="str">
        <f>IF(Spotify[[#This Row],[Energie]]&gt;AVERAGE(Spotify[Energie]),"FORTE","FAIBLE")</f>
        <v>FAIBLE</v>
      </c>
      <c r="N1048" s="2">
        <v>0.71299999999999997</v>
      </c>
      <c r="O1048" s="2">
        <v>0.60499999999999998</v>
      </c>
      <c r="P1048" s="2">
        <v>0.107</v>
      </c>
      <c r="Q1048" s="2">
        <v>0.497</v>
      </c>
      <c r="R1048" s="2">
        <v>0.115</v>
      </c>
      <c r="S1048" s="2">
        <v>0.432</v>
      </c>
      <c r="T1048" s="2">
        <v>-7.4870000000000001</v>
      </c>
      <c r="U1048">
        <v>175756</v>
      </c>
      <c r="V1048">
        <f>YEAR(Spotify[[#This Row],[Date de sortie]])</f>
        <v>2020</v>
      </c>
      <c r="W1048" s="2" t="str">
        <f>IF(Spotify[[#This Row],[Popularité]]&gt;=70,"FORTE","FAIBLE")</f>
        <v>FAIBLE</v>
      </c>
    </row>
    <row r="1049" spans="1:23" x14ac:dyDescent="0.25">
      <c r="A1049">
        <v>481</v>
      </c>
      <c r="B1049">
        <v>74</v>
      </c>
      <c r="C1049">
        <v>1</v>
      </c>
      <c r="D1049" s="1">
        <v>44274</v>
      </c>
      <c r="E1049" s="59" t="str" cm="1">
        <f t="array" ref="E104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49" t="s">
        <v>876</v>
      </c>
      <c r="G1049" s="3">
        <v>8912458</v>
      </c>
      <c r="H1049" t="s">
        <v>35</v>
      </c>
      <c r="I1049" s="4">
        <v>48544923</v>
      </c>
      <c r="J1049" t="s">
        <v>36</v>
      </c>
      <c r="K1049" s="1">
        <v>40179</v>
      </c>
      <c r="L1049">
        <v>67</v>
      </c>
      <c r="M1049" s="2" t="str">
        <f>IF(Spotify[[#This Row],[Energie]]&gt;AVERAGE(Spotify[Energie]),"FORTE","FAIBLE")</f>
        <v>FORTE</v>
      </c>
      <c r="N1049" s="2">
        <v>0.71399999999999997</v>
      </c>
      <c r="O1049" s="2">
        <v>0.83299999999999996</v>
      </c>
      <c r="P1049" s="2">
        <v>2.5899999999999999E-2</v>
      </c>
      <c r="Q1049" s="2">
        <v>2.49E-3</v>
      </c>
      <c r="R1049" s="2">
        <v>0.29799999999999999</v>
      </c>
      <c r="S1049" s="2">
        <v>0.66300000000000003</v>
      </c>
      <c r="T1049" s="2">
        <v>-5.2389999999999999</v>
      </c>
      <c r="U1049">
        <v>220920</v>
      </c>
      <c r="V1049">
        <f>YEAR(Spotify[[#This Row],[Date de sortie]])</f>
        <v>2010</v>
      </c>
      <c r="W1049" s="2" t="str">
        <f>IF(Spotify[[#This Row],[Popularité]]&gt;=70,"FORTE","FAIBLE")</f>
        <v>FAIBLE</v>
      </c>
    </row>
    <row r="1050" spans="1:23" x14ac:dyDescent="0.25">
      <c r="A1050">
        <v>1504</v>
      </c>
      <c r="B1050">
        <v>118</v>
      </c>
      <c r="C1050">
        <v>1</v>
      </c>
      <c r="D1050" s="1">
        <v>43847</v>
      </c>
      <c r="E1050" s="59" t="str" cm="1">
        <f t="array" ref="E105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050" t="s">
        <v>2374</v>
      </c>
      <c r="G1050" s="3">
        <v>6960699</v>
      </c>
      <c r="H1050" t="s">
        <v>2268</v>
      </c>
      <c r="I1050" s="4">
        <v>6189454</v>
      </c>
      <c r="J1050" t="s">
        <v>426</v>
      </c>
      <c r="K1050" s="1">
        <v>43847</v>
      </c>
      <c r="L1050">
        <v>67</v>
      </c>
      <c r="M1050" s="2" t="str">
        <f>IF(Spotify[[#This Row],[Energie]]&gt;AVERAGE(Spotify[Energie]),"FORTE","FAIBLE")</f>
        <v>FAIBLE</v>
      </c>
      <c r="N1050" s="2">
        <v>0.82799999999999996</v>
      </c>
      <c r="O1050" s="2">
        <v>0.182</v>
      </c>
      <c r="P1050" s="2">
        <v>0.16600000000000001</v>
      </c>
      <c r="Q1050" s="2">
        <v>0.754</v>
      </c>
      <c r="R1050" s="2">
        <v>0.15</v>
      </c>
      <c r="S1050" s="2">
        <v>0.23100000000000001</v>
      </c>
      <c r="T1050" s="2">
        <v>-13.066000000000001</v>
      </c>
      <c r="U1050">
        <v>330507</v>
      </c>
      <c r="V1050">
        <f>YEAR(Spotify[[#This Row],[Date de sortie]])</f>
        <v>2020</v>
      </c>
      <c r="W1050" s="2" t="str">
        <f>IF(Spotify[[#This Row],[Popularité]]&gt;=70,"FORTE","FAIBLE")</f>
        <v>FAIBLE</v>
      </c>
    </row>
    <row r="1051" spans="1:23" x14ac:dyDescent="0.25">
      <c r="A1051">
        <v>866</v>
      </c>
      <c r="B1051">
        <v>97</v>
      </c>
      <c r="C1051">
        <v>1</v>
      </c>
      <c r="D1051" s="1">
        <v>44099</v>
      </c>
      <c r="E1051" s="59" t="str" cm="1">
        <f t="array" ref="E105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51" t="s">
        <v>1488</v>
      </c>
      <c r="G1051" s="3">
        <v>6936305</v>
      </c>
      <c r="H1051" t="s">
        <v>1370</v>
      </c>
      <c r="I1051" s="4">
        <v>4759367</v>
      </c>
      <c r="J1051" t="s">
        <v>761</v>
      </c>
      <c r="K1051" s="1">
        <v>44099</v>
      </c>
      <c r="L1051">
        <v>67</v>
      </c>
      <c r="M1051" s="2" t="str">
        <f>IF(Spotify[[#This Row],[Energie]]&gt;AVERAGE(Spotify[Energie]),"FORTE","FAIBLE")</f>
        <v>FAIBLE</v>
      </c>
      <c r="N1051" s="2">
        <v>0.48</v>
      </c>
      <c r="O1051" s="2">
        <v>0.373</v>
      </c>
      <c r="P1051" s="2">
        <v>2.7799999999999998E-2</v>
      </c>
      <c r="Q1051" s="2">
        <v>0.80400000000000005</v>
      </c>
      <c r="R1051" s="2">
        <v>0.12</v>
      </c>
      <c r="S1051" s="2">
        <v>3.7600000000000001E-2</v>
      </c>
      <c r="T1051" s="2">
        <v>-9.2970000000000006</v>
      </c>
      <c r="U1051">
        <v>207710</v>
      </c>
      <c r="V1051">
        <f>YEAR(Spotify[[#This Row],[Date de sortie]])</f>
        <v>2020</v>
      </c>
      <c r="W1051" s="2" t="str">
        <f>IF(Spotify[[#This Row],[Popularité]]&gt;=70,"FORTE","FAIBLE")</f>
        <v>FAIBLE</v>
      </c>
    </row>
    <row r="1052" spans="1:23" x14ac:dyDescent="0.25">
      <c r="A1052">
        <v>817</v>
      </c>
      <c r="B1052">
        <v>11</v>
      </c>
      <c r="C1052">
        <v>4</v>
      </c>
      <c r="D1052" s="1">
        <v>44106</v>
      </c>
      <c r="E1052" s="59" t="str" cm="1">
        <f t="array" ref="E105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52" t="s">
        <v>1411</v>
      </c>
      <c r="G1052" s="3">
        <v>6846771</v>
      </c>
      <c r="H1052" t="s">
        <v>917</v>
      </c>
      <c r="I1052" s="4">
        <v>23848461</v>
      </c>
      <c r="J1052" t="s">
        <v>33</v>
      </c>
      <c r="K1052" s="1">
        <v>44106</v>
      </c>
      <c r="L1052">
        <v>67</v>
      </c>
      <c r="M1052" s="2" t="str">
        <f>IF(Spotify[[#This Row],[Energie]]&gt;AVERAGE(Spotify[Energie]),"FORTE","FAIBLE")</f>
        <v>FORTE</v>
      </c>
      <c r="N1052" s="2">
        <v>0.65300000000000002</v>
      </c>
      <c r="O1052" s="2">
        <v>0.66200000000000003</v>
      </c>
      <c r="P1052" s="2">
        <v>0.16200000000000001</v>
      </c>
      <c r="Q1052" s="2">
        <v>4.6499999999999996E-3</v>
      </c>
      <c r="R1052" s="2">
        <v>6.2600000000000003E-2</v>
      </c>
      <c r="S1052" s="2">
        <v>0.67400000000000004</v>
      </c>
      <c r="T1052" s="2">
        <v>-6.1680000000000001</v>
      </c>
      <c r="U1052">
        <v>161168</v>
      </c>
      <c r="V1052">
        <f>YEAR(Spotify[[#This Row],[Date de sortie]])</f>
        <v>2020</v>
      </c>
      <c r="W1052" s="2" t="str">
        <f>IF(Spotify[[#This Row],[Popularité]]&gt;=70,"FORTE","FAIBLE")</f>
        <v>FAIBLE</v>
      </c>
    </row>
    <row r="1053" spans="1:23" x14ac:dyDescent="0.25">
      <c r="A1053">
        <v>977</v>
      </c>
      <c r="B1053">
        <v>29</v>
      </c>
      <c r="C1053">
        <v>2</v>
      </c>
      <c r="D1053" s="1">
        <v>44036</v>
      </c>
      <c r="E1053" s="59" t="str" cm="1">
        <f t="array" ref="E105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53" t="s">
        <v>1658</v>
      </c>
      <c r="G1053" s="3">
        <v>6796343</v>
      </c>
      <c r="H1053" t="s">
        <v>746</v>
      </c>
      <c r="I1053" s="4">
        <v>42227614</v>
      </c>
      <c r="J1053" t="s">
        <v>10</v>
      </c>
      <c r="K1053" s="1">
        <v>44036</v>
      </c>
      <c r="L1053">
        <v>67</v>
      </c>
      <c r="M1053" s="2" t="str">
        <f>IF(Spotify[[#This Row],[Energie]]&gt;AVERAGE(Spotify[Energie]),"FORTE","FAIBLE")</f>
        <v>FORTE</v>
      </c>
      <c r="N1053" s="2">
        <v>0.59199999999999997</v>
      </c>
      <c r="O1053" s="2">
        <v>0.69899999999999995</v>
      </c>
      <c r="P1053" s="2">
        <v>4.7100000000000003E-2</v>
      </c>
      <c r="Q1053" s="2">
        <v>0.65500000000000003</v>
      </c>
      <c r="R1053" s="2">
        <v>0.114</v>
      </c>
      <c r="S1053" s="2">
        <v>0.50600000000000001</v>
      </c>
      <c r="T1053" s="2">
        <v>-8.9949999999999992</v>
      </c>
      <c r="U1053">
        <v>237258</v>
      </c>
      <c r="V1053">
        <f>YEAR(Spotify[[#This Row],[Date de sortie]])</f>
        <v>2020</v>
      </c>
      <c r="W1053" s="2" t="str">
        <f>IF(Spotify[[#This Row],[Popularité]]&gt;=70,"FORTE","FAIBLE")</f>
        <v>FAIBLE</v>
      </c>
    </row>
    <row r="1054" spans="1:23" x14ac:dyDescent="0.25">
      <c r="A1054">
        <v>1283</v>
      </c>
      <c r="B1054">
        <v>103</v>
      </c>
      <c r="C1054">
        <v>1</v>
      </c>
      <c r="D1054" s="1">
        <v>43910</v>
      </c>
      <c r="E1054" s="59" t="str" cm="1">
        <f t="array" ref="E105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54" t="s">
        <v>2081</v>
      </c>
      <c r="G1054" s="3">
        <v>6651425</v>
      </c>
      <c r="H1054" t="s">
        <v>852</v>
      </c>
      <c r="I1054" s="4">
        <v>29067437</v>
      </c>
      <c r="J1054" t="s">
        <v>25</v>
      </c>
      <c r="K1054" s="1">
        <v>43909</v>
      </c>
      <c r="L1054">
        <v>67</v>
      </c>
      <c r="M1054" s="2" t="str">
        <f>IF(Spotify[[#This Row],[Energie]]&gt;AVERAGE(Spotify[Energie]),"FORTE","FAIBLE")</f>
        <v>FORTE</v>
      </c>
      <c r="N1054" s="2">
        <v>0.79500000000000004</v>
      </c>
      <c r="O1054" s="2">
        <v>0.91100000000000003</v>
      </c>
      <c r="P1054" s="2">
        <v>8.7499999999999994E-2</v>
      </c>
      <c r="Q1054" s="2">
        <v>1.5699999999999999E-2</v>
      </c>
      <c r="R1054" s="2">
        <v>0.13100000000000001</v>
      </c>
      <c r="S1054" s="2">
        <v>0.8</v>
      </c>
      <c r="T1054" s="2">
        <v>-2.2280000000000002</v>
      </c>
      <c r="U1054">
        <v>182093</v>
      </c>
      <c r="V1054">
        <f>YEAR(Spotify[[#This Row],[Date de sortie]])</f>
        <v>2020</v>
      </c>
      <c r="W1054" s="2" t="str">
        <f>IF(Spotify[[#This Row],[Popularité]]&gt;=70,"FORTE","FAIBLE")</f>
        <v>FAIBLE</v>
      </c>
    </row>
    <row r="1055" spans="1:23" x14ac:dyDescent="0.25">
      <c r="A1055">
        <v>1150</v>
      </c>
      <c r="B1055">
        <v>83</v>
      </c>
      <c r="C1055">
        <v>1</v>
      </c>
      <c r="D1055" s="1">
        <v>43973</v>
      </c>
      <c r="E1055" s="59" t="str" cm="1">
        <f t="array" ref="E105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055" t="s">
        <v>1899</v>
      </c>
      <c r="G1055" s="3">
        <v>6642144</v>
      </c>
      <c r="H1055" t="s">
        <v>1452</v>
      </c>
      <c r="I1055" s="4">
        <v>3337982</v>
      </c>
      <c r="J1055" t="s">
        <v>531</v>
      </c>
      <c r="K1055" s="1">
        <v>43973</v>
      </c>
      <c r="L1055">
        <v>67</v>
      </c>
      <c r="M1055" s="2" t="str">
        <f>IF(Spotify[[#This Row],[Energie]]&gt;AVERAGE(Spotify[Energie]),"FORTE","FAIBLE")</f>
        <v>FAIBLE</v>
      </c>
      <c r="N1055" s="2">
        <v>0.83699999999999997</v>
      </c>
      <c r="O1055" s="2">
        <v>0.58599999999999997</v>
      </c>
      <c r="P1055" s="2">
        <v>8.0699999999999994E-2</v>
      </c>
      <c r="Q1055" s="2">
        <v>0.28100000000000003</v>
      </c>
      <c r="R1055" s="2">
        <v>0.13400000000000001</v>
      </c>
      <c r="S1055" s="2">
        <v>0.61799999999999999</v>
      </c>
      <c r="T1055" s="2">
        <v>-8.5210000000000008</v>
      </c>
      <c r="U1055">
        <v>197000</v>
      </c>
      <c r="V1055">
        <f>YEAR(Spotify[[#This Row],[Date de sortie]])</f>
        <v>2020</v>
      </c>
      <c r="W1055" s="2" t="str">
        <f>IF(Spotify[[#This Row],[Popularité]]&gt;=70,"FORTE","FAIBLE")</f>
        <v>FAIBLE</v>
      </c>
    </row>
    <row r="1056" spans="1:23" x14ac:dyDescent="0.25">
      <c r="A1056">
        <v>692</v>
      </c>
      <c r="B1056">
        <v>24</v>
      </c>
      <c r="C1056">
        <v>2</v>
      </c>
      <c r="D1056" s="1">
        <v>44176</v>
      </c>
      <c r="E1056" s="59" t="str" cm="1">
        <f t="array" ref="E105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56" t="s">
        <v>1233</v>
      </c>
      <c r="G1056" s="3">
        <v>6635109</v>
      </c>
      <c r="H1056" t="s">
        <v>746</v>
      </c>
      <c r="I1056" s="4">
        <v>42227614</v>
      </c>
      <c r="J1056" t="s">
        <v>10</v>
      </c>
      <c r="K1056" s="1">
        <v>44176</v>
      </c>
      <c r="L1056">
        <v>67</v>
      </c>
      <c r="M1056" s="2" t="str">
        <f>IF(Spotify[[#This Row],[Energie]]&gt;AVERAGE(Spotify[Energie]),"FORTE","FAIBLE")</f>
        <v>FAIBLE</v>
      </c>
      <c r="N1056" s="2">
        <v>0.316</v>
      </c>
      <c r="O1056" s="2">
        <v>0.36099999999999999</v>
      </c>
      <c r="P1056" s="2">
        <v>4.8800000000000003E-2</v>
      </c>
      <c r="Q1056" s="2">
        <v>0.878</v>
      </c>
      <c r="R1056" s="2">
        <v>7.9699999999999993E-2</v>
      </c>
      <c r="S1056" s="2">
        <v>0.221</v>
      </c>
      <c r="T1056" s="2">
        <v>-10.381</v>
      </c>
      <c r="U1056">
        <v>245440</v>
      </c>
      <c r="V1056">
        <f>YEAR(Spotify[[#This Row],[Date de sortie]])</f>
        <v>2020</v>
      </c>
      <c r="W1056" s="2" t="str">
        <f>IF(Spotify[[#This Row],[Popularité]]&gt;=70,"FORTE","FAIBLE")</f>
        <v>FAIBLE</v>
      </c>
    </row>
    <row r="1057" spans="1:23" x14ac:dyDescent="0.25">
      <c r="A1057">
        <v>1359</v>
      </c>
      <c r="B1057">
        <v>123</v>
      </c>
      <c r="C1057">
        <v>1</v>
      </c>
      <c r="D1057" s="1">
        <v>43889</v>
      </c>
      <c r="E1057" s="59" t="str" cm="1">
        <f t="array" ref="E105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057" t="s">
        <v>2180</v>
      </c>
      <c r="G1057" s="3">
        <v>6540577</v>
      </c>
      <c r="H1057" t="s">
        <v>932</v>
      </c>
      <c r="I1057" s="4">
        <v>7816213</v>
      </c>
      <c r="J1057" t="s">
        <v>531</v>
      </c>
      <c r="K1057" s="1">
        <v>43889</v>
      </c>
      <c r="L1057">
        <v>67</v>
      </c>
      <c r="M1057" s="2" t="str">
        <f>IF(Spotify[[#This Row],[Energie]]&gt;AVERAGE(Spotify[Energie]),"FORTE","FAIBLE")</f>
        <v>FAIBLE</v>
      </c>
      <c r="N1057" s="2">
        <v>0.89200000000000002</v>
      </c>
      <c r="O1057" s="2">
        <v>0.48599999999999999</v>
      </c>
      <c r="P1057" s="2">
        <v>0.38400000000000001</v>
      </c>
      <c r="Q1057" s="2">
        <v>4.8000000000000001E-2</v>
      </c>
      <c r="R1057" s="2">
        <v>0.14599999999999999</v>
      </c>
      <c r="S1057" s="2">
        <v>0.53500000000000003</v>
      </c>
      <c r="T1057" s="2">
        <v>-8.6370000000000005</v>
      </c>
      <c r="U1057">
        <v>214215</v>
      </c>
      <c r="V1057">
        <f>YEAR(Spotify[[#This Row],[Date de sortie]])</f>
        <v>2020</v>
      </c>
      <c r="W1057" s="2" t="str">
        <f>IF(Spotify[[#This Row],[Popularité]]&gt;=70,"FORTE","FAIBLE")</f>
        <v>FAIBLE</v>
      </c>
    </row>
    <row r="1058" spans="1:23" x14ac:dyDescent="0.25">
      <c r="A1058">
        <v>1151</v>
      </c>
      <c r="B1058">
        <v>90</v>
      </c>
      <c r="C1058">
        <v>1</v>
      </c>
      <c r="D1058" s="1">
        <v>43973</v>
      </c>
      <c r="E1058" s="59" t="str" cm="1">
        <f t="array" ref="E105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58" t="s">
        <v>1900</v>
      </c>
      <c r="G1058" s="3">
        <v>6511008</v>
      </c>
      <c r="H1058" t="s">
        <v>41</v>
      </c>
      <c r="I1058" s="4">
        <v>35340069</v>
      </c>
      <c r="J1058" t="s">
        <v>42</v>
      </c>
      <c r="K1058" s="1">
        <v>43972</v>
      </c>
      <c r="L1058">
        <v>67</v>
      </c>
      <c r="M1058" s="2" t="str">
        <f>IF(Spotify[[#This Row],[Energie]]&gt;AVERAGE(Spotify[Energie]),"FORTE","FAIBLE")</f>
        <v>FORTE</v>
      </c>
      <c r="N1058" s="2">
        <v>0.67900000000000005</v>
      </c>
      <c r="O1058" s="2">
        <v>0.73099999999999998</v>
      </c>
      <c r="P1058" s="2">
        <v>3.1899999999999998E-2</v>
      </c>
      <c r="Q1058" s="2">
        <v>5.1799999999999997E-3</v>
      </c>
      <c r="R1058" s="2">
        <v>6.1400000000000003E-2</v>
      </c>
      <c r="S1058" s="2">
        <v>0.72699999999999998</v>
      </c>
      <c r="T1058" s="2">
        <v>-5.5220000000000002</v>
      </c>
      <c r="U1058">
        <v>237912</v>
      </c>
      <c r="V1058">
        <f>YEAR(Spotify[[#This Row],[Date de sortie]])</f>
        <v>2020</v>
      </c>
      <c r="W1058" s="2" t="str">
        <f>IF(Spotify[[#This Row],[Popularité]]&gt;=70,"FORTE","FAIBLE")</f>
        <v>FAIBLE</v>
      </c>
    </row>
    <row r="1059" spans="1:23" x14ac:dyDescent="0.25">
      <c r="A1059">
        <v>1390</v>
      </c>
      <c r="B1059">
        <v>120</v>
      </c>
      <c r="C1059">
        <v>1</v>
      </c>
      <c r="D1059" s="1">
        <v>43882</v>
      </c>
      <c r="E1059" s="59" t="str" cm="1">
        <f t="array" ref="E105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59" t="s">
        <v>2221</v>
      </c>
      <c r="G1059" s="3">
        <v>6373954</v>
      </c>
      <c r="H1059" t="s">
        <v>32</v>
      </c>
      <c r="I1059" s="4">
        <v>37151476</v>
      </c>
      <c r="J1059" t="s">
        <v>33</v>
      </c>
      <c r="K1059" s="1">
        <v>43882</v>
      </c>
      <c r="L1059">
        <v>67</v>
      </c>
      <c r="M1059" s="2" t="str">
        <f>IF(Spotify[[#This Row],[Energie]]&gt;AVERAGE(Spotify[Energie]),"FORTE","FAIBLE")</f>
        <v>FORTE</v>
      </c>
      <c r="N1059" s="2">
        <v>0.66100000000000003</v>
      </c>
      <c r="O1059" s="2">
        <v>0.84</v>
      </c>
      <c r="P1059" s="2">
        <v>0.11600000000000001</v>
      </c>
      <c r="Q1059" s="2">
        <v>4.8500000000000001E-3</v>
      </c>
      <c r="R1059" s="2">
        <v>0.28699999999999998</v>
      </c>
      <c r="S1059" s="2">
        <v>0.52400000000000002</v>
      </c>
      <c r="T1059" s="2">
        <v>-4.8049999999999997</v>
      </c>
      <c r="U1059">
        <v>237540</v>
      </c>
      <c r="V1059">
        <f>YEAR(Spotify[[#This Row],[Date de sortie]])</f>
        <v>2020</v>
      </c>
      <c r="W1059" s="2" t="str">
        <f>IF(Spotify[[#This Row],[Popularité]]&gt;=70,"FORTE","FAIBLE")</f>
        <v>FAIBLE</v>
      </c>
    </row>
    <row r="1060" spans="1:23" x14ac:dyDescent="0.25">
      <c r="A1060">
        <v>1533</v>
      </c>
      <c r="B1060">
        <v>107</v>
      </c>
      <c r="C1060">
        <v>2</v>
      </c>
      <c r="D1060" s="1">
        <v>43833</v>
      </c>
      <c r="E1060" s="59" t="str" cm="1">
        <f t="array" ref="E106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60" t="s">
        <v>2410</v>
      </c>
      <c r="G1060" s="3">
        <v>6145132</v>
      </c>
      <c r="H1060" t="s">
        <v>2411</v>
      </c>
      <c r="I1060" s="4">
        <v>18195884</v>
      </c>
      <c r="J1060" t="s">
        <v>19</v>
      </c>
      <c r="K1060" s="1">
        <v>43805</v>
      </c>
      <c r="L1060">
        <v>67</v>
      </c>
      <c r="M1060" s="2" t="str">
        <f>IF(Spotify[[#This Row],[Energie]]&gt;AVERAGE(Spotify[Energie]),"FORTE","FAIBLE")</f>
        <v>FAIBLE</v>
      </c>
      <c r="N1060" s="2">
        <v>0.58399999999999996</v>
      </c>
      <c r="O1060" s="2">
        <v>0.60699999999999998</v>
      </c>
      <c r="P1060" s="2">
        <v>3.56E-2</v>
      </c>
      <c r="Q1060" s="2">
        <v>0.42599999999999999</v>
      </c>
      <c r="R1060" s="2">
        <v>0.10100000000000001</v>
      </c>
      <c r="S1060" s="2">
        <v>0.374</v>
      </c>
      <c r="T1060" s="2">
        <v>-6.6050000000000004</v>
      </c>
      <c r="U1060">
        <v>194827</v>
      </c>
      <c r="V1060">
        <f>YEAR(Spotify[[#This Row],[Date de sortie]])</f>
        <v>2019</v>
      </c>
      <c r="W1060" s="2" t="str">
        <f>IF(Spotify[[#This Row],[Popularité]]&gt;=70,"FORTE","FAIBLE")</f>
        <v>FAIBLE</v>
      </c>
    </row>
    <row r="1061" spans="1:23" x14ac:dyDescent="0.25">
      <c r="A1061">
        <v>1172</v>
      </c>
      <c r="B1061">
        <v>12</v>
      </c>
      <c r="C1061">
        <v>3</v>
      </c>
      <c r="D1061" s="1">
        <v>43952</v>
      </c>
      <c r="E1061" s="59" t="str" cm="1">
        <f t="array" ref="E106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061" t="s">
        <v>1930</v>
      </c>
      <c r="G1061" s="3">
        <v>6085143</v>
      </c>
      <c r="H1061" t="s">
        <v>179</v>
      </c>
      <c r="I1061" s="4">
        <v>56327031</v>
      </c>
      <c r="J1061" t="s">
        <v>155</v>
      </c>
      <c r="K1061" s="1">
        <v>43952</v>
      </c>
      <c r="L1061">
        <v>67</v>
      </c>
      <c r="M1061" s="2" t="str">
        <f>IF(Spotify[[#This Row],[Energie]]&gt;AVERAGE(Spotify[Energie]),"FORTE","FAIBLE")</f>
        <v>FAIBLE</v>
      </c>
      <c r="N1061" s="2">
        <v>0.82499999999999996</v>
      </c>
      <c r="O1061" s="2">
        <v>0.373</v>
      </c>
      <c r="P1061" s="2">
        <v>0.108</v>
      </c>
      <c r="Q1061" s="2">
        <v>0.16300000000000001</v>
      </c>
      <c r="R1061" s="2">
        <v>0.36799999999999999</v>
      </c>
      <c r="S1061" s="2">
        <v>0.12</v>
      </c>
      <c r="T1061" s="2">
        <v>-5.532</v>
      </c>
      <c r="U1061">
        <v>149078</v>
      </c>
      <c r="V1061">
        <f>YEAR(Spotify[[#This Row],[Date de sortie]])</f>
        <v>2020</v>
      </c>
      <c r="W1061" s="2" t="str">
        <f>IF(Spotify[[#This Row],[Popularité]]&gt;=70,"FORTE","FAIBLE")</f>
        <v>FAIBLE</v>
      </c>
    </row>
    <row r="1062" spans="1:23" x14ac:dyDescent="0.25">
      <c r="A1062">
        <v>979</v>
      </c>
      <c r="B1062">
        <v>41</v>
      </c>
      <c r="C1062">
        <v>2</v>
      </c>
      <c r="D1062" s="1">
        <v>44036</v>
      </c>
      <c r="E1062" s="59" t="str" cm="1">
        <f t="array" ref="E106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62" t="s">
        <v>1660</v>
      </c>
      <c r="G1062" s="3">
        <v>5943851</v>
      </c>
      <c r="H1062" t="s">
        <v>746</v>
      </c>
      <c r="I1062" s="4">
        <v>42227614</v>
      </c>
      <c r="J1062" t="s">
        <v>10</v>
      </c>
      <c r="K1062" s="1">
        <v>44036</v>
      </c>
      <c r="L1062">
        <v>67</v>
      </c>
      <c r="M1062" s="2" t="str">
        <f>IF(Spotify[[#This Row],[Energie]]&gt;AVERAGE(Spotify[Energie]),"FORTE","FAIBLE")</f>
        <v>FAIBLE</v>
      </c>
      <c r="N1062" s="2">
        <v>0.64700000000000002</v>
      </c>
      <c r="O1062" s="2">
        <v>0.27200000000000002</v>
      </c>
      <c r="P1062" s="2">
        <v>9.1600000000000001E-2</v>
      </c>
      <c r="Q1062" s="2">
        <v>0.91800000000000004</v>
      </c>
      <c r="R1062" s="2">
        <v>9.1800000000000007E-2</v>
      </c>
      <c r="S1062" s="2">
        <v>0.33900000000000002</v>
      </c>
      <c r="T1062" s="2">
        <v>-12.906000000000001</v>
      </c>
      <c r="U1062">
        <v>234000</v>
      </c>
      <c r="V1062">
        <f>YEAR(Spotify[[#This Row],[Date de sortie]])</f>
        <v>2020</v>
      </c>
      <c r="W1062" s="2" t="str">
        <f>IF(Spotify[[#This Row],[Popularité]]&gt;=70,"FORTE","FAIBLE")</f>
        <v>FAIBLE</v>
      </c>
    </row>
    <row r="1063" spans="1:23" x14ac:dyDescent="0.25">
      <c r="A1063">
        <v>134</v>
      </c>
      <c r="B1063">
        <v>76</v>
      </c>
      <c r="C1063">
        <v>16</v>
      </c>
      <c r="D1063" s="1">
        <v>44309</v>
      </c>
      <c r="E1063" s="59" t="str" cm="1">
        <f t="array" ref="E106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63" t="s">
        <v>284</v>
      </c>
      <c r="G1063" s="3">
        <v>5914661</v>
      </c>
      <c r="H1063" t="s">
        <v>285</v>
      </c>
      <c r="I1063" s="4">
        <v>1838616</v>
      </c>
      <c r="J1063" t="s">
        <v>10</v>
      </c>
      <c r="K1063" s="1">
        <v>41534</v>
      </c>
      <c r="L1063">
        <v>67</v>
      </c>
      <c r="M1063" s="2" t="str">
        <f>IF(Spotify[[#This Row],[Energie]]&gt;AVERAGE(Spotify[Energie]),"FORTE","FAIBLE")</f>
        <v>FAIBLE</v>
      </c>
      <c r="N1063" s="2">
        <v>0.44500000000000001</v>
      </c>
      <c r="O1063" s="2">
        <v>0.53700000000000003</v>
      </c>
      <c r="P1063" s="2">
        <v>0.04</v>
      </c>
      <c r="Q1063" s="2">
        <v>0.69499999999999995</v>
      </c>
      <c r="R1063" s="2">
        <v>9.4100000000000003E-2</v>
      </c>
      <c r="S1063" s="2">
        <v>0.13100000000000001</v>
      </c>
      <c r="T1063" s="2">
        <v>-8.532</v>
      </c>
      <c r="U1063">
        <v>244360</v>
      </c>
      <c r="V1063">
        <f>YEAR(Spotify[[#This Row],[Date de sortie]])</f>
        <v>2013</v>
      </c>
      <c r="W1063" s="2" t="str">
        <f>IF(Spotify[[#This Row],[Popularité]]&gt;=70,"FORTE","FAIBLE")</f>
        <v>FAIBLE</v>
      </c>
    </row>
    <row r="1064" spans="1:23" x14ac:dyDescent="0.25">
      <c r="A1064">
        <v>440</v>
      </c>
      <c r="B1064">
        <v>146</v>
      </c>
      <c r="C1064">
        <v>1</v>
      </c>
      <c r="D1064" s="1">
        <v>44295</v>
      </c>
      <c r="E1064" s="59" t="str" cm="1">
        <f t="array" ref="E106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64" t="s">
        <v>807</v>
      </c>
      <c r="G1064" s="3">
        <v>5889939</v>
      </c>
      <c r="H1064" t="s">
        <v>746</v>
      </c>
      <c r="I1064" s="4">
        <v>42227614</v>
      </c>
      <c r="J1064" t="s">
        <v>10</v>
      </c>
      <c r="K1064" s="1">
        <v>44295</v>
      </c>
      <c r="L1064">
        <v>67</v>
      </c>
      <c r="M1064" s="2" t="str">
        <f>IF(Spotify[[#This Row],[Energie]]&gt;AVERAGE(Spotify[Energie]),"FORTE","FAIBLE")</f>
        <v>FAIBLE</v>
      </c>
      <c r="N1064" s="2">
        <v>0.58799999999999997</v>
      </c>
      <c r="O1064" s="2">
        <v>0.60799999999999998</v>
      </c>
      <c r="P1064" s="2">
        <v>3.6499999999999998E-2</v>
      </c>
      <c r="Q1064" s="2">
        <v>0.22500000000000001</v>
      </c>
      <c r="R1064" s="2">
        <v>9.1999999999999998E-2</v>
      </c>
      <c r="S1064" s="2">
        <v>0.50800000000000001</v>
      </c>
      <c r="T1064" s="2">
        <v>-7.0620000000000003</v>
      </c>
      <c r="U1064">
        <v>189496</v>
      </c>
      <c r="V1064">
        <f>YEAR(Spotify[[#This Row],[Date de sortie]])</f>
        <v>2021</v>
      </c>
      <c r="W1064" s="2" t="str">
        <f>IF(Spotify[[#This Row],[Popularité]]&gt;=70,"FORTE","FAIBLE")</f>
        <v>FAIBLE</v>
      </c>
    </row>
    <row r="1065" spans="1:23" x14ac:dyDescent="0.25">
      <c r="A1065">
        <v>1269</v>
      </c>
      <c r="B1065">
        <v>28</v>
      </c>
      <c r="C1065">
        <v>2</v>
      </c>
      <c r="D1065" s="1">
        <v>43910</v>
      </c>
      <c r="E1065" s="59" t="str" cm="1">
        <f t="array" ref="E106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65" t="s">
        <v>2065</v>
      </c>
      <c r="G1065" s="3">
        <v>5867746</v>
      </c>
      <c r="H1065" t="s">
        <v>41</v>
      </c>
      <c r="I1065" s="4">
        <v>35340069</v>
      </c>
      <c r="J1065" t="s">
        <v>42</v>
      </c>
      <c r="K1065" s="1">
        <v>43910</v>
      </c>
      <c r="L1065">
        <v>67</v>
      </c>
      <c r="M1065" s="2" t="str">
        <f>IF(Spotify[[#This Row],[Energie]]&gt;AVERAGE(Spotify[Energie]),"FORTE","FAIBLE")</f>
        <v>FORTE</v>
      </c>
      <c r="N1065" s="2">
        <v>0.63800000000000001</v>
      </c>
      <c r="O1065" s="2">
        <v>0.86299999999999999</v>
      </c>
      <c r="P1065" s="2">
        <v>0.13200000000000001</v>
      </c>
      <c r="Q1065" s="2">
        <v>5.1999999999999998E-2</v>
      </c>
      <c r="R1065" s="2">
        <v>0.68500000000000005</v>
      </c>
      <c r="S1065" s="2">
        <v>0.22600000000000001</v>
      </c>
      <c r="T1065" s="2">
        <v>-5.2210000000000001</v>
      </c>
      <c r="U1065">
        <v>239973</v>
      </c>
      <c r="V1065">
        <f>YEAR(Spotify[[#This Row],[Date de sortie]])</f>
        <v>2020</v>
      </c>
      <c r="W1065" s="2" t="str">
        <f>IF(Spotify[[#This Row],[Popularité]]&gt;=70,"FORTE","FAIBLE")</f>
        <v>FAIBLE</v>
      </c>
    </row>
    <row r="1066" spans="1:23" x14ac:dyDescent="0.25">
      <c r="A1066">
        <v>1271</v>
      </c>
      <c r="B1066">
        <v>36</v>
      </c>
      <c r="C1066">
        <v>2</v>
      </c>
      <c r="D1066" s="1">
        <v>43910</v>
      </c>
      <c r="E1066" s="59" t="str" cm="1">
        <f t="array" ref="E106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66" t="s">
        <v>2067</v>
      </c>
      <c r="G1066" s="3">
        <v>5730081</v>
      </c>
      <c r="H1066" t="s">
        <v>41</v>
      </c>
      <c r="I1066" s="4">
        <v>35340069</v>
      </c>
      <c r="J1066" t="s">
        <v>42</v>
      </c>
      <c r="K1066" s="1">
        <v>43910</v>
      </c>
      <c r="L1066">
        <v>67</v>
      </c>
      <c r="M1066" s="2" t="str">
        <f>IF(Spotify[[#This Row],[Energie]]&gt;AVERAGE(Spotify[Energie]),"FORTE","FAIBLE")</f>
        <v>FAIBLE</v>
      </c>
      <c r="N1066" s="2">
        <v>0.375</v>
      </c>
      <c r="O1066" s="2">
        <v>0.60499999999999998</v>
      </c>
      <c r="P1066" s="2">
        <v>7.2900000000000006E-2</v>
      </c>
      <c r="Q1066" s="2">
        <v>0.61199999999999999</v>
      </c>
      <c r="R1066" s="2">
        <v>0.14699999999999999</v>
      </c>
      <c r="S1066" s="2">
        <v>0.128</v>
      </c>
      <c r="T1066" s="2">
        <v>-7.2679999999999998</v>
      </c>
      <c r="U1066">
        <v>283227</v>
      </c>
      <c r="V1066">
        <f>YEAR(Spotify[[#This Row],[Date de sortie]])</f>
        <v>2020</v>
      </c>
      <c r="W1066" s="2" t="str">
        <f>IF(Spotify[[#This Row],[Popularité]]&gt;=70,"FORTE","FAIBLE")</f>
        <v>FAIBLE</v>
      </c>
    </row>
    <row r="1067" spans="1:23" x14ac:dyDescent="0.25">
      <c r="A1067">
        <v>1363</v>
      </c>
      <c r="B1067">
        <v>91</v>
      </c>
      <c r="C1067">
        <v>10</v>
      </c>
      <c r="D1067" s="1">
        <v>43861</v>
      </c>
      <c r="E1067" s="59" t="str" cm="1">
        <f t="array" ref="E106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67" t="s">
        <v>2184</v>
      </c>
      <c r="G1067" s="3">
        <v>5676621</v>
      </c>
      <c r="H1067" t="s">
        <v>2185</v>
      </c>
      <c r="I1067" s="4">
        <v>3600989</v>
      </c>
      <c r="J1067" t="s">
        <v>25</v>
      </c>
      <c r="K1067" s="1">
        <v>43791</v>
      </c>
      <c r="L1067">
        <v>67</v>
      </c>
      <c r="M1067" s="2" t="str">
        <f>IF(Spotify[[#This Row],[Energie]]&gt;AVERAGE(Spotify[Energie]),"FORTE","FAIBLE")</f>
        <v>FORTE</v>
      </c>
      <c r="N1067" s="2">
        <v>0.79500000000000004</v>
      </c>
      <c r="O1067" s="2">
        <v>0.71499999999999997</v>
      </c>
      <c r="P1067" s="2">
        <v>8.3799999999999999E-2</v>
      </c>
      <c r="Q1067" s="2">
        <v>0.14099999999999999</v>
      </c>
      <c r="R1067" s="2">
        <v>0.17899999999999999</v>
      </c>
      <c r="S1067" s="2">
        <v>0.75800000000000001</v>
      </c>
      <c r="T1067" s="2">
        <v>-3.5819999999999999</v>
      </c>
      <c r="U1067">
        <v>304733</v>
      </c>
      <c r="V1067">
        <f>YEAR(Spotify[[#This Row],[Date de sortie]])</f>
        <v>2019</v>
      </c>
      <c r="W1067" s="2" t="str">
        <f>IF(Spotify[[#This Row],[Popularité]]&gt;=70,"FORTE","FAIBLE")</f>
        <v>FAIBLE</v>
      </c>
    </row>
    <row r="1068" spans="1:23" x14ac:dyDescent="0.25">
      <c r="A1068">
        <v>1253</v>
      </c>
      <c r="B1068">
        <v>46</v>
      </c>
      <c r="C1068">
        <v>5</v>
      </c>
      <c r="D1068" s="1">
        <v>43896</v>
      </c>
      <c r="E1068" s="59" t="str" cm="1">
        <f t="array" ref="E106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68" t="s">
        <v>2045</v>
      </c>
      <c r="G1068" s="3">
        <v>5449099</v>
      </c>
      <c r="H1068" t="s">
        <v>751</v>
      </c>
      <c r="I1068" s="4">
        <v>20338833</v>
      </c>
      <c r="J1068" t="s">
        <v>19</v>
      </c>
      <c r="K1068" s="1">
        <v>43896</v>
      </c>
      <c r="L1068">
        <v>67</v>
      </c>
      <c r="M1068" s="2" t="str">
        <f>IF(Spotify[[#This Row],[Energie]]&gt;AVERAGE(Spotify[Energie]),"FORTE","FAIBLE")</f>
        <v>FAIBLE</v>
      </c>
      <c r="N1068" s="2">
        <v>0.66400000000000003</v>
      </c>
      <c r="O1068" s="2">
        <v>0.56100000000000005</v>
      </c>
      <c r="P1068" s="2">
        <v>4.9500000000000002E-2</v>
      </c>
      <c r="Q1068" s="2">
        <v>2.6099999999999999E-3</v>
      </c>
      <c r="R1068" s="2">
        <v>7.6399999999999996E-2</v>
      </c>
      <c r="S1068" s="2">
        <v>0.71299999999999997</v>
      </c>
      <c r="T1068" s="2">
        <v>-7.0309999999999997</v>
      </c>
      <c r="U1068">
        <v>203672</v>
      </c>
      <c r="V1068">
        <f>YEAR(Spotify[[#This Row],[Date de sortie]])</f>
        <v>2020</v>
      </c>
      <c r="W1068" s="2" t="str">
        <f>IF(Spotify[[#This Row],[Popularité]]&gt;=70,"FORTE","FAIBLE")</f>
        <v>FAIBLE</v>
      </c>
    </row>
    <row r="1069" spans="1:23" x14ac:dyDescent="0.25">
      <c r="A1069">
        <v>1366</v>
      </c>
      <c r="B1069">
        <v>32</v>
      </c>
      <c r="C1069">
        <v>10</v>
      </c>
      <c r="D1069" s="1">
        <v>43833</v>
      </c>
      <c r="E1069" s="59" t="str" cm="1">
        <f t="array" ref="E106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069" t="s">
        <v>2189</v>
      </c>
      <c r="G1069" s="3">
        <v>5386512</v>
      </c>
      <c r="H1069" t="s">
        <v>1780</v>
      </c>
      <c r="I1069" s="4">
        <v>11821805</v>
      </c>
      <c r="J1069" t="s">
        <v>235</v>
      </c>
      <c r="K1069" s="1">
        <v>43811</v>
      </c>
      <c r="L1069">
        <v>67</v>
      </c>
      <c r="M1069" s="2" t="str">
        <f>IF(Spotify[[#This Row],[Energie]]&gt;AVERAGE(Spotify[Energie]),"FORTE","FAIBLE")</f>
        <v>FAIBLE</v>
      </c>
      <c r="N1069" s="2">
        <v>0.88100000000000001</v>
      </c>
      <c r="O1069" s="2">
        <v>0.45700000000000002</v>
      </c>
      <c r="P1069" s="2">
        <v>0.156</v>
      </c>
      <c r="Q1069" s="2">
        <v>3.27E-2</v>
      </c>
      <c r="R1069" s="2">
        <v>0.23100000000000001</v>
      </c>
      <c r="S1069" s="2">
        <v>0.29599999999999999</v>
      </c>
      <c r="T1069" s="2">
        <v>-8.1910000000000007</v>
      </c>
      <c r="U1069">
        <v>198913</v>
      </c>
      <c r="V1069">
        <f>YEAR(Spotify[[#This Row],[Date de sortie]])</f>
        <v>2019</v>
      </c>
      <c r="W1069" s="2" t="str">
        <f>IF(Spotify[[#This Row],[Popularité]]&gt;=70,"FORTE","FAIBLE")</f>
        <v>FAIBLE</v>
      </c>
    </row>
    <row r="1070" spans="1:23" x14ac:dyDescent="0.25">
      <c r="A1070">
        <v>476</v>
      </c>
      <c r="B1070">
        <v>57</v>
      </c>
      <c r="C1070">
        <v>2</v>
      </c>
      <c r="D1070" s="1">
        <v>44274</v>
      </c>
      <c r="E1070" s="59" t="str" cm="1">
        <f t="array" ref="E107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70" t="s">
        <v>868</v>
      </c>
      <c r="G1070" s="3">
        <v>5323412</v>
      </c>
      <c r="H1070" t="s">
        <v>35</v>
      </c>
      <c r="I1070" s="4">
        <v>48544923</v>
      </c>
      <c r="J1070" t="s">
        <v>36</v>
      </c>
      <c r="K1070" s="1">
        <v>44274</v>
      </c>
      <c r="L1070">
        <v>67</v>
      </c>
      <c r="M1070" s="2" t="str">
        <f>IF(Spotify[[#This Row],[Energie]]&gt;AVERAGE(Spotify[Energie]),"FORTE","FAIBLE")</f>
        <v>FAIBLE</v>
      </c>
      <c r="N1070" s="2">
        <v>0.72799999999999998</v>
      </c>
      <c r="O1070" s="2">
        <v>0.629</v>
      </c>
      <c r="P1070" s="2">
        <v>3.1800000000000002E-2</v>
      </c>
      <c r="Q1070" s="2">
        <v>1.9599999999999999E-3</v>
      </c>
      <c r="R1070" s="2">
        <v>8.4699999999999998E-2</v>
      </c>
      <c r="S1070" s="2">
        <v>0.71</v>
      </c>
      <c r="T1070" s="2">
        <v>-6.6289999999999996</v>
      </c>
      <c r="U1070">
        <v>198426</v>
      </c>
      <c r="V1070">
        <f>YEAR(Spotify[[#This Row],[Date de sortie]])</f>
        <v>2021</v>
      </c>
      <c r="W1070" s="2" t="str">
        <f>IF(Spotify[[#This Row],[Popularité]]&gt;=70,"FORTE","FAIBLE")</f>
        <v>FAIBLE</v>
      </c>
    </row>
    <row r="1071" spans="1:23" x14ac:dyDescent="0.25">
      <c r="A1071">
        <v>509</v>
      </c>
      <c r="B1071">
        <v>170</v>
      </c>
      <c r="C1071">
        <v>1</v>
      </c>
      <c r="D1071" s="1">
        <v>44260</v>
      </c>
      <c r="E1071" s="59" t="str" cm="1">
        <f t="array" ref="E107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71" t="s">
        <v>924</v>
      </c>
      <c r="G1071" s="3">
        <v>5321946</v>
      </c>
      <c r="H1071" t="s">
        <v>925</v>
      </c>
      <c r="I1071" s="4">
        <v>568711</v>
      </c>
      <c r="J1071" t="s">
        <v>536</v>
      </c>
      <c r="K1071" s="1">
        <v>44258</v>
      </c>
      <c r="L1071">
        <v>67</v>
      </c>
      <c r="M1071" s="2" t="str">
        <f>IF(Spotify[[#This Row],[Energie]]&gt;AVERAGE(Spotify[Energie]),"FORTE","FAIBLE")</f>
        <v>FORTE</v>
      </c>
      <c r="N1071" s="2">
        <v>0.64100000000000001</v>
      </c>
      <c r="O1071" s="2">
        <v>0.63600000000000001</v>
      </c>
      <c r="P1071" s="2">
        <v>4.1399999999999999E-2</v>
      </c>
      <c r="Q1071" s="2">
        <v>0.28899999999999998</v>
      </c>
      <c r="R1071" s="2">
        <v>0.125</v>
      </c>
      <c r="S1071" s="2">
        <v>0.28499999999999998</v>
      </c>
      <c r="T1071" s="2">
        <v>-4.3179999999999996</v>
      </c>
      <c r="U1071">
        <v>222667</v>
      </c>
      <c r="V1071">
        <f>YEAR(Spotify[[#This Row],[Date de sortie]])</f>
        <v>2021</v>
      </c>
      <c r="W1071" s="2" t="str">
        <f>IF(Spotify[[#This Row],[Popularité]]&gt;=70,"FORTE","FAIBLE")</f>
        <v>FAIBLE</v>
      </c>
    </row>
    <row r="1072" spans="1:23" x14ac:dyDescent="0.25">
      <c r="A1072">
        <v>608</v>
      </c>
      <c r="B1072">
        <v>141</v>
      </c>
      <c r="C1072">
        <v>2</v>
      </c>
      <c r="D1072" s="1">
        <v>43896</v>
      </c>
      <c r="E1072" s="59" t="str" cm="1">
        <f t="array" ref="E107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072" t="s">
        <v>1078</v>
      </c>
      <c r="G1072" s="3">
        <v>5317174</v>
      </c>
      <c r="H1072" t="s">
        <v>1079</v>
      </c>
      <c r="I1072" s="4">
        <v>1674348</v>
      </c>
      <c r="J1072" t="s">
        <v>206</v>
      </c>
      <c r="K1072" s="1">
        <v>44197</v>
      </c>
      <c r="L1072">
        <v>67</v>
      </c>
      <c r="M1072" s="2" t="str">
        <f>IF(Spotify[[#This Row],[Energie]]&gt;AVERAGE(Spotify[Energie]),"FORTE","FAIBLE")</f>
        <v>FORTE</v>
      </c>
      <c r="N1072" s="2">
        <v>0.59899999999999998</v>
      </c>
      <c r="O1072" s="2">
        <v>0.79</v>
      </c>
      <c r="P1072" s="2">
        <v>0.38600000000000001</v>
      </c>
      <c r="Q1072" s="2">
        <v>2.1299999999999999E-2</v>
      </c>
      <c r="R1072" s="2">
        <v>7.7799999999999994E-2</v>
      </c>
      <c r="S1072" s="2">
        <v>0.52800000000000002</v>
      </c>
      <c r="T1072" s="2">
        <v>-4.3520000000000003</v>
      </c>
      <c r="U1072">
        <v>201501</v>
      </c>
      <c r="V1072">
        <f>YEAR(Spotify[[#This Row],[Date de sortie]])</f>
        <v>2021</v>
      </c>
      <c r="W1072" s="2" t="str">
        <f>IF(Spotify[[#This Row],[Popularité]]&gt;=70,"FORTE","FAIBLE")</f>
        <v>FAIBLE</v>
      </c>
    </row>
    <row r="1073" spans="1:23" x14ac:dyDescent="0.25">
      <c r="A1073">
        <v>772</v>
      </c>
      <c r="B1073">
        <v>20</v>
      </c>
      <c r="C1073">
        <v>3</v>
      </c>
      <c r="D1073" s="1">
        <v>44134</v>
      </c>
      <c r="E1073" s="59" t="str" cm="1">
        <f t="array" ref="E107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73" t="s">
        <v>1343</v>
      </c>
      <c r="G1073" s="3">
        <v>5308945</v>
      </c>
      <c r="H1073" t="s">
        <v>202</v>
      </c>
      <c r="I1073" s="4">
        <v>67208170</v>
      </c>
      <c r="J1073" t="s">
        <v>19</v>
      </c>
      <c r="K1073" s="1">
        <v>44134</v>
      </c>
      <c r="L1073">
        <v>67</v>
      </c>
      <c r="M1073" s="2" t="str">
        <f>IF(Spotify[[#This Row],[Energie]]&gt;AVERAGE(Spotify[Energie]),"FORTE","FAIBLE")</f>
        <v>FAIBLE</v>
      </c>
      <c r="N1073" s="2">
        <v>0.41099999999999998</v>
      </c>
      <c r="O1073" s="2">
        <v>0.52200000000000002</v>
      </c>
      <c r="P1073" s="2">
        <v>9.8100000000000007E-2</v>
      </c>
      <c r="Q1073" s="2">
        <v>0.51900000000000002</v>
      </c>
      <c r="R1073" s="2">
        <v>0.39800000000000002</v>
      </c>
      <c r="S1073" s="2">
        <v>0.38200000000000001</v>
      </c>
      <c r="T1073" s="2">
        <v>-7.2949999999999999</v>
      </c>
      <c r="U1073">
        <v>239949</v>
      </c>
      <c r="V1073">
        <f>YEAR(Spotify[[#This Row],[Date de sortie]])</f>
        <v>2020</v>
      </c>
      <c r="W1073" s="2" t="str">
        <f>IF(Spotify[[#This Row],[Popularité]]&gt;=70,"FORTE","FAIBLE")</f>
        <v>FAIBLE</v>
      </c>
    </row>
    <row r="1074" spans="1:23" x14ac:dyDescent="0.25">
      <c r="A1074">
        <v>1273</v>
      </c>
      <c r="B1074">
        <v>37</v>
      </c>
      <c r="C1074">
        <v>2</v>
      </c>
      <c r="D1074" s="1">
        <v>43910</v>
      </c>
      <c r="E1074" s="59" t="str" cm="1">
        <f t="array" ref="E107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74" t="s">
        <v>2069</v>
      </c>
      <c r="G1074" s="3">
        <v>5307288</v>
      </c>
      <c r="H1074" t="s">
        <v>41</v>
      </c>
      <c r="I1074" s="4">
        <v>35340069</v>
      </c>
      <c r="J1074" t="s">
        <v>42</v>
      </c>
      <c r="K1074" s="1">
        <v>43910</v>
      </c>
      <c r="L1074">
        <v>67</v>
      </c>
      <c r="M1074" s="2" t="str">
        <f>IF(Spotify[[#This Row],[Energie]]&gt;AVERAGE(Spotify[Energie]),"FORTE","FAIBLE")</f>
        <v>FAIBLE</v>
      </c>
      <c r="N1074" s="2">
        <v>0.40400000000000003</v>
      </c>
      <c r="O1074" s="2">
        <v>0.52400000000000002</v>
      </c>
      <c r="P1074" s="2">
        <v>5.9299999999999999E-2</v>
      </c>
      <c r="Q1074" s="2">
        <v>4.5600000000000002E-2</v>
      </c>
      <c r="R1074" s="2">
        <v>0.19900000000000001</v>
      </c>
      <c r="S1074" s="2">
        <v>0.16800000000000001</v>
      </c>
      <c r="T1074" s="2">
        <v>-8.9960000000000004</v>
      </c>
      <c r="U1074">
        <v>355960</v>
      </c>
      <c r="V1074">
        <f>YEAR(Spotify[[#This Row],[Date de sortie]])</f>
        <v>2020</v>
      </c>
      <c r="W1074" s="2" t="str">
        <f>IF(Spotify[[#This Row],[Popularité]]&gt;=70,"FORTE","FAIBLE")</f>
        <v>FAIBLE</v>
      </c>
    </row>
    <row r="1075" spans="1:23" x14ac:dyDescent="0.25">
      <c r="A1075">
        <v>926</v>
      </c>
      <c r="B1075">
        <v>148</v>
      </c>
      <c r="C1075">
        <v>1</v>
      </c>
      <c r="D1075" s="1">
        <v>44071</v>
      </c>
      <c r="E1075" s="59" t="str" cm="1">
        <f t="array" ref="E107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75" t="s">
        <v>1581</v>
      </c>
      <c r="G1075" s="3">
        <v>5306994</v>
      </c>
      <c r="H1075" t="s">
        <v>1230</v>
      </c>
      <c r="I1075" s="4">
        <v>18936929</v>
      </c>
      <c r="J1075" t="s">
        <v>19</v>
      </c>
      <c r="K1075" s="1">
        <v>44309</v>
      </c>
      <c r="L1075">
        <v>67</v>
      </c>
      <c r="M1075" s="2" t="str">
        <f>IF(Spotify[[#This Row],[Energie]]&gt;AVERAGE(Spotify[Energie]),"FORTE","FAIBLE")</f>
        <v>FORTE</v>
      </c>
      <c r="N1075" s="2">
        <v>0.67600000000000005</v>
      </c>
      <c r="O1075" s="2">
        <v>0.79400000000000004</v>
      </c>
      <c r="P1075" s="2">
        <v>3.6600000000000001E-2</v>
      </c>
      <c r="Q1075" s="2">
        <v>5.1299999999999998E-2</v>
      </c>
      <c r="R1075" s="2">
        <v>7.2300000000000003E-2</v>
      </c>
      <c r="S1075" s="2">
        <v>0.161</v>
      </c>
      <c r="T1075" s="2">
        <v>-4.78</v>
      </c>
      <c r="U1075">
        <v>159286</v>
      </c>
      <c r="V1075">
        <f>YEAR(Spotify[[#This Row],[Date de sortie]])</f>
        <v>2021</v>
      </c>
      <c r="W1075" s="2" t="str">
        <f>IF(Spotify[[#This Row],[Popularité]]&gt;=70,"FORTE","FAIBLE")</f>
        <v>FAIBLE</v>
      </c>
    </row>
    <row r="1076" spans="1:23" x14ac:dyDescent="0.25">
      <c r="A1076">
        <v>1286</v>
      </c>
      <c r="B1076">
        <v>31</v>
      </c>
      <c r="C1076">
        <v>3</v>
      </c>
      <c r="D1076" s="1">
        <v>43896</v>
      </c>
      <c r="E1076" s="59" t="str" cm="1">
        <f t="array" ref="E107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076" t="s">
        <v>2085</v>
      </c>
      <c r="G1076" s="3">
        <v>5231134</v>
      </c>
      <c r="H1076" t="s">
        <v>1780</v>
      </c>
      <c r="I1076" s="4">
        <v>11821805</v>
      </c>
      <c r="J1076" t="s">
        <v>235</v>
      </c>
      <c r="K1076" s="1">
        <v>43896</v>
      </c>
      <c r="L1076">
        <v>67</v>
      </c>
      <c r="M1076" s="2" t="str">
        <f>IF(Spotify[[#This Row],[Energie]]&gt;AVERAGE(Spotify[Energie]),"FORTE","FAIBLE")</f>
        <v>FORTE</v>
      </c>
      <c r="N1076" s="2">
        <v>0.85499999999999998</v>
      </c>
      <c r="O1076" s="2">
        <v>0.67600000000000005</v>
      </c>
      <c r="P1076" s="2">
        <v>0.32500000000000001</v>
      </c>
      <c r="Q1076" s="2">
        <v>8.8800000000000004E-2</v>
      </c>
      <c r="R1076" s="2">
        <v>0.14399999999999999</v>
      </c>
      <c r="S1076" s="2">
        <v>0.50900000000000001</v>
      </c>
      <c r="T1076" s="2">
        <v>-5.7359999999999998</v>
      </c>
      <c r="U1076">
        <v>195299</v>
      </c>
      <c r="V1076">
        <f>YEAR(Spotify[[#This Row],[Date de sortie]])</f>
        <v>2020</v>
      </c>
      <c r="W1076" s="2" t="str">
        <f>IF(Spotify[[#This Row],[Popularité]]&gt;=70,"FORTE","FAIBLE")</f>
        <v>FAIBLE</v>
      </c>
    </row>
    <row r="1077" spans="1:23" x14ac:dyDescent="0.25">
      <c r="A1077">
        <v>384</v>
      </c>
      <c r="B1077">
        <v>184</v>
      </c>
      <c r="C1077">
        <v>1</v>
      </c>
      <c r="D1077" s="1">
        <v>44323</v>
      </c>
      <c r="E1077" s="59" t="str" cm="1">
        <f t="array" ref="E107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077" t="s">
        <v>720</v>
      </c>
      <c r="G1077" s="3">
        <v>5203700</v>
      </c>
      <c r="H1077" t="s">
        <v>721</v>
      </c>
      <c r="I1077" s="4">
        <v>1223734</v>
      </c>
      <c r="J1077" t="s">
        <v>206</v>
      </c>
      <c r="K1077" s="1">
        <v>44329</v>
      </c>
      <c r="L1077">
        <v>67</v>
      </c>
      <c r="M1077" s="2" t="str">
        <f>IF(Spotify[[#This Row],[Energie]]&gt;AVERAGE(Spotify[Energie]),"FORTE","FAIBLE")</f>
        <v>FORTE</v>
      </c>
      <c r="N1077" s="2">
        <v>0.86299999999999999</v>
      </c>
      <c r="O1077" s="2">
        <v>0.73899999999999999</v>
      </c>
      <c r="P1077" s="2">
        <v>0.153</v>
      </c>
      <c r="Q1077" s="2">
        <v>2.8899999999999999E-2</v>
      </c>
      <c r="R1077" s="2">
        <v>9.3100000000000002E-2</v>
      </c>
      <c r="S1077" s="2">
        <v>0.54700000000000004</v>
      </c>
      <c r="T1077" s="2">
        <v>-5.8789999999999996</v>
      </c>
      <c r="U1077">
        <v>174021</v>
      </c>
      <c r="V1077">
        <f>YEAR(Spotify[[#This Row],[Date de sortie]])</f>
        <v>2021</v>
      </c>
      <c r="W1077" s="2" t="str">
        <f>IF(Spotify[[#This Row],[Popularité]]&gt;=70,"FORTE","FAIBLE")</f>
        <v>FAIBLE</v>
      </c>
    </row>
    <row r="1078" spans="1:23" x14ac:dyDescent="0.25">
      <c r="A1078">
        <v>1088</v>
      </c>
      <c r="B1078">
        <v>101</v>
      </c>
      <c r="C1078">
        <v>4</v>
      </c>
      <c r="D1078" s="1">
        <v>43980</v>
      </c>
      <c r="E1078" s="59" t="str" cm="1">
        <f t="array" ref="E107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78" t="s">
        <v>1808</v>
      </c>
      <c r="G1078" s="3">
        <v>5124116</v>
      </c>
      <c r="H1078" t="s">
        <v>1592</v>
      </c>
      <c r="I1078" s="4">
        <v>18306226</v>
      </c>
      <c r="J1078" t="s">
        <v>25</v>
      </c>
      <c r="K1078" s="1">
        <v>43980</v>
      </c>
      <c r="L1078">
        <v>67</v>
      </c>
      <c r="M1078" s="2" t="str">
        <f>IF(Spotify[[#This Row],[Energie]]&gt;AVERAGE(Spotify[Energie]),"FORTE","FAIBLE")</f>
        <v>FORTE</v>
      </c>
      <c r="N1078" s="2">
        <v>0.73499999999999999</v>
      </c>
      <c r="O1078" s="2">
        <v>0.91600000000000004</v>
      </c>
      <c r="P1078" s="2">
        <v>0.11700000000000001</v>
      </c>
      <c r="Q1078" s="2">
        <v>0.39700000000000002</v>
      </c>
      <c r="R1078" s="2">
        <v>9.1800000000000007E-2</v>
      </c>
      <c r="S1078" s="2">
        <v>0.69099999999999995</v>
      </c>
      <c r="T1078" s="2">
        <v>-2.0819999999999999</v>
      </c>
      <c r="U1078">
        <v>221429</v>
      </c>
      <c r="V1078">
        <f>YEAR(Spotify[[#This Row],[Date de sortie]])</f>
        <v>2020</v>
      </c>
      <c r="W1078" s="2" t="str">
        <f>IF(Spotify[[#This Row],[Popularité]]&gt;=70,"FORTE","FAIBLE")</f>
        <v>FAIBLE</v>
      </c>
    </row>
    <row r="1079" spans="1:23" x14ac:dyDescent="0.25">
      <c r="A1079">
        <v>547</v>
      </c>
      <c r="B1079">
        <v>151</v>
      </c>
      <c r="C1079">
        <v>7</v>
      </c>
      <c r="D1079" s="1">
        <v>44197</v>
      </c>
      <c r="E1079" s="59" t="str" cm="1">
        <f t="array" ref="E107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79" t="s">
        <v>985</v>
      </c>
      <c r="G1079" s="3">
        <v>5044252</v>
      </c>
      <c r="H1079" t="s">
        <v>986</v>
      </c>
      <c r="I1079" s="4">
        <v>1200248</v>
      </c>
      <c r="J1079"/>
      <c r="K1079" s="1">
        <v>44182</v>
      </c>
      <c r="L1079">
        <v>67</v>
      </c>
      <c r="M1079" s="2" t="str">
        <f>IF(Spotify[[#This Row],[Energie]]&gt;AVERAGE(Spotify[Energie]),"FORTE","FAIBLE")</f>
        <v>FORTE</v>
      </c>
      <c r="N1079" s="2">
        <v>0.70899999999999996</v>
      </c>
      <c r="O1079" s="2">
        <v>0.81599999999999995</v>
      </c>
      <c r="P1079" s="2">
        <v>3.4599999999999999E-2</v>
      </c>
      <c r="Q1079" s="2">
        <v>0.68500000000000005</v>
      </c>
      <c r="R1079" s="2">
        <v>0.14599999999999999</v>
      </c>
      <c r="S1079" s="2">
        <v>0.92100000000000004</v>
      </c>
      <c r="T1079" s="2">
        <v>-4.7869999999999999</v>
      </c>
      <c r="U1079">
        <v>237900</v>
      </c>
      <c r="V1079">
        <f>YEAR(Spotify[[#This Row],[Date de sortie]])</f>
        <v>2020</v>
      </c>
      <c r="W1079" s="2" t="str">
        <f>IF(Spotify[[#This Row],[Popularité]]&gt;=70,"FORTE","FAIBLE")</f>
        <v>FAIBLE</v>
      </c>
    </row>
    <row r="1080" spans="1:23" x14ac:dyDescent="0.25">
      <c r="A1080">
        <v>1158</v>
      </c>
      <c r="B1080">
        <v>56</v>
      </c>
      <c r="C1080">
        <v>3</v>
      </c>
      <c r="D1080" s="1">
        <v>43959</v>
      </c>
      <c r="E1080" s="59" t="str" cm="1">
        <f t="array" ref="E108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80" t="s">
        <v>1909</v>
      </c>
      <c r="G1080" s="3">
        <v>4987116</v>
      </c>
      <c r="H1080" t="s">
        <v>1910</v>
      </c>
      <c r="I1080" s="4">
        <v>36177712</v>
      </c>
      <c r="J1080" t="s">
        <v>25</v>
      </c>
      <c r="K1080" s="1">
        <v>43961</v>
      </c>
      <c r="L1080">
        <v>67</v>
      </c>
      <c r="M1080" s="2" t="str">
        <f>IF(Spotify[[#This Row],[Energie]]&gt;AVERAGE(Spotify[Energie]),"FORTE","FAIBLE")</f>
        <v>FAIBLE</v>
      </c>
      <c r="N1080" s="2">
        <v>0.86499999999999999</v>
      </c>
      <c r="O1080" s="2">
        <v>0.5</v>
      </c>
      <c r="P1080" s="2">
        <v>8.6099999999999996E-2</v>
      </c>
      <c r="Q1080" s="2">
        <v>1.2200000000000001E-2</v>
      </c>
      <c r="R1080" s="2">
        <v>9.8000000000000004E-2</v>
      </c>
      <c r="S1080" s="2">
        <v>0.317</v>
      </c>
      <c r="T1080" s="2">
        <v>-10.805</v>
      </c>
      <c r="U1080">
        <v>183520</v>
      </c>
      <c r="V1080">
        <f>YEAR(Spotify[[#This Row],[Date de sortie]])</f>
        <v>2020</v>
      </c>
      <c r="W1080" s="2" t="str">
        <f>IF(Spotify[[#This Row],[Popularité]]&gt;=70,"FORTE","FAIBLE")</f>
        <v>FAIBLE</v>
      </c>
    </row>
    <row r="1081" spans="1:23" x14ac:dyDescent="0.25">
      <c r="A1081">
        <v>876</v>
      </c>
      <c r="B1081">
        <v>177</v>
      </c>
      <c r="C1081">
        <v>1</v>
      </c>
      <c r="D1081" s="1">
        <v>44099</v>
      </c>
      <c r="E1081" s="59" t="str" cm="1">
        <f t="array" ref="E108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81" t="s">
        <v>1500</v>
      </c>
      <c r="G1081" s="3">
        <v>4977405</v>
      </c>
      <c r="H1081" t="s">
        <v>1501</v>
      </c>
      <c r="I1081" s="4">
        <v>4759367</v>
      </c>
      <c r="J1081" t="s">
        <v>761</v>
      </c>
      <c r="K1081" s="1">
        <v>44099</v>
      </c>
      <c r="L1081">
        <v>67</v>
      </c>
      <c r="M1081" s="2" t="str">
        <f>IF(Spotify[[#This Row],[Energie]]&gt;AVERAGE(Spotify[Energie]),"FORTE","FAIBLE")</f>
        <v>FAIBLE</v>
      </c>
      <c r="N1081" s="2">
        <v>0.66800000000000004</v>
      </c>
      <c r="O1081" s="2">
        <v>0.54700000000000004</v>
      </c>
      <c r="P1081" s="2">
        <v>3.5299999999999998E-2</v>
      </c>
      <c r="Q1081" s="2">
        <v>0.39800000000000002</v>
      </c>
      <c r="R1081" s="2">
        <v>9.3100000000000002E-2</v>
      </c>
      <c r="S1081" s="2">
        <v>0.192</v>
      </c>
      <c r="T1081" s="2">
        <v>-8.0239999999999991</v>
      </c>
      <c r="U1081">
        <v>194871</v>
      </c>
      <c r="V1081">
        <f>YEAR(Spotify[[#This Row],[Date de sortie]])</f>
        <v>2020</v>
      </c>
      <c r="W1081" s="2" t="str">
        <f>IF(Spotify[[#This Row],[Popularité]]&gt;=70,"FORTE","FAIBLE")</f>
        <v>FAIBLE</v>
      </c>
    </row>
    <row r="1082" spans="1:23" x14ac:dyDescent="0.25">
      <c r="A1082">
        <v>1397</v>
      </c>
      <c r="B1082">
        <v>104</v>
      </c>
      <c r="C1082">
        <v>9</v>
      </c>
      <c r="D1082" s="1">
        <v>43833</v>
      </c>
      <c r="E1082" s="59" t="str" cm="1">
        <f t="array" ref="E108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82" t="s">
        <v>2233</v>
      </c>
      <c r="G1082" s="3">
        <v>4954292</v>
      </c>
      <c r="H1082" t="s">
        <v>2234</v>
      </c>
      <c r="I1082" s="4">
        <v>8766508</v>
      </c>
      <c r="J1082" t="s">
        <v>25</v>
      </c>
      <c r="K1082" s="1">
        <v>43734</v>
      </c>
      <c r="L1082">
        <v>67</v>
      </c>
      <c r="M1082" s="2" t="str">
        <f>IF(Spotify[[#This Row],[Energie]]&gt;AVERAGE(Spotify[Energie]),"FORTE","FAIBLE")</f>
        <v>FORTE</v>
      </c>
      <c r="N1082" s="2">
        <v>0.73</v>
      </c>
      <c r="O1082" s="2">
        <v>0.64400000000000002</v>
      </c>
      <c r="P1082" s="2">
        <v>0.13200000000000001</v>
      </c>
      <c r="Q1082" s="2">
        <v>9.3299999999999994E-2</v>
      </c>
      <c r="R1082" s="2">
        <v>0.14299999999999999</v>
      </c>
      <c r="S1082" s="2">
        <v>0.55400000000000005</v>
      </c>
      <c r="T1082" s="2">
        <v>-4.1239999999999997</v>
      </c>
      <c r="U1082">
        <v>204907</v>
      </c>
      <c r="V1082">
        <f>YEAR(Spotify[[#This Row],[Date de sortie]])</f>
        <v>2019</v>
      </c>
      <c r="W1082" s="2" t="str">
        <f>IF(Spotify[[#This Row],[Popularité]]&gt;=70,"FORTE","FAIBLE")</f>
        <v>FAIBLE</v>
      </c>
    </row>
    <row r="1083" spans="1:23" x14ac:dyDescent="0.25">
      <c r="A1083">
        <v>916</v>
      </c>
      <c r="B1083">
        <v>71</v>
      </c>
      <c r="C1083">
        <v>3</v>
      </c>
      <c r="D1083" s="1">
        <v>44064</v>
      </c>
      <c r="E1083" s="59" t="str" cm="1">
        <f t="array" ref="E108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083" t="s">
        <v>1564</v>
      </c>
      <c r="G1083" s="3">
        <v>4876238</v>
      </c>
      <c r="H1083" t="s">
        <v>310</v>
      </c>
      <c r="I1083" s="4">
        <v>17732077</v>
      </c>
      <c r="J1083" t="s">
        <v>186</v>
      </c>
      <c r="K1083" s="1">
        <v>44065</v>
      </c>
      <c r="L1083">
        <v>67</v>
      </c>
      <c r="M1083" s="2" t="str">
        <f>IF(Spotify[[#This Row],[Energie]]&gt;AVERAGE(Spotify[Energie]),"FORTE","FAIBLE")</f>
        <v>FAIBLE</v>
      </c>
      <c r="N1083" s="2">
        <v>0.433</v>
      </c>
      <c r="O1083" s="2">
        <v>0.443</v>
      </c>
      <c r="P1083" s="2">
        <v>3.61E-2</v>
      </c>
      <c r="Q1083" s="2">
        <v>9.2200000000000004E-2</v>
      </c>
      <c r="R1083" s="2">
        <v>0.11700000000000001</v>
      </c>
      <c r="S1083" s="2">
        <v>3.6299999999999999E-2</v>
      </c>
      <c r="T1083" s="2">
        <v>-10.568</v>
      </c>
      <c r="U1083">
        <v>185851</v>
      </c>
      <c r="V1083">
        <f>YEAR(Spotify[[#This Row],[Date de sortie]])</f>
        <v>2020</v>
      </c>
      <c r="W1083" s="2" t="str">
        <f>IF(Spotify[[#This Row],[Popularité]]&gt;=70,"FORTE","FAIBLE")</f>
        <v>FAIBLE</v>
      </c>
    </row>
    <row r="1084" spans="1:23" x14ac:dyDescent="0.25">
      <c r="A1084">
        <v>1233</v>
      </c>
      <c r="B1084">
        <v>16</v>
      </c>
      <c r="C1084">
        <v>7</v>
      </c>
      <c r="D1084" s="1">
        <v>43896</v>
      </c>
      <c r="E1084" s="59" t="str" cm="1">
        <f t="array" ref="E108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084" t="s">
        <v>2013</v>
      </c>
      <c r="G1084" s="3">
        <v>4825741</v>
      </c>
      <c r="H1084" t="s">
        <v>1780</v>
      </c>
      <c r="I1084" s="4">
        <v>11821805</v>
      </c>
      <c r="J1084" t="s">
        <v>235</v>
      </c>
      <c r="K1084" s="1">
        <v>43896</v>
      </c>
      <c r="L1084">
        <v>67</v>
      </c>
      <c r="M1084" s="2" t="str">
        <f>IF(Spotify[[#This Row],[Energie]]&gt;AVERAGE(Spotify[Energie]),"FORTE","FAIBLE")</f>
        <v>FAIBLE</v>
      </c>
      <c r="N1084" s="2">
        <v>0.71199999999999997</v>
      </c>
      <c r="O1084" s="2">
        <v>0.59799999999999998</v>
      </c>
      <c r="P1084" s="2">
        <v>3.8800000000000001E-2</v>
      </c>
      <c r="Q1084" s="2">
        <v>5.4600000000000003E-2</v>
      </c>
      <c r="R1084" s="2">
        <v>0.154</v>
      </c>
      <c r="S1084" s="2">
        <v>0.504</v>
      </c>
      <c r="T1084" s="2">
        <v>-5.3680000000000003</v>
      </c>
      <c r="U1084">
        <v>212354</v>
      </c>
      <c r="V1084">
        <f>YEAR(Spotify[[#This Row],[Date de sortie]])</f>
        <v>2020</v>
      </c>
      <c r="W1084" s="2" t="str">
        <f>IF(Spotify[[#This Row],[Popularité]]&gt;=70,"FORTE","FAIBLE")</f>
        <v>FAIBLE</v>
      </c>
    </row>
    <row r="1085" spans="1:23" x14ac:dyDescent="0.25">
      <c r="A1085">
        <v>1254</v>
      </c>
      <c r="B1085">
        <v>103</v>
      </c>
      <c r="C1085">
        <v>4</v>
      </c>
      <c r="D1085" s="1">
        <v>43882</v>
      </c>
      <c r="E1085" s="59" t="str" cm="1">
        <f t="array" ref="E108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85" t="s">
        <v>2046</v>
      </c>
      <c r="G1085" s="3">
        <v>4724056</v>
      </c>
      <c r="H1085" t="s">
        <v>1619</v>
      </c>
      <c r="I1085" s="4">
        <v>7744095</v>
      </c>
      <c r="J1085" t="s">
        <v>1180</v>
      </c>
      <c r="K1085" s="1">
        <v>43917</v>
      </c>
      <c r="L1085">
        <v>67</v>
      </c>
      <c r="M1085" s="2" t="str">
        <f>IF(Spotify[[#This Row],[Energie]]&gt;AVERAGE(Spotify[Energie]),"FORTE","FAIBLE")</f>
        <v>FAIBLE</v>
      </c>
      <c r="N1085" s="2">
        <v>0.72199999999999998</v>
      </c>
      <c r="O1085" s="2">
        <v>0.62</v>
      </c>
      <c r="P1085" s="2">
        <v>4.8300000000000003E-2</v>
      </c>
      <c r="Q1085" s="2">
        <v>0.313</v>
      </c>
      <c r="R1085" s="2">
        <v>0.26</v>
      </c>
      <c r="S1085" s="2">
        <v>0.47399999999999998</v>
      </c>
      <c r="T1085" s="2">
        <v>-3.6389999999999998</v>
      </c>
      <c r="U1085">
        <v>186786</v>
      </c>
      <c r="V1085">
        <f>YEAR(Spotify[[#This Row],[Date de sortie]])</f>
        <v>2020</v>
      </c>
      <c r="W1085" s="2" t="str">
        <f>IF(Spotify[[#This Row],[Popularité]]&gt;=70,"FORTE","FAIBLE")</f>
        <v>FAIBLE</v>
      </c>
    </row>
    <row r="1086" spans="1:23" x14ac:dyDescent="0.25">
      <c r="A1086">
        <v>1212</v>
      </c>
      <c r="B1086">
        <v>37</v>
      </c>
      <c r="C1086">
        <v>13</v>
      </c>
      <c r="D1086" s="1">
        <v>43868</v>
      </c>
      <c r="E1086" s="59" t="str" cm="1">
        <f t="array" ref="E108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86" t="s">
        <v>1984</v>
      </c>
      <c r="G1086" s="3">
        <v>4687605</v>
      </c>
      <c r="H1086" t="s">
        <v>1592</v>
      </c>
      <c r="I1086" s="4">
        <v>18306226</v>
      </c>
      <c r="J1086" t="s">
        <v>25</v>
      </c>
      <c r="K1086" s="1">
        <v>43868</v>
      </c>
      <c r="L1086">
        <v>67</v>
      </c>
      <c r="M1086" s="2" t="str">
        <f>IF(Spotify[[#This Row],[Energie]]&gt;AVERAGE(Spotify[Energie]),"FORTE","FAIBLE")</f>
        <v>FORTE</v>
      </c>
      <c r="N1086" s="2">
        <v>0.70799999999999996</v>
      </c>
      <c r="O1086" s="2">
        <v>0.79700000000000004</v>
      </c>
      <c r="P1086" s="2">
        <v>3.9100000000000003E-2</v>
      </c>
      <c r="Q1086" s="2">
        <v>0.4</v>
      </c>
      <c r="R1086" s="2">
        <v>9.6000000000000002E-2</v>
      </c>
      <c r="S1086" s="2">
        <v>0.51</v>
      </c>
      <c r="T1086" s="2">
        <v>-3.0950000000000002</v>
      </c>
      <c r="U1086">
        <v>210000</v>
      </c>
      <c r="V1086">
        <f>YEAR(Spotify[[#This Row],[Date de sortie]])</f>
        <v>2020</v>
      </c>
      <c r="W1086" s="2" t="str">
        <f>IF(Spotify[[#This Row],[Popularité]]&gt;=70,"FORTE","FAIBLE")</f>
        <v>FAIBLE</v>
      </c>
    </row>
    <row r="1087" spans="1:23" x14ac:dyDescent="0.25">
      <c r="A1087">
        <v>918</v>
      </c>
      <c r="B1087">
        <v>122</v>
      </c>
      <c r="C1087">
        <v>9</v>
      </c>
      <c r="D1087" s="1">
        <v>44050</v>
      </c>
      <c r="E1087" s="59" t="str" cm="1">
        <f t="array" ref="E108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87" t="s">
        <v>1566</v>
      </c>
      <c r="G1087" s="3">
        <v>4668193</v>
      </c>
      <c r="H1087" t="s">
        <v>1567</v>
      </c>
      <c r="I1087" s="4">
        <v>2786366</v>
      </c>
      <c r="J1087" t="s">
        <v>19</v>
      </c>
      <c r="K1087" s="1">
        <v>44001</v>
      </c>
      <c r="L1087">
        <v>67</v>
      </c>
      <c r="M1087" s="2" t="str">
        <f>IF(Spotify[[#This Row],[Energie]]&gt;AVERAGE(Spotify[Energie]),"FORTE","FAIBLE")</f>
        <v>FORTE</v>
      </c>
      <c r="N1087" s="2">
        <v>0.58099999999999996</v>
      </c>
      <c r="O1087" s="2">
        <v>0.79900000000000004</v>
      </c>
      <c r="P1087" s="2">
        <v>0.16400000000000001</v>
      </c>
      <c r="Q1087" s="2">
        <v>4.19E-2</v>
      </c>
      <c r="R1087" s="2">
        <v>0.11</v>
      </c>
      <c r="S1087" s="2">
        <v>0.66200000000000003</v>
      </c>
      <c r="T1087" s="2">
        <v>-6.66</v>
      </c>
      <c r="U1087">
        <v>175016</v>
      </c>
      <c r="V1087">
        <f>YEAR(Spotify[[#This Row],[Date de sortie]])</f>
        <v>2020</v>
      </c>
      <c r="W1087" s="2" t="str">
        <f>IF(Spotify[[#This Row],[Popularité]]&gt;=70,"FORTE","FAIBLE")</f>
        <v>FAIBLE</v>
      </c>
    </row>
    <row r="1088" spans="1:23" x14ac:dyDescent="0.25">
      <c r="A1088">
        <v>839</v>
      </c>
      <c r="B1088">
        <v>192</v>
      </c>
      <c r="C1088">
        <v>1</v>
      </c>
      <c r="D1088" s="1">
        <v>44120</v>
      </c>
      <c r="E1088" s="59" t="str" cm="1">
        <f t="array" ref="E108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88" t="s">
        <v>1450</v>
      </c>
      <c r="G1088" s="3">
        <v>4665053</v>
      </c>
      <c r="H1088" t="s">
        <v>878</v>
      </c>
      <c r="I1088" s="4">
        <v>13697048</v>
      </c>
      <c r="J1088" t="s">
        <v>341</v>
      </c>
      <c r="K1088" s="1">
        <v>44274</v>
      </c>
      <c r="L1088">
        <v>67</v>
      </c>
      <c r="M1088" s="2" t="str">
        <f>IF(Spotify[[#This Row],[Energie]]&gt;AVERAGE(Spotify[Energie]),"FORTE","FAIBLE")</f>
        <v>FAIBLE</v>
      </c>
      <c r="N1088" s="2">
        <v>0.30299999999999999</v>
      </c>
      <c r="O1088" s="2">
        <v>0.249</v>
      </c>
      <c r="P1088" s="2">
        <v>0.111</v>
      </c>
      <c r="Q1088" s="2">
        <v>0.97</v>
      </c>
      <c r="R1088" s="2">
        <v>0.11700000000000001</v>
      </c>
      <c r="S1088" s="2">
        <v>0.13100000000000001</v>
      </c>
      <c r="T1088" s="2">
        <v>-11.715</v>
      </c>
      <c r="U1088">
        <v>200661</v>
      </c>
      <c r="V1088">
        <f>YEAR(Spotify[[#This Row],[Date de sortie]])</f>
        <v>2021</v>
      </c>
      <c r="W1088" s="2" t="str">
        <f>IF(Spotify[[#This Row],[Popularité]]&gt;=70,"FORTE","FAIBLE")</f>
        <v>FAIBLE</v>
      </c>
    </row>
    <row r="1089" spans="1:23" x14ac:dyDescent="0.25">
      <c r="A1089">
        <v>1178</v>
      </c>
      <c r="B1089">
        <v>82</v>
      </c>
      <c r="C1089">
        <v>2</v>
      </c>
      <c r="D1089" s="1">
        <v>43959</v>
      </c>
      <c r="E1089" s="59" t="str" cm="1">
        <f t="array" ref="E108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89" t="s">
        <v>1937</v>
      </c>
      <c r="G1089" s="3">
        <v>4639997</v>
      </c>
      <c r="H1089" t="s">
        <v>24</v>
      </c>
      <c r="I1089" s="4">
        <v>36177712</v>
      </c>
      <c r="J1089" t="s">
        <v>25</v>
      </c>
      <c r="K1089" s="1">
        <v>43961</v>
      </c>
      <c r="L1089">
        <v>67</v>
      </c>
      <c r="M1089" s="2" t="str">
        <f>IF(Spotify[[#This Row],[Energie]]&gt;AVERAGE(Spotify[Energie]),"FORTE","FAIBLE")</f>
        <v>FAIBLE</v>
      </c>
      <c r="N1089" s="2">
        <v>0.82799999999999996</v>
      </c>
      <c r="O1089" s="2">
        <v>0.58099999999999996</v>
      </c>
      <c r="P1089" s="2">
        <v>7.2499999999999995E-2</v>
      </c>
      <c r="Q1089" s="2">
        <v>3.78E-2</v>
      </c>
      <c r="R1089" s="2">
        <v>0.10299999999999999</v>
      </c>
      <c r="S1089" s="2">
        <v>0.84299999999999997</v>
      </c>
      <c r="T1089" s="2">
        <v>-9.9090000000000007</v>
      </c>
      <c r="U1089">
        <v>155060</v>
      </c>
      <c r="V1089">
        <f>YEAR(Spotify[[#This Row],[Date de sortie]])</f>
        <v>2020</v>
      </c>
      <c r="W1089" s="2" t="str">
        <f>IF(Spotify[[#This Row],[Popularité]]&gt;=70,"FORTE","FAIBLE")</f>
        <v>FAIBLE</v>
      </c>
    </row>
    <row r="1090" spans="1:23" x14ac:dyDescent="0.25">
      <c r="A1090">
        <v>1020</v>
      </c>
      <c r="B1090">
        <v>67</v>
      </c>
      <c r="C1090">
        <v>2</v>
      </c>
      <c r="D1090" s="1">
        <v>44022</v>
      </c>
      <c r="E1090" s="59" t="str" cm="1">
        <f t="array" ref="E109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090" t="s">
        <v>1714</v>
      </c>
      <c r="G1090" s="3">
        <v>4639929</v>
      </c>
      <c r="H1090" t="s">
        <v>1092</v>
      </c>
      <c r="I1090" s="4">
        <v>5002317</v>
      </c>
      <c r="J1090" t="s">
        <v>426</v>
      </c>
      <c r="K1090" s="1">
        <v>44022</v>
      </c>
      <c r="L1090">
        <v>67</v>
      </c>
      <c r="M1090" s="2" t="str">
        <f>IF(Spotify[[#This Row],[Energie]]&gt;AVERAGE(Spotify[Energie]),"FORTE","FAIBLE")</f>
        <v>FORTE</v>
      </c>
      <c r="N1090" s="2">
        <v>0.88</v>
      </c>
      <c r="O1090" s="2">
        <v>0.78700000000000003</v>
      </c>
      <c r="P1090" s="2">
        <v>0.11799999999999999</v>
      </c>
      <c r="Q1090" s="2">
        <v>0.22600000000000001</v>
      </c>
      <c r="R1090" s="2">
        <v>0.12</v>
      </c>
      <c r="S1090" s="2">
        <v>0.58799999999999997</v>
      </c>
      <c r="T1090" s="2">
        <v>-5.1890000000000001</v>
      </c>
      <c r="U1090">
        <v>264834</v>
      </c>
      <c r="V1090">
        <f>YEAR(Spotify[[#This Row],[Date de sortie]])</f>
        <v>2020</v>
      </c>
      <c r="W1090" s="2" t="str">
        <f>IF(Spotify[[#This Row],[Popularité]]&gt;=70,"FORTE","FAIBLE")</f>
        <v>FAIBLE</v>
      </c>
    </row>
    <row r="1091" spans="1:23" x14ac:dyDescent="0.25">
      <c r="A1091">
        <v>1107</v>
      </c>
      <c r="B1091">
        <v>86</v>
      </c>
      <c r="C1091">
        <v>6</v>
      </c>
      <c r="D1091" s="1">
        <v>43959</v>
      </c>
      <c r="E1091" s="59" t="str" cm="1">
        <f t="array" ref="E109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091" t="s">
        <v>1839</v>
      </c>
      <c r="G1091" s="3">
        <v>4623279</v>
      </c>
      <c r="H1091" t="s">
        <v>1840</v>
      </c>
      <c r="I1091" s="4">
        <v>2613211</v>
      </c>
      <c r="J1091" t="s">
        <v>155</v>
      </c>
      <c r="K1091" s="1">
        <v>43959</v>
      </c>
      <c r="L1091">
        <v>67</v>
      </c>
      <c r="M1091" s="2" t="str">
        <f>IF(Spotify[[#This Row],[Energie]]&gt;AVERAGE(Spotify[Energie]),"FORTE","FAIBLE")</f>
        <v>FAIBLE</v>
      </c>
      <c r="N1091" s="2">
        <v>0.89400000000000002</v>
      </c>
      <c r="O1091" s="2">
        <v>0.61799999999999999</v>
      </c>
      <c r="P1091" s="2">
        <v>0.129</v>
      </c>
      <c r="Q1091" s="2">
        <v>8.0799999999999997E-2</v>
      </c>
      <c r="R1091" s="2">
        <v>0.55800000000000005</v>
      </c>
      <c r="S1091" s="2">
        <v>0.379</v>
      </c>
      <c r="T1091" s="2">
        <v>-4.3559999999999999</v>
      </c>
      <c r="U1091">
        <v>161320</v>
      </c>
      <c r="V1091">
        <f>YEAR(Spotify[[#This Row],[Date de sortie]])</f>
        <v>2020</v>
      </c>
      <c r="W1091" s="2" t="str">
        <f>IF(Spotify[[#This Row],[Popularité]]&gt;=70,"FORTE","FAIBLE")</f>
        <v>FAIBLE</v>
      </c>
    </row>
    <row r="1092" spans="1:23" x14ac:dyDescent="0.25">
      <c r="A1092">
        <v>1256</v>
      </c>
      <c r="B1092">
        <v>24</v>
      </c>
      <c r="C1092">
        <v>3</v>
      </c>
      <c r="D1092" s="1">
        <v>43910</v>
      </c>
      <c r="E1092" s="59" t="str" cm="1">
        <f t="array" ref="E109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92" t="s">
        <v>2048</v>
      </c>
      <c r="G1092" s="3">
        <v>4553544</v>
      </c>
      <c r="H1092" t="s">
        <v>41</v>
      </c>
      <c r="I1092" s="4">
        <v>35340069</v>
      </c>
      <c r="J1092" t="s">
        <v>42</v>
      </c>
      <c r="K1092" s="1">
        <v>43910</v>
      </c>
      <c r="L1092">
        <v>67</v>
      </c>
      <c r="M1092" s="2" t="str">
        <f>IF(Spotify[[#This Row],[Energie]]&gt;AVERAGE(Spotify[Energie]),"FORTE","FAIBLE")</f>
        <v>FAIBLE</v>
      </c>
      <c r="N1092" s="2">
        <v>0.46700000000000003</v>
      </c>
      <c r="O1092" s="2">
        <v>0.60799999999999998</v>
      </c>
      <c r="P1092" s="2">
        <v>7.0699999999999999E-2</v>
      </c>
      <c r="Q1092" s="2">
        <v>9.0899999999999995E-2</v>
      </c>
      <c r="R1092" s="2">
        <v>0.125</v>
      </c>
      <c r="S1092" s="2">
        <v>0.108</v>
      </c>
      <c r="T1092" s="2">
        <v>-7.8470000000000004</v>
      </c>
      <c r="U1092">
        <v>211400</v>
      </c>
      <c r="V1092">
        <f>YEAR(Spotify[[#This Row],[Date de sortie]])</f>
        <v>2020</v>
      </c>
      <c r="W1092" s="2" t="str">
        <f>IF(Spotify[[#This Row],[Popularité]]&gt;=70,"FORTE","FAIBLE")</f>
        <v>FAIBLE</v>
      </c>
    </row>
    <row r="1093" spans="1:23" x14ac:dyDescent="0.25">
      <c r="A1093">
        <v>1070</v>
      </c>
      <c r="B1093">
        <v>169</v>
      </c>
      <c r="C1093">
        <v>1</v>
      </c>
      <c r="D1093" s="1">
        <v>44008</v>
      </c>
      <c r="E1093" s="59" t="str" cm="1">
        <f t="array" ref="E109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93" t="s">
        <v>1783</v>
      </c>
      <c r="G1093" s="3">
        <v>4545883</v>
      </c>
      <c r="H1093" t="s">
        <v>1007</v>
      </c>
      <c r="I1093" s="4">
        <v>3912138</v>
      </c>
      <c r="J1093" t="s">
        <v>1008</v>
      </c>
      <c r="K1093" s="1">
        <v>44007</v>
      </c>
      <c r="L1093">
        <v>67</v>
      </c>
      <c r="M1093" s="2" t="str">
        <f>IF(Spotify[[#This Row],[Energie]]&gt;AVERAGE(Spotify[Energie]),"FORTE","FAIBLE")</f>
        <v>FORTE</v>
      </c>
      <c r="N1093" s="2">
        <v>0.58899999999999997</v>
      </c>
      <c r="O1093" s="2">
        <v>0.79700000000000004</v>
      </c>
      <c r="P1093" s="2">
        <v>0.15</v>
      </c>
      <c r="Q1093" s="2">
        <v>2.8899999999999999E-2</v>
      </c>
      <c r="R1093" s="2">
        <v>0.38300000000000001</v>
      </c>
      <c r="S1093" s="2">
        <v>0.23200000000000001</v>
      </c>
      <c r="T1093" s="2">
        <v>-5.4640000000000004</v>
      </c>
      <c r="U1093">
        <v>291813</v>
      </c>
      <c r="V1093">
        <f>YEAR(Spotify[[#This Row],[Date de sortie]])</f>
        <v>2020</v>
      </c>
      <c r="W1093" s="2" t="str">
        <f>IF(Spotify[[#This Row],[Popularité]]&gt;=70,"FORTE","FAIBLE")</f>
        <v>FAIBLE</v>
      </c>
    </row>
    <row r="1094" spans="1:23" x14ac:dyDescent="0.25">
      <c r="A1094">
        <v>1057</v>
      </c>
      <c r="B1094">
        <v>189</v>
      </c>
      <c r="C1094">
        <v>1</v>
      </c>
      <c r="D1094" s="1">
        <v>44015</v>
      </c>
      <c r="E1094" s="59" t="str" cm="1">
        <f t="array" ref="E109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094" t="s">
        <v>1765</v>
      </c>
      <c r="G1094" s="3">
        <v>4470597</v>
      </c>
      <c r="H1094" t="s">
        <v>1592</v>
      </c>
      <c r="I1094" s="4">
        <v>18306226</v>
      </c>
      <c r="J1094" t="s">
        <v>25</v>
      </c>
      <c r="K1094" s="1">
        <v>43980</v>
      </c>
      <c r="L1094">
        <v>67</v>
      </c>
      <c r="M1094" s="2" t="str">
        <f>IF(Spotify[[#This Row],[Energie]]&gt;AVERAGE(Spotify[Energie]),"FORTE","FAIBLE")</f>
        <v>FORTE</v>
      </c>
      <c r="N1094" s="2">
        <v>0.84299999999999997</v>
      </c>
      <c r="O1094" s="2">
        <v>0.84499999999999997</v>
      </c>
      <c r="P1094" s="2">
        <v>5.0299999999999997E-2</v>
      </c>
      <c r="Q1094" s="2">
        <v>0.35</v>
      </c>
      <c r="R1094" s="2">
        <v>5.2699999999999997E-2</v>
      </c>
      <c r="S1094" s="2">
        <v>0.89800000000000002</v>
      </c>
      <c r="T1094" s="2">
        <v>-2.3439999999999999</v>
      </c>
      <c r="U1094">
        <v>210624</v>
      </c>
      <c r="V1094">
        <f>YEAR(Spotify[[#This Row],[Date de sortie]])</f>
        <v>2020</v>
      </c>
      <c r="W1094" s="2" t="str">
        <f>IF(Spotify[[#This Row],[Popularité]]&gt;=70,"FORTE","FAIBLE")</f>
        <v>FAIBLE</v>
      </c>
    </row>
    <row r="1095" spans="1:23" x14ac:dyDescent="0.25">
      <c r="A1095">
        <v>963</v>
      </c>
      <c r="B1095">
        <v>185</v>
      </c>
      <c r="C1095">
        <v>7</v>
      </c>
      <c r="D1095" s="1">
        <v>44050</v>
      </c>
      <c r="E1095" s="59" t="str" cm="1">
        <f t="array" ref="E109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95" t="s">
        <v>1640</v>
      </c>
      <c r="G1095" s="3">
        <v>4380308</v>
      </c>
      <c r="H1095" t="s">
        <v>1641</v>
      </c>
      <c r="I1095" s="4">
        <v>117894</v>
      </c>
      <c r="J1095" t="s">
        <v>1642</v>
      </c>
      <c r="K1095" s="1">
        <v>43868</v>
      </c>
      <c r="L1095">
        <v>67</v>
      </c>
      <c r="M1095" s="2" t="str">
        <f>IF(Spotify[[#This Row],[Energie]]&gt;AVERAGE(Spotify[Energie]),"FORTE","FAIBLE")</f>
        <v>FAIBLE</v>
      </c>
      <c r="N1095" s="2">
        <v>0.82699999999999996</v>
      </c>
      <c r="O1095" s="2">
        <v>0.629</v>
      </c>
      <c r="P1095" s="2">
        <v>0.185</v>
      </c>
      <c r="Q1095" s="2">
        <v>0.183</v>
      </c>
      <c r="R1095" s="2">
        <v>8.4000000000000005E-2</v>
      </c>
      <c r="S1095" s="2">
        <v>0.48599999999999999</v>
      </c>
      <c r="T1095" s="2">
        <v>-3.9660000000000002</v>
      </c>
      <c r="U1095">
        <v>187500</v>
      </c>
      <c r="V1095">
        <f>YEAR(Spotify[[#This Row],[Date de sortie]])</f>
        <v>2020</v>
      </c>
      <c r="W1095" s="2" t="str">
        <f>IF(Spotify[[#This Row],[Popularité]]&gt;=70,"FORTE","FAIBLE")</f>
        <v>FAIBLE</v>
      </c>
    </row>
    <row r="1096" spans="1:23" x14ac:dyDescent="0.25">
      <c r="A1096">
        <v>1124</v>
      </c>
      <c r="B1096">
        <v>51</v>
      </c>
      <c r="C1096">
        <v>4</v>
      </c>
      <c r="D1096" s="1">
        <v>43966</v>
      </c>
      <c r="E1096" s="59" t="str" cm="1">
        <f t="array" ref="E109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096" t="s">
        <v>1865</v>
      </c>
      <c r="G1096" s="3">
        <v>4334669</v>
      </c>
      <c r="H1096" t="s">
        <v>719</v>
      </c>
      <c r="I1096" s="4">
        <v>10491105</v>
      </c>
      <c r="J1096" t="s">
        <v>531</v>
      </c>
      <c r="K1096" s="1">
        <v>43966</v>
      </c>
      <c r="L1096">
        <v>67</v>
      </c>
      <c r="M1096" s="2" t="str">
        <f>IF(Spotify[[#This Row],[Energie]]&gt;AVERAGE(Spotify[Energie]),"FORTE","FAIBLE")</f>
        <v>FAIBLE</v>
      </c>
      <c r="N1096" s="2">
        <v>0.69099999999999995</v>
      </c>
      <c r="O1096" s="2">
        <v>0.63200000000000001</v>
      </c>
      <c r="P1096" s="2">
        <v>5.1299999999999998E-2</v>
      </c>
      <c r="Q1096" s="2">
        <v>0.122</v>
      </c>
      <c r="R1096" s="2">
        <v>6.4600000000000005E-2</v>
      </c>
      <c r="S1096" s="2">
        <v>0.48799999999999999</v>
      </c>
      <c r="T1096" s="2">
        <v>-7.5979999999999999</v>
      </c>
      <c r="U1096">
        <v>205666</v>
      </c>
      <c r="V1096">
        <f>YEAR(Spotify[[#This Row],[Date de sortie]])</f>
        <v>2020</v>
      </c>
      <c r="W1096" s="2" t="str">
        <f>IF(Spotify[[#This Row],[Popularité]]&gt;=70,"FORTE","FAIBLE")</f>
        <v>FAIBLE</v>
      </c>
    </row>
    <row r="1097" spans="1:23" x14ac:dyDescent="0.25">
      <c r="A1097">
        <v>1259</v>
      </c>
      <c r="B1097">
        <v>69</v>
      </c>
      <c r="C1097">
        <v>2</v>
      </c>
      <c r="D1097" s="1">
        <v>43917</v>
      </c>
      <c r="E1097" s="59" t="str" cm="1">
        <f t="array" ref="E109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97" t="s">
        <v>2051</v>
      </c>
      <c r="G1097" s="3">
        <v>4305034</v>
      </c>
      <c r="H1097" t="s">
        <v>28</v>
      </c>
      <c r="I1097" s="4">
        <v>27167675</v>
      </c>
      <c r="J1097" t="s">
        <v>19</v>
      </c>
      <c r="K1097" s="1">
        <v>43917</v>
      </c>
      <c r="L1097">
        <v>67</v>
      </c>
      <c r="M1097" s="2" t="str">
        <f>IF(Spotify[[#This Row],[Energie]]&gt;AVERAGE(Spotify[Energie]),"FORTE","FAIBLE")</f>
        <v>FAIBLE</v>
      </c>
      <c r="N1097" s="2">
        <v>0.90600000000000003</v>
      </c>
      <c r="O1097" s="2">
        <v>0.47399999999999998</v>
      </c>
      <c r="P1097" s="2">
        <v>0.19400000000000001</v>
      </c>
      <c r="Q1097" s="2">
        <v>3.1099999999999999E-2</v>
      </c>
      <c r="R1097" s="2">
        <v>0.28599999999999998</v>
      </c>
      <c r="S1097" s="2">
        <v>0.65600000000000003</v>
      </c>
      <c r="T1097" s="2">
        <v>-6.1239999999999997</v>
      </c>
      <c r="U1097">
        <v>194607</v>
      </c>
      <c r="V1097">
        <f>YEAR(Spotify[[#This Row],[Date de sortie]])</f>
        <v>2020</v>
      </c>
      <c r="W1097" s="2" t="str">
        <f>IF(Spotify[[#This Row],[Popularité]]&gt;=70,"FORTE","FAIBLE")</f>
        <v>FAIBLE</v>
      </c>
    </row>
    <row r="1098" spans="1:23" x14ac:dyDescent="0.25">
      <c r="A1098">
        <v>696</v>
      </c>
      <c r="B1098">
        <v>34</v>
      </c>
      <c r="C1098">
        <v>1</v>
      </c>
      <c r="D1098" s="1">
        <v>44176</v>
      </c>
      <c r="E1098" s="59" t="str" cm="1">
        <f t="array" ref="E109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98" t="s">
        <v>1238</v>
      </c>
      <c r="G1098" s="3">
        <v>14519547</v>
      </c>
      <c r="H1098" t="s">
        <v>746</v>
      </c>
      <c r="I1098" s="4">
        <v>42227614</v>
      </c>
      <c r="J1098" t="s">
        <v>10</v>
      </c>
      <c r="K1098" s="1">
        <v>44176</v>
      </c>
      <c r="L1098">
        <v>66</v>
      </c>
      <c r="M1098" s="2" t="str">
        <f>IF(Spotify[[#This Row],[Energie]]&gt;AVERAGE(Spotify[Energie]),"FORTE","FAIBLE")</f>
        <v>FAIBLE</v>
      </c>
      <c r="N1098" s="2">
        <v>0.51500000000000001</v>
      </c>
      <c r="O1098" s="2">
        <v>0.54500000000000004</v>
      </c>
      <c r="P1098" s="2">
        <v>3.5299999999999998E-2</v>
      </c>
      <c r="Q1098" s="2">
        <v>0.85499999999999998</v>
      </c>
      <c r="R1098" s="2">
        <v>9.2100000000000001E-2</v>
      </c>
      <c r="S1098" s="2">
        <v>0.53500000000000003</v>
      </c>
      <c r="T1098" s="2">
        <v>-9.2769999999999992</v>
      </c>
      <c r="U1098">
        <v>260440</v>
      </c>
      <c r="V1098">
        <f>YEAR(Spotify[[#This Row],[Date de sortie]])</f>
        <v>2020</v>
      </c>
      <c r="W1098" s="2" t="str">
        <f>IF(Spotify[[#This Row],[Popularité]]&gt;=70,"FORTE","FAIBLE")</f>
        <v>FAIBLE</v>
      </c>
    </row>
    <row r="1099" spans="1:23" x14ac:dyDescent="0.25">
      <c r="A1099">
        <v>699</v>
      </c>
      <c r="B1099">
        <v>43</v>
      </c>
      <c r="C1099">
        <v>1</v>
      </c>
      <c r="D1099" s="1">
        <v>44176</v>
      </c>
      <c r="E1099" s="59" t="str" cm="1">
        <f t="array" ref="E109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099" t="s">
        <v>1241</v>
      </c>
      <c r="G1099" s="3">
        <v>13810722</v>
      </c>
      <c r="H1099" t="s">
        <v>746</v>
      </c>
      <c r="I1099" s="4">
        <v>42227614</v>
      </c>
      <c r="J1099" t="s">
        <v>10</v>
      </c>
      <c r="K1099" s="1">
        <v>44176</v>
      </c>
      <c r="L1099">
        <v>66</v>
      </c>
      <c r="M1099" s="2" t="str">
        <f>IF(Spotify[[#This Row],[Energie]]&gt;AVERAGE(Spotify[Energie]),"FORTE","FAIBLE")</f>
        <v>FAIBLE</v>
      </c>
      <c r="N1099" s="2">
        <v>0.39</v>
      </c>
      <c r="O1099" s="2">
        <v>0.27</v>
      </c>
      <c r="P1099" s="2">
        <v>3.0800000000000001E-2</v>
      </c>
      <c r="Q1099" s="2">
        <v>0.93700000000000006</v>
      </c>
      <c r="R1099" s="2">
        <v>0.111</v>
      </c>
      <c r="S1099" s="2">
        <v>0.32</v>
      </c>
      <c r="T1099" s="2">
        <v>-10.673</v>
      </c>
      <c r="U1099">
        <v>304107</v>
      </c>
      <c r="V1099">
        <f>YEAR(Spotify[[#This Row],[Date de sortie]])</f>
        <v>2020</v>
      </c>
      <c r="W1099" s="2" t="str">
        <f>IF(Spotify[[#This Row],[Popularité]]&gt;=70,"FORTE","FAIBLE")</f>
        <v>FAIBLE</v>
      </c>
    </row>
    <row r="1100" spans="1:23" x14ac:dyDescent="0.25">
      <c r="A1100">
        <v>700</v>
      </c>
      <c r="B1100">
        <v>45</v>
      </c>
      <c r="C1100">
        <v>1</v>
      </c>
      <c r="D1100" s="1">
        <v>44176</v>
      </c>
      <c r="E1100" s="59" t="str" cm="1">
        <f t="array" ref="E110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00" t="s">
        <v>1242</v>
      </c>
      <c r="G1100" s="3">
        <v>13583538</v>
      </c>
      <c r="H1100" t="s">
        <v>746</v>
      </c>
      <c r="I1100" s="4">
        <v>42227614</v>
      </c>
      <c r="J1100" t="s">
        <v>10</v>
      </c>
      <c r="K1100" s="1">
        <v>44176</v>
      </c>
      <c r="L1100">
        <v>66</v>
      </c>
      <c r="M1100" s="2" t="str">
        <f>IF(Spotify[[#This Row],[Energie]]&gt;AVERAGE(Spotify[Energie]),"FORTE","FAIBLE")</f>
        <v>FORTE</v>
      </c>
      <c r="N1100" s="2">
        <v>0.54600000000000004</v>
      </c>
      <c r="O1100" s="2">
        <v>0.73</v>
      </c>
      <c r="P1100" s="2">
        <v>4.1700000000000001E-2</v>
      </c>
      <c r="Q1100" s="2">
        <v>0.66</v>
      </c>
      <c r="R1100" s="2">
        <v>9.7199999999999995E-2</v>
      </c>
      <c r="S1100" s="2">
        <v>0.57299999999999995</v>
      </c>
      <c r="T1100" s="2">
        <v>-7.7039999999999997</v>
      </c>
      <c r="U1100">
        <v>215920</v>
      </c>
      <c r="V1100">
        <f>YEAR(Spotify[[#This Row],[Date de sortie]])</f>
        <v>2020</v>
      </c>
      <c r="W1100" s="2" t="str">
        <f>IF(Spotify[[#This Row],[Popularité]]&gt;=70,"FORTE","FAIBLE")</f>
        <v>FAIBLE</v>
      </c>
    </row>
    <row r="1101" spans="1:23" x14ac:dyDescent="0.25">
      <c r="A1101">
        <v>735</v>
      </c>
      <c r="B1101">
        <v>66</v>
      </c>
      <c r="C1101">
        <v>1</v>
      </c>
      <c r="D1101" s="1">
        <v>44162</v>
      </c>
      <c r="E1101" s="59" t="str" cm="1">
        <f t="array" ref="E110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01" t="s">
        <v>1282</v>
      </c>
      <c r="G1101" s="3">
        <v>10733416</v>
      </c>
      <c r="H1101" t="s">
        <v>24</v>
      </c>
      <c r="I1101" s="4">
        <v>36177712</v>
      </c>
      <c r="J1101" t="s">
        <v>25</v>
      </c>
      <c r="K1101" s="1">
        <v>44162</v>
      </c>
      <c r="L1101">
        <v>66</v>
      </c>
      <c r="M1101" s="2" t="str">
        <f>IF(Spotify[[#This Row],[Energie]]&gt;AVERAGE(Spotify[Energie]),"FORTE","FAIBLE")</f>
        <v>FAIBLE</v>
      </c>
      <c r="N1101" s="2">
        <v>0.43</v>
      </c>
      <c r="O1101" s="2">
        <v>0.41199999999999998</v>
      </c>
      <c r="P1101" s="2">
        <v>2.81E-2</v>
      </c>
      <c r="Q1101" s="2">
        <v>0.2</v>
      </c>
      <c r="R1101" s="2">
        <v>0.32400000000000001</v>
      </c>
      <c r="S1101" s="2">
        <v>5.0799999999999998E-2</v>
      </c>
      <c r="T1101" s="2">
        <v>-5.3719999999999999</v>
      </c>
      <c r="U1101">
        <v>157673</v>
      </c>
      <c r="V1101">
        <f>YEAR(Spotify[[#This Row],[Date de sortie]])</f>
        <v>2020</v>
      </c>
      <c r="W1101" s="2" t="str">
        <f>IF(Spotify[[#This Row],[Popularité]]&gt;=70,"FORTE","FAIBLE")</f>
        <v>FAIBLE</v>
      </c>
    </row>
    <row r="1102" spans="1:23" x14ac:dyDescent="0.25">
      <c r="A1102">
        <v>480</v>
      </c>
      <c r="B1102">
        <v>60</v>
      </c>
      <c r="C1102">
        <v>1</v>
      </c>
      <c r="D1102" s="1">
        <v>44274</v>
      </c>
      <c r="E1102" s="59" t="str" cm="1">
        <f t="array" ref="E110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02" t="s">
        <v>875</v>
      </c>
      <c r="G1102" s="3">
        <v>10024729</v>
      </c>
      <c r="H1102" t="s">
        <v>35</v>
      </c>
      <c r="I1102" s="4">
        <v>48544923</v>
      </c>
      <c r="J1102" t="s">
        <v>36</v>
      </c>
      <c r="K1102" s="1">
        <v>44274</v>
      </c>
      <c r="L1102">
        <v>66</v>
      </c>
      <c r="M1102" s="2" t="str">
        <f>IF(Spotify[[#This Row],[Energie]]&gt;AVERAGE(Spotify[Energie]),"FORTE","FAIBLE")</f>
        <v>FAIBLE</v>
      </c>
      <c r="N1102" s="2">
        <v>0.75900000000000001</v>
      </c>
      <c r="O1102" s="2">
        <v>0.58399999999999996</v>
      </c>
      <c r="P1102" s="2">
        <v>0.06</v>
      </c>
      <c r="Q1102" s="2">
        <v>6.5199999999999994E-2</v>
      </c>
      <c r="R1102" s="2">
        <v>0.16</v>
      </c>
      <c r="S1102" s="2">
        <v>0.374</v>
      </c>
      <c r="T1102" s="2">
        <v>-6.6550000000000002</v>
      </c>
      <c r="U1102">
        <v>186696</v>
      </c>
      <c r="V1102">
        <f>YEAR(Spotify[[#This Row],[Date de sortie]])</f>
        <v>2021</v>
      </c>
      <c r="W1102" s="2" t="str">
        <f>IF(Spotify[[#This Row],[Popularité]]&gt;=70,"FORTE","FAIBLE")</f>
        <v>FAIBLE</v>
      </c>
    </row>
    <row r="1103" spans="1:23" x14ac:dyDescent="0.25">
      <c r="A1103">
        <v>1404</v>
      </c>
      <c r="B1103">
        <v>61</v>
      </c>
      <c r="C1103">
        <v>1</v>
      </c>
      <c r="D1103" s="1">
        <v>43875</v>
      </c>
      <c r="E1103" s="59" t="str" cm="1">
        <f t="array" ref="E110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03" t="s">
        <v>2245</v>
      </c>
      <c r="G1103" s="3">
        <v>9533583</v>
      </c>
      <c r="H1103" t="s">
        <v>35</v>
      </c>
      <c r="I1103" s="4">
        <v>48544923</v>
      </c>
      <c r="J1103" t="s">
        <v>36</v>
      </c>
      <c r="K1103" s="1">
        <v>43875</v>
      </c>
      <c r="L1103">
        <v>66</v>
      </c>
      <c r="M1103" s="2" t="str">
        <f>IF(Spotify[[#This Row],[Energie]]&gt;AVERAGE(Spotify[Energie]),"FORTE","FAIBLE")</f>
        <v>FORTE</v>
      </c>
      <c r="N1103" s="2">
        <v>0.64800000000000002</v>
      </c>
      <c r="O1103" s="2">
        <v>0.68100000000000005</v>
      </c>
      <c r="P1103" s="2">
        <v>3.78E-2</v>
      </c>
      <c r="Q1103" s="2">
        <v>0.26300000000000001</v>
      </c>
      <c r="R1103" s="2">
        <v>9.7100000000000006E-2</v>
      </c>
      <c r="S1103" s="2">
        <v>0.76700000000000002</v>
      </c>
      <c r="T1103" s="2">
        <v>-8.3889999999999993</v>
      </c>
      <c r="U1103">
        <v>200773</v>
      </c>
      <c r="V1103">
        <f>YEAR(Spotify[[#This Row],[Date de sortie]])</f>
        <v>2020</v>
      </c>
      <c r="W1103" s="2" t="str">
        <f>IF(Spotify[[#This Row],[Popularité]]&gt;=70,"FORTE","FAIBLE")</f>
        <v>FAIBLE</v>
      </c>
    </row>
    <row r="1104" spans="1:23" x14ac:dyDescent="0.25">
      <c r="A1104">
        <v>1044</v>
      </c>
      <c r="B1104">
        <v>63</v>
      </c>
      <c r="C1104">
        <v>1</v>
      </c>
      <c r="D1104" s="1">
        <v>44015</v>
      </c>
      <c r="E1104" s="59" t="str" cm="1">
        <f t="array" ref="E110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04" t="s">
        <v>1748</v>
      </c>
      <c r="G1104" s="3">
        <v>8443771</v>
      </c>
      <c r="H1104" t="s">
        <v>338</v>
      </c>
      <c r="I1104" s="4">
        <v>6852509</v>
      </c>
      <c r="J1104" t="s">
        <v>158</v>
      </c>
      <c r="K1104" s="1">
        <v>44015</v>
      </c>
      <c r="L1104">
        <v>66</v>
      </c>
      <c r="M1104" s="2" t="str">
        <f>IF(Spotify[[#This Row],[Energie]]&gt;AVERAGE(Spotify[Energie]),"FORTE","FAIBLE")</f>
        <v>FAIBLE</v>
      </c>
      <c r="N1104" s="2">
        <v>0.8</v>
      </c>
      <c r="O1104" s="2">
        <v>0.56399999999999995</v>
      </c>
      <c r="P1104" s="2">
        <v>0.4</v>
      </c>
      <c r="Q1104" s="2">
        <v>2.87E-2</v>
      </c>
      <c r="R1104" s="2">
        <v>0.112</v>
      </c>
      <c r="S1104" s="2">
        <v>0.318</v>
      </c>
      <c r="T1104" s="2">
        <v>-5.8170000000000002</v>
      </c>
      <c r="U1104">
        <v>150857</v>
      </c>
      <c r="V1104">
        <f>YEAR(Spotify[[#This Row],[Date de sortie]])</f>
        <v>2020</v>
      </c>
      <c r="W1104" s="2" t="str">
        <f>IF(Spotify[[#This Row],[Popularité]]&gt;=70,"FORTE","FAIBLE")</f>
        <v>FAIBLE</v>
      </c>
    </row>
    <row r="1105" spans="1:23" x14ac:dyDescent="0.25">
      <c r="A1105">
        <v>668</v>
      </c>
      <c r="B1105">
        <v>22</v>
      </c>
      <c r="C1105">
        <v>2</v>
      </c>
      <c r="D1105" s="1">
        <v>44176</v>
      </c>
      <c r="E1105" s="59" t="str" cm="1">
        <f t="array" ref="E110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05" t="s">
        <v>1190</v>
      </c>
      <c r="G1105" s="3">
        <v>8115520</v>
      </c>
      <c r="H1105" t="s">
        <v>746</v>
      </c>
      <c r="I1105" s="4">
        <v>42227614</v>
      </c>
      <c r="J1105" t="s">
        <v>10</v>
      </c>
      <c r="K1105" s="1">
        <v>44176</v>
      </c>
      <c r="L1105">
        <v>66</v>
      </c>
      <c r="M1105" s="2" t="str">
        <f>IF(Spotify[[#This Row],[Energie]]&gt;AVERAGE(Spotify[Energie]),"FORTE","FAIBLE")</f>
        <v>FAIBLE</v>
      </c>
      <c r="N1105" s="2">
        <v>0.57499999999999996</v>
      </c>
      <c r="O1105" s="2">
        <v>0.434</v>
      </c>
      <c r="P1105" s="2">
        <v>3.1199999999999999E-2</v>
      </c>
      <c r="Q1105" s="2">
        <v>0.73499999999999999</v>
      </c>
      <c r="R1105" s="2">
        <v>0.105</v>
      </c>
      <c r="S1105" s="2">
        <v>0.34799999999999998</v>
      </c>
      <c r="T1105" s="2">
        <v>-8.1929999999999996</v>
      </c>
      <c r="U1105">
        <v>229840</v>
      </c>
      <c r="V1105">
        <f>YEAR(Spotify[[#This Row],[Date de sortie]])</f>
        <v>2020</v>
      </c>
      <c r="W1105" s="2" t="str">
        <f>IF(Spotify[[#This Row],[Popularité]]&gt;=70,"FORTE","FAIBLE")</f>
        <v>FAIBLE</v>
      </c>
    </row>
    <row r="1106" spans="1:23" x14ac:dyDescent="0.25">
      <c r="A1106">
        <v>432</v>
      </c>
      <c r="B1106">
        <v>80</v>
      </c>
      <c r="C1106">
        <v>1</v>
      </c>
      <c r="D1106" s="1">
        <v>44295</v>
      </c>
      <c r="E1106" s="59" t="str" cm="1">
        <f t="array" ref="E110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06" t="s">
        <v>799</v>
      </c>
      <c r="G1106" s="3">
        <v>7852063</v>
      </c>
      <c r="H1106" t="s">
        <v>746</v>
      </c>
      <c r="I1106" s="4">
        <v>42227614</v>
      </c>
      <c r="J1106" t="s">
        <v>10</v>
      </c>
      <c r="K1106" s="1">
        <v>44295</v>
      </c>
      <c r="L1106">
        <v>66</v>
      </c>
      <c r="M1106" s="2" t="str">
        <f>IF(Spotify[[#This Row],[Energie]]&gt;AVERAGE(Spotify[Energie]),"FORTE","FAIBLE")</f>
        <v>FORTE</v>
      </c>
      <c r="N1106" s="2">
        <v>0.55900000000000005</v>
      </c>
      <c r="O1106" s="2">
        <v>0.64600000000000002</v>
      </c>
      <c r="P1106" s="2">
        <v>2.7199999999999998E-2</v>
      </c>
      <c r="Q1106" s="2">
        <v>0.11600000000000001</v>
      </c>
      <c r="R1106" s="2">
        <v>0.32</v>
      </c>
      <c r="S1106" s="2">
        <v>0.28899999999999998</v>
      </c>
      <c r="T1106" s="2">
        <v>-4.6100000000000003</v>
      </c>
      <c r="U1106">
        <v>294419</v>
      </c>
      <c r="V1106">
        <f>YEAR(Spotify[[#This Row],[Date de sortie]])</f>
        <v>2021</v>
      </c>
      <c r="W1106" s="2" t="str">
        <f>IF(Spotify[[#This Row],[Popularité]]&gt;=70,"FORTE","FAIBLE")</f>
        <v>FAIBLE</v>
      </c>
    </row>
    <row r="1107" spans="1:23" x14ac:dyDescent="0.25">
      <c r="A1107">
        <v>435</v>
      </c>
      <c r="B1107">
        <v>93</v>
      </c>
      <c r="C1107">
        <v>1</v>
      </c>
      <c r="D1107" s="1">
        <v>44295</v>
      </c>
      <c r="E1107" s="59" t="str" cm="1">
        <f t="array" ref="E110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07" t="s">
        <v>802</v>
      </c>
      <c r="G1107" s="3">
        <v>7385864</v>
      </c>
      <c r="H1107" t="s">
        <v>746</v>
      </c>
      <c r="I1107" s="4">
        <v>42227614</v>
      </c>
      <c r="J1107" t="s">
        <v>10</v>
      </c>
      <c r="K1107" s="1">
        <v>44295</v>
      </c>
      <c r="L1107">
        <v>66</v>
      </c>
      <c r="M1107" s="2" t="str">
        <f>IF(Spotify[[#This Row],[Energie]]&gt;AVERAGE(Spotify[Energie]),"FORTE","FAIBLE")</f>
        <v>FAIBLE</v>
      </c>
      <c r="N1107" s="2">
        <v>0.78800000000000003</v>
      </c>
      <c r="O1107" s="2">
        <v>0.57099999999999995</v>
      </c>
      <c r="P1107" s="2">
        <v>2.9600000000000001E-2</v>
      </c>
      <c r="Q1107" s="2">
        <v>0.106</v>
      </c>
      <c r="R1107" s="2">
        <v>9.3399999999999997E-2</v>
      </c>
      <c r="S1107" s="2">
        <v>0.79700000000000004</v>
      </c>
      <c r="T1107" s="2">
        <v>-6.1349999999999998</v>
      </c>
      <c r="U1107">
        <v>254255</v>
      </c>
      <c r="V1107">
        <f>YEAR(Spotify[[#This Row],[Date de sortie]])</f>
        <v>2021</v>
      </c>
      <c r="W1107" s="2" t="str">
        <f>IF(Spotify[[#This Row],[Popularité]]&gt;=70,"FORTE","FAIBLE")</f>
        <v>FAIBLE</v>
      </c>
    </row>
    <row r="1108" spans="1:23" x14ac:dyDescent="0.25">
      <c r="A1108">
        <v>1045</v>
      </c>
      <c r="B1108">
        <v>88</v>
      </c>
      <c r="C1108">
        <v>1</v>
      </c>
      <c r="D1108" s="1">
        <v>44015</v>
      </c>
      <c r="E1108" s="59" t="str" cm="1">
        <f t="array" ref="E110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08" t="s">
        <v>1749</v>
      </c>
      <c r="G1108" s="3">
        <v>7308690</v>
      </c>
      <c r="H1108" t="s">
        <v>338</v>
      </c>
      <c r="I1108" s="4">
        <v>6852509</v>
      </c>
      <c r="J1108" t="s">
        <v>158</v>
      </c>
      <c r="K1108" s="1">
        <v>44015</v>
      </c>
      <c r="L1108">
        <v>66</v>
      </c>
      <c r="M1108" s="2" t="str">
        <f>IF(Spotify[[#This Row],[Energie]]&gt;AVERAGE(Spotify[Energie]),"FORTE","FAIBLE")</f>
        <v>FORTE</v>
      </c>
      <c r="N1108" s="2">
        <v>0.79400000000000004</v>
      </c>
      <c r="O1108" s="2">
        <v>0.71699999999999997</v>
      </c>
      <c r="P1108" s="2">
        <v>0.251</v>
      </c>
      <c r="Q1108" s="2">
        <v>5.11E-2</v>
      </c>
      <c r="R1108" s="2">
        <v>0.19500000000000001</v>
      </c>
      <c r="S1108" s="2">
        <v>0.372</v>
      </c>
      <c r="T1108" s="2">
        <v>-5.73</v>
      </c>
      <c r="U1108">
        <v>202816</v>
      </c>
      <c r="V1108">
        <f>YEAR(Spotify[[#This Row],[Date de sortie]])</f>
        <v>2020</v>
      </c>
      <c r="W1108" s="2" t="str">
        <f>IF(Spotify[[#This Row],[Popularité]]&gt;=70,"FORTE","FAIBLE")</f>
        <v>FAIBLE</v>
      </c>
    </row>
    <row r="1109" spans="1:23" x14ac:dyDescent="0.25">
      <c r="A1109">
        <v>1473</v>
      </c>
      <c r="B1109">
        <v>30</v>
      </c>
      <c r="C1109">
        <v>2</v>
      </c>
      <c r="D1109" s="1">
        <v>43847</v>
      </c>
      <c r="E1109" s="59" t="str" cm="1">
        <f t="array" ref="E110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109" t="s">
        <v>2338</v>
      </c>
      <c r="G1109" s="3">
        <v>7157402</v>
      </c>
      <c r="H1109" t="s">
        <v>412</v>
      </c>
      <c r="I1109" s="4">
        <v>46814751</v>
      </c>
      <c r="J1109" t="s">
        <v>413</v>
      </c>
      <c r="K1109" s="1">
        <v>43847</v>
      </c>
      <c r="L1109">
        <v>66</v>
      </c>
      <c r="M1109" s="2" t="str">
        <f>IF(Spotify[[#This Row],[Energie]]&gt;AVERAGE(Spotify[Energie]),"FORTE","FAIBLE")</f>
        <v>FORTE</v>
      </c>
      <c r="N1109" s="2">
        <v>0.68</v>
      </c>
      <c r="O1109" s="2">
        <v>0.82</v>
      </c>
      <c r="P1109" s="2">
        <v>0.151</v>
      </c>
      <c r="Q1109" s="2">
        <v>6.1400000000000003E-2</v>
      </c>
      <c r="R1109" s="2">
        <v>0.59699999999999998</v>
      </c>
      <c r="S1109" s="2">
        <v>0.24299999999999999</v>
      </c>
      <c r="T1109" s="2">
        <v>-4.1970000000000001</v>
      </c>
      <c r="U1109">
        <v>234653</v>
      </c>
      <c r="V1109">
        <f>YEAR(Spotify[[#This Row],[Date de sortie]])</f>
        <v>2020</v>
      </c>
      <c r="W1109" s="2" t="str">
        <f>IF(Spotify[[#This Row],[Popularité]]&gt;=70,"FORTE","FAIBLE")</f>
        <v>FAIBLE</v>
      </c>
    </row>
    <row r="1110" spans="1:23" x14ac:dyDescent="0.25">
      <c r="A1110">
        <v>1411</v>
      </c>
      <c r="B1110">
        <v>96</v>
      </c>
      <c r="C1110">
        <v>1</v>
      </c>
      <c r="D1110" s="1">
        <v>43875</v>
      </c>
      <c r="E1110" s="59" t="str" cm="1">
        <f t="array" ref="E111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10" t="s">
        <v>2252</v>
      </c>
      <c r="G1110" s="3">
        <v>7142364</v>
      </c>
      <c r="H1110" t="s">
        <v>906</v>
      </c>
      <c r="I1110" s="4">
        <v>5064200</v>
      </c>
      <c r="J1110" t="s">
        <v>907</v>
      </c>
      <c r="K1110" s="1">
        <v>43875</v>
      </c>
      <c r="L1110">
        <v>66</v>
      </c>
      <c r="M1110" s="2" t="str">
        <f>IF(Spotify[[#This Row],[Energie]]&gt;AVERAGE(Spotify[Energie]),"FORTE","FAIBLE")</f>
        <v>FORTE</v>
      </c>
      <c r="N1110" s="2">
        <v>0.66400000000000003</v>
      </c>
      <c r="O1110" s="2">
        <v>0.84799999999999998</v>
      </c>
      <c r="P1110" s="2">
        <v>3.2199999999999999E-2</v>
      </c>
      <c r="Q1110" s="2">
        <v>2.4500000000000001E-2</v>
      </c>
      <c r="R1110" s="2">
        <v>0.17199999999999999</v>
      </c>
      <c r="S1110" s="2">
        <v>0.502</v>
      </c>
      <c r="T1110" s="2">
        <v>-4.51</v>
      </c>
      <c r="U1110">
        <v>372867</v>
      </c>
      <c r="V1110">
        <f>YEAR(Spotify[[#This Row],[Date de sortie]])</f>
        <v>2020</v>
      </c>
      <c r="W1110" s="2" t="str">
        <f>IF(Spotify[[#This Row],[Popularité]]&gt;=70,"FORTE","FAIBLE")</f>
        <v>FAIBLE</v>
      </c>
    </row>
    <row r="1111" spans="1:23" x14ac:dyDescent="0.25">
      <c r="A1111">
        <v>1264</v>
      </c>
      <c r="B1111">
        <v>27</v>
      </c>
      <c r="C1111">
        <v>2</v>
      </c>
      <c r="D1111" s="1">
        <v>43910</v>
      </c>
      <c r="E1111" s="59" t="str" cm="1">
        <f t="array" ref="E111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11" t="s">
        <v>2057</v>
      </c>
      <c r="G1111" s="3">
        <v>6566099</v>
      </c>
      <c r="H1111" t="s">
        <v>41</v>
      </c>
      <c r="I1111" s="4">
        <v>35340069</v>
      </c>
      <c r="J1111" t="s">
        <v>42</v>
      </c>
      <c r="K1111" s="1">
        <v>43910</v>
      </c>
      <c r="L1111">
        <v>66</v>
      </c>
      <c r="M1111" s="2" t="str">
        <f>IF(Spotify[[#This Row],[Energie]]&gt;AVERAGE(Spotify[Energie]),"FORTE","FAIBLE")</f>
        <v>FAIBLE</v>
      </c>
      <c r="N1111" s="2">
        <v>0.504</v>
      </c>
      <c r="O1111" s="2">
        <v>0.498</v>
      </c>
      <c r="P1111" s="2">
        <v>4.99E-2</v>
      </c>
      <c r="Q1111" s="2">
        <v>0.13100000000000001</v>
      </c>
      <c r="R1111" s="2">
        <v>9.2899999999999996E-2</v>
      </c>
      <c r="S1111" s="2">
        <v>0.19600000000000001</v>
      </c>
      <c r="T1111" s="2">
        <v>-8.24</v>
      </c>
      <c r="U1111">
        <v>191307</v>
      </c>
      <c r="V1111">
        <f>YEAR(Spotify[[#This Row],[Date de sortie]])</f>
        <v>2020</v>
      </c>
      <c r="W1111" s="2" t="str">
        <f>IF(Spotify[[#This Row],[Popularité]]&gt;=70,"FORTE","FAIBLE")</f>
        <v>FAIBLE</v>
      </c>
    </row>
    <row r="1112" spans="1:23" x14ac:dyDescent="0.25">
      <c r="A1112">
        <v>437</v>
      </c>
      <c r="B1112">
        <v>114</v>
      </c>
      <c r="C1112">
        <v>1</v>
      </c>
      <c r="D1112" s="1">
        <v>44295</v>
      </c>
      <c r="E1112" s="59" t="str" cm="1">
        <f t="array" ref="E111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12" t="s">
        <v>804</v>
      </c>
      <c r="G1112" s="3">
        <v>6566059</v>
      </c>
      <c r="H1112" t="s">
        <v>746</v>
      </c>
      <c r="I1112" s="4">
        <v>42227614</v>
      </c>
      <c r="J1112" t="s">
        <v>10</v>
      </c>
      <c r="K1112" s="1">
        <v>44295</v>
      </c>
      <c r="L1112">
        <v>66</v>
      </c>
      <c r="M1112" s="2" t="str">
        <f>IF(Spotify[[#This Row],[Energie]]&gt;AVERAGE(Spotify[Energie]),"FORTE","FAIBLE")</f>
        <v>FORTE</v>
      </c>
      <c r="N1112" s="2">
        <v>0.59799999999999998</v>
      </c>
      <c r="O1112" s="2">
        <v>0.82099999999999995</v>
      </c>
      <c r="P1112" s="2">
        <v>4.4699999999999997E-2</v>
      </c>
      <c r="Q1112" s="2">
        <v>2.3099999999999999E-2</v>
      </c>
      <c r="R1112" s="2">
        <v>0.14299999999999999</v>
      </c>
      <c r="S1112" s="2">
        <v>0.67300000000000004</v>
      </c>
      <c r="T1112" s="2">
        <v>-4.4329999999999998</v>
      </c>
      <c r="U1112">
        <v>225328</v>
      </c>
      <c r="V1112">
        <f>YEAR(Spotify[[#This Row],[Date de sortie]])</f>
        <v>2021</v>
      </c>
      <c r="W1112" s="2" t="str">
        <f>IF(Spotify[[#This Row],[Popularité]]&gt;=70,"FORTE","FAIBLE")</f>
        <v>FAIBLE</v>
      </c>
    </row>
    <row r="1113" spans="1:23" x14ac:dyDescent="0.25">
      <c r="A1113">
        <v>1475</v>
      </c>
      <c r="B1113">
        <v>99</v>
      </c>
      <c r="C1113">
        <v>5</v>
      </c>
      <c r="D1113" s="1">
        <v>43826</v>
      </c>
      <c r="E1113" s="59" t="str" cm="1">
        <f t="array" ref="E111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13" t="s">
        <v>2340</v>
      </c>
      <c r="G1113" s="3">
        <v>6442626</v>
      </c>
      <c r="H1113" t="s">
        <v>2141</v>
      </c>
      <c r="I1113" s="4">
        <v>13312073</v>
      </c>
      <c r="J1113" t="s">
        <v>874</v>
      </c>
      <c r="K1113" s="1">
        <v>43805</v>
      </c>
      <c r="L1113">
        <v>66</v>
      </c>
      <c r="M1113" s="2" t="str">
        <f>IF(Spotify[[#This Row],[Energie]]&gt;AVERAGE(Spotify[Energie]),"FORTE","FAIBLE")</f>
        <v>FORTE</v>
      </c>
      <c r="N1113" s="2">
        <v>0.66800000000000004</v>
      </c>
      <c r="O1113" s="2">
        <v>0.68400000000000005</v>
      </c>
      <c r="P1113" s="2">
        <v>5.2699999999999997E-2</v>
      </c>
      <c r="Q1113" s="2">
        <v>0.627</v>
      </c>
      <c r="R1113" s="2">
        <v>0.92300000000000004</v>
      </c>
      <c r="S1113" s="2">
        <v>0.7</v>
      </c>
      <c r="T1113" s="2">
        <v>-5.9370000000000003</v>
      </c>
      <c r="U1113">
        <v>187986</v>
      </c>
      <c r="V1113">
        <f>YEAR(Spotify[[#This Row],[Date de sortie]])</f>
        <v>2019</v>
      </c>
      <c r="W1113" s="2" t="str">
        <f>IF(Spotify[[#This Row],[Popularité]]&gt;=70,"FORTE","FAIBLE")</f>
        <v>FAIBLE</v>
      </c>
    </row>
    <row r="1114" spans="1:23" x14ac:dyDescent="0.25">
      <c r="A1114">
        <v>978</v>
      </c>
      <c r="B1114">
        <v>33</v>
      </c>
      <c r="C1114">
        <v>2</v>
      </c>
      <c r="D1114" s="1">
        <v>44036</v>
      </c>
      <c r="E1114" s="59" t="str" cm="1">
        <f t="array" ref="E111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14" t="s">
        <v>1659</v>
      </c>
      <c r="G1114" s="3">
        <v>6085522</v>
      </c>
      <c r="H1114" t="s">
        <v>746</v>
      </c>
      <c r="I1114" s="4">
        <v>42227614</v>
      </c>
      <c r="J1114" t="s">
        <v>10</v>
      </c>
      <c r="K1114" s="1">
        <v>44036</v>
      </c>
      <c r="L1114">
        <v>66</v>
      </c>
      <c r="M1114" s="2" t="str">
        <f>IF(Spotify[[#This Row],[Energie]]&gt;AVERAGE(Spotify[Energie]),"FORTE","FAIBLE")</f>
        <v>FAIBLE</v>
      </c>
      <c r="N1114" s="2">
        <v>0.35399999999999998</v>
      </c>
      <c r="O1114" s="2">
        <v>0.26700000000000002</v>
      </c>
      <c r="P1114" s="2">
        <v>2.81E-2</v>
      </c>
      <c r="Q1114" s="2">
        <v>0.73099999999999998</v>
      </c>
      <c r="R1114" s="2">
        <v>8.5800000000000001E-2</v>
      </c>
      <c r="S1114" s="2">
        <v>0.113</v>
      </c>
      <c r="T1114" s="2">
        <v>-13.69</v>
      </c>
      <c r="U1114">
        <v>289749</v>
      </c>
      <c r="V1114">
        <f>YEAR(Spotify[[#This Row],[Date de sortie]])</f>
        <v>2020</v>
      </c>
      <c r="W1114" s="2" t="str">
        <f>IF(Spotify[[#This Row],[Popularité]]&gt;=70,"FORTE","FAIBLE")</f>
        <v>FAIBLE</v>
      </c>
    </row>
    <row r="1115" spans="1:23" x14ac:dyDescent="0.25">
      <c r="A1115">
        <v>1265</v>
      </c>
      <c r="B1115">
        <v>21</v>
      </c>
      <c r="C1115">
        <v>2</v>
      </c>
      <c r="D1115" s="1">
        <v>43910</v>
      </c>
      <c r="E1115" s="59" t="str" cm="1">
        <f t="array" ref="E111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15" t="s">
        <v>2058</v>
      </c>
      <c r="G1115" s="3">
        <v>6055294</v>
      </c>
      <c r="H1115" t="s">
        <v>41</v>
      </c>
      <c r="I1115" s="4">
        <v>35340069</v>
      </c>
      <c r="J1115" t="s">
        <v>42</v>
      </c>
      <c r="K1115" s="1">
        <v>43910</v>
      </c>
      <c r="L1115">
        <v>66</v>
      </c>
      <c r="M1115" s="2" t="str">
        <f>IF(Spotify[[#This Row],[Energie]]&gt;AVERAGE(Spotify[Energie]),"FORTE","FAIBLE")</f>
        <v>FORTE</v>
      </c>
      <c r="N1115" s="2">
        <v>0.218</v>
      </c>
      <c r="O1115" s="2">
        <v>0.65200000000000002</v>
      </c>
      <c r="P1115" s="2">
        <v>6.4100000000000004E-2</v>
      </c>
      <c r="Q1115" s="2">
        <v>3.3000000000000002E-2</v>
      </c>
      <c r="R1115" s="2">
        <v>0.17199999999999999</v>
      </c>
      <c r="S1115" s="2">
        <v>5.9900000000000002E-2</v>
      </c>
      <c r="T1115" s="2">
        <v>-7.9530000000000003</v>
      </c>
      <c r="U1115">
        <v>250053</v>
      </c>
      <c r="V1115">
        <f>YEAR(Spotify[[#This Row],[Date de sortie]])</f>
        <v>2020</v>
      </c>
      <c r="W1115" s="2" t="str">
        <f>IF(Spotify[[#This Row],[Popularité]]&gt;=70,"FORTE","FAIBLE")</f>
        <v>FAIBLE</v>
      </c>
    </row>
    <row r="1116" spans="1:23" x14ac:dyDescent="0.25">
      <c r="A1116">
        <v>1340</v>
      </c>
      <c r="B1116">
        <v>99</v>
      </c>
      <c r="C1116">
        <v>2</v>
      </c>
      <c r="D1116" s="1">
        <v>43889</v>
      </c>
      <c r="E1116" s="59" t="str" cm="1">
        <f t="array" ref="E111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16" t="s">
        <v>2155</v>
      </c>
      <c r="G1116" s="3">
        <v>6041127</v>
      </c>
      <c r="H1116" t="s">
        <v>2156</v>
      </c>
      <c r="I1116" s="4">
        <v>36177712</v>
      </c>
      <c r="J1116" t="s">
        <v>25</v>
      </c>
      <c r="K1116" s="1">
        <v>43890</v>
      </c>
      <c r="L1116">
        <v>66</v>
      </c>
      <c r="M1116" s="2" t="str">
        <f>IF(Spotify[[#This Row],[Energie]]&gt;AVERAGE(Spotify[Energie]),"FORTE","FAIBLE")</f>
        <v>FORTE</v>
      </c>
      <c r="N1116" s="2">
        <v>0.82</v>
      </c>
      <c r="O1116" s="2">
        <v>0.63500000000000001</v>
      </c>
      <c r="P1116" s="2">
        <v>7.7200000000000005E-2</v>
      </c>
      <c r="Q1116" s="2">
        <v>0.40899999999999997</v>
      </c>
      <c r="R1116" s="2">
        <v>0.24399999999999999</v>
      </c>
      <c r="S1116" s="2">
        <v>0.52800000000000002</v>
      </c>
      <c r="T1116" s="2">
        <v>-5.7489999999999997</v>
      </c>
      <c r="U1116">
        <v>258280</v>
      </c>
      <c r="V1116">
        <f>YEAR(Spotify[[#This Row],[Date de sortie]])</f>
        <v>2020</v>
      </c>
      <c r="W1116" s="2" t="str">
        <f>IF(Spotify[[#This Row],[Popularité]]&gt;=70,"FORTE","FAIBLE")</f>
        <v>FAIBLE</v>
      </c>
    </row>
    <row r="1117" spans="1:23" x14ac:dyDescent="0.25">
      <c r="A1117">
        <v>870</v>
      </c>
      <c r="B1117">
        <v>126</v>
      </c>
      <c r="C1117">
        <v>1</v>
      </c>
      <c r="D1117" s="1">
        <v>44099</v>
      </c>
      <c r="E1117" s="59" t="str" cm="1">
        <f t="array" ref="E111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17" t="s">
        <v>1493</v>
      </c>
      <c r="G1117" s="3">
        <v>6013371</v>
      </c>
      <c r="H1117" t="s">
        <v>1370</v>
      </c>
      <c r="I1117" s="4">
        <v>4759367</v>
      </c>
      <c r="J1117" t="s">
        <v>761</v>
      </c>
      <c r="K1117" s="1">
        <v>44099</v>
      </c>
      <c r="L1117">
        <v>66</v>
      </c>
      <c r="M1117" s="2" t="str">
        <f>IF(Spotify[[#This Row],[Energie]]&gt;AVERAGE(Spotify[Energie]),"FORTE","FAIBLE")</f>
        <v>FAIBLE</v>
      </c>
      <c r="N1117" s="2">
        <v>0.73799999999999999</v>
      </c>
      <c r="O1117" s="2">
        <v>0.53300000000000003</v>
      </c>
      <c r="P1117" s="2">
        <v>4.9200000000000001E-2</v>
      </c>
      <c r="Q1117" s="2">
        <v>0.183</v>
      </c>
      <c r="R1117" s="2">
        <v>0.115</v>
      </c>
      <c r="S1117" s="2">
        <v>0.26200000000000001</v>
      </c>
      <c r="T1117" s="2">
        <v>-7.617</v>
      </c>
      <c r="U1117">
        <v>207265</v>
      </c>
      <c r="V1117">
        <f>YEAR(Spotify[[#This Row],[Date de sortie]])</f>
        <v>2020</v>
      </c>
      <c r="W1117" s="2" t="str">
        <f>IF(Spotify[[#This Row],[Popularité]]&gt;=70,"FORTE","FAIBLE")</f>
        <v>FAIBLE</v>
      </c>
    </row>
    <row r="1118" spans="1:23" x14ac:dyDescent="0.25">
      <c r="A1118">
        <v>1342</v>
      </c>
      <c r="B1118">
        <v>65</v>
      </c>
      <c r="C1118">
        <v>2</v>
      </c>
      <c r="D1118" s="1">
        <v>43889</v>
      </c>
      <c r="E1118" s="59" t="str" cm="1">
        <f t="array" ref="E111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118" t="s">
        <v>2158</v>
      </c>
      <c r="G1118" s="3">
        <v>6004839</v>
      </c>
      <c r="H1118" t="s">
        <v>932</v>
      </c>
      <c r="I1118" s="4">
        <v>7816213</v>
      </c>
      <c r="J1118" t="s">
        <v>531</v>
      </c>
      <c r="K1118" s="1">
        <v>43889</v>
      </c>
      <c r="L1118">
        <v>66</v>
      </c>
      <c r="M1118" s="2" t="str">
        <f>IF(Spotify[[#This Row],[Energie]]&gt;AVERAGE(Spotify[Energie]),"FORTE","FAIBLE")</f>
        <v>FAIBLE</v>
      </c>
      <c r="N1118" s="2">
        <v>0.78800000000000003</v>
      </c>
      <c r="O1118" s="2">
        <v>0.436</v>
      </c>
      <c r="P1118" s="2">
        <v>0.36399999999999999</v>
      </c>
      <c r="Q1118" s="2">
        <v>6.1100000000000002E-2</v>
      </c>
      <c r="R1118" s="2">
        <v>9.7900000000000001E-2</v>
      </c>
      <c r="S1118" s="2">
        <v>0.34100000000000003</v>
      </c>
      <c r="T1118" s="2">
        <v>-9.4350000000000005</v>
      </c>
      <c r="U1118">
        <v>177314</v>
      </c>
      <c r="V1118">
        <f>YEAR(Spotify[[#This Row],[Date de sortie]])</f>
        <v>2020</v>
      </c>
      <c r="W1118" s="2" t="str">
        <f>IF(Spotify[[#This Row],[Popularité]]&gt;=70,"FORTE","FAIBLE")</f>
        <v>FAIBLE</v>
      </c>
    </row>
    <row r="1119" spans="1:23" x14ac:dyDescent="0.25">
      <c r="A1119">
        <v>1241</v>
      </c>
      <c r="B1119">
        <v>101</v>
      </c>
      <c r="C1119">
        <v>1</v>
      </c>
      <c r="D1119" s="1">
        <v>43931</v>
      </c>
      <c r="E1119" s="59" t="str" cm="1">
        <f t="array" ref="E111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119" t="s">
        <v>2026</v>
      </c>
      <c r="G1119" s="3">
        <v>5938996</v>
      </c>
      <c r="H1119" t="s">
        <v>1989</v>
      </c>
      <c r="I1119" s="4">
        <v>3828418</v>
      </c>
      <c r="J1119" t="s">
        <v>155</v>
      </c>
      <c r="K1119" s="1">
        <v>43931</v>
      </c>
      <c r="L1119">
        <v>66</v>
      </c>
      <c r="M1119" s="2" t="str">
        <f>IF(Spotify[[#This Row],[Energie]]&gt;AVERAGE(Spotify[Energie]),"FORTE","FAIBLE")</f>
        <v>FORTE</v>
      </c>
      <c r="N1119" s="2">
        <v>0.77500000000000002</v>
      </c>
      <c r="O1119" s="2">
        <v>0.82299999999999995</v>
      </c>
      <c r="P1119" s="2">
        <v>6.3500000000000001E-2</v>
      </c>
      <c r="Q1119" s="2">
        <v>8.8099999999999998E-2</v>
      </c>
      <c r="R1119" s="2">
        <v>0.309</v>
      </c>
      <c r="S1119" s="2">
        <v>0.65</v>
      </c>
      <c r="T1119" s="2">
        <v>-4.9409999999999998</v>
      </c>
      <c r="U1119">
        <v>174848</v>
      </c>
      <c r="V1119">
        <f>YEAR(Spotify[[#This Row],[Date de sortie]])</f>
        <v>2020</v>
      </c>
      <c r="W1119" s="2" t="str">
        <f>IF(Spotify[[#This Row],[Popularité]]&gt;=70,"FORTE","FAIBLE")</f>
        <v>FAIBLE</v>
      </c>
    </row>
    <row r="1120" spans="1:23" x14ac:dyDescent="0.25">
      <c r="A1120">
        <v>1140</v>
      </c>
      <c r="B1120">
        <v>114</v>
      </c>
      <c r="C1120">
        <v>1</v>
      </c>
      <c r="D1120" s="1">
        <v>43980</v>
      </c>
      <c r="E1120" s="59" t="str" cm="1">
        <f t="array" ref="E112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20" t="s">
        <v>1882</v>
      </c>
      <c r="G1120" s="3">
        <v>5867930</v>
      </c>
      <c r="H1120" t="s">
        <v>1883</v>
      </c>
      <c r="I1120" s="4">
        <v>7593792</v>
      </c>
      <c r="J1120" t="s">
        <v>313</v>
      </c>
      <c r="K1120" s="1">
        <v>43980</v>
      </c>
      <c r="L1120">
        <v>66</v>
      </c>
      <c r="M1120" s="2" t="str">
        <f>IF(Spotify[[#This Row],[Energie]]&gt;AVERAGE(Spotify[Energie]),"FORTE","FAIBLE")</f>
        <v>FAIBLE</v>
      </c>
      <c r="N1120" s="2">
        <v>0.52600000000000002</v>
      </c>
      <c r="O1120" s="2">
        <v>0.63300000000000001</v>
      </c>
      <c r="P1120" s="2">
        <v>0.13400000000000001</v>
      </c>
      <c r="Q1120" s="2">
        <v>0.372</v>
      </c>
      <c r="R1120" s="2">
        <v>0.129</v>
      </c>
      <c r="S1120" s="2">
        <v>0.27200000000000002</v>
      </c>
      <c r="T1120" s="2">
        <v>-7.0019999999999998</v>
      </c>
      <c r="U1120">
        <v>203947</v>
      </c>
      <c r="V1120">
        <f>YEAR(Spotify[[#This Row],[Date de sortie]])</f>
        <v>2020</v>
      </c>
      <c r="W1120" s="2" t="str">
        <f>IF(Spotify[[#This Row],[Popularité]]&gt;=70,"FORTE","FAIBLE")</f>
        <v>FAIBLE</v>
      </c>
    </row>
    <row r="1121" spans="1:23" x14ac:dyDescent="0.25">
      <c r="A1121">
        <v>448</v>
      </c>
      <c r="B1121">
        <v>132</v>
      </c>
      <c r="C1121">
        <v>1</v>
      </c>
      <c r="D1121" s="1">
        <v>44288</v>
      </c>
      <c r="E1121" s="59" t="str" cm="1">
        <f t="array" ref="E112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21" t="s">
        <v>818</v>
      </c>
      <c r="G1121" s="3">
        <v>5836326</v>
      </c>
      <c r="H1121" t="s">
        <v>751</v>
      </c>
      <c r="I1121" s="4">
        <v>20338833</v>
      </c>
      <c r="J1121" t="s">
        <v>19</v>
      </c>
      <c r="K1121" s="1">
        <v>44281</v>
      </c>
      <c r="L1121">
        <v>66</v>
      </c>
      <c r="M1121" s="2" t="str">
        <f>IF(Spotify[[#This Row],[Energie]]&gt;AVERAGE(Spotify[Energie]),"FORTE","FAIBLE")</f>
        <v>FORTE</v>
      </c>
      <c r="N1121" s="2">
        <v>0.41299999999999998</v>
      </c>
      <c r="O1121" s="2">
        <v>0.64</v>
      </c>
      <c r="P1121" s="2">
        <v>4.2700000000000002E-2</v>
      </c>
      <c r="Q1121" s="2">
        <v>0.27300000000000002</v>
      </c>
      <c r="R1121" s="2">
        <v>0.11</v>
      </c>
      <c r="S1121" s="2">
        <v>0.14899999999999999</v>
      </c>
      <c r="T1121" s="2">
        <v>-5.8109999999999999</v>
      </c>
      <c r="U1121">
        <v>243992</v>
      </c>
      <c r="V1121">
        <f>YEAR(Spotify[[#This Row],[Date de sortie]])</f>
        <v>2021</v>
      </c>
      <c r="W1121" s="2" t="str">
        <f>IF(Spotify[[#This Row],[Popularité]]&gt;=70,"FORTE","FAIBLE")</f>
        <v>FAIBLE</v>
      </c>
    </row>
    <row r="1122" spans="1:23" x14ac:dyDescent="0.25">
      <c r="A1122">
        <v>1457</v>
      </c>
      <c r="B1122">
        <v>22</v>
      </c>
      <c r="C1122">
        <v>3</v>
      </c>
      <c r="D1122" s="1">
        <v>43847</v>
      </c>
      <c r="E1122" s="59" t="str" cm="1">
        <f t="array" ref="E112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122" t="s">
        <v>2315</v>
      </c>
      <c r="G1122" s="3">
        <v>5823422</v>
      </c>
      <c r="H1122" t="s">
        <v>412</v>
      </c>
      <c r="I1122" s="4">
        <v>46814751</v>
      </c>
      <c r="J1122" t="s">
        <v>413</v>
      </c>
      <c r="K1122" s="1">
        <v>43847</v>
      </c>
      <c r="L1122">
        <v>66</v>
      </c>
      <c r="M1122" s="2" t="str">
        <f>IF(Spotify[[#This Row],[Energie]]&gt;AVERAGE(Spotify[Energie]),"FORTE","FAIBLE")</f>
        <v>FORTE</v>
      </c>
      <c r="N1122" s="2">
        <v>0.79400000000000004</v>
      </c>
      <c r="O1122" s="2">
        <v>0.63700000000000001</v>
      </c>
      <c r="P1122" s="2">
        <v>0.33900000000000002</v>
      </c>
      <c r="Q1122" s="2">
        <v>2.8000000000000001E-2</v>
      </c>
      <c r="R1122" s="2">
        <v>9.1899999999999996E-2</v>
      </c>
      <c r="S1122" s="2">
        <v>0.39300000000000002</v>
      </c>
      <c r="T1122" s="2">
        <v>-6.29</v>
      </c>
      <c r="U1122">
        <v>177693</v>
      </c>
      <c r="V1122">
        <f>YEAR(Spotify[[#This Row],[Date de sortie]])</f>
        <v>2020</v>
      </c>
      <c r="W1122" s="2" t="str">
        <f>IF(Spotify[[#This Row],[Popularité]]&gt;=70,"FORTE","FAIBLE")</f>
        <v>FAIBLE</v>
      </c>
    </row>
    <row r="1123" spans="1:23" x14ac:dyDescent="0.25">
      <c r="A1123">
        <v>1535</v>
      </c>
      <c r="B1123">
        <v>39</v>
      </c>
      <c r="C1123">
        <v>2</v>
      </c>
      <c r="D1123" s="1">
        <v>43826</v>
      </c>
      <c r="E1123" s="59" t="str" cm="1">
        <f t="array" ref="E112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123" t="s">
        <v>2414</v>
      </c>
      <c r="G1123" s="3">
        <v>5748010</v>
      </c>
      <c r="H1123" t="s">
        <v>711</v>
      </c>
      <c r="I1123" s="4">
        <v>437907</v>
      </c>
      <c r="J1123" t="s">
        <v>186</v>
      </c>
      <c r="K1123" s="1">
        <v>43826</v>
      </c>
      <c r="L1123">
        <v>66</v>
      </c>
      <c r="M1123" s="2" t="str">
        <f>IF(Spotify[[#This Row],[Energie]]&gt;AVERAGE(Spotify[Energie]),"FORTE","FAIBLE")</f>
        <v>FORTE</v>
      </c>
      <c r="N1123" s="2">
        <v>0.75</v>
      </c>
      <c r="O1123" s="2">
        <v>0.78900000000000003</v>
      </c>
      <c r="P1123" s="2">
        <v>0.108</v>
      </c>
      <c r="Q1123" s="2">
        <v>0.253</v>
      </c>
      <c r="R1123" s="2">
        <v>0.129</v>
      </c>
      <c r="S1123" s="2">
        <v>0.67300000000000004</v>
      </c>
      <c r="T1123" s="2">
        <v>-4.5780000000000003</v>
      </c>
      <c r="U1123">
        <v>157133</v>
      </c>
      <c r="V1123">
        <f>YEAR(Spotify[[#This Row],[Date de sortie]])</f>
        <v>2019</v>
      </c>
      <c r="W1123" s="2" t="str">
        <f>IF(Spotify[[#This Row],[Popularité]]&gt;=70,"FORTE","FAIBLE")</f>
        <v>FAIBLE</v>
      </c>
    </row>
    <row r="1124" spans="1:23" x14ac:dyDescent="0.25">
      <c r="A1124">
        <v>1272</v>
      </c>
      <c r="B1124">
        <v>35</v>
      </c>
      <c r="C1124">
        <v>2</v>
      </c>
      <c r="D1124" s="1">
        <v>43910</v>
      </c>
      <c r="E1124" s="59" t="str" cm="1">
        <f t="array" ref="E112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24" t="s">
        <v>2068</v>
      </c>
      <c r="G1124" s="3">
        <v>5423997</v>
      </c>
      <c r="H1124" t="s">
        <v>41</v>
      </c>
      <c r="I1124" s="4">
        <v>35340069</v>
      </c>
      <c r="J1124" t="s">
        <v>42</v>
      </c>
      <c r="K1124" s="1">
        <v>43910</v>
      </c>
      <c r="L1124">
        <v>66</v>
      </c>
      <c r="M1124" s="2" t="str">
        <f>IF(Spotify[[#This Row],[Energie]]&gt;AVERAGE(Spotify[Energie]),"FORTE","FAIBLE")</f>
        <v>FAIBLE</v>
      </c>
      <c r="N1124" s="2">
        <v>0.55000000000000004</v>
      </c>
      <c r="O1124" s="2">
        <v>0.61099999999999999</v>
      </c>
      <c r="P1124" s="2">
        <v>0.13700000000000001</v>
      </c>
      <c r="Q1124" s="2">
        <v>0.16200000000000001</v>
      </c>
      <c r="R1124" s="2">
        <v>0.121</v>
      </c>
      <c r="S1124" s="2">
        <v>0.24299999999999999</v>
      </c>
      <c r="T1124" s="2">
        <v>-7.4749999999999996</v>
      </c>
      <c r="U1124">
        <v>247187</v>
      </c>
      <c r="V1124">
        <f>YEAR(Spotify[[#This Row],[Date de sortie]])</f>
        <v>2020</v>
      </c>
      <c r="W1124" s="2" t="str">
        <f>IF(Spotify[[#This Row],[Popularité]]&gt;=70,"FORTE","FAIBLE")</f>
        <v>FAIBLE</v>
      </c>
    </row>
    <row r="1125" spans="1:23" x14ac:dyDescent="0.25">
      <c r="A1125">
        <v>984</v>
      </c>
      <c r="B1125">
        <v>47</v>
      </c>
      <c r="C1125">
        <v>2</v>
      </c>
      <c r="D1125" s="1">
        <v>44036</v>
      </c>
      <c r="E1125" s="59" t="str" cm="1">
        <f t="array" ref="E112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25" t="s">
        <v>1666</v>
      </c>
      <c r="G1125" s="3">
        <v>5375944</v>
      </c>
      <c r="H1125" t="s">
        <v>746</v>
      </c>
      <c r="I1125" s="4">
        <v>42227614</v>
      </c>
      <c r="J1125" t="s">
        <v>10</v>
      </c>
      <c r="K1125" s="1">
        <v>44036</v>
      </c>
      <c r="L1125">
        <v>66</v>
      </c>
      <c r="M1125" s="2" t="str">
        <f>IF(Spotify[[#This Row],[Energie]]&gt;AVERAGE(Spotify[Energie]),"FORTE","FAIBLE")</f>
        <v>FAIBLE</v>
      </c>
      <c r="N1125" s="2">
        <v>0.66200000000000003</v>
      </c>
      <c r="O1125" s="2">
        <v>0.18099999999999999</v>
      </c>
      <c r="P1125" s="2">
        <v>4.1500000000000002E-2</v>
      </c>
      <c r="Q1125" s="2">
        <v>0.96599999999999997</v>
      </c>
      <c r="R1125" s="2">
        <v>0.13300000000000001</v>
      </c>
      <c r="S1125" s="2">
        <v>0.42899999999999999</v>
      </c>
      <c r="T1125" s="2">
        <v>-15.065</v>
      </c>
      <c r="U1125">
        <v>220043</v>
      </c>
      <c r="V1125">
        <f>YEAR(Spotify[[#This Row],[Date de sortie]])</f>
        <v>2020</v>
      </c>
      <c r="W1125" s="2" t="str">
        <f>IF(Spotify[[#This Row],[Popularité]]&gt;=70,"FORTE","FAIBLE")</f>
        <v>FAIBLE</v>
      </c>
    </row>
    <row r="1126" spans="1:23" x14ac:dyDescent="0.25">
      <c r="A1126">
        <v>1349</v>
      </c>
      <c r="B1126">
        <v>114</v>
      </c>
      <c r="C1126">
        <v>5</v>
      </c>
      <c r="D1126" s="1">
        <v>43875</v>
      </c>
      <c r="E1126" s="59" t="str" cm="1">
        <f t="array" ref="E112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26" t="s">
        <v>2167</v>
      </c>
      <c r="G1126" s="3">
        <v>5325447</v>
      </c>
      <c r="H1126" t="s">
        <v>2168</v>
      </c>
      <c r="I1126" s="4">
        <v>23936368</v>
      </c>
      <c r="J1126" t="s">
        <v>25</v>
      </c>
      <c r="K1126" s="1">
        <v>43861</v>
      </c>
      <c r="L1126">
        <v>66</v>
      </c>
      <c r="M1126" s="2" t="str">
        <f>IF(Spotify[[#This Row],[Energie]]&gt;AVERAGE(Spotify[Energie]),"FORTE","FAIBLE")</f>
        <v>FORTE</v>
      </c>
      <c r="N1126" s="2">
        <v>0.81299999999999994</v>
      </c>
      <c r="O1126" s="2">
        <v>0.76400000000000001</v>
      </c>
      <c r="P1126" s="2">
        <v>0.105</v>
      </c>
      <c r="Q1126" s="2">
        <v>0.58599999999999997</v>
      </c>
      <c r="R1126" s="2">
        <v>0.253</v>
      </c>
      <c r="S1126" s="2">
        <v>0.42899999999999999</v>
      </c>
      <c r="T1126" s="2">
        <v>-3.39</v>
      </c>
      <c r="U1126">
        <v>217773</v>
      </c>
      <c r="V1126">
        <f>YEAR(Spotify[[#This Row],[Date de sortie]])</f>
        <v>2020</v>
      </c>
      <c r="W1126" s="2" t="str">
        <f>IF(Spotify[[#This Row],[Popularité]]&gt;=70,"FORTE","FAIBLE")</f>
        <v>FAIBLE</v>
      </c>
    </row>
    <row r="1127" spans="1:23" x14ac:dyDescent="0.25">
      <c r="A1127">
        <v>1102</v>
      </c>
      <c r="B1127">
        <v>139</v>
      </c>
      <c r="C1127">
        <v>1</v>
      </c>
      <c r="D1127" s="1">
        <v>43994</v>
      </c>
      <c r="E1127" s="59" t="str" cm="1">
        <f t="array" ref="E112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127" t="s">
        <v>1831</v>
      </c>
      <c r="G1127" s="3">
        <v>5171235</v>
      </c>
      <c r="H1127" t="s">
        <v>1832</v>
      </c>
      <c r="I1127" s="4">
        <v>40045</v>
      </c>
      <c r="J1127" t="s">
        <v>438</v>
      </c>
      <c r="K1127" s="1">
        <v>43993</v>
      </c>
      <c r="L1127">
        <v>66</v>
      </c>
      <c r="M1127" s="2" t="str">
        <f>IF(Spotify[[#This Row],[Energie]]&gt;AVERAGE(Spotify[Energie]),"FORTE","FAIBLE")</f>
        <v>FORTE</v>
      </c>
      <c r="N1127" s="2">
        <v>0.70299999999999996</v>
      </c>
      <c r="O1127" s="2">
        <v>0.70399999999999996</v>
      </c>
      <c r="P1127" s="2">
        <v>6.4100000000000004E-2</v>
      </c>
      <c r="Q1127" s="2">
        <v>4.8000000000000001E-2</v>
      </c>
      <c r="R1127" s="2">
        <v>0.41</v>
      </c>
      <c r="S1127" s="2">
        <v>0.72499999999999998</v>
      </c>
      <c r="T1127" s="2">
        <v>-6.117</v>
      </c>
      <c r="U1127">
        <v>180000</v>
      </c>
      <c r="V1127">
        <f>YEAR(Spotify[[#This Row],[Date de sortie]])</f>
        <v>2020</v>
      </c>
      <c r="W1127" s="2" t="str">
        <f>IF(Spotify[[#This Row],[Popularité]]&gt;=70,"FORTE","FAIBLE")</f>
        <v>FAIBLE</v>
      </c>
    </row>
    <row r="1128" spans="1:23" x14ac:dyDescent="0.25">
      <c r="A1128">
        <v>875</v>
      </c>
      <c r="B1128">
        <v>171</v>
      </c>
      <c r="C1128">
        <v>1</v>
      </c>
      <c r="D1128" s="1">
        <v>44099</v>
      </c>
      <c r="E1128" s="59" t="str" cm="1">
        <f t="array" ref="E112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28" t="s">
        <v>1499</v>
      </c>
      <c r="G1128" s="3">
        <v>5141212</v>
      </c>
      <c r="H1128" t="s">
        <v>1370</v>
      </c>
      <c r="I1128" s="4">
        <v>4759367</v>
      </c>
      <c r="J1128" t="s">
        <v>761</v>
      </c>
      <c r="K1128" s="1">
        <v>44099</v>
      </c>
      <c r="L1128">
        <v>66</v>
      </c>
      <c r="M1128" s="2" t="str">
        <f>IF(Spotify[[#This Row],[Energie]]&gt;AVERAGE(Spotify[Energie]),"FORTE","FAIBLE")</f>
        <v>FORTE</v>
      </c>
      <c r="N1128" s="2">
        <v>0.65600000000000003</v>
      </c>
      <c r="O1128" s="2">
        <v>0.77600000000000002</v>
      </c>
      <c r="P1128" s="2">
        <v>6.7199999999999996E-2</v>
      </c>
      <c r="Q1128" s="2">
        <v>0.16</v>
      </c>
      <c r="R1128" s="2">
        <v>0.372</v>
      </c>
      <c r="S1128" s="2">
        <v>0.63800000000000001</v>
      </c>
      <c r="T1128" s="2">
        <v>-6.1840000000000002</v>
      </c>
      <c r="U1128">
        <v>156759</v>
      </c>
      <c r="V1128">
        <f>YEAR(Spotify[[#This Row],[Date de sortie]])</f>
        <v>2020</v>
      </c>
      <c r="W1128" s="2" t="str">
        <f>IF(Spotify[[#This Row],[Popularité]]&gt;=70,"FORTE","FAIBLE")</f>
        <v>FAIBLE</v>
      </c>
    </row>
    <row r="1129" spans="1:23" x14ac:dyDescent="0.25">
      <c r="A1129">
        <v>1392</v>
      </c>
      <c r="B1129">
        <v>128</v>
      </c>
      <c r="C1129">
        <v>9</v>
      </c>
      <c r="D1129" s="1">
        <v>43840</v>
      </c>
      <c r="E1129" s="59" t="str" cm="1">
        <f t="array" ref="E112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29" t="s">
        <v>2225</v>
      </c>
      <c r="G1129" s="3">
        <v>5135469</v>
      </c>
      <c r="H1129" t="s">
        <v>2226</v>
      </c>
      <c r="I1129" s="4">
        <v>206225</v>
      </c>
      <c r="J1129" t="s">
        <v>25</v>
      </c>
      <c r="K1129" s="1">
        <v>43749</v>
      </c>
      <c r="L1129">
        <v>66</v>
      </c>
      <c r="M1129" s="2" t="str">
        <f>IF(Spotify[[#This Row],[Energie]]&gt;AVERAGE(Spotify[Energie]),"FORTE","FAIBLE")</f>
        <v>FORTE</v>
      </c>
      <c r="N1129" s="2">
        <v>0.71099999999999997</v>
      </c>
      <c r="O1129" s="2">
        <v>0.75700000000000001</v>
      </c>
      <c r="P1129" s="2">
        <v>0.28999999999999998</v>
      </c>
      <c r="Q1129" s="2">
        <v>0.26800000000000002</v>
      </c>
      <c r="R1129" s="2">
        <v>0.36699999999999999</v>
      </c>
      <c r="S1129" s="2">
        <v>0.72399999999999998</v>
      </c>
      <c r="T1129" s="2">
        <v>-4.1879999999999997</v>
      </c>
      <c r="U1129">
        <v>218587</v>
      </c>
      <c r="V1129">
        <f>YEAR(Spotify[[#This Row],[Date de sortie]])</f>
        <v>2019</v>
      </c>
      <c r="W1129" s="2" t="str">
        <f>IF(Spotify[[#This Row],[Popularité]]&gt;=70,"FORTE","FAIBLE")</f>
        <v>FAIBLE</v>
      </c>
    </row>
    <row r="1130" spans="1:23" x14ac:dyDescent="0.25">
      <c r="A1130">
        <v>1090</v>
      </c>
      <c r="B1130">
        <v>134</v>
      </c>
      <c r="C1130">
        <v>1</v>
      </c>
      <c r="D1130" s="1">
        <v>44001</v>
      </c>
      <c r="E1130" s="59" t="str" cm="1">
        <f t="array" ref="E113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130" t="s">
        <v>1811</v>
      </c>
      <c r="G1130" s="3">
        <v>5060764</v>
      </c>
      <c r="H1130" t="s">
        <v>552</v>
      </c>
      <c r="I1130" s="4">
        <v>14103694</v>
      </c>
      <c r="J1130" t="s">
        <v>553</v>
      </c>
      <c r="K1130" s="1">
        <v>43998</v>
      </c>
      <c r="L1130">
        <v>66</v>
      </c>
      <c r="M1130" s="2" t="str">
        <f>IF(Spotify[[#This Row],[Energie]]&gt;AVERAGE(Spotify[Energie]),"FORTE","FAIBLE")</f>
        <v>FAIBLE</v>
      </c>
      <c r="N1130" s="2">
        <v>0.58599999999999997</v>
      </c>
      <c r="O1130" s="2">
        <v>0.51200000000000001</v>
      </c>
      <c r="P1130" s="2">
        <v>6.6799999999999998E-2</v>
      </c>
      <c r="Q1130" s="2">
        <v>0.72299999999999998</v>
      </c>
      <c r="R1130" s="2">
        <v>0.11899999999999999</v>
      </c>
      <c r="S1130" s="2">
        <v>0.23499999999999999</v>
      </c>
      <c r="T1130" s="2">
        <v>-8.8190000000000008</v>
      </c>
      <c r="U1130">
        <v>235480</v>
      </c>
      <c r="V1130">
        <f>YEAR(Spotify[[#This Row],[Date de sortie]])</f>
        <v>2020</v>
      </c>
      <c r="W1130" s="2" t="str">
        <f>IF(Spotify[[#This Row],[Popularité]]&gt;=70,"FORTE","FAIBLE")</f>
        <v>FAIBLE</v>
      </c>
    </row>
    <row r="1131" spans="1:23" x14ac:dyDescent="0.25">
      <c r="A1131">
        <v>505</v>
      </c>
      <c r="B1131">
        <v>200</v>
      </c>
      <c r="C1131">
        <v>1</v>
      </c>
      <c r="D1131" s="1">
        <v>44267</v>
      </c>
      <c r="E1131" s="59" t="str" cm="1">
        <f t="array" ref="E113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131" t="s">
        <v>918</v>
      </c>
      <c r="G1131" s="3">
        <v>5013851</v>
      </c>
      <c r="H1131" t="s">
        <v>919</v>
      </c>
      <c r="I1131" s="4">
        <v>5831194</v>
      </c>
      <c r="J1131" t="s">
        <v>426</v>
      </c>
      <c r="K1131" s="1">
        <v>44266</v>
      </c>
      <c r="L1131">
        <v>66</v>
      </c>
      <c r="M1131" s="2" t="str">
        <f>IF(Spotify[[#This Row],[Energie]]&gt;AVERAGE(Spotify[Energie]),"FORTE","FAIBLE")</f>
        <v>FORTE</v>
      </c>
      <c r="N1131" s="2">
        <v>0.63700000000000001</v>
      </c>
      <c r="O1131" s="2">
        <v>0.91200000000000003</v>
      </c>
      <c r="P1131" s="2">
        <v>0.308</v>
      </c>
      <c r="Q1131" s="2">
        <v>0.35199999999999998</v>
      </c>
      <c r="R1131" s="2">
        <v>6.5699999999999995E-2</v>
      </c>
      <c r="S1131" s="2">
        <v>0.45100000000000001</v>
      </c>
      <c r="T1131" s="2">
        <v>-3.1230000000000002</v>
      </c>
      <c r="U1131">
        <v>234852</v>
      </c>
      <c r="V1131">
        <f>YEAR(Spotify[[#This Row],[Date de sortie]])</f>
        <v>2021</v>
      </c>
      <c r="W1131" s="2" t="str">
        <f>IF(Spotify[[#This Row],[Popularité]]&gt;=70,"FORTE","FAIBLE")</f>
        <v>FAIBLE</v>
      </c>
    </row>
    <row r="1132" spans="1:23" x14ac:dyDescent="0.25">
      <c r="A1132">
        <v>1175</v>
      </c>
      <c r="B1132">
        <v>149</v>
      </c>
      <c r="C1132">
        <v>10</v>
      </c>
      <c r="D1132" s="1">
        <v>43966</v>
      </c>
      <c r="E1132" s="59" t="str" cm="1">
        <f t="array" ref="E113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32" t="s">
        <v>1934</v>
      </c>
      <c r="G1132" s="3">
        <v>5006457</v>
      </c>
      <c r="H1132" t="s">
        <v>295</v>
      </c>
      <c r="I1132" s="4">
        <v>12981319</v>
      </c>
      <c r="J1132" t="s">
        <v>253</v>
      </c>
      <c r="K1132" s="1">
        <v>43804</v>
      </c>
      <c r="L1132">
        <v>66</v>
      </c>
      <c r="M1132" s="2" t="str">
        <f>IF(Spotify[[#This Row],[Energie]]&gt;AVERAGE(Spotify[Energie]),"FORTE","FAIBLE")</f>
        <v>FORTE</v>
      </c>
      <c r="N1132" s="2">
        <v>0.79400000000000004</v>
      </c>
      <c r="O1132" s="2">
        <v>0.93700000000000006</v>
      </c>
      <c r="P1132" s="2">
        <v>3.3599999999999998E-2</v>
      </c>
      <c r="Q1132" s="2">
        <v>0.36599999999999999</v>
      </c>
      <c r="R1132" s="2">
        <v>0.96199999999999997</v>
      </c>
      <c r="S1132" s="2">
        <v>0.82599999999999996</v>
      </c>
      <c r="T1132" s="2">
        <v>-2.44</v>
      </c>
      <c r="U1132">
        <v>237517</v>
      </c>
      <c r="V1132">
        <f>YEAR(Spotify[[#This Row],[Date de sortie]])</f>
        <v>2019</v>
      </c>
      <c r="W1132" s="2" t="str">
        <f>IF(Spotify[[#This Row],[Popularité]]&gt;=70,"FORTE","FAIBLE")</f>
        <v>FAIBLE</v>
      </c>
    </row>
    <row r="1133" spans="1:23" x14ac:dyDescent="0.25">
      <c r="A1133">
        <v>799</v>
      </c>
      <c r="B1133">
        <v>49</v>
      </c>
      <c r="C1133">
        <v>2</v>
      </c>
      <c r="D1133" s="1">
        <v>44134</v>
      </c>
      <c r="E1133" s="59" t="str" cm="1">
        <f t="array" ref="E113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33" t="s">
        <v>1388</v>
      </c>
      <c r="G1133" s="3">
        <v>4896521</v>
      </c>
      <c r="H1133" t="s">
        <v>202</v>
      </c>
      <c r="I1133" s="4">
        <v>67208170</v>
      </c>
      <c r="J1133" t="s">
        <v>19</v>
      </c>
      <c r="K1133" s="1">
        <v>44134</v>
      </c>
      <c r="L1133">
        <v>66</v>
      </c>
      <c r="M1133" s="2" t="str">
        <f>IF(Spotify[[#This Row],[Energie]]&gt;AVERAGE(Spotify[Energie]),"FORTE","FAIBLE")</f>
        <v>FAIBLE</v>
      </c>
      <c r="N1133" s="2">
        <v>0.68600000000000005</v>
      </c>
      <c r="O1133" s="2">
        <v>0.52600000000000002</v>
      </c>
      <c r="P1133" s="2">
        <v>3.7400000000000003E-2</v>
      </c>
      <c r="Q1133" s="2">
        <v>8.1500000000000003E-2</v>
      </c>
      <c r="R1133" s="2">
        <v>0.14399999999999999</v>
      </c>
      <c r="S1133" s="2">
        <v>0.372</v>
      </c>
      <c r="T1133" s="2">
        <v>-6.8419999999999996</v>
      </c>
      <c r="U1133">
        <v>158436</v>
      </c>
      <c r="V1133">
        <f>YEAR(Spotify[[#This Row],[Date de sortie]])</f>
        <v>2020</v>
      </c>
      <c r="W1133" s="2" t="str">
        <f>IF(Spotify[[#This Row],[Popularité]]&gt;=70,"FORTE","FAIBLE")</f>
        <v>FAIBLE</v>
      </c>
    </row>
    <row r="1134" spans="1:23" x14ac:dyDescent="0.25">
      <c r="A1134">
        <v>611</v>
      </c>
      <c r="B1134">
        <v>171</v>
      </c>
      <c r="C1134">
        <v>2</v>
      </c>
      <c r="D1134" s="1">
        <v>44197</v>
      </c>
      <c r="E1134" s="59" t="str" cm="1">
        <f t="array" ref="E113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34" t="s">
        <v>1083</v>
      </c>
      <c r="G1134" s="3">
        <v>4848222</v>
      </c>
      <c r="H1134" t="s">
        <v>1084</v>
      </c>
      <c r="I1134" s="4">
        <v>14122</v>
      </c>
      <c r="J1134"/>
      <c r="K1134" s="1">
        <v>44120</v>
      </c>
      <c r="L1134">
        <v>66</v>
      </c>
      <c r="M1134" s="2" t="str">
        <f>IF(Spotify[[#This Row],[Energie]]&gt;AVERAGE(Spotify[Energie]),"FORTE","FAIBLE")</f>
        <v>FORTE</v>
      </c>
      <c r="N1134" s="2">
        <v>0.93400000000000005</v>
      </c>
      <c r="O1134" s="2">
        <v>0.70699999999999996</v>
      </c>
      <c r="P1134" s="2">
        <v>6.4600000000000005E-2</v>
      </c>
      <c r="Q1134" s="2">
        <v>0.437</v>
      </c>
      <c r="R1134" s="2">
        <v>6.2799999999999995E-2</v>
      </c>
      <c r="S1134" s="2">
        <v>0.96099999999999997</v>
      </c>
      <c r="T1134" s="2">
        <v>-4.2140000000000004</v>
      </c>
      <c r="U1134">
        <v>173913</v>
      </c>
      <c r="V1134">
        <f>YEAR(Spotify[[#This Row],[Date de sortie]])</f>
        <v>2020</v>
      </c>
      <c r="W1134" s="2" t="str">
        <f>IF(Spotify[[#This Row],[Popularité]]&gt;=70,"FORTE","FAIBLE")</f>
        <v>FAIBLE</v>
      </c>
    </row>
    <row r="1135" spans="1:23" x14ac:dyDescent="0.25">
      <c r="A1135">
        <v>1211</v>
      </c>
      <c r="B1135">
        <v>32</v>
      </c>
      <c r="C1135">
        <v>5</v>
      </c>
      <c r="D1135" s="1">
        <v>43924</v>
      </c>
      <c r="E1135" s="59" t="str" cm="1">
        <f t="array" ref="E113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135" t="s">
        <v>1983</v>
      </c>
      <c r="G1135" s="3">
        <v>4753495</v>
      </c>
      <c r="H1135" t="s">
        <v>264</v>
      </c>
      <c r="I1135" s="4">
        <v>7601122</v>
      </c>
      <c r="J1135" t="s">
        <v>265</v>
      </c>
      <c r="K1135" s="1">
        <v>43938</v>
      </c>
      <c r="L1135">
        <v>66</v>
      </c>
      <c r="M1135" s="2" t="str">
        <f>IF(Spotify[[#This Row],[Energie]]&gt;AVERAGE(Spotify[Energie]),"FORTE","FAIBLE")</f>
        <v>FAIBLE</v>
      </c>
      <c r="N1135" s="2">
        <v>0.83599999999999997</v>
      </c>
      <c r="O1135" s="2">
        <v>0.624</v>
      </c>
      <c r="P1135" s="2">
        <v>0.184</v>
      </c>
      <c r="Q1135" s="2">
        <v>0.187</v>
      </c>
      <c r="R1135" s="2">
        <v>0.13800000000000001</v>
      </c>
      <c r="S1135" s="2">
        <v>0.7</v>
      </c>
      <c r="T1135" s="2">
        <v>-6.75</v>
      </c>
      <c r="U1135">
        <v>139890</v>
      </c>
      <c r="V1135">
        <f>YEAR(Spotify[[#This Row],[Date de sortie]])</f>
        <v>2020</v>
      </c>
      <c r="W1135" s="2" t="str">
        <f>IF(Spotify[[#This Row],[Popularité]]&gt;=70,"FORTE","FAIBLE")</f>
        <v>FAIBLE</v>
      </c>
    </row>
    <row r="1136" spans="1:23" x14ac:dyDescent="0.25">
      <c r="A1136">
        <v>849</v>
      </c>
      <c r="B1136">
        <v>110</v>
      </c>
      <c r="C1136">
        <v>12</v>
      </c>
      <c r="D1136" s="1">
        <v>44078</v>
      </c>
      <c r="E1136" s="59" t="str" cm="1">
        <f t="array" ref="E113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36" t="s">
        <v>1464</v>
      </c>
      <c r="G1136" s="3">
        <v>4751064</v>
      </c>
      <c r="H1136" t="s">
        <v>1465</v>
      </c>
      <c r="I1136" s="4">
        <v>352402</v>
      </c>
      <c r="J1136" t="s">
        <v>407</v>
      </c>
      <c r="K1136" s="1">
        <v>44012</v>
      </c>
      <c r="L1136">
        <v>66</v>
      </c>
      <c r="M1136" s="2" t="str">
        <f>IF(Spotify[[#This Row],[Energie]]&gt;AVERAGE(Spotify[Energie]),"FORTE","FAIBLE")</f>
        <v>FAIBLE</v>
      </c>
      <c r="N1136" s="2">
        <v>0.79900000000000004</v>
      </c>
      <c r="O1136" s="2">
        <v>0.56799999999999995</v>
      </c>
      <c r="P1136" s="2">
        <v>0.25</v>
      </c>
      <c r="Q1136" s="2">
        <v>0.38700000000000001</v>
      </c>
      <c r="R1136" s="2">
        <v>8.9200000000000002E-2</v>
      </c>
      <c r="S1136" s="2">
        <v>0.96299999999999997</v>
      </c>
      <c r="T1136" s="2">
        <v>-3.089</v>
      </c>
      <c r="U1136">
        <v>153078</v>
      </c>
      <c r="V1136">
        <f>YEAR(Spotify[[#This Row],[Date de sortie]])</f>
        <v>2020</v>
      </c>
      <c r="W1136" s="2" t="str">
        <f>IF(Spotify[[#This Row],[Popularité]]&gt;=70,"FORTE","FAIBLE")</f>
        <v>FAIBLE</v>
      </c>
    </row>
    <row r="1137" spans="1:23" x14ac:dyDescent="0.25">
      <c r="A1137">
        <v>1553</v>
      </c>
      <c r="B1137">
        <v>196</v>
      </c>
      <c r="C1137">
        <v>1</v>
      </c>
      <c r="D1137" s="1">
        <v>43826</v>
      </c>
      <c r="E1137" s="59" t="str" cm="1">
        <f t="array" ref="E113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37" t="s">
        <v>2438</v>
      </c>
      <c r="G1137" s="3">
        <v>4623030</v>
      </c>
      <c r="H1137" t="s">
        <v>732</v>
      </c>
      <c r="I1137" s="4">
        <v>15019109</v>
      </c>
      <c r="J1137" t="s">
        <v>253</v>
      </c>
      <c r="K1137" s="1">
        <v>43749</v>
      </c>
      <c r="L1137">
        <v>66</v>
      </c>
      <c r="M1137" s="2" t="str">
        <f>IF(Spotify[[#This Row],[Energie]]&gt;AVERAGE(Spotify[Energie]),"FORTE","FAIBLE")</f>
        <v>FORTE</v>
      </c>
      <c r="N1137" s="2">
        <v>0.52800000000000002</v>
      </c>
      <c r="O1137" s="2">
        <v>0.87</v>
      </c>
      <c r="P1137" s="2">
        <v>8.5099999999999995E-2</v>
      </c>
      <c r="Q1137" s="2">
        <v>0.24</v>
      </c>
      <c r="R1137" s="2">
        <v>0.33300000000000002</v>
      </c>
      <c r="S1137" s="2">
        <v>0.71399999999999997</v>
      </c>
      <c r="T1137" s="2">
        <v>-3.1230000000000002</v>
      </c>
      <c r="U1137">
        <v>181930</v>
      </c>
      <c r="V1137">
        <f>YEAR(Spotify[[#This Row],[Date de sortie]])</f>
        <v>2019</v>
      </c>
      <c r="W1137" s="2" t="str">
        <f>IF(Spotify[[#This Row],[Popularité]]&gt;=70,"FORTE","FAIBLE")</f>
        <v>FAIBLE</v>
      </c>
    </row>
    <row r="1138" spans="1:23" x14ac:dyDescent="0.25">
      <c r="A1138">
        <v>1144</v>
      </c>
      <c r="B1138">
        <v>188</v>
      </c>
      <c r="C1138">
        <v>1</v>
      </c>
      <c r="D1138" s="1">
        <v>43980</v>
      </c>
      <c r="E1138" s="59" t="str" cm="1">
        <f t="array" ref="E113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138" t="s">
        <v>1889</v>
      </c>
      <c r="G1138" s="3">
        <v>4601709</v>
      </c>
      <c r="H1138" t="s">
        <v>1890</v>
      </c>
      <c r="I1138" s="4">
        <v>7358720</v>
      </c>
      <c r="J1138" t="s">
        <v>531</v>
      </c>
      <c r="K1138" s="1">
        <v>43980</v>
      </c>
      <c r="L1138">
        <v>66</v>
      </c>
      <c r="M1138" s="2" t="str">
        <f>IF(Spotify[[#This Row],[Energie]]&gt;AVERAGE(Spotify[Energie]),"FORTE","FAIBLE")</f>
        <v>FAIBLE</v>
      </c>
      <c r="N1138" s="2">
        <v>0.78400000000000003</v>
      </c>
      <c r="O1138" s="2">
        <v>0.63200000000000001</v>
      </c>
      <c r="P1138" s="2">
        <v>0.34699999999999998</v>
      </c>
      <c r="Q1138" s="2">
        <v>0.156</v>
      </c>
      <c r="R1138" s="2">
        <v>0.60499999999999998</v>
      </c>
      <c r="S1138" s="2">
        <v>0.746</v>
      </c>
      <c r="T1138" s="2">
        <v>-6.0830000000000002</v>
      </c>
      <c r="U1138">
        <v>232839</v>
      </c>
      <c r="V1138">
        <f>YEAR(Spotify[[#This Row],[Date de sortie]])</f>
        <v>2020</v>
      </c>
      <c r="W1138" s="2" t="str">
        <f>IF(Spotify[[#This Row],[Popularité]]&gt;=70,"FORTE","FAIBLE")</f>
        <v>FAIBLE</v>
      </c>
    </row>
    <row r="1139" spans="1:23" x14ac:dyDescent="0.25">
      <c r="A1139">
        <v>930</v>
      </c>
      <c r="B1139">
        <v>174</v>
      </c>
      <c r="C1139">
        <v>4</v>
      </c>
      <c r="D1139" s="1">
        <v>44057</v>
      </c>
      <c r="E1139" s="59" t="str" cm="1">
        <f t="array" ref="E113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39" t="s">
        <v>1589</v>
      </c>
      <c r="G1139" s="3">
        <v>4575403</v>
      </c>
      <c r="H1139" t="s">
        <v>1590</v>
      </c>
      <c r="I1139" s="4">
        <v>2919696</v>
      </c>
      <c r="J1139" t="s">
        <v>25</v>
      </c>
      <c r="K1139" s="1">
        <v>44028</v>
      </c>
      <c r="L1139">
        <v>66</v>
      </c>
      <c r="M1139" s="2" t="str">
        <f>IF(Spotify[[#This Row],[Energie]]&gt;AVERAGE(Spotify[Energie]),"FORTE","FAIBLE")</f>
        <v>FAIBLE</v>
      </c>
      <c r="N1139" s="2">
        <v>0.76300000000000001</v>
      </c>
      <c r="O1139" s="2">
        <v>0.57999999999999996</v>
      </c>
      <c r="P1139" s="2">
        <v>0.14399999999999999</v>
      </c>
      <c r="Q1139" s="2">
        <v>4.6600000000000003E-2</v>
      </c>
      <c r="R1139" s="2">
        <v>0.154</v>
      </c>
      <c r="S1139" s="2">
        <v>0.60799999999999998</v>
      </c>
      <c r="T1139" s="2">
        <v>-6.1959999999999997</v>
      </c>
      <c r="U1139">
        <v>212011</v>
      </c>
      <c r="V1139">
        <f>YEAR(Spotify[[#This Row],[Date de sortie]])</f>
        <v>2020</v>
      </c>
      <c r="W1139" s="2" t="str">
        <f>IF(Spotify[[#This Row],[Popularité]]&gt;=70,"FORTE","FAIBLE")</f>
        <v>FAIBLE</v>
      </c>
    </row>
    <row r="1140" spans="1:23" x14ac:dyDescent="0.25">
      <c r="A1140">
        <v>1083</v>
      </c>
      <c r="B1140">
        <v>94</v>
      </c>
      <c r="C1140">
        <v>18</v>
      </c>
      <c r="D1140" s="1">
        <v>43826</v>
      </c>
      <c r="E1140" s="59" t="str" cm="1">
        <f t="array" ref="E114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40" t="s">
        <v>1800</v>
      </c>
      <c r="G1140" s="3">
        <v>4318772</v>
      </c>
      <c r="H1140" t="s">
        <v>130</v>
      </c>
      <c r="I1140" s="4">
        <v>32279979</v>
      </c>
      <c r="J1140" t="s">
        <v>10</v>
      </c>
      <c r="K1140" s="1">
        <v>43266</v>
      </c>
      <c r="L1140">
        <v>66</v>
      </c>
      <c r="M1140" s="2" t="str">
        <f>IF(Spotify[[#This Row],[Energie]]&gt;AVERAGE(Spotify[Energie]),"FORTE","FAIBLE")</f>
        <v>FAIBLE</v>
      </c>
      <c r="N1140" s="2">
        <v>0.85099999999999998</v>
      </c>
      <c r="O1140" s="2">
        <v>0.54100000000000004</v>
      </c>
      <c r="P1140" s="2">
        <v>5.0500000000000003E-2</v>
      </c>
      <c r="Q1140" s="2">
        <v>0.56799999999999995</v>
      </c>
      <c r="R1140" s="2">
        <v>0.13</v>
      </c>
      <c r="S1140" s="2">
        <v>0.44800000000000001</v>
      </c>
      <c r="T1140" s="2">
        <v>-6.8250000000000002</v>
      </c>
      <c r="U1140">
        <v>235545</v>
      </c>
      <c r="V1140">
        <f>YEAR(Spotify[[#This Row],[Date de sortie]])</f>
        <v>2018</v>
      </c>
      <c r="W1140" s="2" t="str">
        <f>IF(Spotify[[#This Row],[Popularité]]&gt;=70,"FORTE","FAIBLE")</f>
        <v>FAIBLE</v>
      </c>
    </row>
    <row r="1141" spans="1:23" x14ac:dyDescent="0.25">
      <c r="A1141">
        <v>1229</v>
      </c>
      <c r="B1141">
        <v>74</v>
      </c>
      <c r="C1141">
        <v>18</v>
      </c>
      <c r="D1141" s="1">
        <v>43910</v>
      </c>
      <c r="E1141" s="59" t="str" cm="1">
        <f t="array" ref="E114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41" t="s">
        <v>2009</v>
      </c>
      <c r="G1141" s="3">
        <v>4214147</v>
      </c>
      <c r="H1141" t="s">
        <v>852</v>
      </c>
      <c r="I1141" s="4">
        <v>29067437</v>
      </c>
      <c r="J1141" t="s">
        <v>25</v>
      </c>
      <c r="K1141" s="1">
        <v>43784</v>
      </c>
      <c r="L1141">
        <v>66</v>
      </c>
      <c r="M1141" s="2" t="str">
        <f>IF(Spotify[[#This Row],[Energie]]&gt;AVERAGE(Spotify[Energie]),"FORTE","FAIBLE")</f>
        <v>FORTE</v>
      </c>
      <c r="N1141" s="2">
        <v>0.87</v>
      </c>
      <c r="O1141" s="2">
        <v>0.70599999999999996</v>
      </c>
      <c r="P1141" s="2">
        <v>0.126</v>
      </c>
      <c r="Q1141" s="2">
        <v>2.53E-2</v>
      </c>
      <c r="R1141" s="2">
        <v>8.72E-2</v>
      </c>
      <c r="S1141" s="2">
        <v>0.59299999999999997</v>
      </c>
      <c r="T1141" s="2">
        <v>-5.3949999999999996</v>
      </c>
      <c r="U1141">
        <v>145800</v>
      </c>
      <c r="V1141">
        <f>YEAR(Spotify[[#This Row],[Date de sortie]])</f>
        <v>2019</v>
      </c>
      <c r="W1141" s="2" t="str">
        <f>IF(Spotify[[#This Row],[Popularité]]&gt;=70,"FORTE","FAIBLE")</f>
        <v>FAIBLE</v>
      </c>
    </row>
    <row r="1142" spans="1:23" x14ac:dyDescent="0.25">
      <c r="A1142">
        <v>620</v>
      </c>
      <c r="B1142">
        <v>1</v>
      </c>
      <c r="C1142">
        <v>10</v>
      </c>
      <c r="D1142" s="1">
        <v>44183</v>
      </c>
      <c r="E1142" s="59" t="str" cm="1">
        <f t="array" ref="E114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42" t="s">
        <v>1098</v>
      </c>
      <c r="G1142" s="3">
        <v>23235257</v>
      </c>
      <c r="H1142" t="s">
        <v>1099</v>
      </c>
      <c r="I1142" s="4">
        <v>6931357</v>
      </c>
      <c r="J1142" t="s">
        <v>19</v>
      </c>
      <c r="K1142" s="1">
        <v>34639</v>
      </c>
      <c r="L1142">
        <v>65</v>
      </c>
      <c r="M1142" s="2" t="str">
        <f>IF(Spotify[[#This Row],[Energie]]&gt;AVERAGE(Spotify[Energie]),"FORTE","FAIBLE")</f>
        <v>FAIBLE</v>
      </c>
      <c r="N1142" s="2">
        <v>0.33600000000000002</v>
      </c>
      <c r="O1142" s="2">
        <v>0.627</v>
      </c>
      <c r="P1142" s="2">
        <v>3.8399999999999997E-2</v>
      </c>
      <c r="Q1142" s="2">
        <v>0.16400000000000001</v>
      </c>
      <c r="R1142" s="2">
        <v>7.0800000000000002E-2</v>
      </c>
      <c r="S1142" s="2">
        <v>0.35</v>
      </c>
      <c r="T1142" s="2">
        <v>-7.4630000000000001</v>
      </c>
      <c r="U1142">
        <v>241107</v>
      </c>
      <c r="V1142">
        <f>YEAR(Spotify[[#This Row],[Date de sortie]])</f>
        <v>1994</v>
      </c>
      <c r="W1142" s="2" t="str">
        <f>IF(Spotify[[#This Row],[Popularité]]&gt;=70,"FORTE","FAIBLE")</f>
        <v>FAIBLE</v>
      </c>
    </row>
    <row r="1143" spans="1:23" x14ac:dyDescent="0.25">
      <c r="A1143">
        <v>695</v>
      </c>
      <c r="B1143">
        <v>28</v>
      </c>
      <c r="C1143">
        <v>1</v>
      </c>
      <c r="D1143" s="1">
        <v>44176</v>
      </c>
      <c r="E1143" s="59" t="str" cm="1">
        <f t="array" ref="E114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43" t="s">
        <v>1237</v>
      </c>
      <c r="G1143" s="3">
        <v>16213589</v>
      </c>
      <c r="H1143" t="s">
        <v>746</v>
      </c>
      <c r="I1143" s="4">
        <v>42227614</v>
      </c>
      <c r="J1143" t="s">
        <v>10</v>
      </c>
      <c r="K1143" s="1">
        <v>44176</v>
      </c>
      <c r="L1143">
        <v>65</v>
      </c>
      <c r="M1143" s="2" t="str">
        <f>IF(Spotify[[#This Row],[Energie]]&gt;AVERAGE(Spotify[Energie]),"FORTE","FAIBLE")</f>
        <v>FAIBLE</v>
      </c>
      <c r="N1143" s="2">
        <v>0.55900000000000005</v>
      </c>
      <c r="O1143" s="2">
        <v>0.33400000000000002</v>
      </c>
      <c r="P1143" s="2">
        <v>3.7600000000000001E-2</v>
      </c>
      <c r="Q1143" s="2">
        <v>0.87</v>
      </c>
      <c r="R1143" s="2">
        <v>0.114</v>
      </c>
      <c r="S1143" s="2">
        <v>0.21099999999999999</v>
      </c>
      <c r="T1143" s="2">
        <v>-10.733000000000001</v>
      </c>
      <c r="U1143">
        <v>315147</v>
      </c>
      <c r="V1143">
        <f>YEAR(Spotify[[#This Row],[Date de sortie]])</f>
        <v>2020</v>
      </c>
      <c r="W1143" s="2" t="str">
        <f>IF(Spotify[[#This Row],[Popularité]]&gt;=70,"FORTE","FAIBLE")</f>
        <v>FAIBLE</v>
      </c>
    </row>
    <row r="1144" spans="1:23" x14ac:dyDescent="0.25">
      <c r="A1144">
        <v>853</v>
      </c>
      <c r="B1144">
        <v>68</v>
      </c>
      <c r="C1144">
        <v>1</v>
      </c>
      <c r="D1144" s="1">
        <v>44106</v>
      </c>
      <c r="E1144" s="59" t="str" cm="1">
        <f t="array" ref="E114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144" t="s">
        <v>1471</v>
      </c>
      <c r="G1144" s="3">
        <v>8675173</v>
      </c>
      <c r="H1144" t="s">
        <v>1320</v>
      </c>
      <c r="I1144" s="4">
        <v>9949044</v>
      </c>
      <c r="J1144" t="s">
        <v>531</v>
      </c>
      <c r="K1144" s="1">
        <v>44106</v>
      </c>
      <c r="L1144">
        <v>65</v>
      </c>
      <c r="M1144" s="2" t="str">
        <f>IF(Spotify[[#This Row],[Energie]]&gt;AVERAGE(Spotify[Energie]),"FORTE","FAIBLE")</f>
        <v>FORTE</v>
      </c>
      <c r="N1144" s="2">
        <v>0.63500000000000001</v>
      </c>
      <c r="O1144" s="2">
        <v>0.79300000000000004</v>
      </c>
      <c r="P1144" s="2">
        <v>3.2199999999999999E-2</v>
      </c>
      <c r="Q1144" s="2">
        <v>6.4700000000000001E-4</v>
      </c>
      <c r="R1144" s="2">
        <v>0.113</v>
      </c>
      <c r="S1144" s="2">
        <v>0.28100000000000003</v>
      </c>
      <c r="T1144" s="2">
        <v>-4.3330000000000002</v>
      </c>
      <c r="U1144">
        <v>201856</v>
      </c>
      <c r="V1144">
        <f>YEAR(Spotify[[#This Row],[Date de sortie]])</f>
        <v>2020</v>
      </c>
      <c r="W1144" s="2" t="str">
        <f>IF(Spotify[[#This Row],[Popularité]]&gt;=70,"FORTE","FAIBLE")</f>
        <v>FAIBLE</v>
      </c>
    </row>
    <row r="1145" spans="1:23" x14ac:dyDescent="0.25">
      <c r="A1145">
        <v>1261</v>
      </c>
      <c r="B1145">
        <v>70</v>
      </c>
      <c r="C1145">
        <v>1</v>
      </c>
      <c r="D1145" s="1">
        <v>43917</v>
      </c>
      <c r="E1145" s="59" t="str" cm="1">
        <f t="array" ref="E114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45" t="s">
        <v>2054</v>
      </c>
      <c r="G1145" s="3">
        <v>8136247</v>
      </c>
      <c r="H1145" t="s">
        <v>28</v>
      </c>
      <c r="I1145" s="4">
        <v>27167675</v>
      </c>
      <c r="J1145" t="s">
        <v>19</v>
      </c>
      <c r="K1145" s="1">
        <v>44238</v>
      </c>
      <c r="L1145">
        <v>65</v>
      </c>
      <c r="M1145" s="2" t="str">
        <f>IF(Spotify[[#This Row],[Energie]]&gt;AVERAGE(Spotify[Energie]),"FORTE","FAIBLE")</f>
        <v>FORTE</v>
      </c>
      <c r="N1145" s="2">
        <v>0.46899999999999997</v>
      </c>
      <c r="O1145" s="2">
        <v>0.78500000000000003</v>
      </c>
      <c r="P1145" s="2">
        <v>6.6400000000000001E-2</v>
      </c>
      <c r="Q1145" s="2">
        <v>0.13300000000000001</v>
      </c>
      <c r="R1145" s="2">
        <v>9.3100000000000002E-2</v>
      </c>
      <c r="S1145" s="2">
        <v>0.79</v>
      </c>
      <c r="T1145" s="2">
        <v>-4.0149999999999997</v>
      </c>
      <c r="U1145">
        <v>209583</v>
      </c>
      <c r="V1145">
        <f>YEAR(Spotify[[#This Row],[Date de sortie]])</f>
        <v>2021</v>
      </c>
      <c r="W1145" s="2" t="str">
        <f>IF(Spotify[[#This Row],[Popularité]]&gt;=70,"FORTE","FAIBLE")</f>
        <v>FAIBLE</v>
      </c>
    </row>
    <row r="1146" spans="1:23" x14ac:dyDescent="0.25">
      <c r="A1146">
        <v>1262</v>
      </c>
      <c r="B1146">
        <v>71</v>
      </c>
      <c r="C1146">
        <v>1</v>
      </c>
      <c r="D1146" s="1">
        <v>43917</v>
      </c>
      <c r="E1146" s="59" t="str" cm="1">
        <f t="array" ref="E114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46" t="s">
        <v>2055</v>
      </c>
      <c r="G1146" s="3">
        <v>8091754</v>
      </c>
      <c r="H1146" t="s">
        <v>28</v>
      </c>
      <c r="I1146" s="4">
        <v>27167675</v>
      </c>
      <c r="J1146" t="s">
        <v>19</v>
      </c>
      <c r="K1146" s="1">
        <v>44238</v>
      </c>
      <c r="L1146">
        <v>65</v>
      </c>
      <c r="M1146" s="2" t="str">
        <f>IF(Spotify[[#This Row],[Energie]]&gt;AVERAGE(Spotify[Energie]),"FORTE","FAIBLE")</f>
        <v>FORTE</v>
      </c>
      <c r="N1146" s="2">
        <v>0.875</v>
      </c>
      <c r="O1146" s="2">
        <v>0.81299999999999994</v>
      </c>
      <c r="P1146" s="2">
        <v>5.79E-2</v>
      </c>
      <c r="Q1146" s="2">
        <v>6.1799999999999997E-3</v>
      </c>
      <c r="R1146" s="2">
        <v>0.32100000000000001</v>
      </c>
      <c r="S1146" s="2">
        <v>0.85899999999999999</v>
      </c>
      <c r="T1146" s="2">
        <v>-4.5019999999999998</v>
      </c>
      <c r="U1146">
        <v>184882</v>
      </c>
      <c r="V1146">
        <f>YEAR(Spotify[[#This Row],[Date de sortie]])</f>
        <v>2021</v>
      </c>
      <c r="W1146" s="2" t="str">
        <f>IF(Spotify[[#This Row],[Popularité]]&gt;=70,"FORTE","FAIBLE")</f>
        <v>FAIBLE</v>
      </c>
    </row>
    <row r="1147" spans="1:23" x14ac:dyDescent="0.25">
      <c r="A1147">
        <v>434</v>
      </c>
      <c r="B1147">
        <v>51</v>
      </c>
      <c r="C1147">
        <v>3</v>
      </c>
      <c r="D1147" s="1">
        <v>44281</v>
      </c>
      <c r="E1147" s="59" t="str" cm="1">
        <f t="array" ref="E114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47" t="s">
        <v>801</v>
      </c>
      <c r="G1147" s="3">
        <v>7712896</v>
      </c>
      <c r="H1147" t="s">
        <v>746</v>
      </c>
      <c r="I1147" s="4">
        <v>42227614</v>
      </c>
      <c r="J1147" t="s">
        <v>10</v>
      </c>
      <c r="K1147" s="1">
        <v>44281</v>
      </c>
      <c r="L1147">
        <v>65</v>
      </c>
      <c r="M1147" s="2" t="str">
        <f>IF(Spotify[[#This Row],[Energie]]&gt;AVERAGE(Spotify[Energie]),"FORTE","FAIBLE")</f>
        <v>FAIBLE</v>
      </c>
      <c r="N1147" s="2">
        <v>0.58899999999999997</v>
      </c>
      <c r="O1147" s="2">
        <v>0.496</v>
      </c>
      <c r="P1147" s="2">
        <v>3.7699999999999997E-2</v>
      </c>
      <c r="Q1147" s="2">
        <v>0.81799999999999995</v>
      </c>
      <c r="R1147" s="2">
        <v>0.10100000000000001</v>
      </c>
      <c r="S1147" s="2">
        <v>0.44</v>
      </c>
      <c r="T1147" s="2">
        <v>-7.6059999999999999</v>
      </c>
      <c r="U1147">
        <v>220839</v>
      </c>
      <c r="V1147">
        <f>YEAR(Spotify[[#This Row],[Date de sortie]])</f>
        <v>2021</v>
      </c>
      <c r="W1147" s="2" t="str">
        <f>IF(Spotify[[#This Row],[Popularité]]&gt;=70,"FORTE","FAIBLE")</f>
        <v>FAIBLE</v>
      </c>
    </row>
    <row r="1148" spans="1:23" x14ac:dyDescent="0.25">
      <c r="A1148">
        <v>1472</v>
      </c>
      <c r="B1148">
        <v>26</v>
      </c>
      <c r="C1148">
        <v>2</v>
      </c>
      <c r="D1148" s="1">
        <v>43847</v>
      </c>
      <c r="E1148" s="59" t="str" cm="1">
        <f t="array" ref="E114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148" t="s">
        <v>2337</v>
      </c>
      <c r="G1148" s="3">
        <v>7618955</v>
      </c>
      <c r="H1148" t="s">
        <v>412</v>
      </c>
      <c r="I1148" s="4">
        <v>46814751</v>
      </c>
      <c r="J1148" t="s">
        <v>413</v>
      </c>
      <c r="K1148" s="1">
        <v>43847</v>
      </c>
      <c r="L1148">
        <v>65</v>
      </c>
      <c r="M1148" s="2" t="str">
        <f>IF(Spotify[[#This Row],[Energie]]&gt;AVERAGE(Spotify[Energie]),"FORTE","FAIBLE")</f>
        <v>FAIBLE</v>
      </c>
      <c r="N1148" s="2">
        <v>0.67100000000000004</v>
      </c>
      <c r="O1148" s="2">
        <v>0.623</v>
      </c>
      <c r="P1148" s="2">
        <v>0.308</v>
      </c>
      <c r="Q1148" s="2">
        <v>9.9799999999999993E-3</v>
      </c>
      <c r="R1148" s="2">
        <v>0.64300000000000002</v>
      </c>
      <c r="S1148" s="2">
        <v>0.19500000000000001</v>
      </c>
      <c r="T1148" s="2">
        <v>-7.1609999999999996</v>
      </c>
      <c r="U1148">
        <v>337147</v>
      </c>
      <c r="V1148">
        <f>YEAR(Spotify[[#This Row],[Date de sortie]])</f>
        <v>2020</v>
      </c>
      <c r="W1148" s="2" t="str">
        <f>IF(Spotify[[#This Row],[Popularité]]&gt;=70,"FORTE","FAIBLE")</f>
        <v>FAIBLE</v>
      </c>
    </row>
    <row r="1149" spans="1:23" x14ac:dyDescent="0.25">
      <c r="A1149">
        <v>1282</v>
      </c>
      <c r="B1149">
        <v>88</v>
      </c>
      <c r="C1149">
        <v>1</v>
      </c>
      <c r="D1149" s="1">
        <v>43910</v>
      </c>
      <c r="E1149" s="59" t="str" cm="1">
        <f t="array" ref="E114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49" t="s">
        <v>2080</v>
      </c>
      <c r="G1149" s="3">
        <v>7514854</v>
      </c>
      <c r="H1149" t="s">
        <v>852</v>
      </c>
      <c r="I1149" s="4">
        <v>29067437</v>
      </c>
      <c r="J1149" t="s">
        <v>25</v>
      </c>
      <c r="K1149" s="1">
        <v>43909</v>
      </c>
      <c r="L1149">
        <v>65</v>
      </c>
      <c r="M1149" s="2" t="str">
        <f>IF(Spotify[[#This Row],[Energie]]&gt;AVERAGE(Spotify[Energie]),"FORTE","FAIBLE")</f>
        <v>FORTE</v>
      </c>
      <c r="N1149" s="2">
        <v>0.84899999999999998</v>
      </c>
      <c r="O1149" s="2">
        <v>0.70899999999999996</v>
      </c>
      <c r="P1149" s="2">
        <v>7.9399999999999998E-2</v>
      </c>
      <c r="Q1149" s="2">
        <v>0.22900000000000001</v>
      </c>
      <c r="R1149" s="2">
        <v>0.32900000000000001</v>
      </c>
      <c r="S1149" s="2">
        <v>0.91600000000000004</v>
      </c>
      <c r="T1149" s="2">
        <v>-4.7169999999999996</v>
      </c>
      <c r="U1149">
        <v>176627</v>
      </c>
      <c r="V1149">
        <f>YEAR(Spotify[[#This Row],[Date de sortie]])</f>
        <v>2020</v>
      </c>
      <c r="W1149" s="2" t="str">
        <f>IF(Spotify[[#This Row],[Popularité]]&gt;=70,"FORTE","FAIBLE")</f>
        <v>FAIBLE</v>
      </c>
    </row>
    <row r="1150" spans="1:23" x14ac:dyDescent="0.25">
      <c r="A1150">
        <v>1336</v>
      </c>
      <c r="B1150">
        <v>46</v>
      </c>
      <c r="C1150">
        <v>2</v>
      </c>
      <c r="D1150" s="1">
        <v>43889</v>
      </c>
      <c r="E1150" s="59" t="str" cm="1">
        <f t="array" ref="E115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150" t="s">
        <v>2149</v>
      </c>
      <c r="G1150" s="3">
        <v>7240117</v>
      </c>
      <c r="H1150" t="s">
        <v>2150</v>
      </c>
      <c r="I1150" s="4">
        <v>878491</v>
      </c>
      <c r="J1150" t="s">
        <v>2151</v>
      </c>
      <c r="K1150" s="1">
        <v>43888</v>
      </c>
      <c r="L1150">
        <v>65</v>
      </c>
      <c r="M1150" s="2" t="str">
        <f>IF(Spotify[[#This Row],[Energie]]&gt;AVERAGE(Spotify[Energie]),"FORTE","FAIBLE")</f>
        <v>FAIBLE</v>
      </c>
      <c r="N1150" s="2">
        <v>0.48599999999999999</v>
      </c>
      <c r="O1150" s="2">
        <v>0.38800000000000001</v>
      </c>
      <c r="P1150" s="2">
        <v>0.126</v>
      </c>
      <c r="Q1150" s="2">
        <v>0.435</v>
      </c>
      <c r="R1150" s="2">
        <v>0.19600000000000001</v>
      </c>
      <c r="S1150" s="2">
        <v>0.46700000000000003</v>
      </c>
      <c r="T1150" s="2">
        <v>-9.3260000000000005</v>
      </c>
      <c r="U1150">
        <v>457592</v>
      </c>
      <c r="V1150">
        <f>YEAR(Spotify[[#This Row],[Date de sortie]])</f>
        <v>2020</v>
      </c>
      <c r="W1150" s="2" t="str">
        <f>IF(Spotify[[#This Row],[Popularité]]&gt;=70,"FORTE","FAIBLE")</f>
        <v>FAIBLE</v>
      </c>
    </row>
    <row r="1151" spans="1:23" x14ac:dyDescent="0.25">
      <c r="A1151">
        <v>1230</v>
      </c>
      <c r="B1151">
        <v>78</v>
      </c>
      <c r="C1151">
        <v>1</v>
      </c>
      <c r="D1151" s="1">
        <v>43938</v>
      </c>
      <c r="E1151" s="59" t="str" cm="1">
        <f t="array" ref="E115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151" t="s">
        <v>2010</v>
      </c>
      <c r="G1151" s="3">
        <v>7065060</v>
      </c>
      <c r="H1151" t="s">
        <v>264</v>
      </c>
      <c r="I1151" s="4">
        <v>7601122</v>
      </c>
      <c r="J1151" t="s">
        <v>265</v>
      </c>
      <c r="K1151" s="1">
        <v>43938</v>
      </c>
      <c r="L1151">
        <v>65</v>
      </c>
      <c r="M1151" s="2" t="str">
        <f>IF(Spotify[[#This Row],[Energie]]&gt;AVERAGE(Spotify[Energie]),"FORTE","FAIBLE")</f>
        <v>FAIBLE</v>
      </c>
      <c r="N1151" s="2">
        <v>0.91500000000000004</v>
      </c>
      <c r="O1151" s="2">
        <v>0.61199999999999999</v>
      </c>
      <c r="P1151" s="2">
        <v>0.40699999999999997</v>
      </c>
      <c r="Q1151" s="2">
        <v>9.4399999999999998E-2</v>
      </c>
      <c r="R1151" s="2">
        <v>0.115</v>
      </c>
      <c r="S1151" s="2">
        <v>0.75800000000000001</v>
      </c>
      <c r="T1151" s="2">
        <v>-4.5350000000000001</v>
      </c>
      <c r="U1151">
        <v>118547</v>
      </c>
      <c r="V1151">
        <f>YEAR(Spotify[[#This Row],[Date de sortie]])</f>
        <v>2020</v>
      </c>
      <c r="W1151" s="2" t="str">
        <f>IF(Spotify[[#This Row],[Popularité]]&gt;=70,"FORTE","FAIBLE")</f>
        <v>FAIBLE</v>
      </c>
    </row>
    <row r="1152" spans="1:23" x14ac:dyDescent="0.25">
      <c r="A1152">
        <v>436</v>
      </c>
      <c r="B1152">
        <v>102</v>
      </c>
      <c r="C1152">
        <v>1</v>
      </c>
      <c r="D1152" s="1">
        <v>44295</v>
      </c>
      <c r="E1152" s="59" t="str" cm="1">
        <f t="array" ref="E115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52" t="s">
        <v>803</v>
      </c>
      <c r="G1152" s="3">
        <v>7039222</v>
      </c>
      <c r="H1152" t="s">
        <v>746</v>
      </c>
      <c r="I1152" s="4">
        <v>42227614</v>
      </c>
      <c r="J1152" t="s">
        <v>10</v>
      </c>
      <c r="K1152" s="1">
        <v>44295</v>
      </c>
      <c r="L1152">
        <v>65</v>
      </c>
      <c r="M1152" s="2" t="str">
        <f>IF(Spotify[[#This Row],[Energie]]&gt;AVERAGE(Spotify[Energie]),"FORTE","FAIBLE")</f>
        <v>FAIBLE</v>
      </c>
      <c r="N1152" s="2">
        <v>0.42299999999999999</v>
      </c>
      <c r="O1152" s="2">
        <v>0.51700000000000002</v>
      </c>
      <c r="P1152" s="2">
        <v>4.8599999999999997E-2</v>
      </c>
      <c r="Q1152" s="2">
        <v>0.36899999999999999</v>
      </c>
      <c r="R1152" s="2">
        <v>0.17699999999999999</v>
      </c>
      <c r="S1152" s="2">
        <v>0.36599999999999999</v>
      </c>
      <c r="T1152" s="2">
        <v>-7.3769999999999998</v>
      </c>
      <c r="U1152">
        <v>234516</v>
      </c>
      <c r="V1152">
        <f>YEAR(Spotify[[#This Row],[Date de sortie]])</f>
        <v>2021</v>
      </c>
      <c r="W1152" s="2" t="str">
        <f>IF(Spotify[[#This Row],[Popularité]]&gt;=70,"FORTE","FAIBLE")</f>
        <v>FAIBLE</v>
      </c>
    </row>
    <row r="1153" spans="1:23" x14ac:dyDescent="0.25">
      <c r="A1153">
        <v>1301</v>
      </c>
      <c r="B1153">
        <v>36</v>
      </c>
      <c r="C1153">
        <v>2</v>
      </c>
      <c r="D1153" s="1">
        <v>43896</v>
      </c>
      <c r="E1153" s="59" t="str" cm="1">
        <f t="array" ref="E115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153" t="s">
        <v>2107</v>
      </c>
      <c r="G1153" s="3">
        <v>6442451</v>
      </c>
      <c r="H1153" t="s">
        <v>1780</v>
      </c>
      <c r="I1153" s="4">
        <v>11821805</v>
      </c>
      <c r="J1153" t="s">
        <v>235</v>
      </c>
      <c r="K1153" s="1">
        <v>43896</v>
      </c>
      <c r="L1153">
        <v>65</v>
      </c>
      <c r="M1153" s="2" t="str">
        <f>IF(Spotify[[#This Row],[Energie]]&gt;AVERAGE(Spotify[Energie]),"FORTE","FAIBLE")</f>
        <v>FAIBLE</v>
      </c>
      <c r="N1153" s="2">
        <v>0.90300000000000002</v>
      </c>
      <c r="O1153" s="2">
        <v>0.53500000000000003</v>
      </c>
      <c r="P1153" s="2">
        <v>0.28599999999999998</v>
      </c>
      <c r="Q1153" s="2">
        <v>2.98E-2</v>
      </c>
      <c r="R1153" s="2">
        <v>8.5099999999999995E-2</v>
      </c>
      <c r="S1153" s="2">
        <v>0.157</v>
      </c>
      <c r="T1153" s="2">
        <v>-6.2380000000000004</v>
      </c>
      <c r="U1153">
        <v>195692</v>
      </c>
      <c r="V1153">
        <f>YEAR(Spotify[[#This Row],[Date de sortie]])</f>
        <v>2020</v>
      </c>
      <c r="W1153" s="2" t="str">
        <f>IF(Spotify[[#This Row],[Popularité]]&gt;=70,"FORTE","FAIBLE")</f>
        <v>FAIBLE</v>
      </c>
    </row>
    <row r="1154" spans="1:23" x14ac:dyDescent="0.25">
      <c r="A1154">
        <v>1476</v>
      </c>
      <c r="B1154">
        <v>32</v>
      </c>
      <c r="C1154">
        <v>2</v>
      </c>
      <c r="D1154" s="1">
        <v>43847</v>
      </c>
      <c r="E1154" s="59" t="str" cm="1">
        <f t="array" ref="E115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154" t="s">
        <v>2341</v>
      </c>
      <c r="G1154" s="3">
        <v>6374807</v>
      </c>
      <c r="H1154" t="s">
        <v>412</v>
      </c>
      <c r="I1154" s="4">
        <v>46814751</v>
      </c>
      <c r="J1154" t="s">
        <v>413</v>
      </c>
      <c r="K1154" s="1">
        <v>43847</v>
      </c>
      <c r="L1154">
        <v>65</v>
      </c>
      <c r="M1154" s="2" t="str">
        <f>IF(Spotify[[#This Row],[Energie]]&gt;AVERAGE(Spotify[Energie]),"FORTE","FAIBLE")</f>
        <v>FORTE</v>
      </c>
      <c r="N1154" s="2">
        <v>0.85199999999999998</v>
      </c>
      <c r="O1154" s="2">
        <v>0.752</v>
      </c>
      <c r="P1154" s="2">
        <v>5.9700000000000003E-2</v>
      </c>
      <c r="Q1154" s="2">
        <v>1.6899999999999998E-2</v>
      </c>
      <c r="R1154" s="2">
        <v>0.39400000000000002</v>
      </c>
      <c r="S1154" s="2">
        <v>0.38900000000000001</v>
      </c>
      <c r="T1154" s="2">
        <v>-5.7930000000000001</v>
      </c>
      <c r="U1154">
        <v>216600</v>
      </c>
      <c r="V1154">
        <f>YEAR(Spotify[[#This Row],[Date de sortie]])</f>
        <v>2020</v>
      </c>
      <c r="W1154" s="2" t="str">
        <f>IF(Spotify[[#This Row],[Popularité]]&gt;=70,"FORTE","FAIBLE")</f>
        <v>FAIBLE</v>
      </c>
    </row>
    <row r="1155" spans="1:23" x14ac:dyDescent="0.25">
      <c r="A1155">
        <v>1434</v>
      </c>
      <c r="B1155">
        <v>120</v>
      </c>
      <c r="C1155">
        <v>1</v>
      </c>
      <c r="D1155" s="1">
        <v>43868</v>
      </c>
      <c r="E1155" s="59" t="str" cm="1">
        <f t="array" ref="E115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55" t="s">
        <v>2280</v>
      </c>
      <c r="G1155" s="3">
        <v>6207326</v>
      </c>
      <c r="H1155" t="s">
        <v>2281</v>
      </c>
      <c r="I1155" s="4">
        <v>8153871</v>
      </c>
      <c r="J1155" t="s">
        <v>19</v>
      </c>
      <c r="K1155" s="1">
        <v>43868</v>
      </c>
      <c r="L1155">
        <v>65</v>
      </c>
      <c r="M1155" s="2" t="str">
        <f>IF(Spotify[[#This Row],[Energie]]&gt;AVERAGE(Spotify[Energie]),"FORTE","FAIBLE")</f>
        <v>FORTE</v>
      </c>
      <c r="N1155" s="2">
        <v>0.60899999999999999</v>
      </c>
      <c r="O1155" s="2">
        <v>0.78500000000000003</v>
      </c>
      <c r="P1155" s="2">
        <v>8.9099999999999999E-2</v>
      </c>
      <c r="Q1155" s="2">
        <v>5.0200000000000002E-2</v>
      </c>
      <c r="R1155" s="2">
        <v>0.17100000000000001</v>
      </c>
      <c r="S1155" s="2">
        <v>0.75600000000000001</v>
      </c>
      <c r="T1155" s="2">
        <v>-3.32</v>
      </c>
      <c r="U1155">
        <v>181467</v>
      </c>
      <c r="V1155">
        <f>YEAR(Spotify[[#This Row],[Date de sortie]])</f>
        <v>2020</v>
      </c>
      <c r="W1155" s="2" t="str">
        <f>IF(Spotify[[#This Row],[Popularité]]&gt;=70,"FORTE","FAIBLE")</f>
        <v>FAIBLE</v>
      </c>
    </row>
    <row r="1156" spans="1:23" x14ac:dyDescent="0.25">
      <c r="A1156">
        <v>482</v>
      </c>
      <c r="B1156">
        <v>152</v>
      </c>
      <c r="C1156">
        <v>1</v>
      </c>
      <c r="D1156" s="1">
        <v>44274</v>
      </c>
      <c r="E1156" s="59" t="str" cm="1">
        <f t="array" ref="E115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56" t="s">
        <v>877</v>
      </c>
      <c r="G1156" s="3">
        <v>5796978</v>
      </c>
      <c r="H1156" t="s">
        <v>878</v>
      </c>
      <c r="I1156" s="4">
        <v>13697048</v>
      </c>
      <c r="J1156" t="s">
        <v>341</v>
      </c>
      <c r="K1156" s="1">
        <v>44274</v>
      </c>
      <c r="L1156">
        <v>65</v>
      </c>
      <c r="M1156" s="2" t="str">
        <f>IF(Spotify[[#This Row],[Energie]]&gt;AVERAGE(Spotify[Energie]),"FORTE","FAIBLE")</f>
        <v>FAIBLE</v>
      </c>
      <c r="N1156" s="2">
        <v>0.49299999999999999</v>
      </c>
      <c r="O1156" s="2">
        <v>0.26300000000000001</v>
      </c>
      <c r="P1156" s="2">
        <v>3.5099999999999999E-2</v>
      </c>
      <c r="Q1156" s="2">
        <v>0.92600000000000005</v>
      </c>
      <c r="R1156" s="2">
        <v>8.7900000000000006E-2</v>
      </c>
      <c r="S1156" s="2">
        <v>0.158</v>
      </c>
      <c r="T1156" s="2">
        <v>-12.805</v>
      </c>
      <c r="U1156">
        <v>333710</v>
      </c>
      <c r="V1156">
        <f>YEAR(Spotify[[#This Row],[Date de sortie]])</f>
        <v>2021</v>
      </c>
      <c r="W1156" s="2" t="str">
        <f>IF(Spotify[[#This Row],[Popularité]]&gt;=70,"FORTE","FAIBLE")</f>
        <v>FAIBLE</v>
      </c>
    </row>
    <row r="1157" spans="1:23" x14ac:dyDescent="0.25">
      <c r="A1157">
        <v>1270</v>
      </c>
      <c r="B1157">
        <v>136</v>
      </c>
      <c r="C1157">
        <v>1</v>
      </c>
      <c r="D1157" s="1">
        <v>43917</v>
      </c>
      <c r="E1157" s="59" t="str" cm="1">
        <f t="array" ref="E115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57" t="s">
        <v>2066</v>
      </c>
      <c r="G1157" s="3">
        <v>5791343</v>
      </c>
      <c r="H1157" t="s">
        <v>1619</v>
      </c>
      <c r="I1157" s="4">
        <v>7744095</v>
      </c>
      <c r="J1157" t="s">
        <v>1180</v>
      </c>
      <c r="K1157" s="1">
        <v>43917</v>
      </c>
      <c r="L1157">
        <v>65</v>
      </c>
      <c r="M1157" s="2" t="str">
        <f>IF(Spotify[[#This Row],[Energie]]&gt;AVERAGE(Spotify[Energie]),"FORTE","FAIBLE")</f>
        <v>FORTE</v>
      </c>
      <c r="N1157" s="2">
        <v>0.64400000000000002</v>
      </c>
      <c r="O1157" s="2">
        <v>0.76800000000000002</v>
      </c>
      <c r="P1157" s="2">
        <v>4.5499999999999999E-2</v>
      </c>
      <c r="Q1157" s="2">
        <v>0.17399999999999999</v>
      </c>
      <c r="R1157" s="2">
        <v>0.46899999999999997</v>
      </c>
      <c r="S1157" s="2">
        <v>0.59799999999999998</v>
      </c>
      <c r="T1157" s="2">
        <v>-4.3159999999999998</v>
      </c>
      <c r="U1157">
        <v>220536</v>
      </c>
      <c r="V1157">
        <f>YEAR(Spotify[[#This Row],[Date de sortie]])</f>
        <v>2020</v>
      </c>
      <c r="W1157" s="2" t="str">
        <f>IF(Spotify[[#This Row],[Popularité]]&gt;=70,"FORTE","FAIBLE")</f>
        <v>FAIBLE</v>
      </c>
    </row>
    <row r="1158" spans="1:23" x14ac:dyDescent="0.25">
      <c r="A1158">
        <v>1510</v>
      </c>
      <c r="B1158">
        <v>168</v>
      </c>
      <c r="C1158">
        <v>1</v>
      </c>
      <c r="D1158" s="1">
        <v>43847</v>
      </c>
      <c r="E1158" s="59" t="str" cm="1">
        <f t="array" ref="E115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58" t="s">
        <v>2382</v>
      </c>
      <c r="G1158" s="3">
        <v>5656775</v>
      </c>
      <c r="H1158" t="s">
        <v>2383</v>
      </c>
      <c r="I1158" s="4">
        <v>1603670</v>
      </c>
      <c r="J1158" t="s">
        <v>550</v>
      </c>
      <c r="K1158" s="1">
        <v>43846</v>
      </c>
      <c r="L1158">
        <v>65</v>
      </c>
      <c r="M1158" s="2" t="str">
        <f>IF(Spotify[[#This Row],[Energie]]&gt;AVERAGE(Spotify[Energie]),"FORTE","FAIBLE")</f>
        <v>FORTE</v>
      </c>
      <c r="N1158" s="2">
        <v>0.77600000000000002</v>
      </c>
      <c r="O1158" s="2">
        <v>0.71299999999999997</v>
      </c>
      <c r="P1158" s="2">
        <v>0.14299999999999999</v>
      </c>
      <c r="Q1158" s="2">
        <v>0.52500000000000002</v>
      </c>
      <c r="R1158" s="2">
        <v>0.30599999999999999</v>
      </c>
      <c r="S1158" s="2">
        <v>0.55100000000000005</v>
      </c>
      <c r="T1158" s="2">
        <v>-6.1210000000000004</v>
      </c>
      <c r="U1158">
        <v>193453</v>
      </c>
      <c r="V1158">
        <f>YEAR(Spotify[[#This Row],[Date de sortie]])</f>
        <v>2020</v>
      </c>
      <c r="W1158" s="2" t="str">
        <f>IF(Spotify[[#This Row],[Popularité]]&gt;=70,"FORTE","FAIBLE")</f>
        <v>FAIBLE</v>
      </c>
    </row>
    <row r="1159" spans="1:23" x14ac:dyDescent="0.25">
      <c r="A1159">
        <v>871</v>
      </c>
      <c r="B1159">
        <v>145</v>
      </c>
      <c r="C1159">
        <v>1</v>
      </c>
      <c r="D1159" s="1">
        <v>44099</v>
      </c>
      <c r="E1159" s="59" t="str" cm="1">
        <f t="array" ref="E115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59" t="s">
        <v>1494</v>
      </c>
      <c r="G1159" s="3">
        <v>5547939</v>
      </c>
      <c r="H1159" t="s">
        <v>1370</v>
      </c>
      <c r="I1159" s="4">
        <v>4759367</v>
      </c>
      <c r="J1159" t="s">
        <v>761</v>
      </c>
      <c r="K1159" s="1">
        <v>44099</v>
      </c>
      <c r="L1159">
        <v>65</v>
      </c>
      <c r="M1159" s="2" t="str">
        <f>IF(Spotify[[#This Row],[Energie]]&gt;AVERAGE(Spotify[Energie]),"FORTE","FAIBLE")</f>
        <v>FAIBLE</v>
      </c>
      <c r="N1159" s="2">
        <v>0.78100000000000003</v>
      </c>
      <c r="O1159" s="2">
        <v>0.61299999999999999</v>
      </c>
      <c r="P1159" s="2">
        <v>5.2400000000000002E-2</v>
      </c>
      <c r="Q1159" s="2">
        <v>3.9899999999999998E-2</v>
      </c>
      <c r="R1159" s="2">
        <v>9.7600000000000006E-2</v>
      </c>
      <c r="S1159" s="2">
        <v>0.61299999999999999</v>
      </c>
      <c r="T1159" s="2">
        <v>-5.5819999999999999</v>
      </c>
      <c r="U1159">
        <v>132215</v>
      </c>
      <c r="V1159">
        <f>YEAR(Spotify[[#This Row],[Date de sortie]])</f>
        <v>2020</v>
      </c>
      <c r="W1159" s="2" t="str">
        <f>IF(Spotify[[#This Row],[Popularité]]&gt;=70,"FORTE","FAIBLE")</f>
        <v>FAIBLE</v>
      </c>
    </row>
    <row r="1160" spans="1:23" x14ac:dyDescent="0.25">
      <c r="A1160">
        <v>445</v>
      </c>
      <c r="B1160">
        <v>192</v>
      </c>
      <c r="C1160">
        <v>1</v>
      </c>
      <c r="D1160" s="1">
        <v>44295</v>
      </c>
      <c r="E1160" s="59" t="str" cm="1">
        <f t="array" ref="E116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60" t="s">
        <v>814</v>
      </c>
      <c r="G1160" s="3">
        <v>5197564</v>
      </c>
      <c r="H1160" t="s">
        <v>746</v>
      </c>
      <c r="I1160" s="4">
        <v>42227614</v>
      </c>
      <c r="J1160" t="s">
        <v>10</v>
      </c>
      <c r="K1160" s="1">
        <v>44295</v>
      </c>
      <c r="L1160">
        <v>65</v>
      </c>
      <c r="M1160" s="2" t="str">
        <f>IF(Spotify[[#This Row],[Energie]]&gt;AVERAGE(Spotify[Energie]),"FORTE","FAIBLE")</f>
        <v>FAIBLE</v>
      </c>
      <c r="N1160" s="2">
        <v>0.56299999999999994</v>
      </c>
      <c r="O1160" s="2">
        <v>0.47299999999999998</v>
      </c>
      <c r="P1160" s="2">
        <v>5.0299999999999997E-2</v>
      </c>
      <c r="Q1160" s="2">
        <v>0.51400000000000001</v>
      </c>
      <c r="R1160" s="2">
        <v>0.109</v>
      </c>
      <c r="S1160" s="2">
        <v>0.40500000000000003</v>
      </c>
      <c r="T1160" s="2">
        <v>-11.548</v>
      </c>
      <c r="U1160">
        <v>208609</v>
      </c>
      <c r="V1160">
        <f>YEAR(Spotify[[#This Row],[Date de sortie]])</f>
        <v>2021</v>
      </c>
      <c r="W1160" s="2" t="str">
        <f>IF(Spotify[[#This Row],[Popularité]]&gt;=70,"FORTE","FAIBLE")</f>
        <v>FAIBLE</v>
      </c>
    </row>
    <row r="1161" spans="1:23" x14ac:dyDescent="0.25">
      <c r="A1161">
        <v>1103</v>
      </c>
      <c r="B1161">
        <v>143</v>
      </c>
      <c r="C1161">
        <v>1</v>
      </c>
      <c r="D1161" s="1">
        <v>43994</v>
      </c>
      <c r="E1161" s="59" t="str" cm="1">
        <f t="array" ref="E116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161" t="s">
        <v>1833</v>
      </c>
      <c r="G1161" s="3">
        <v>5113459</v>
      </c>
      <c r="H1161" t="s">
        <v>1834</v>
      </c>
      <c r="I1161" s="4">
        <v>1700759</v>
      </c>
      <c r="J1161" t="s">
        <v>1685</v>
      </c>
      <c r="K1161" s="1">
        <v>43994</v>
      </c>
      <c r="L1161">
        <v>65</v>
      </c>
      <c r="M1161" s="2" t="str">
        <f>IF(Spotify[[#This Row],[Energie]]&gt;AVERAGE(Spotify[Energie]),"FORTE","FAIBLE")</f>
        <v>FAIBLE</v>
      </c>
      <c r="N1161" s="2">
        <v>0.78800000000000003</v>
      </c>
      <c r="O1161" s="2">
        <v>0.49099999999999999</v>
      </c>
      <c r="P1161" s="2">
        <v>0.109</v>
      </c>
      <c r="Q1161" s="2">
        <v>0.38600000000000001</v>
      </c>
      <c r="R1161" s="2">
        <v>0.107</v>
      </c>
      <c r="S1161" s="2">
        <v>0.27100000000000002</v>
      </c>
      <c r="T1161" s="2">
        <v>-9.8840000000000003</v>
      </c>
      <c r="U1161">
        <v>146028</v>
      </c>
      <c r="V1161">
        <f>YEAR(Spotify[[#This Row],[Date de sortie]])</f>
        <v>2020</v>
      </c>
      <c r="W1161" s="2" t="str">
        <f>IF(Spotify[[#This Row],[Popularité]]&gt;=70,"FORTE","FAIBLE")</f>
        <v>FAIBLE</v>
      </c>
    </row>
    <row r="1162" spans="1:23" x14ac:dyDescent="0.25">
      <c r="A1162">
        <v>1287</v>
      </c>
      <c r="B1162">
        <v>113</v>
      </c>
      <c r="C1162">
        <v>7</v>
      </c>
      <c r="D1162" s="1">
        <v>43903</v>
      </c>
      <c r="E1162" s="59" t="str" cm="1">
        <f t="array" ref="E116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62" t="s">
        <v>2086</v>
      </c>
      <c r="G1162" s="3">
        <v>5082563</v>
      </c>
      <c r="H1162" t="s">
        <v>2087</v>
      </c>
      <c r="I1162" s="4">
        <v>7564659</v>
      </c>
      <c r="J1162" t="s">
        <v>19</v>
      </c>
      <c r="K1162" s="1">
        <v>43868</v>
      </c>
      <c r="L1162">
        <v>65</v>
      </c>
      <c r="M1162" s="2" t="str">
        <f>IF(Spotify[[#This Row],[Energie]]&gt;AVERAGE(Spotify[Energie]),"FORTE","FAIBLE")</f>
        <v>FORTE</v>
      </c>
      <c r="N1162" s="2">
        <v>0.72299999999999998</v>
      </c>
      <c r="O1162" s="2">
        <v>0.72599999999999998</v>
      </c>
      <c r="P1162" s="2">
        <v>4.7199999999999999E-2</v>
      </c>
      <c r="Q1162" s="2">
        <v>5.6399999999999999E-2</v>
      </c>
      <c r="R1162" s="2">
        <v>5.7000000000000002E-2</v>
      </c>
      <c r="S1162" s="2">
        <v>0.96199999999999997</v>
      </c>
      <c r="T1162" s="2">
        <v>-3.835</v>
      </c>
      <c r="U1162">
        <v>176283</v>
      </c>
      <c r="V1162">
        <f>YEAR(Spotify[[#This Row],[Date de sortie]])</f>
        <v>2020</v>
      </c>
      <c r="W1162" s="2" t="str">
        <f>IF(Spotify[[#This Row],[Popularité]]&gt;=70,"FORTE","FAIBLE")</f>
        <v>FAIBLE</v>
      </c>
    </row>
    <row r="1163" spans="1:23" x14ac:dyDescent="0.25">
      <c r="A1163">
        <v>1527</v>
      </c>
      <c r="B1163">
        <v>177</v>
      </c>
      <c r="C1163">
        <v>3</v>
      </c>
      <c r="D1163" s="1">
        <v>43833</v>
      </c>
      <c r="E1163" s="59" t="str" cm="1">
        <f t="array" ref="E116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163" t="s">
        <v>2402</v>
      </c>
      <c r="G1163" s="3">
        <v>4929396</v>
      </c>
      <c r="H1163" t="s">
        <v>2403</v>
      </c>
      <c r="I1163" s="4">
        <v>6434201</v>
      </c>
      <c r="J1163" t="s">
        <v>235</v>
      </c>
      <c r="K1163" s="1">
        <v>43791</v>
      </c>
      <c r="L1163">
        <v>65</v>
      </c>
      <c r="M1163" s="2" t="str">
        <f>IF(Spotify[[#This Row],[Energie]]&gt;AVERAGE(Spotify[Energie]),"FORTE","FAIBLE")</f>
        <v>FORTE</v>
      </c>
      <c r="N1163" s="2">
        <v>0.80200000000000005</v>
      </c>
      <c r="O1163" s="2">
        <v>0.82</v>
      </c>
      <c r="P1163" s="2">
        <v>0.14599999999999999</v>
      </c>
      <c r="Q1163" s="2">
        <v>5.79E-2</v>
      </c>
      <c r="R1163" s="2">
        <v>0.14899999999999999</v>
      </c>
      <c r="S1163" s="2">
        <v>0.61299999999999999</v>
      </c>
      <c r="T1163" s="2">
        <v>-5.9690000000000003</v>
      </c>
      <c r="U1163">
        <v>172196</v>
      </c>
      <c r="V1163">
        <f>YEAR(Spotify[[#This Row],[Date de sortie]])</f>
        <v>2019</v>
      </c>
      <c r="W1163" s="2" t="str">
        <f>IF(Spotify[[#This Row],[Popularité]]&gt;=70,"FORTE","FAIBLE")</f>
        <v>FAIBLE</v>
      </c>
    </row>
    <row r="1164" spans="1:23" x14ac:dyDescent="0.25">
      <c r="A1164">
        <v>1210</v>
      </c>
      <c r="B1164">
        <v>85</v>
      </c>
      <c r="C1164">
        <v>2</v>
      </c>
      <c r="D1164" s="1">
        <v>43945</v>
      </c>
      <c r="E1164" s="59" t="str" cm="1">
        <f t="array" ref="E116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164" t="s">
        <v>1981</v>
      </c>
      <c r="G1164" s="3">
        <v>4901960</v>
      </c>
      <c r="H1164" t="s">
        <v>1982</v>
      </c>
      <c r="I1164" s="4">
        <v>1700759</v>
      </c>
      <c r="J1164" t="s">
        <v>1685</v>
      </c>
      <c r="K1164" s="1">
        <v>43994</v>
      </c>
      <c r="L1164">
        <v>65</v>
      </c>
      <c r="M1164" s="2" t="str">
        <f>IF(Spotify[[#This Row],[Energie]]&gt;AVERAGE(Spotify[Energie]),"FORTE","FAIBLE")</f>
        <v>FAIBLE</v>
      </c>
      <c r="N1164" s="2">
        <v>0.78800000000000003</v>
      </c>
      <c r="O1164" s="2">
        <v>0.49099999999999999</v>
      </c>
      <c r="P1164" s="2">
        <v>0.109</v>
      </c>
      <c r="Q1164" s="2">
        <v>0.38600000000000001</v>
      </c>
      <c r="R1164" s="2">
        <v>0.107</v>
      </c>
      <c r="S1164" s="2">
        <v>0.27100000000000002</v>
      </c>
      <c r="T1164" s="2">
        <v>-9.8840000000000003</v>
      </c>
      <c r="U1164">
        <v>146028</v>
      </c>
      <c r="V1164">
        <f>YEAR(Spotify[[#This Row],[Date de sortie]])</f>
        <v>2020</v>
      </c>
      <c r="W1164" s="2" t="str">
        <f>IF(Spotify[[#This Row],[Popularité]]&gt;=70,"FORTE","FAIBLE")</f>
        <v>FAIBLE</v>
      </c>
    </row>
    <row r="1165" spans="1:23" x14ac:dyDescent="0.25">
      <c r="A1165">
        <v>1320</v>
      </c>
      <c r="B1165">
        <v>53</v>
      </c>
      <c r="C1165">
        <v>2</v>
      </c>
      <c r="D1165" s="1">
        <v>43896</v>
      </c>
      <c r="E1165" s="59" t="str" cm="1">
        <f t="array" ref="E116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165" t="s">
        <v>2132</v>
      </c>
      <c r="G1165" s="3">
        <v>4898167</v>
      </c>
      <c r="H1165" t="s">
        <v>1780</v>
      </c>
      <c r="I1165" s="4">
        <v>11821805</v>
      </c>
      <c r="J1165" t="s">
        <v>235</v>
      </c>
      <c r="K1165" s="1">
        <v>43896</v>
      </c>
      <c r="L1165">
        <v>65</v>
      </c>
      <c r="M1165" s="2" t="str">
        <f>IF(Spotify[[#This Row],[Energie]]&gt;AVERAGE(Spotify[Energie]),"FORTE","FAIBLE")</f>
        <v>FORTE</v>
      </c>
      <c r="N1165" s="2">
        <v>0.78600000000000003</v>
      </c>
      <c r="O1165" s="2">
        <v>0.68300000000000005</v>
      </c>
      <c r="P1165" s="2">
        <v>0.20499999999999999</v>
      </c>
      <c r="Q1165" s="2">
        <v>0.17299999999999999</v>
      </c>
      <c r="R1165" s="2">
        <v>0.70599999999999996</v>
      </c>
      <c r="S1165" s="2">
        <v>0.56999999999999995</v>
      </c>
      <c r="T1165" s="2">
        <v>-5.3970000000000002</v>
      </c>
      <c r="U1165">
        <v>233333</v>
      </c>
      <c r="V1165">
        <f>YEAR(Spotify[[#This Row],[Date de sortie]])</f>
        <v>2020</v>
      </c>
      <c r="W1165" s="2" t="str">
        <f>IF(Spotify[[#This Row],[Popularité]]&gt;=70,"FORTE","FAIBLE")</f>
        <v>FAIBLE</v>
      </c>
    </row>
    <row r="1166" spans="1:23" x14ac:dyDescent="0.25">
      <c r="A1166">
        <v>800</v>
      </c>
      <c r="B1166">
        <v>59</v>
      </c>
      <c r="C1166">
        <v>2</v>
      </c>
      <c r="D1166" s="1">
        <v>44134</v>
      </c>
      <c r="E1166" s="59" t="str" cm="1">
        <f t="array" ref="E116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66" t="s">
        <v>1389</v>
      </c>
      <c r="G1166" s="3">
        <v>4865084</v>
      </c>
      <c r="H1166" t="s">
        <v>202</v>
      </c>
      <c r="I1166" s="4">
        <v>67208170</v>
      </c>
      <c r="J1166" t="s">
        <v>19</v>
      </c>
      <c r="K1166" s="1">
        <v>44134</v>
      </c>
      <c r="L1166">
        <v>65</v>
      </c>
      <c r="M1166" s="2" t="str">
        <f>IF(Spotify[[#This Row],[Energie]]&gt;AVERAGE(Spotify[Energie]),"FORTE","FAIBLE")</f>
        <v>FORTE</v>
      </c>
      <c r="N1166" s="2">
        <v>0.624</v>
      </c>
      <c r="O1166" s="2">
        <v>0.67200000000000004</v>
      </c>
      <c r="P1166" s="2">
        <v>0.106</v>
      </c>
      <c r="Q1166" s="2">
        <v>9.6699999999999994E-2</v>
      </c>
      <c r="R1166" s="2">
        <v>0.155</v>
      </c>
      <c r="S1166" s="2">
        <v>0.26</v>
      </c>
      <c r="T1166" s="2">
        <v>-5.3339999999999996</v>
      </c>
      <c r="U1166">
        <v>146959</v>
      </c>
      <c r="V1166">
        <f>YEAR(Spotify[[#This Row],[Date de sortie]])</f>
        <v>2020</v>
      </c>
      <c r="W1166" s="2" t="str">
        <f>IF(Spotify[[#This Row],[Popularité]]&gt;=70,"FORTE","FAIBLE")</f>
        <v>FAIBLE</v>
      </c>
    </row>
    <row r="1167" spans="1:23" x14ac:dyDescent="0.25">
      <c r="A1167">
        <v>1018</v>
      </c>
      <c r="B1167">
        <v>20</v>
      </c>
      <c r="C1167">
        <v>6</v>
      </c>
      <c r="D1167" s="1">
        <v>43994</v>
      </c>
      <c r="E1167" s="59" t="str" cm="1">
        <f t="array" ref="E116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167" t="s">
        <v>1711</v>
      </c>
      <c r="G1167" s="3">
        <v>4700152</v>
      </c>
      <c r="H1167" t="s">
        <v>1532</v>
      </c>
      <c r="I1167" s="4">
        <v>6514102</v>
      </c>
      <c r="J1167" t="s">
        <v>557</v>
      </c>
      <c r="K1167" s="1">
        <v>43994</v>
      </c>
      <c r="L1167">
        <v>65</v>
      </c>
      <c r="M1167" s="2" t="str">
        <f>IF(Spotify[[#This Row],[Energie]]&gt;AVERAGE(Spotify[Energie]),"FORTE","FAIBLE")</f>
        <v>FAIBLE</v>
      </c>
      <c r="N1167" s="2">
        <v>0.74399999999999999</v>
      </c>
      <c r="O1167" s="2">
        <v>0.42199999999999999</v>
      </c>
      <c r="P1167" s="2">
        <v>0.29399999999999998</v>
      </c>
      <c r="Q1167" s="2">
        <v>3.1899999999999998E-2</v>
      </c>
      <c r="R1167" s="2">
        <v>0.11</v>
      </c>
      <c r="S1167" s="2">
        <v>0.49299999999999999</v>
      </c>
      <c r="T1167" s="2">
        <v>-8.9459999999999997</v>
      </c>
      <c r="U1167">
        <v>202667</v>
      </c>
      <c r="V1167">
        <f>YEAR(Spotify[[#This Row],[Date de sortie]])</f>
        <v>2020</v>
      </c>
      <c r="W1167" s="2" t="str">
        <f>IF(Spotify[[#This Row],[Popularité]]&gt;=70,"FORTE","FAIBLE")</f>
        <v>FAIBLE</v>
      </c>
    </row>
    <row r="1168" spans="1:23" x14ac:dyDescent="0.25">
      <c r="A1168">
        <v>928</v>
      </c>
      <c r="B1168">
        <v>185</v>
      </c>
      <c r="C1168">
        <v>1</v>
      </c>
      <c r="D1168" s="1">
        <v>44071</v>
      </c>
      <c r="E1168" s="59" t="str" cm="1">
        <f t="array" ref="E116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168" t="s">
        <v>1585</v>
      </c>
      <c r="G1168" s="3">
        <v>4609169</v>
      </c>
      <c r="H1168" t="s">
        <v>1586</v>
      </c>
      <c r="I1168" s="4">
        <v>1492551</v>
      </c>
      <c r="J1168" t="s">
        <v>481</v>
      </c>
      <c r="K1168" s="1">
        <v>44070</v>
      </c>
      <c r="L1168">
        <v>65</v>
      </c>
      <c r="M1168" s="2" t="str">
        <f>IF(Spotify[[#This Row],[Energie]]&gt;AVERAGE(Spotify[Energie]),"FORTE","FAIBLE")</f>
        <v>FAIBLE</v>
      </c>
      <c r="N1168" s="2">
        <v>0.65300000000000002</v>
      </c>
      <c r="O1168" s="2">
        <v>0.60299999999999998</v>
      </c>
      <c r="P1168" s="2">
        <v>0.17100000000000001</v>
      </c>
      <c r="Q1168" s="2">
        <v>0.17499999999999999</v>
      </c>
      <c r="R1168" s="2">
        <v>0.18</v>
      </c>
      <c r="S1168" s="2">
        <v>0.55100000000000005</v>
      </c>
      <c r="T1168" s="2">
        <v>-5.6970000000000001</v>
      </c>
      <c r="U1168">
        <v>168477</v>
      </c>
      <c r="V1168">
        <f>YEAR(Spotify[[#This Row],[Date de sortie]])</f>
        <v>2020</v>
      </c>
      <c r="W1168" s="2" t="str">
        <f>IF(Spotify[[#This Row],[Popularité]]&gt;=70,"FORTE","FAIBLE")</f>
        <v>FAIBLE</v>
      </c>
    </row>
    <row r="1169" spans="1:23" x14ac:dyDescent="0.25">
      <c r="A1169">
        <v>1277</v>
      </c>
      <c r="B1169">
        <v>187</v>
      </c>
      <c r="C1169">
        <v>1</v>
      </c>
      <c r="D1169" s="1">
        <v>43917</v>
      </c>
      <c r="E1169" s="59" t="str" cm="1">
        <f t="array" ref="E116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69" t="s">
        <v>2075</v>
      </c>
      <c r="G1169" s="3">
        <v>4593343</v>
      </c>
      <c r="H1169" t="s">
        <v>1347</v>
      </c>
      <c r="I1169" s="4">
        <v>9398941</v>
      </c>
      <c r="J1169" t="s">
        <v>19</v>
      </c>
      <c r="K1169" s="1">
        <v>44141</v>
      </c>
      <c r="L1169">
        <v>65</v>
      </c>
      <c r="M1169" s="2" t="str">
        <f>IF(Spotify[[#This Row],[Energie]]&gt;AVERAGE(Spotify[Energie]),"FORTE","FAIBLE")</f>
        <v>FORTE</v>
      </c>
      <c r="N1169" s="2">
        <v>0.63100000000000001</v>
      </c>
      <c r="O1169" s="2">
        <v>0.75</v>
      </c>
      <c r="P1169" s="2">
        <v>3.9399999999999998E-2</v>
      </c>
      <c r="Q1169" s="2">
        <v>3.8800000000000002E-3</v>
      </c>
      <c r="R1169" s="2">
        <v>0.28599999999999998</v>
      </c>
      <c r="S1169" s="2">
        <v>0.59299999999999997</v>
      </c>
      <c r="T1169" s="2">
        <v>-5.4160000000000004</v>
      </c>
      <c r="U1169">
        <v>200293</v>
      </c>
      <c r="V1169">
        <f>YEAR(Spotify[[#This Row],[Date de sortie]])</f>
        <v>2020</v>
      </c>
      <c r="W1169" s="2" t="str">
        <f>IF(Spotify[[#This Row],[Popularité]]&gt;=70,"FORTE","FAIBLE")</f>
        <v>FAIBLE</v>
      </c>
    </row>
    <row r="1170" spans="1:23" x14ac:dyDescent="0.25">
      <c r="A1170">
        <v>697</v>
      </c>
      <c r="B1170">
        <v>38</v>
      </c>
      <c r="C1170">
        <v>1</v>
      </c>
      <c r="D1170" s="1">
        <v>44176</v>
      </c>
      <c r="E1170" s="59" t="str" cm="1">
        <f t="array" ref="E117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70" t="s">
        <v>1239</v>
      </c>
      <c r="G1170" s="3">
        <v>14392788</v>
      </c>
      <c r="H1170" t="s">
        <v>746</v>
      </c>
      <c r="I1170" s="4">
        <v>42227614</v>
      </c>
      <c r="J1170" t="s">
        <v>10</v>
      </c>
      <c r="K1170" s="1">
        <v>44176</v>
      </c>
      <c r="L1170">
        <v>64</v>
      </c>
      <c r="M1170" s="2" t="str">
        <f>IF(Spotify[[#This Row],[Energie]]&gt;AVERAGE(Spotify[Energie]),"FORTE","FAIBLE")</f>
        <v>FAIBLE</v>
      </c>
      <c r="N1170" s="2">
        <v>0.60499999999999998</v>
      </c>
      <c r="O1170" s="2">
        <v>0.48799999999999999</v>
      </c>
      <c r="P1170" s="2">
        <v>2.64E-2</v>
      </c>
      <c r="Q1170" s="2">
        <v>0.69599999999999995</v>
      </c>
      <c r="R1170" s="2">
        <v>0.129</v>
      </c>
      <c r="S1170" s="2">
        <v>0.35399999999999998</v>
      </c>
      <c r="T1170" s="2">
        <v>-8.3219999999999992</v>
      </c>
      <c r="U1170">
        <v>225880</v>
      </c>
      <c r="V1170">
        <f>YEAR(Spotify[[#This Row],[Date de sortie]])</f>
        <v>2020</v>
      </c>
      <c r="W1170" s="2" t="str">
        <f>IF(Spotify[[#This Row],[Popularité]]&gt;=70,"FORTE","FAIBLE")</f>
        <v>FAIBLE</v>
      </c>
    </row>
    <row r="1171" spans="1:23" x14ac:dyDescent="0.25">
      <c r="A1171">
        <v>698</v>
      </c>
      <c r="B1171">
        <v>39</v>
      </c>
      <c r="C1171">
        <v>1</v>
      </c>
      <c r="D1171" s="1">
        <v>44176</v>
      </c>
      <c r="E1171" s="59" t="str" cm="1">
        <f t="array" ref="E117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71" t="s">
        <v>1240</v>
      </c>
      <c r="G1171" s="3">
        <v>14385703</v>
      </c>
      <c r="H1171" t="s">
        <v>746</v>
      </c>
      <c r="I1171" s="4">
        <v>42227614</v>
      </c>
      <c r="J1171" t="s">
        <v>10</v>
      </c>
      <c r="K1171" s="1">
        <v>44176</v>
      </c>
      <c r="L1171">
        <v>64</v>
      </c>
      <c r="M1171" s="2" t="str">
        <f>IF(Spotify[[#This Row],[Energie]]&gt;AVERAGE(Spotify[Energie]),"FORTE","FAIBLE")</f>
        <v>FAIBLE</v>
      </c>
      <c r="N1171" s="2">
        <v>0.53700000000000003</v>
      </c>
      <c r="O1171" s="2">
        <v>0.53700000000000003</v>
      </c>
      <c r="P1171" s="2">
        <v>6.1699999999999998E-2</v>
      </c>
      <c r="Q1171" s="2">
        <v>0.81899999999999995</v>
      </c>
      <c r="R1171" s="2">
        <v>0.14199999999999999</v>
      </c>
      <c r="S1171" s="2">
        <v>0.29199999999999998</v>
      </c>
      <c r="T1171" s="2">
        <v>-11.266</v>
      </c>
      <c r="U1171">
        <v>275320</v>
      </c>
      <c r="V1171">
        <f>YEAR(Spotify[[#This Row],[Date de sortie]])</f>
        <v>2020</v>
      </c>
      <c r="W1171" s="2" t="str">
        <f>IF(Spotify[[#This Row],[Popularité]]&gt;=70,"FORTE","FAIBLE")</f>
        <v>FAIBLE</v>
      </c>
    </row>
    <row r="1172" spans="1:23" x14ac:dyDescent="0.25">
      <c r="A1172">
        <v>701</v>
      </c>
      <c r="B1172">
        <v>53</v>
      </c>
      <c r="C1172">
        <v>1</v>
      </c>
      <c r="D1172" s="1">
        <v>44176</v>
      </c>
      <c r="E1172" s="59" t="str" cm="1">
        <f t="array" ref="E117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72" t="s">
        <v>1243</v>
      </c>
      <c r="G1172" s="3">
        <v>12782098</v>
      </c>
      <c r="H1172" t="s">
        <v>746</v>
      </c>
      <c r="I1172" s="4">
        <v>42227614</v>
      </c>
      <c r="J1172" t="s">
        <v>10</v>
      </c>
      <c r="K1172" s="1">
        <v>44176</v>
      </c>
      <c r="L1172">
        <v>64</v>
      </c>
      <c r="M1172" s="2" t="str">
        <f>IF(Spotify[[#This Row],[Energie]]&gt;AVERAGE(Spotify[Energie]),"FORTE","FAIBLE")</f>
        <v>FAIBLE</v>
      </c>
      <c r="N1172" s="2">
        <v>0.60399999999999998</v>
      </c>
      <c r="O1172" s="2">
        <v>0.51700000000000002</v>
      </c>
      <c r="P1172" s="2">
        <v>3.4700000000000002E-2</v>
      </c>
      <c r="Q1172" s="2">
        <v>0.76800000000000002</v>
      </c>
      <c r="R1172" s="2">
        <v>0.123</v>
      </c>
      <c r="S1172" s="2">
        <v>0.51100000000000001</v>
      </c>
      <c r="T1172" s="2">
        <v>-9.0139999999999993</v>
      </c>
      <c r="U1172">
        <v>275040</v>
      </c>
      <c r="V1172">
        <f>YEAR(Spotify[[#This Row],[Date de sortie]])</f>
        <v>2020</v>
      </c>
      <c r="W1172" s="2" t="str">
        <f>IF(Spotify[[#This Row],[Popularité]]&gt;=70,"FORTE","FAIBLE")</f>
        <v>FAIBLE</v>
      </c>
    </row>
    <row r="1173" spans="1:23" x14ac:dyDescent="0.25">
      <c r="A1173">
        <v>702</v>
      </c>
      <c r="B1173">
        <v>57</v>
      </c>
      <c r="C1173">
        <v>1</v>
      </c>
      <c r="D1173" s="1">
        <v>44176</v>
      </c>
      <c r="E1173" s="59" t="str" cm="1">
        <f t="array" ref="E117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73" t="s">
        <v>1244</v>
      </c>
      <c r="G1173" s="3">
        <v>12234761</v>
      </c>
      <c r="H1173" t="s">
        <v>746</v>
      </c>
      <c r="I1173" s="4">
        <v>42227614</v>
      </c>
      <c r="J1173" t="s">
        <v>10</v>
      </c>
      <c r="K1173" s="1">
        <v>44176</v>
      </c>
      <c r="L1173">
        <v>64</v>
      </c>
      <c r="M1173" s="2" t="str">
        <f>IF(Spotify[[#This Row],[Energie]]&gt;AVERAGE(Spotify[Energie]),"FORTE","FAIBLE")</f>
        <v>FAIBLE</v>
      </c>
      <c r="N1173" s="2">
        <v>0.53500000000000003</v>
      </c>
      <c r="O1173" s="2">
        <v>0.56100000000000005</v>
      </c>
      <c r="P1173" s="2">
        <v>4.8399999999999999E-2</v>
      </c>
      <c r="Q1173" s="2">
        <v>0.876</v>
      </c>
      <c r="R1173" s="2">
        <v>0.115</v>
      </c>
      <c r="S1173" s="2">
        <v>0.28699999999999998</v>
      </c>
      <c r="T1173" s="2">
        <v>-11.609</v>
      </c>
      <c r="U1173">
        <v>257773</v>
      </c>
      <c r="V1173">
        <f>YEAR(Spotify[[#This Row],[Date de sortie]])</f>
        <v>2020</v>
      </c>
      <c r="W1173" s="2" t="str">
        <f>IF(Spotify[[#This Row],[Popularité]]&gt;=70,"FORTE","FAIBLE")</f>
        <v>FAIBLE</v>
      </c>
    </row>
    <row r="1174" spans="1:23" x14ac:dyDescent="0.25">
      <c r="A1174">
        <v>704</v>
      </c>
      <c r="B1174">
        <v>74</v>
      </c>
      <c r="C1174">
        <v>1</v>
      </c>
      <c r="D1174" s="1">
        <v>44176</v>
      </c>
      <c r="E1174" s="59" t="str" cm="1">
        <f t="array" ref="E117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174" t="s">
        <v>1246</v>
      </c>
      <c r="G1174" s="3">
        <v>10561183</v>
      </c>
      <c r="H1174" t="s">
        <v>1092</v>
      </c>
      <c r="I1174" s="4">
        <v>5002317</v>
      </c>
      <c r="J1174" t="s">
        <v>426</v>
      </c>
      <c r="K1174" s="1">
        <v>44176</v>
      </c>
      <c r="L1174">
        <v>64</v>
      </c>
      <c r="M1174" s="2" t="str">
        <f>IF(Spotify[[#This Row],[Energie]]&gt;AVERAGE(Spotify[Energie]),"FORTE","FAIBLE")</f>
        <v>FORTE</v>
      </c>
      <c r="N1174" s="2">
        <v>0.39</v>
      </c>
      <c r="O1174" s="2">
        <v>0.72399999999999998</v>
      </c>
      <c r="P1174" s="2">
        <v>8.8900000000000007E-2</v>
      </c>
      <c r="Q1174" s="2">
        <v>0.16200000000000001</v>
      </c>
      <c r="R1174" s="2">
        <v>0.39300000000000002</v>
      </c>
      <c r="S1174" s="2">
        <v>0.312</v>
      </c>
      <c r="T1174" s="2">
        <v>-7.6070000000000002</v>
      </c>
      <c r="U1174">
        <v>216560</v>
      </c>
      <c r="V1174">
        <f>YEAR(Spotify[[#This Row],[Date de sortie]])</f>
        <v>2020</v>
      </c>
      <c r="W1174" s="2" t="str">
        <f>IF(Spotify[[#This Row],[Popularité]]&gt;=70,"FORTE","FAIBLE")</f>
        <v>FAIBLE</v>
      </c>
    </row>
    <row r="1175" spans="1:23" x14ac:dyDescent="0.25">
      <c r="A1175">
        <v>1129</v>
      </c>
      <c r="B1175">
        <v>53</v>
      </c>
      <c r="C1175">
        <v>1</v>
      </c>
      <c r="D1175" s="1">
        <v>43980</v>
      </c>
      <c r="E1175" s="59" t="str" cm="1">
        <f t="array" ref="E117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75" t="s">
        <v>1871</v>
      </c>
      <c r="G1175" s="3">
        <v>10342277</v>
      </c>
      <c r="H1175" t="s">
        <v>607</v>
      </c>
      <c r="I1175" s="4">
        <v>18585963</v>
      </c>
      <c r="J1175" t="s">
        <v>19</v>
      </c>
      <c r="K1175" s="1">
        <v>43980</v>
      </c>
      <c r="L1175">
        <v>64</v>
      </c>
      <c r="M1175" s="2" t="str">
        <f>IF(Spotify[[#This Row],[Energie]]&gt;AVERAGE(Spotify[Energie]),"FORTE","FAIBLE")</f>
        <v>FORTE</v>
      </c>
      <c r="N1175" s="2">
        <v>0.72299999999999998</v>
      </c>
      <c r="O1175" s="2">
        <v>0.88</v>
      </c>
      <c r="P1175" s="2">
        <v>3.7999999999999999E-2</v>
      </c>
      <c r="Q1175" s="2">
        <v>3.3400000000000001E-3</v>
      </c>
      <c r="R1175" s="2">
        <v>6.3200000000000006E-2</v>
      </c>
      <c r="S1175" s="2">
        <v>0.32300000000000001</v>
      </c>
      <c r="T1175" s="2">
        <v>-4.2869999999999999</v>
      </c>
      <c r="U1175">
        <v>177600</v>
      </c>
      <c r="V1175">
        <f>YEAR(Spotify[[#This Row],[Date de sortie]])</f>
        <v>2020</v>
      </c>
      <c r="W1175" s="2" t="str">
        <f>IF(Spotify[[#This Row],[Popularité]]&gt;=70,"FORTE","FAIBLE")</f>
        <v>FAIBLE</v>
      </c>
    </row>
    <row r="1176" spans="1:23" x14ac:dyDescent="0.25">
      <c r="A1176">
        <v>1199</v>
      </c>
      <c r="B1176">
        <v>53</v>
      </c>
      <c r="C1176">
        <v>1</v>
      </c>
      <c r="D1176" s="1">
        <v>43952</v>
      </c>
      <c r="E1176" s="59" t="str" cm="1">
        <f t="array" ref="E117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176" t="s">
        <v>1969</v>
      </c>
      <c r="G1176" s="3">
        <v>9628215</v>
      </c>
      <c r="H1176" t="s">
        <v>179</v>
      </c>
      <c r="I1176" s="4">
        <v>56327031</v>
      </c>
      <c r="J1176" t="s">
        <v>155</v>
      </c>
      <c r="K1176" s="1">
        <v>43952</v>
      </c>
      <c r="L1176">
        <v>64</v>
      </c>
      <c r="M1176" s="2" t="str">
        <f>IF(Spotify[[#This Row],[Energie]]&gt;AVERAGE(Spotify[Energie]),"FORTE","FAIBLE")</f>
        <v>FAIBLE</v>
      </c>
      <c r="N1176" s="2">
        <v>0.81200000000000006</v>
      </c>
      <c r="O1176" s="2">
        <v>0.50600000000000001</v>
      </c>
      <c r="P1176" s="2">
        <v>0.11600000000000001</v>
      </c>
      <c r="Q1176" s="2">
        <v>0.28100000000000003</v>
      </c>
      <c r="R1176" s="2">
        <v>0.32500000000000001</v>
      </c>
      <c r="S1176" s="2">
        <v>0.55400000000000005</v>
      </c>
      <c r="T1176" s="2">
        <v>-7.7060000000000004</v>
      </c>
      <c r="U1176">
        <v>237946</v>
      </c>
      <c r="V1176">
        <f>YEAR(Spotify[[#This Row],[Date de sortie]])</f>
        <v>2020</v>
      </c>
      <c r="W1176" s="2" t="str">
        <f>IF(Spotify[[#This Row],[Popularité]]&gt;=70,"FORTE","FAIBLE")</f>
        <v>FAIBLE</v>
      </c>
    </row>
    <row r="1177" spans="1:23" x14ac:dyDescent="0.25">
      <c r="A1177">
        <v>1489</v>
      </c>
      <c r="B1177">
        <v>69</v>
      </c>
      <c r="C1177">
        <v>1</v>
      </c>
      <c r="D1177" s="1">
        <v>43847</v>
      </c>
      <c r="E1177" s="59" t="str" cm="1">
        <f t="array" ref="E117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177" t="s">
        <v>2359</v>
      </c>
      <c r="G1177" s="3">
        <v>9521654</v>
      </c>
      <c r="H1177" t="s">
        <v>2268</v>
      </c>
      <c r="I1177" s="4">
        <v>6189454</v>
      </c>
      <c r="J1177" t="s">
        <v>426</v>
      </c>
      <c r="K1177" s="1">
        <v>43847</v>
      </c>
      <c r="L1177">
        <v>64</v>
      </c>
      <c r="M1177" s="2" t="str">
        <f>IF(Spotify[[#This Row],[Energie]]&gt;AVERAGE(Spotify[Energie]),"FORTE","FAIBLE")</f>
        <v>FAIBLE</v>
      </c>
      <c r="N1177" s="2">
        <v>0.67700000000000005</v>
      </c>
      <c r="O1177" s="2">
        <v>0.33</v>
      </c>
      <c r="P1177" s="2">
        <v>0.14899999999999999</v>
      </c>
      <c r="Q1177" s="2">
        <v>0.47399999999999998</v>
      </c>
      <c r="R1177" s="2">
        <v>6.4000000000000001E-2</v>
      </c>
      <c r="S1177" s="2">
        <v>0.33600000000000002</v>
      </c>
      <c r="T1177" s="2">
        <v>-11.198</v>
      </c>
      <c r="U1177">
        <v>298440</v>
      </c>
      <c r="V1177">
        <f>YEAR(Spotify[[#This Row],[Date de sortie]])</f>
        <v>2020</v>
      </c>
      <c r="W1177" s="2" t="str">
        <f>IF(Spotify[[#This Row],[Popularité]]&gt;=70,"FORTE","FAIBLE")</f>
        <v>FAIBLE</v>
      </c>
    </row>
    <row r="1178" spans="1:23" x14ac:dyDescent="0.25">
      <c r="A1178">
        <v>1492</v>
      </c>
      <c r="B1178">
        <v>72</v>
      </c>
      <c r="C1178">
        <v>1</v>
      </c>
      <c r="D1178" s="1">
        <v>43847</v>
      </c>
      <c r="E1178" s="59" t="str" cm="1">
        <f t="array" ref="E117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178" t="s">
        <v>2362</v>
      </c>
      <c r="G1178" s="3">
        <v>9328951</v>
      </c>
      <c r="H1178" t="s">
        <v>412</v>
      </c>
      <c r="I1178" s="4">
        <v>46814751</v>
      </c>
      <c r="J1178" t="s">
        <v>413</v>
      </c>
      <c r="K1178" s="1">
        <v>43847</v>
      </c>
      <c r="L1178">
        <v>64</v>
      </c>
      <c r="M1178" s="2" t="str">
        <f>IF(Spotify[[#This Row],[Energie]]&gt;AVERAGE(Spotify[Energie]),"FORTE","FAIBLE")</f>
        <v>FORTE</v>
      </c>
      <c r="N1178" s="2">
        <v>0.84799999999999998</v>
      </c>
      <c r="O1178" s="2">
        <v>0.745</v>
      </c>
      <c r="P1178" s="2">
        <v>0.221</v>
      </c>
      <c r="Q1178" s="2">
        <v>9.4899999999999998E-2</v>
      </c>
      <c r="R1178" s="2">
        <v>7.9600000000000004E-2</v>
      </c>
      <c r="S1178" s="2">
        <v>0.51600000000000001</v>
      </c>
      <c r="T1178" s="2">
        <v>-3.052</v>
      </c>
      <c r="U1178">
        <v>170227</v>
      </c>
      <c r="V1178">
        <f>YEAR(Spotify[[#This Row],[Date de sortie]])</f>
        <v>2020</v>
      </c>
      <c r="W1178" s="2" t="str">
        <f>IF(Spotify[[#This Row],[Popularité]]&gt;=70,"FORTE","FAIBLE")</f>
        <v>FAIBLE</v>
      </c>
    </row>
    <row r="1179" spans="1:23" x14ac:dyDescent="0.25">
      <c r="A1179">
        <v>1200</v>
      </c>
      <c r="B1179">
        <v>55</v>
      </c>
      <c r="C1179">
        <v>1</v>
      </c>
      <c r="D1179" s="1">
        <v>43952</v>
      </c>
      <c r="E1179" s="59" t="str" cm="1">
        <f t="array" ref="E117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179" t="s">
        <v>1970</v>
      </c>
      <c r="G1179" s="3">
        <v>9284383</v>
      </c>
      <c r="H1179" t="s">
        <v>179</v>
      </c>
      <c r="I1179" s="4">
        <v>56327031</v>
      </c>
      <c r="J1179" t="s">
        <v>155</v>
      </c>
      <c r="K1179" s="1">
        <v>43952</v>
      </c>
      <c r="L1179">
        <v>64</v>
      </c>
      <c r="M1179" s="2" t="str">
        <f>IF(Spotify[[#This Row],[Energie]]&gt;AVERAGE(Spotify[Energie]),"FORTE","FAIBLE")</f>
        <v>FAIBLE</v>
      </c>
      <c r="N1179" s="2">
        <v>0.45800000000000002</v>
      </c>
      <c r="O1179" s="2">
        <v>0.45200000000000001</v>
      </c>
      <c r="P1179" s="2">
        <v>4.7E-2</v>
      </c>
      <c r="Q1179" s="2">
        <v>0.34200000000000003</v>
      </c>
      <c r="R1179" s="2">
        <v>7.0300000000000001E-2</v>
      </c>
      <c r="S1179" s="2">
        <v>0.316</v>
      </c>
      <c r="T1179" s="2">
        <v>-9.2989999999999995</v>
      </c>
      <c r="U1179">
        <v>269680</v>
      </c>
      <c r="V1179">
        <f>YEAR(Spotify[[#This Row],[Date de sortie]])</f>
        <v>2020</v>
      </c>
      <c r="W1179" s="2" t="str">
        <f>IF(Spotify[[#This Row],[Popularité]]&gt;=70,"FORTE","FAIBLE")</f>
        <v>FAIBLE</v>
      </c>
    </row>
    <row r="1180" spans="1:23" x14ac:dyDescent="0.25">
      <c r="A1180">
        <v>1497</v>
      </c>
      <c r="B1180">
        <v>91</v>
      </c>
      <c r="C1180">
        <v>1</v>
      </c>
      <c r="D1180" s="1">
        <v>43847</v>
      </c>
      <c r="E1180" s="59" t="str" cm="1">
        <f t="array" ref="E118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180" t="s">
        <v>2367</v>
      </c>
      <c r="G1180" s="3">
        <v>8329349</v>
      </c>
      <c r="H1180" t="s">
        <v>2268</v>
      </c>
      <c r="I1180" s="4">
        <v>6189454</v>
      </c>
      <c r="J1180" t="s">
        <v>426</v>
      </c>
      <c r="K1180" s="1">
        <v>43847</v>
      </c>
      <c r="L1180">
        <v>64</v>
      </c>
      <c r="M1180" s="2" t="str">
        <f>IF(Spotify[[#This Row],[Energie]]&gt;AVERAGE(Spotify[Energie]),"FORTE","FAIBLE")</f>
        <v>FAIBLE</v>
      </c>
      <c r="N1180" s="2">
        <v>0.77900000000000003</v>
      </c>
      <c r="O1180" s="2">
        <v>0.36199999999999999</v>
      </c>
      <c r="P1180" s="2">
        <v>4.7399999999999998E-2</v>
      </c>
      <c r="Q1180" s="2">
        <v>0.13500000000000001</v>
      </c>
      <c r="R1180" s="2">
        <v>0.111</v>
      </c>
      <c r="S1180" s="2">
        <v>0.46</v>
      </c>
      <c r="T1180" s="2">
        <v>-10.847</v>
      </c>
      <c r="U1180">
        <v>286387</v>
      </c>
      <c r="V1180">
        <f>YEAR(Spotify[[#This Row],[Date de sortie]])</f>
        <v>2020</v>
      </c>
      <c r="W1180" s="2" t="str">
        <f>IF(Spotify[[#This Row],[Popularité]]&gt;=70,"FORTE","FAIBLE")</f>
        <v>FAIBLE</v>
      </c>
    </row>
    <row r="1181" spans="1:23" x14ac:dyDescent="0.25">
      <c r="A1181">
        <v>993</v>
      </c>
      <c r="B1181">
        <v>82</v>
      </c>
      <c r="C1181">
        <v>1</v>
      </c>
      <c r="D1181" s="1">
        <v>44036</v>
      </c>
      <c r="E1181" s="59" t="str" cm="1">
        <f t="array" ref="E118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181" t="s">
        <v>1676</v>
      </c>
      <c r="G1181" s="3">
        <v>8293983</v>
      </c>
      <c r="H1181" t="s">
        <v>552</v>
      </c>
      <c r="I1181" s="4">
        <v>14103694</v>
      </c>
      <c r="J1181" t="s">
        <v>553</v>
      </c>
      <c r="K1181" s="1">
        <v>44034</v>
      </c>
      <c r="L1181">
        <v>64</v>
      </c>
      <c r="M1181" s="2" t="str">
        <f>IF(Spotify[[#This Row],[Energie]]&gt;AVERAGE(Spotify[Energie]),"FORTE","FAIBLE")</f>
        <v>FORTE</v>
      </c>
      <c r="N1181" s="2">
        <v>0.73199999999999998</v>
      </c>
      <c r="O1181" s="2">
        <v>0.66300000000000003</v>
      </c>
      <c r="P1181" s="2">
        <v>0.192</v>
      </c>
      <c r="Q1181" s="2">
        <v>8.1900000000000001E-2</v>
      </c>
      <c r="R1181" s="2">
        <v>0.115</v>
      </c>
      <c r="S1181" s="2">
        <v>0.22700000000000001</v>
      </c>
      <c r="T1181" s="2">
        <v>-7.6159999999999997</v>
      </c>
      <c r="U1181">
        <v>210587</v>
      </c>
      <c r="V1181">
        <f>YEAR(Spotify[[#This Row],[Date de sortie]])</f>
        <v>2020</v>
      </c>
      <c r="W1181" s="2" t="str">
        <f>IF(Spotify[[#This Row],[Popularité]]&gt;=70,"FORTE","FAIBLE")</f>
        <v>FAIBLE</v>
      </c>
    </row>
    <row r="1182" spans="1:23" x14ac:dyDescent="0.25">
      <c r="A1182">
        <v>854</v>
      </c>
      <c r="B1182">
        <v>77</v>
      </c>
      <c r="C1182">
        <v>1</v>
      </c>
      <c r="D1182" s="1">
        <v>44106</v>
      </c>
      <c r="E1182" s="59" t="str" cm="1">
        <f t="array" ref="E118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182" t="s">
        <v>1472</v>
      </c>
      <c r="G1182" s="3">
        <v>8243488</v>
      </c>
      <c r="H1182" t="s">
        <v>1320</v>
      </c>
      <c r="I1182" s="4">
        <v>9949044</v>
      </c>
      <c r="J1182" t="s">
        <v>531</v>
      </c>
      <c r="K1182" s="1">
        <v>44106</v>
      </c>
      <c r="L1182">
        <v>64</v>
      </c>
      <c r="M1182" s="2" t="str">
        <f>IF(Spotify[[#This Row],[Energie]]&gt;AVERAGE(Spotify[Energie]),"FORTE","FAIBLE")</f>
        <v>FORTE</v>
      </c>
      <c r="N1182" s="2">
        <v>0.77400000000000002</v>
      </c>
      <c r="O1182" s="2">
        <v>0.70599999999999996</v>
      </c>
      <c r="P1182" s="2">
        <v>0.35499999999999998</v>
      </c>
      <c r="Q1182" s="2">
        <v>1.6299999999999999E-3</v>
      </c>
      <c r="R1182" s="2">
        <v>0.104</v>
      </c>
      <c r="S1182" s="2">
        <v>0.38200000000000001</v>
      </c>
      <c r="T1182" s="2">
        <v>-6.4939999999999998</v>
      </c>
      <c r="U1182">
        <v>185037</v>
      </c>
      <c r="V1182">
        <f>YEAR(Spotify[[#This Row],[Date de sortie]])</f>
        <v>2020</v>
      </c>
      <c r="W1182" s="2" t="str">
        <f>IF(Spotify[[#This Row],[Popularité]]&gt;=70,"FORTE","FAIBLE")</f>
        <v>FAIBLE</v>
      </c>
    </row>
    <row r="1183" spans="1:23" x14ac:dyDescent="0.25">
      <c r="A1183">
        <v>1204</v>
      </c>
      <c r="B1183">
        <v>73</v>
      </c>
      <c r="C1183">
        <v>1</v>
      </c>
      <c r="D1183" s="1">
        <v>43952</v>
      </c>
      <c r="E1183" s="59" t="str" cm="1">
        <f t="array" ref="E118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183" t="s">
        <v>1974</v>
      </c>
      <c r="G1183" s="3">
        <v>7821869</v>
      </c>
      <c r="H1183" t="s">
        <v>179</v>
      </c>
      <c r="I1183" s="4">
        <v>56327031</v>
      </c>
      <c r="J1183" t="s">
        <v>155</v>
      </c>
      <c r="K1183" s="1">
        <v>43952</v>
      </c>
      <c r="L1183">
        <v>64</v>
      </c>
      <c r="M1183" s="2" t="str">
        <f>IF(Spotify[[#This Row],[Energie]]&gt;AVERAGE(Spotify[Energie]),"FORTE","FAIBLE")</f>
        <v>FORTE</v>
      </c>
      <c r="N1183" s="2">
        <v>0.749</v>
      </c>
      <c r="O1183" s="2">
        <v>0.79200000000000004</v>
      </c>
      <c r="P1183" s="2">
        <v>8.2600000000000007E-2</v>
      </c>
      <c r="Q1183" s="2">
        <v>0.29199999999999998</v>
      </c>
      <c r="R1183" s="2">
        <v>0.109</v>
      </c>
      <c r="S1183" s="2">
        <v>0.23899999999999999</v>
      </c>
      <c r="T1183" s="2">
        <v>-4.1509999999999998</v>
      </c>
      <c r="U1183">
        <v>180000</v>
      </c>
      <c r="V1183">
        <f>YEAR(Spotify[[#This Row],[Date de sortie]])</f>
        <v>2020</v>
      </c>
      <c r="W1183" s="2" t="str">
        <f>IF(Spotify[[#This Row],[Popularité]]&gt;=70,"FORTE","FAIBLE")</f>
        <v>FAIBLE</v>
      </c>
    </row>
    <row r="1184" spans="1:23" x14ac:dyDescent="0.25">
      <c r="A1184">
        <v>1281</v>
      </c>
      <c r="B1184">
        <v>87</v>
      </c>
      <c r="C1184">
        <v>1</v>
      </c>
      <c r="D1184" s="1">
        <v>43910</v>
      </c>
      <c r="E1184" s="59" t="str" cm="1">
        <f t="array" ref="E118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84" t="s">
        <v>2079</v>
      </c>
      <c r="G1184" s="3">
        <v>7564893</v>
      </c>
      <c r="H1184" t="s">
        <v>852</v>
      </c>
      <c r="I1184" s="4">
        <v>29067437</v>
      </c>
      <c r="J1184" t="s">
        <v>25</v>
      </c>
      <c r="K1184" s="1">
        <v>43909</v>
      </c>
      <c r="L1184">
        <v>64</v>
      </c>
      <c r="M1184" s="2" t="str">
        <f>IF(Spotify[[#This Row],[Energie]]&gt;AVERAGE(Spotify[Energie]),"FORTE","FAIBLE")</f>
        <v>FAIBLE</v>
      </c>
      <c r="N1184" s="2">
        <v>0.65100000000000002</v>
      </c>
      <c r="O1184" s="2">
        <v>0.56100000000000005</v>
      </c>
      <c r="P1184" s="2">
        <v>0.25</v>
      </c>
      <c r="Q1184" s="2">
        <v>0.25</v>
      </c>
      <c r="R1184" s="2">
        <v>0.435</v>
      </c>
      <c r="S1184" s="2">
        <v>0.36899999999999999</v>
      </c>
      <c r="T1184" s="2">
        <v>-5.7149999999999999</v>
      </c>
      <c r="U1184">
        <v>189827</v>
      </c>
      <c r="V1184">
        <f>YEAR(Spotify[[#This Row],[Date de sortie]])</f>
        <v>2020</v>
      </c>
      <c r="W1184" s="2" t="str">
        <f>IF(Spotify[[#This Row],[Popularité]]&gt;=70,"FORTE","FAIBLE")</f>
        <v>FAIBLE</v>
      </c>
    </row>
    <row r="1185" spans="1:23" x14ac:dyDescent="0.25">
      <c r="A1185">
        <v>1205</v>
      </c>
      <c r="B1185">
        <v>84</v>
      </c>
      <c r="C1185">
        <v>1</v>
      </c>
      <c r="D1185" s="1">
        <v>43952</v>
      </c>
      <c r="E1185" s="59" t="str" cm="1">
        <f t="array" ref="E118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185" t="s">
        <v>1975</v>
      </c>
      <c r="G1185" s="3">
        <v>7216610</v>
      </c>
      <c r="H1185" t="s">
        <v>179</v>
      </c>
      <c r="I1185" s="4">
        <v>56327031</v>
      </c>
      <c r="J1185" t="s">
        <v>155</v>
      </c>
      <c r="K1185" s="1">
        <v>43952</v>
      </c>
      <c r="L1185">
        <v>64</v>
      </c>
      <c r="M1185" s="2" t="str">
        <f>IF(Spotify[[#This Row],[Energie]]&gt;AVERAGE(Spotify[Energie]),"FORTE","FAIBLE")</f>
        <v>FAIBLE</v>
      </c>
      <c r="N1185" s="2">
        <v>0.78700000000000003</v>
      </c>
      <c r="O1185" s="2">
        <v>0.47699999999999998</v>
      </c>
      <c r="P1185" s="2">
        <v>0.19900000000000001</v>
      </c>
      <c r="Q1185" s="2">
        <v>0.76800000000000002</v>
      </c>
      <c r="R1185" s="2">
        <v>0.104</v>
      </c>
      <c r="S1185" s="2">
        <v>0.47599999999999998</v>
      </c>
      <c r="T1185" s="2">
        <v>-7.8369999999999997</v>
      </c>
      <c r="U1185">
        <v>234783</v>
      </c>
      <c r="V1185">
        <f>YEAR(Spotify[[#This Row],[Date de sortie]])</f>
        <v>2020</v>
      </c>
      <c r="W1185" s="2" t="str">
        <f>IF(Spotify[[#This Row],[Popularité]]&gt;=70,"FORTE","FAIBLE")</f>
        <v>FAIBLE</v>
      </c>
    </row>
    <row r="1186" spans="1:23" x14ac:dyDescent="0.25">
      <c r="A1186">
        <v>1263</v>
      </c>
      <c r="B1186">
        <v>92</v>
      </c>
      <c r="C1186">
        <v>1</v>
      </c>
      <c r="D1186" s="1">
        <v>43917</v>
      </c>
      <c r="E1186" s="59" t="str" cm="1">
        <f t="array" ref="E118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86" t="s">
        <v>2056</v>
      </c>
      <c r="G1186" s="3">
        <v>6802068</v>
      </c>
      <c r="H1186" t="s">
        <v>28</v>
      </c>
      <c r="I1186" s="4">
        <v>27167675</v>
      </c>
      <c r="J1186" t="s">
        <v>19</v>
      </c>
      <c r="K1186" s="1">
        <v>44238</v>
      </c>
      <c r="L1186">
        <v>64</v>
      </c>
      <c r="M1186" s="2" t="str">
        <f>IF(Spotify[[#This Row],[Energie]]&gt;AVERAGE(Spotify[Energie]),"FORTE","FAIBLE")</f>
        <v>FORTE</v>
      </c>
      <c r="N1186" s="2">
        <v>0.68</v>
      </c>
      <c r="O1186" s="2">
        <v>0.70099999999999996</v>
      </c>
      <c r="P1186" s="2">
        <v>9.1700000000000004E-2</v>
      </c>
      <c r="Q1186" s="2">
        <v>0.13800000000000001</v>
      </c>
      <c r="R1186" s="2">
        <v>0.16800000000000001</v>
      </c>
      <c r="S1186" s="2">
        <v>0.64900000000000002</v>
      </c>
      <c r="T1186" s="2">
        <v>-5.0010000000000003</v>
      </c>
      <c r="U1186">
        <v>218754</v>
      </c>
      <c r="V1186">
        <f>YEAR(Spotify[[#This Row],[Date de sortie]])</f>
        <v>2021</v>
      </c>
      <c r="W1186" s="2" t="str">
        <f>IF(Spotify[[#This Row],[Popularité]]&gt;=70,"FORTE","FAIBLE")</f>
        <v>FAIBLE</v>
      </c>
    </row>
    <row r="1187" spans="1:23" x14ac:dyDescent="0.25">
      <c r="A1187">
        <v>717</v>
      </c>
      <c r="B1187">
        <v>138</v>
      </c>
      <c r="C1187">
        <v>1</v>
      </c>
      <c r="D1187" s="1">
        <v>44169</v>
      </c>
      <c r="E1187" s="59" t="str" cm="1">
        <f t="array" ref="E118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87" t="s">
        <v>1259</v>
      </c>
      <c r="G1187" s="3">
        <v>6653913</v>
      </c>
      <c r="H1187" t="s">
        <v>41</v>
      </c>
      <c r="I1187" s="4">
        <v>35340069</v>
      </c>
      <c r="J1187" t="s">
        <v>42</v>
      </c>
      <c r="K1187" s="1">
        <v>44169</v>
      </c>
      <c r="L1187">
        <v>64</v>
      </c>
      <c r="M1187" s="2" t="str">
        <f>IF(Spotify[[#This Row],[Energie]]&gt;AVERAGE(Spotify[Energie]),"FORTE","FAIBLE")</f>
        <v>FORTE</v>
      </c>
      <c r="N1187" s="2">
        <v>0.49</v>
      </c>
      <c r="O1187" s="2">
        <v>0.69399999999999995</v>
      </c>
      <c r="P1187" s="2">
        <v>6.1800000000000001E-2</v>
      </c>
      <c r="Q1187" s="2">
        <v>1.3299999999999999E-2</v>
      </c>
      <c r="R1187" s="2">
        <v>9.4600000000000004E-2</v>
      </c>
      <c r="S1187" s="2">
        <v>0.249</v>
      </c>
      <c r="T1187" s="2">
        <v>-5.7930000000000001</v>
      </c>
      <c r="U1187">
        <v>216123</v>
      </c>
      <c r="V1187">
        <f>YEAR(Spotify[[#This Row],[Date de sortie]])</f>
        <v>2020</v>
      </c>
      <c r="W1187" s="2" t="str">
        <f>IF(Spotify[[#This Row],[Popularité]]&gt;=70,"FORTE","FAIBLE")</f>
        <v>FAIBLE</v>
      </c>
    </row>
    <row r="1188" spans="1:23" x14ac:dyDescent="0.25">
      <c r="A1188">
        <v>438</v>
      </c>
      <c r="B1188">
        <v>119</v>
      </c>
      <c r="C1188">
        <v>1</v>
      </c>
      <c r="D1188" s="1">
        <v>44295</v>
      </c>
      <c r="E1188" s="59" t="str" cm="1">
        <f t="array" ref="E118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88" t="s">
        <v>805</v>
      </c>
      <c r="G1188" s="3">
        <v>6508683</v>
      </c>
      <c r="H1188" t="s">
        <v>746</v>
      </c>
      <c r="I1188" s="4">
        <v>42227614</v>
      </c>
      <c r="J1188" t="s">
        <v>10</v>
      </c>
      <c r="K1188" s="1">
        <v>44295</v>
      </c>
      <c r="L1188">
        <v>64</v>
      </c>
      <c r="M1188" s="2" t="str">
        <f>IF(Spotify[[#This Row],[Energie]]&gt;AVERAGE(Spotify[Energie]),"FORTE","FAIBLE")</f>
        <v>FAIBLE</v>
      </c>
      <c r="N1188" s="2">
        <v>0.50600000000000001</v>
      </c>
      <c r="O1188" s="2">
        <v>0.626</v>
      </c>
      <c r="P1188" s="2">
        <v>2.87E-2</v>
      </c>
      <c r="Q1188" s="2">
        <v>0.156</v>
      </c>
      <c r="R1188" s="2">
        <v>0.22800000000000001</v>
      </c>
      <c r="S1188" s="2">
        <v>0.32100000000000001</v>
      </c>
      <c r="T1188" s="2">
        <v>-6.0659999999999998</v>
      </c>
      <c r="U1188">
        <v>263377</v>
      </c>
      <c r="V1188">
        <f>YEAR(Spotify[[#This Row],[Date de sortie]])</f>
        <v>2021</v>
      </c>
      <c r="W1188" s="2" t="str">
        <f>IF(Spotify[[#This Row],[Popularité]]&gt;=70,"FORTE","FAIBLE")</f>
        <v>FAIBLE</v>
      </c>
    </row>
    <row r="1189" spans="1:23" x14ac:dyDescent="0.25">
      <c r="A1189">
        <v>490</v>
      </c>
      <c r="B1189">
        <v>109</v>
      </c>
      <c r="C1189">
        <v>1</v>
      </c>
      <c r="D1189" s="1">
        <v>44267</v>
      </c>
      <c r="E1189" s="59" t="str" cm="1">
        <f t="array" ref="E118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89" t="s">
        <v>891</v>
      </c>
      <c r="G1189" s="3">
        <v>6426522</v>
      </c>
      <c r="H1189" t="s">
        <v>454</v>
      </c>
      <c r="I1189" s="4">
        <v>28931149</v>
      </c>
      <c r="J1189" t="s">
        <v>19</v>
      </c>
      <c r="K1189" s="1">
        <v>44267</v>
      </c>
      <c r="L1189">
        <v>64</v>
      </c>
      <c r="M1189" s="2" t="str">
        <f>IF(Spotify[[#This Row],[Energie]]&gt;AVERAGE(Spotify[Energie]),"FORTE","FAIBLE")</f>
        <v>FORTE</v>
      </c>
      <c r="N1189" s="2">
        <v>0.78700000000000003</v>
      </c>
      <c r="O1189" s="2">
        <v>0.64100000000000001</v>
      </c>
      <c r="P1189" s="2">
        <v>0.315</v>
      </c>
      <c r="Q1189" s="2">
        <v>0.10100000000000001</v>
      </c>
      <c r="R1189" s="2">
        <v>7.0000000000000007E-2</v>
      </c>
      <c r="S1189" s="2">
        <v>0.437</v>
      </c>
      <c r="T1189" s="2">
        <v>-7.3760000000000003</v>
      </c>
      <c r="U1189">
        <v>184134</v>
      </c>
      <c r="V1189">
        <f>YEAR(Spotify[[#This Row],[Date de sortie]])</f>
        <v>2021</v>
      </c>
      <c r="W1189" s="2" t="str">
        <f>IF(Spotify[[#This Row],[Popularité]]&gt;=70,"FORTE","FAIBLE")</f>
        <v>FAIBLE</v>
      </c>
    </row>
    <row r="1190" spans="1:23" x14ac:dyDescent="0.25">
      <c r="A1190">
        <v>1339</v>
      </c>
      <c r="B1190">
        <v>34</v>
      </c>
      <c r="C1190">
        <v>3</v>
      </c>
      <c r="D1190" s="1">
        <v>43882</v>
      </c>
      <c r="E1190" s="59" t="str" cm="1">
        <f t="array" ref="E119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90" t="s">
        <v>2154</v>
      </c>
      <c r="G1190" s="3">
        <v>6219276</v>
      </c>
      <c r="H1190" t="s">
        <v>32</v>
      </c>
      <c r="I1190" s="4">
        <v>37151476</v>
      </c>
      <c r="J1190" t="s">
        <v>33</v>
      </c>
      <c r="K1190" s="1">
        <v>43882</v>
      </c>
      <c r="L1190">
        <v>64</v>
      </c>
      <c r="M1190" s="2" t="str">
        <f>IF(Spotify[[#This Row],[Energie]]&gt;AVERAGE(Spotify[Energie]),"FORTE","FAIBLE")</f>
        <v>FORTE</v>
      </c>
      <c r="N1190" s="2">
        <v>0.59099999999999997</v>
      </c>
      <c r="O1190" s="2">
        <v>0.84799999999999998</v>
      </c>
      <c r="P1190" s="2">
        <v>8.2799999999999999E-2</v>
      </c>
      <c r="Q1190" s="2">
        <v>0.13700000000000001</v>
      </c>
      <c r="R1190" s="2">
        <v>0.372</v>
      </c>
      <c r="S1190" s="2">
        <v>0.38600000000000001</v>
      </c>
      <c r="T1190" s="2">
        <v>-4.3970000000000002</v>
      </c>
      <c r="U1190">
        <v>246816</v>
      </c>
      <c r="V1190">
        <f>YEAR(Spotify[[#This Row],[Date de sortie]])</f>
        <v>2020</v>
      </c>
      <c r="W1190" s="2" t="str">
        <f>IF(Spotify[[#This Row],[Popularité]]&gt;=70,"FORTE","FAIBLE")</f>
        <v>FAIBLE</v>
      </c>
    </row>
    <row r="1191" spans="1:23" x14ac:dyDescent="0.25">
      <c r="A1191">
        <v>1101</v>
      </c>
      <c r="B1191">
        <v>97</v>
      </c>
      <c r="C1191">
        <v>1</v>
      </c>
      <c r="D1191" s="1">
        <v>43994</v>
      </c>
      <c r="E1191" s="59" t="str" cm="1">
        <f t="array" ref="E119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91" t="s">
        <v>1829</v>
      </c>
      <c r="G1191" s="3">
        <v>6042929</v>
      </c>
      <c r="H1191" t="s">
        <v>1830</v>
      </c>
      <c r="I1191" s="4">
        <v>6852509</v>
      </c>
      <c r="J1191" t="s">
        <v>158</v>
      </c>
      <c r="K1191" s="1">
        <v>43994</v>
      </c>
      <c r="L1191">
        <v>64</v>
      </c>
      <c r="M1191" s="2" t="str">
        <f>IF(Spotify[[#This Row],[Energie]]&gt;AVERAGE(Spotify[Energie]),"FORTE","FAIBLE")</f>
        <v>FORTE</v>
      </c>
      <c r="N1191" s="2">
        <v>0.54</v>
      </c>
      <c r="O1191" s="2">
        <v>0.77</v>
      </c>
      <c r="P1191" s="2">
        <v>0.38900000000000001</v>
      </c>
      <c r="Q1191" s="2">
        <v>0.19400000000000001</v>
      </c>
      <c r="R1191" s="2">
        <v>0.372</v>
      </c>
      <c r="S1191" s="2">
        <v>0.56499999999999995</v>
      </c>
      <c r="T1191" s="2">
        <v>-3.9809999999999999</v>
      </c>
      <c r="U1191">
        <v>204000</v>
      </c>
      <c r="V1191">
        <f>YEAR(Spotify[[#This Row],[Date de sortie]])</f>
        <v>2020</v>
      </c>
      <c r="W1191" s="2" t="str">
        <f>IF(Spotify[[#This Row],[Popularité]]&gt;=70,"FORTE","FAIBLE")</f>
        <v>FAIBLE</v>
      </c>
    </row>
    <row r="1192" spans="1:23" x14ac:dyDescent="0.25">
      <c r="A1192">
        <v>442</v>
      </c>
      <c r="B1192">
        <v>148</v>
      </c>
      <c r="C1192">
        <v>1</v>
      </c>
      <c r="D1192" s="1">
        <v>44295</v>
      </c>
      <c r="E1192" s="59" t="str" cm="1">
        <f t="array" ref="E119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92" t="s">
        <v>809</v>
      </c>
      <c r="G1192" s="3">
        <v>5860405</v>
      </c>
      <c r="H1192" t="s">
        <v>746</v>
      </c>
      <c r="I1192" s="4">
        <v>42227614</v>
      </c>
      <c r="J1192" t="s">
        <v>10</v>
      </c>
      <c r="K1192" s="1">
        <v>44295</v>
      </c>
      <c r="L1192">
        <v>64</v>
      </c>
      <c r="M1192" s="2" t="str">
        <f>IF(Spotify[[#This Row],[Energie]]&gt;AVERAGE(Spotify[Energie]),"FORTE","FAIBLE")</f>
        <v>FAIBLE</v>
      </c>
      <c r="N1192" s="2">
        <v>0.50600000000000001</v>
      </c>
      <c r="O1192" s="2">
        <v>0.44400000000000001</v>
      </c>
      <c r="P1192" s="2">
        <v>2.8500000000000001E-2</v>
      </c>
      <c r="Q1192" s="2">
        <v>5.3800000000000001E-2</v>
      </c>
      <c r="R1192" s="2">
        <v>0.123</v>
      </c>
      <c r="S1192" s="2">
        <v>0.24099999999999999</v>
      </c>
      <c r="T1192" s="2">
        <v>-4.99</v>
      </c>
      <c r="U1192">
        <v>261843</v>
      </c>
      <c r="V1192">
        <f>YEAR(Spotify[[#This Row],[Date de sortie]])</f>
        <v>2021</v>
      </c>
      <c r="W1192" s="2" t="str">
        <f>IF(Spotify[[#This Row],[Popularité]]&gt;=70,"FORTE","FAIBLE")</f>
        <v>FAIBLE</v>
      </c>
    </row>
    <row r="1193" spans="1:23" x14ac:dyDescent="0.25">
      <c r="A1193">
        <v>1183</v>
      </c>
      <c r="B1193">
        <v>116</v>
      </c>
      <c r="C1193">
        <v>1</v>
      </c>
      <c r="D1193" s="1">
        <v>43959</v>
      </c>
      <c r="E1193" s="59" t="str" cm="1">
        <f t="array" ref="E119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93" t="s">
        <v>1946</v>
      </c>
      <c r="G1193" s="3">
        <v>5784075</v>
      </c>
      <c r="H1193" t="s">
        <v>24</v>
      </c>
      <c r="I1193" s="4">
        <v>36177712</v>
      </c>
      <c r="J1193" t="s">
        <v>25</v>
      </c>
      <c r="K1193" s="1">
        <v>43961</v>
      </c>
      <c r="L1193">
        <v>64</v>
      </c>
      <c r="M1193" s="2" t="str">
        <f>IF(Spotify[[#This Row],[Energie]]&gt;AVERAGE(Spotify[Energie]),"FORTE","FAIBLE")</f>
        <v>FORTE</v>
      </c>
      <c r="N1193" s="2">
        <v>0.85599999999999998</v>
      </c>
      <c r="O1193" s="2">
        <v>0.65600000000000003</v>
      </c>
      <c r="P1193" s="2">
        <v>0.13100000000000001</v>
      </c>
      <c r="Q1193" s="2">
        <v>0.16500000000000001</v>
      </c>
      <c r="R1193" s="2">
        <v>9.98E-2</v>
      </c>
      <c r="S1193" s="2">
        <v>0.58599999999999997</v>
      </c>
      <c r="T1193" s="2">
        <v>-6.4829999999999997</v>
      </c>
      <c r="U1193">
        <v>150060</v>
      </c>
      <c r="V1193">
        <f>YEAR(Spotify[[#This Row],[Date de sortie]])</f>
        <v>2020</v>
      </c>
      <c r="W1193" s="2" t="str">
        <f>IF(Spotify[[#This Row],[Popularité]]&gt;=70,"FORTE","FAIBLE")</f>
        <v>FAIBLE</v>
      </c>
    </row>
    <row r="1194" spans="1:23" x14ac:dyDescent="0.25">
      <c r="A1194">
        <v>1219</v>
      </c>
      <c r="B1194">
        <v>112</v>
      </c>
      <c r="C1194">
        <v>1</v>
      </c>
      <c r="D1194" s="1">
        <v>43945</v>
      </c>
      <c r="E1194" s="59" t="str" cm="1">
        <f t="array" ref="E119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194" t="s">
        <v>1994</v>
      </c>
      <c r="G1194" s="3">
        <v>5750861</v>
      </c>
      <c r="H1194" t="s">
        <v>496</v>
      </c>
      <c r="I1194" s="4">
        <v>559215</v>
      </c>
      <c r="J1194" t="s">
        <v>497</v>
      </c>
      <c r="K1194" s="1">
        <v>43944</v>
      </c>
      <c r="L1194">
        <v>64</v>
      </c>
      <c r="M1194" s="2" t="str">
        <f>IF(Spotify[[#This Row],[Energie]]&gt;AVERAGE(Spotify[Energie]),"FORTE","FAIBLE")</f>
        <v>FAIBLE</v>
      </c>
      <c r="N1194" s="2">
        <v>0.8</v>
      </c>
      <c r="O1194" s="2">
        <v>0.628</v>
      </c>
      <c r="P1194" s="2">
        <v>0.28499999999999998</v>
      </c>
      <c r="Q1194" s="2">
        <v>0.10299999999999999</v>
      </c>
      <c r="R1194" s="2">
        <v>0.39100000000000001</v>
      </c>
      <c r="S1194" s="2">
        <v>0.745</v>
      </c>
      <c r="T1194" s="2">
        <v>-6.6150000000000002</v>
      </c>
      <c r="U1194">
        <v>141387</v>
      </c>
      <c r="V1194">
        <f>YEAR(Spotify[[#This Row],[Date de sortie]])</f>
        <v>2020</v>
      </c>
      <c r="W1194" s="2" t="str">
        <f>IF(Spotify[[#This Row],[Popularité]]&gt;=70,"FORTE","FAIBLE")</f>
        <v>FAIBLE</v>
      </c>
    </row>
    <row r="1195" spans="1:23" x14ac:dyDescent="0.25">
      <c r="A1195">
        <v>1034</v>
      </c>
      <c r="B1195">
        <v>57</v>
      </c>
      <c r="C1195">
        <v>3</v>
      </c>
      <c r="D1195" s="1">
        <v>44015</v>
      </c>
      <c r="E1195" s="59" t="str" cm="1">
        <f t="array" ref="E119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195" t="s">
        <v>1734</v>
      </c>
      <c r="G1195" s="3">
        <v>5586085</v>
      </c>
      <c r="H1195" t="s">
        <v>1735</v>
      </c>
      <c r="I1195" s="4">
        <v>14624703</v>
      </c>
      <c r="J1195" t="s">
        <v>79</v>
      </c>
      <c r="K1195" s="1">
        <v>44012</v>
      </c>
      <c r="L1195">
        <v>64</v>
      </c>
      <c r="M1195" s="2" t="str">
        <f>IF(Spotify[[#This Row],[Energie]]&gt;AVERAGE(Spotify[Energie]),"FORTE","FAIBLE")</f>
        <v>FORTE</v>
      </c>
      <c r="N1195" s="2">
        <v>0.67</v>
      </c>
      <c r="O1195" s="2">
        <v>0.84699999999999998</v>
      </c>
      <c r="P1195" s="2">
        <v>0.40899999999999997</v>
      </c>
      <c r="Q1195" s="2">
        <v>0.184</v>
      </c>
      <c r="R1195" s="2">
        <v>0.30399999999999999</v>
      </c>
      <c r="S1195" s="2">
        <v>0.38100000000000001</v>
      </c>
      <c r="T1195" s="2">
        <v>-4.8499999999999996</v>
      </c>
      <c r="U1195">
        <v>189827</v>
      </c>
      <c r="V1195">
        <f>YEAR(Spotify[[#This Row],[Date de sortie]])</f>
        <v>2020</v>
      </c>
      <c r="W1195" s="2" t="str">
        <f>IF(Spotify[[#This Row],[Popularité]]&gt;=70,"FORTE","FAIBLE")</f>
        <v>FAIBLE</v>
      </c>
    </row>
    <row r="1196" spans="1:23" x14ac:dyDescent="0.25">
      <c r="A1196">
        <v>1478</v>
      </c>
      <c r="B1196">
        <v>44</v>
      </c>
      <c r="C1196">
        <v>2</v>
      </c>
      <c r="D1196" s="1">
        <v>43847</v>
      </c>
      <c r="E1196" s="59" t="str" cm="1">
        <f t="array" ref="E119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196" t="s">
        <v>2345</v>
      </c>
      <c r="G1196" s="3">
        <v>5466161</v>
      </c>
      <c r="H1196" t="s">
        <v>412</v>
      </c>
      <c r="I1196" s="4">
        <v>46814751</v>
      </c>
      <c r="J1196" t="s">
        <v>413</v>
      </c>
      <c r="K1196" s="1">
        <v>43847</v>
      </c>
      <c r="L1196">
        <v>64</v>
      </c>
      <c r="M1196" s="2" t="str">
        <f>IF(Spotify[[#This Row],[Energie]]&gt;AVERAGE(Spotify[Energie]),"FORTE","FAIBLE")</f>
        <v>FORTE</v>
      </c>
      <c r="N1196" s="2">
        <v>0.66100000000000003</v>
      </c>
      <c r="O1196" s="2">
        <v>0.748</v>
      </c>
      <c r="P1196" s="2">
        <v>0.20599999999999999</v>
      </c>
      <c r="Q1196" s="2">
        <v>0.17499999999999999</v>
      </c>
      <c r="R1196" s="2">
        <v>0.254</v>
      </c>
      <c r="S1196" s="2">
        <v>0.50900000000000001</v>
      </c>
      <c r="T1196" s="2">
        <v>-4.8090000000000002</v>
      </c>
      <c r="U1196">
        <v>265947</v>
      </c>
      <c r="V1196">
        <f>YEAR(Spotify[[#This Row],[Date de sortie]])</f>
        <v>2020</v>
      </c>
      <c r="W1196" s="2" t="str">
        <f>IF(Spotify[[#This Row],[Popularité]]&gt;=70,"FORTE","FAIBLE")</f>
        <v>FAIBLE</v>
      </c>
    </row>
    <row r="1197" spans="1:23" x14ac:dyDescent="0.25">
      <c r="A1197">
        <v>1063</v>
      </c>
      <c r="B1197">
        <v>123</v>
      </c>
      <c r="C1197">
        <v>1</v>
      </c>
      <c r="D1197" s="1">
        <v>44008</v>
      </c>
      <c r="E1197" s="59" t="str" cm="1">
        <f t="array" ref="E119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197" t="s">
        <v>1774</v>
      </c>
      <c r="G1197" s="3">
        <v>5415994</v>
      </c>
      <c r="H1197" t="s">
        <v>1775</v>
      </c>
      <c r="I1197" s="4">
        <v>30683</v>
      </c>
      <c r="J1197" t="s">
        <v>206</v>
      </c>
      <c r="K1197" s="1">
        <v>44008</v>
      </c>
      <c r="L1197">
        <v>64</v>
      </c>
      <c r="M1197" s="2" t="str">
        <f>IF(Spotify[[#This Row],[Energie]]&gt;AVERAGE(Spotify[Energie]),"FORTE","FAIBLE")</f>
        <v>FAIBLE</v>
      </c>
      <c r="N1197" s="2">
        <v>0.79800000000000004</v>
      </c>
      <c r="O1197" s="2">
        <v>0.52700000000000002</v>
      </c>
      <c r="P1197" s="2">
        <v>4.4699999999999997E-2</v>
      </c>
      <c r="Q1197" s="2">
        <v>0.22700000000000001</v>
      </c>
      <c r="R1197" s="2">
        <v>0.108</v>
      </c>
      <c r="S1197" s="2">
        <v>0.54800000000000004</v>
      </c>
      <c r="T1197" s="2">
        <v>-7.6710000000000003</v>
      </c>
      <c r="U1197">
        <v>166173</v>
      </c>
      <c r="V1197">
        <f>YEAR(Spotify[[#This Row],[Date de sortie]])</f>
        <v>2020</v>
      </c>
      <c r="W1197" s="2" t="str">
        <f>IF(Spotify[[#This Row],[Popularité]]&gt;=70,"FORTE","FAIBLE")</f>
        <v>FAIBLE</v>
      </c>
    </row>
    <row r="1198" spans="1:23" x14ac:dyDescent="0.25">
      <c r="A1198">
        <v>1348</v>
      </c>
      <c r="B1198">
        <v>104</v>
      </c>
      <c r="C1198">
        <v>2</v>
      </c>
      <c r="D1198" s="1">
        <v>43889</v>
      </c>
      <c r="E1198" s="59" t="str" cm="1">
        <f t="array" ref="E119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198" t="s">
        <v>2165</v>
      </c>
      <c r="G1198" s="3">
        <v>5359969</v>
      </c>
      <c r="H1198" t="s">
        <v>2166</v>
      </c>
      <c r="I1198" s="4">
        <v>36177712</v>
      </c>
      <c r="J1198" t="s">
        <v>25</v>
      </c>
      <c r="K1198" s="1">
        <v>43890</v>
      </c>
      <c r="L1198">
        <v>64</v>
      </c>
      <c r="M1198" s="2" t="str">
        <f>IF(Spotify[[#This Row],[Energie]]&gt;AVERAGE(Spotify[Energie]),"FORTE","FAIBLE")</f>
        <v>FORTE</v>
      </c>
      <c r="N1198" s="2">
        <v>0.86699999999999999</v>
      </c>
      <c r="O1198" s="2">
        <v>0.68600000000000005</v>
      </c>
      <c r="P1198" s="2">
        <v>0.221</v>
      </c>
      <c r="Q1198" s="2">
        <v>0.311</v>
      </c>
      <c r="R1198" s="2">
        <v>0.1</v>
      </c>
      <c r="S1198" s="2">
        <v>0.65800000000000003</v>
      </c>
      <c r="T1198" s="2">
        <v>-5.3419999999999996</v>
      </c>
      <c r="U1198">
        <v>190207</v>
      </c>
      <c r="V1198">
        <f>YEAR(Spotify[[#This Row],[Date de sortie]])</f>
        <v>2020</v>
      </c>
      <c r="W1198" s="2" t="str">
        <f>IF(Spotify[[#This Row],[Popularité]]&gt;=70,"FORTE","FAIBLE")</f>
        <v>FAIBLE</v>
      </c>
    </row>
    <row r="1199" spans="1:23" x14ac:dyDescent="0.25">
      <c r="A1199">
        <v>446</v>
      </c>
      <c r="B1199">
        <v>195</v>
      </c>
      <c r="C1199">
        <v>1</v>
      </c>
      <c r="D1199" s="1">
        <v>44295</v>
      </c>
      <c r="E1199" s="59" t="str" cm="1">
        <f t="array" ref="E119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199" t="s">
        <v>815</v>
      </c>
      <c r="G1199" s="3">
        <v>5189423</v>
      </c>
      <c r="H1199" t="s">
        <v>746</v>
      </c>
      <c r="I1199" s="4">
        <v>42227614</v>
      </c>
      <c r="J1199" t="s">
        <v>10</v>
      </c>
      <c r="K1199" s="1">
        <v>44295</v>
      </c>
      <c r="L1199">
        <v>64</v>
      </c>
      <c r="M1199" s="2" t="str">
        <f>IF(Spotify[[#This Row],[Energie]]&gt;AVERAGE(Spotify[Energie]),"FORTE","FAIBLE")</f>
        <v>FAIBLE</v>
      </c>
      <c r="N1199" s="2">
        <v>0.60899999999999999</v>
      </c>
      <c r="O1199" s="2">
        <v>0.373</v>
      </c>
      <c r="P1199" s="2">
        <v>2.63E-2</v>
      </c>
      <c r="Q1199" s="2">
        <v>0.84899999999999998</v>
      </c>
      <c r="R1199" s="2">
        <v>7.7899999999999997E-2</v>
      </c>
      <c r="S1199" s="2">
        <v>0.13</v>
      </c>
      <c r="T1199" s="2">
        <v>-8.8190000000000008</v>
      </c>
      <c r="U1199">
        <v>244237</v>
      </c>
      <c r="V1199">
        <f>YEAR(Spotify[[#This Row],[Date de sortie]])</f>
        <v>2021</v>
      </c>
      <c r="W1199" s="2" t="str">
        <f>IF(Spotify[[#This Row],[Popularité]]&gt;=70,"FORTE","FAIBLE")</f>
        <v>FAIBLE</v>
      </c>
    </row>
    <row r="1200" spans="1:23" x14ac:dyDescent="0.25">
      <c r="A1200">
        <v>776</v>
      </c>
      <c r="B1200">
        <v>168</v>
      </c>
      <c r="C1200">
        <v>1</v>
      </c>
      <c r="D1200" s="1">
        <v>44148</v>
      </c>
      <c r="E1200" s="59" t="str" cm="1">
        <f t="array" ref="E120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00" t="s">
        <v>1350</v>
      </c>
      <c r="G1200" s="3">
        <v>5151014</v>
      </c>
      <c r="H1200" t="s">
        <v>1333</v>
      </c>
      <c r="I1200" s="4">
        <v>10491105</v>
      </c>
      <c r="J1200" t="s">
        <v>531</v>
      </c>
      <c r="K1200" s="1">
        <v>44148</v>
      </c>
      <c r="L1200">
        <v>64</v>
      </c>
      <c r="M1200" s="2" t="str">
        <f>IF(Spotify[[#This Row],[Energie]]&gt;AVERAGE(Spotify[Energie]),"FORTE","FAIBLE")</f>
        <v>FAIBLE</v>
      </c>
      <c r="N1200" s="2">
        <v>0.94</v>
      </c>
      <c r="O1200" s="2">
        <v>0.53200000000000003</v>
      </c>
      <c r="P1200" s="2">
        <v>0.35799999999999998</v>
      </c>
      <c r="Q1200" s="2">
        <v>0.12</v>
      </c>
      <c r="R1200" s="2">
        <v>9.2499999999999999E-2</v>
      </c>
      <c r="S1200" s="2">
        <v>0.59899999999999998</v>
      </c>
      <c r="T1200" s="2">
        <v>-5.9980000000000002</v>
      </c>
      <c r="U1200">
        <v>228796</v>
      </c>
      <c r="V1200">
        <f>YEAR(Spotify[[#This Row],[Date de sortie]])</f>
        <v>2020</v>
      </c>
      <c r="W1200" s="2" t="str">
        <f>IF(Spotify[[#This Row],[Popularité]]&gt;=70,"FORTE","FAIBLE")</f>
        <v>FAIBLE</v>
      </c>
    </row>
    <row r="1201" spans="1:23" x14ac:dyDescent="0.25">
      <c r="A1201">
        <v>1548</v>
      </c>
      <c r="B1201">
        <v>156</v>
      </c>
      <c r="C1201">
        <v>1</v>
      </c>
      <c r="D1201" s="1">
        <v>43826</v>
      </c>
      <c r="E1201" s="59" t="str" cm="1">
        <f t="array" ref="E120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201" t="s">
        <v>2431</v>
      </c>
      <c r="G1201" s="3">
        <v>5149797</v>
      </c>
      <c r="H1201" t="s">
        <v>2432</v>
      </c>
      <c r="I1201" s="4">
        <v>10741972</v>
      </c>
      <c r="J1201" t="s">
        <v>407</v>
      </c>
      <c r="K1201" s="1">
        <v>43789</v>
      </c>
      <c r="L1201">
        <v>64</v>
      </c>
      <c r="M1201" s="2" t="str">
        <f>IF(Spotify[[#This Row],[Energie]]&gt;AVERAGE(Spotify[Energie]),"FORTE","FAIBLE")</f>
        <v>FORTE</v>
      </c>
      <c r="N1201" s="2">
        <v>0.82599999999999996</v>
      </c>
      <c r="O1201" s="2">
        <v>0.73</v>
      </c>
      <c r="P1201" s="2">
        <v>8.09E-2</v>
      </c>
      <c r="Q1201" s="2">
        <v>0.38300000000000001</v>
      </c>
      <c r="R1201" s="2">
        <v>1.9699999999999999E-2</v>
      </c>
      <c r="S1201" s="2">
        <v>0.60499999999999998</v>
      </c>
      <c r="T1201" s="2">
        <v>-3.032</v>
      </c>
      <c r="U1201">
        <v>157600</v>
      </c>
      <c r="V1201">
        <f>YEAR(Spotify[[#This Row],[Date de sortie]])</f>
        <v>2019</v>
      </c>
      <c r="W1201" s="2" t="str">
        <f>IF(Spotify[[#This Row],[Popularité]]&gt;=70,"FORTE","FAIBLE")</f>
        <v>FAIBLE</v>
      </c>
    </row>
    <row r="1202" spans="1:23" x14ac:dyDescent="0.25">
      <c r="A1202">
        <v>914</v>
      </c>
      <c r="B1202">
        <v>157</v>
      </c>
      <c r="C1202">
        <v>1</v>
      </c>
      <c r="D1202" s="1">
        <v>44078</v>
      </c>
      <c r="E1202" s="59" t="str" cm="1">
        <f t="array" ref="E120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202" t="s">
        <v>1562</v>
      </c>
      <c r="G1202" s="3">
        <v>5117128</v>
      </c>
      <c r="H1202" t="s">
        <v>390</v>
      </c>
      <c r="I1202" s="4">
        <v>1255573</v>
      </c>
      <c r="J1202" t="s">
        <v>100</v>
      </c>
      <c r="K1202" s="1">
        <v>44071</v>
      </c>
      <c r="L1202">
        <v>64</v>
      </c>
      <c r="M1202" s="2" t="str">
        <f>IF(Spotify[[#This Row],[Energie]]&gt;AVERAGE(Spotify[Energie]),"FORTE","FAIBLE")</f>
        <v>FAIBLE</v>
      </c>
      <c r="N1202" s="2">
        <v>0.94799999999999995</v>
      </c>
      <c r="O1202" s="2">
        <v>0.63</v>
      </c>
      <c r="P1202" s="2">
        <v>0.219</v>
      </c>
      <c r="Q1202" s="2">
        <v>6.4700000000000001E-3</v>
      </c>
      <c r="R1202" s="2">
        <v>7.3700000000000002E-2</v>
      </c>
      <c r="S1202" s="2">
        <v>0.42499999999999999</v>
      </c>
      <c r="T1202" s="2">
        <v>-7.0110000000000001</v>
      </c>
      <c r="U1202">
        <v>253569</v>
      </c>
      <c r="V1202">
        <f>YEAR(Spotify[[#This Row],[Date de sortie]])</f>
        <v>2020</v>
      </c>
      <c r="W1202" s="2" t="str">
        <f>IF(Spotify[[#This Row],[Popularité]]&gt;=70,"FORTE","FAIBLE")</f>
        <v>FAIBLE</v>
      </c>
    </row>
    <row r="1203" spans="1:23" x14ac:dyDescent="0.25">
      <c r="A1203">
        <v>1395</v>
      </c>
      <c r="B1203">
        <v>155</v>
      </c>
      <c r="C1203">
        <v>4</v>
      </c>
      <c r="D1203" s="1">
        <v>43826</v>
      </c>
      <c r="E1203" s="59" t="str" cm="1">
        <f t="array" ref="E120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203" t="s">
        <v>2229</v>
      </c>
      <c r="G1203" s="3">
        <v>5013019</v>
      </c>
      <c r="H1203" t="s">
        <v>2230</v>
      </c>
      <c r="I1203" s="4">
        <v>1050520</v>
      </c>
      <c r="J1203" t="s">
        <v>407</v>
      </c>
      <c r="K1203" s="1">
        <v>43791</v>
      </c>
      <c r="L1203">
        <v>64</v>
      </c>
      <c r="M1203" s="2" t="str">
        <f>IF(Spotify[[#This Row],[Energie]]&gt;AVERAGE(Spotify[Energie]),"FORTE","FAIBLE")</f>
        <v>FORTE</v>
      </c>
      <c r="N1203" s="2">
        <v>0.68</v>
      </c>
      <c r="O1203" s="2">
        <v>0.86899999999999999</v>
      </c>
      <c r="P1203" s="2">
        <v>5.8900000000000001E-2</v>
      </c>
      <c r="Q1203" s="2">
        <v>0.17799999999999999</v>
      </c>
      <c r="R1203" s="2">
        <v>0.223</v>
      </c>
      <c r="S1203" s="2">
        <v>0.92400000000000004</v>
      </c>
      <c r="T1203" s="2">
        <v>-1.94</v>
      </c>
      <c r="U1203">
        <v>143448</v>
      </c>
      <c r="V1203">
        <f>YEAR(Spotify[[#This Row],[Date de sortie]])</f>
        <v>2019</v>
      </c>
      <c r="W1203" s="2" t="str">
        <f>IF(Spotify[[#This Row],[Popularité]]&gt;=70,"FORTE","FAIBLE")</f>
        <v>FAIBLE</v>
      </c>
    </row>
    <row r="1204" spans="1:23" x14ac:dyDescent="0.25">
      <c r="A1204">
        <v>1091</v>
      </c>
      <c r="B1204">
        <v>113</v>
      </c>
      <c r="C1204">
        <v>2</v>
      </c>
      <c r="D1204" s="1">
        <v>43994</v>
      </c>
      <c r="E1204" s="59" t="str" cm="1">
        <f t="array" ref="E120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204" t="s">
        <v>1812</v>
      </c>
      <c r="G1204" s="3">
        <v>4924714</v>
      </c>
      <c r="H1204" t="s">
        <v>1813</v>
      </c>
      <c r="I1204" s="4">
        <v>300500</v>
      </c>
      <c r="J1204" t="s">
        <v>550</v>
      </c>
      <c r="K1204" s="1">
        <v>43980</v>
      </c>
      <c r="L1204">
        <v>64</v>
      </c>
      <c r="M1204" s="2" t="str">
        <f>IF(Spotify[[#This Row],[Energie]]&gt;AVERAGE(Spotify[Energie]),"FORTE","FAIBLE")</f>
        <v>FORTE</v>
      </c>
      <c r="N1204" s="2">
        <v>0.94499999999999995</v>
      </c>
      <c r="O1204" s="2">
        <v>0.67600000000000005</v>
      </c>
      <c r="P1204" s="2">
        <v>0.20699999999999999</v>
      </c>
      <c r="Q1204" s="2">
        <v>0.17199999999999999</v>
      </c>
      <c r="R1204" s="2">
        <v>0.32200000000000001</v>
      </c>
      <c r="S1204" s="2">
        <v>0.63100000000000001</v>
      </c>
      <c r="T1204" s="2">
        <v>-6.6</v>
      </c>
      <c r="U1204">
        <v>141893</v>
      </c>
      <c r="V1204">
        <f>YEAR(Spotify[[#This Row],[Date de sortie]])</f>
        <v>2020</v>
      </c>
      <c r="W1204" s="2" t="str">
        <f>IF(Spotify[[#This Row],[Popularité]]&gt;=70,"FORTE","FAIBLE")</f>
        <v>FAIBLE</v>
      </c>
    </row>
    <row r="1205" spans="1:23" x14ac:dyDescent="0.25">
      <c r="A1205">
        <v>986</v>
      </c>
      <c r="B1205">
        <v>171</v>
      </c>
      <c r="C1205">
        <v>1</v>
      </c>
      <c r="D1205" s="1">
        <v>44043</v>
      </c>
      <c r="E1205" s="59" t="str" cm="1">
        <f t="array" ref="E120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05" t="s">
        <v>1668</v>
      </c>
      <c r="G1205" s="3">
        <v>4828004</v>
      </c>
      <c r="H1205" t="s">
        <v>1644</v>
      </c>
      <c r="I1205" s="4">
        <v>3372385</v>
      </c>
      <c r="J1205" t="s">
        <v>754</v>
      </c>
      <c r="K1205" s="1">
        <v>44042</v>
      </c>
      <c r="L1205">
        <v>64</v>
      </c>
      <c r="M1205" s="2" t="str">
        <f>IF(Spotify[[#This Row],[Energie]]&gt;AVERAGE(Spotify[Energie]),"FORTE","FAIBLE")</f>
        <v>FAIBLE</v>
      </c>
      <c r="N1205" s="2">
        <v>0.61399999999999999</v>
      </c>
      <c r="O1205" s="2">
        <v>0.55300000000000005</v>
      </c>
      <c r="P1205" s="2">
        <v>0.16900000000000001</v>
      </c>
      <c r="Q1205" s="2">
        <v>3.0599999999999999E-2</v>
      </c>
      <c r="R1205" s="2">
        <v>0.20300000000000001</v>
      </c>
      <c r="S1205" s="2">
        <v>0.161</v>
      </c>
      <c r="T1205" s="2">
        <v>-8.2249999999999996</v>
      </c>
      <c r="U1205">
        <v>240297</v>
      </c>
      <c r="V1205">
        <f>YEAR(Spotify[[#This Row],[Date de sortie]])</f>
        <v>2020</v>
      </c>
      <c r="W1205" s="2" t="str">
        <f>IF(Spotify[[#This Row],[Popularité]]&gt;=70,"FORTE","FAIBLE")</f>
        <v>FAIBLE</v>
      </c>
    </row>
    <row r="1206" spans="1:23" x14ac:dyDescent="0.25">
      <c r="A1206">
        <v>1234</v>
      </c>
      <c r="B1206">
        <v>162</v>
      </c>
      <c r="C1206">
        <v>1</v>
      </c>
      <c r="D1206" s="1">
        <v>43938</v>
      </c>
      <c r="E1206" s="59" t="str" cm="1">
        <f t="array" ref="E120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206" t="s">
        <v>2014</v>
      </c>
      <c r="G1206" s="3">
        <v>4822090</v>
      </c>
      <c r="H1206" t="s">
        <v>2015</v>
      </c>
      <c r="I1206" s="4">
        <v>1397067</v>
      </c>
      <c r="J1206" t="s">
        <v>25</v>
      </c>
      <c r="K1206" s="1">
        <v>43938</v>
      </c>
      <c r="L1206">
        <v>64</v>
      </c>
      <c r="M1206" s="2" t="str">
        <f>IF(Spotify[[#This Row],[Energie]]&gt;AVERAGE(Spotify[Energie]),"FORTE","FAIBLE")</f>
        <v>FORTE</v>
      </c>
      <c r="N1206" s="2">
        <v>0.68</v>
      </c>
      <c r="O1206" s="2">
        <v>0.76600000000000001</v>
      </c>
      <c r="P1206" s="2">
        <v>9.2299999999999993E-2</v>
      </c>
      <c r="Q1206" s="2">
        <v>4.1099999999999998E-2</v>
      </c>
      <c r="R1206" s="2">
        <v>0.11600000000000001</v>
      </c>
      <c r="S1206" s="2">
        <v>0.28000000000000003</v>
      </c>
      <c r="T1206" s="2">
        <v>-4.7990000000000004</v>
      </c>
      <c r="U1206">
        <v>180000</v>
      </c>
      <c r="V1206">
        <f>YEAR(Spotify[[#This Row],[Date de sortie]])</f>
        <v>2020</v>
      </c>
      <c r="W1206" s="2" t="str">
        <f>IF(Spotify[[#This Row],[Popularité]]&gt;=70,"FORTE","FAIBLE")</f>
        <v>FAIBLE</v>
      </c>
    </row>
    <row r="1207" spans="1:23" x14ac:dyDescent="0.25">
      <c r="A1207">
        <v>1146</v>
      </c>
      <c r="B1207">
        <v>78</v>
      </c>
      <c r="C1207">
        <v>2</v>
      </c>
      <c r="D1207" s="1">
        <v>43973</v>
      </c>
      <c r="E1207" s="59" t="str" cm="1">
        <f t="array" ref="E120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07" t="s">
        <v>1892</v>
      </c>
      <c r="G1207" s="3">
        <v>4596162</v>
      </c>
      <c r="H1207" t="s">
        <v>1401</v>
      </c>
      <c r="I1207" s="4">
        <v>1683006</v>
      </c>
      <c r="J1207" t="s">
        <v>206</v>
      </c>
      <c r="K1207" s="1">
        <v>44084</v>
      </c>
      <c r="L1207">
        <v>64</v>
      </c>
      <c r="M1207" s="2" t="str">
        <f>IF(Spotify[[#This Row],[Energie]]&gt;AVERAGE(Spotify[Energie]),"FORTE","FAIBLE")</f>
        <v>FAIBLE</v>
      </c>
      <c r="N1207" s="2">
        <v>0.80400000000000005</v>
      </c>
      <c r="O1207" s="2">
        <v>0.60599999999999998</v>
      </c>
      <c r="P1207" s="2">
        <v>0.24199999999999999</v>
      </c>
      <c r="Q1207" s="2">
        <v>0.13700000000000001</v>
      </c>
      <c r="R1207" s="2">
        <v>0.111</v>
      </c>
      <c r="S1207" s="2">
        <v>0.247</v>
      </c>
      <c r="T1207" s="2">
        <v>-9.0449999999999999</v>
      </c>
      <c r="U1207">
        <v>149028</v>
      </c>
      <c r="V1207">
        <f>YEAR(Spotify[[#This Row],[Date de sortie]])</f>
        <v>2020</v>
      </c>
      <c r="W1207" s="2" t="str">
        <f>IF(Spotify[[#This Row],[Popularité]]&gt;=70,"FORTE","FAIBLE")</f>
        <v>FAIBLE</v>
      </c>
    </row>
    <row r="1208" spans="1:23" x14ac:dyDescent="0.25">
      <c r="A1208">
        <v>944</v>
      </c>
      <c r="B1208">
        <v>188</v>
      </c>
      <c r="C1208">
        <v>1</v>
      </c>
      <c r="D1208" s="1">
        <v>44064</v>
      </c>
      <c r="E1208" s="59" t="str" cm="1">
        <f t="array" ref="E120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08" t="s">
        <v>1611</v>
      </c>
      <c r="G1208" s="3">
        <v>4561189</v>
      </c>
      <c r="H1208" t="s">
        <v>777</v>
      </c>
      <c r="I1208" s="4">
        <v>4272745</v>
      </c>
      <c r="J1208" t="s">
        <v>115</v>
      </c>
      <c r="K1208" s="1">
        <v>44062</v>
      </c>
      <c r="L1208">
        <v>64</v>
      </c>
      <c r="M1208" s="2" t="str">
        <f>IF(Spotify[[#This Row],[Energie]]&gt;AVERAGE(Spotify[Energie]),"FORTE","FAIBLE")</f>
        <v>FAIBLE</v>
      </c>
      <c r="N1208" s="2">
        <v>0.66600000000000004</v>
      </c>
      <c r="O1208" s="2">
        <v>0.628</v>
      </c>
      <c r="P1208" s="2">
        <v>6.2300000000000001E-2</v>
      </c>
      <c r="Q1208" s="2">
        <v>0.14399999999999999</v>
      </c>
      <c r="R1208" s="2">
        <v>0.189</v>
      </c>
      <c r="S1208" s="2">
        <v>0.76700000000000002</v>
      </c>
      <c r="T1208" s="2">
        <v>-5.6130000000000004</v>
      </c>
      <c r="U1208">
        <v>186468</v>
      </c>
      <c r="V1208">
        <f>YEAR(Spotify[[#This Row],[Date de sortie]])</f>
        <v>2020</v>
      </c>
      <c r="W1208" s="2" t="str">
        <f>IF(Spotify[[#This Row],[Popularité]]&gt;=70,"FORTE","FAIBLE")</f>
        <v>FAIBLE</v>
      </c>
    </row>
    <row r="1209" spans="1:23" x14ac:dyDescent="0.25">
      <c r="A1209">
        <v>621</v>
      </c>
      <c r="B1209">
        <v>2</v>
      </c>
      <c r="C1209">
        <v>8</v>
      </c>
      <c r="D1209" s="1">
        <v>44183</v>
      </c>
      <c r="E1209" s="59" t="str" cm="1">
        <f t="array" ref="E120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209" t="s">
        <v>1100</v>
      </c>
      <c r="G1209" s="3">
        <v>20709328</v>
      </c>
      <c r="H1209" t="s">
        <v>1101</v>
      </c>
      <c r="I1209" s="4">
        <v>1631876</v>
      </c>
      <c r="J1209" t="s">
        <v>1102</v>
      </c>
      <c r="K1209" s="1">
        <v>31015</v>
      </c>
      <c r="L1209">
        <v>63</v>
      </c>
      <c r="M1209" s="2" t="str">
        <f>IF(Spotify[[#This Row],[Energie]]&gt;AVERAGE(Spotify[Energie]),"FORTE","FAIBLE")</f>
        <v>FAIBLE</v>
      </c>
      <c r="N1209" s="2">
        <v>0.73499999999999999</v>
      </c>
      <c r="O1209" s="2">
        <v>0.47799999999999998</v>
      </c>
      <c r="P1209" s="2">
        <v>2.93E-2</v>
      </c>
      <c r="Q1209" s="2">
        <v>0.189</v>
      </c>
      <c r="R1209" s="2">
        <v>0.35499999999999998</v>
      </c>
      <c r="S1209" s="2">
        <v>0.94699999999999995</v>
      </c>
      <c r="T1209" s="2">
        <v>-12.472</v>
      </c>
      <c r="U1209">
        <v>262960</v>
      </c>
      <c r="V1209">
        <f>YEAR(Spotify[[#This Row],[Date de sortie]])</f>
        <v>1984</v>
      </c>
      <c r="W1209" s="2" t="str">
        <f>IF(Spotify[[#This Row],[Popularité]]&gt;=70,"FORTE","FAIBLE")</f>
        <v>FAIBLE</v>
      </c>
    </row>
    <row r="1210" spans="1:23" x14ac:dyDescent="0.25">
      <c r="A1210">
        <v>805</v>
      </c>
      <c r="B1210">
        <v>51</v>
      </c>
      <c r="C1210">
        <v>1</v>
      </c>
      <c r="D1210" s="1">
        <v>44134</v>
      </c>
      <c r="E1210" s="59" t="str" cm="1">
        <f t="array" ref="E121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10" t="s">
        <v>1394</v>
      </c>
      <c r="G1210" s="3">
        <v>10941573</v>
      </c>
      <c r="H1210" t="s">
        <v>202</v>
      </c>
      <c r="I1210" s="4">
        <v>67208170</v>
      </c>
      <c r="J1210" t="s">
        <v>19</v>
      </c>
      <c r="K1210" s="1">
        <v>44134</v>
      </c>
      <c r="L1210">
        <v>63</v>
      </c>
      <c r="M1210" s="2" t="str">
        <f>IF(Spotify[[#This Row],[Energie]]&gt;AVERAGE(Spotify[Energie]),"FORTE","FAIBLE")</f>
        <v>FAIBLE</v>
      </c>
      <c r="N1210" s="2">
        <v>0.73899999999999999</v>
      </c>
      <c r="O1210" s="2">
        <v>0.51600000000000001</v>
      </c>
      <c r="P1210" s="2">
        <v>5.3900000000000003E-2</v>
      </c>
      <c r="Q1210" s="2">
        <v>0.67</v>
      </c>
      <c r="R1210" s="2">
        <v>0.151</v>
      </c>
      <c r="S1210" s="2">
        <v>0.434</v>
      </c>
      <c r="T1210" s="2">
        <v>-7.1539999999999999</v>
      </c>
      <c r="U1210">
        <v>183874</v>
      </c>
      <c r="V1210">
        <f>YEAR(Spotify[[#This Row],[Date de sortie]])</f>
        <v>2020</v>
      </c>
      <c r="W1210" s="2" t="str">
        <f>IF(Spotify[[#This Row],[Popularité]]&gt;=70,"FORTE","FAIBLE")</f>
        <v>FAIBLE</v>
      </c>
    </row>
    <row r="1211" spans="1:23" x14ac:dyDescent="0.25">
      <c r="A1211">
        <v>1197</v>
      </c>
      <c r="B1211">
        <v>46</v>
      </c>
      <c r="C1211">
        <v>1</v>
      </c>
      <c r="D1211" s="1">
        <v>43952</v>
      </c>
      <c r="E1211" s="59" t="str" cm="1">
        <f t="array" ref="E121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11" t="s">
        <v>1966</v>
      </c>
      <c r="G1211" s="3">
        <v>10537097</v>
      </c>
      <c r="H1211" t="s">
        <v>1967</v>
      </c>
      <c r="I1211" s="4">
        <v>56327031</v>
      </c>
      <c r="J1211" t="s">
        <v>155</v>
      </c>
      <c r="K1211" s="1">
        <v>43952</v>
      </c>
      <c r="L1211">
        <v>63</v>
      </c>
      <c r="M1211" s="2" t="str">
        <f>IF(Spotify[[#This Row],[Energie]]&gt;AVERAGE(Spotify[Energie]),"FORTE","FAIBLE")</f>
        <v>FORTE</v>
      </c>
      <c r="N1211" s="2">
        <v>0.71799999999999997</v>
      </c>
      <c r="O1211" s="2">
        <v>0.70599999999999996</v>
      </c>
      <c r="P1211" s="2">
        <v>0.06</v>
      </c>
      <c r="Q1211" s="2">
        <v>1.2800000000000001E-2</v>
      </c>
      <c r="R1211" s="2">
        <v>0.35199999999999998</v>
      </c>
      <c r="S1211" s="2">
        <v>0.81499999999999995</v>
      </c>
      <c r="T1211" s="2">
        <v>-5.7089999999999996</v>
      </c>
      <c r="U1211">
        <v>189176</v>
      </c>
      <c r="V1211">
        <f>YEAR(Spotify[[#This Row],[Date de sortie]])</f>
        <v>2020</v>
      </c>
      <c r="W1211" s="2" t="str">
        <f>IF(Spotify[[#This Row],[Popularité]]&gt;=70,"FORTE","FAIBLE")</f>
        <v>FAIBLE</v>
      </c>
    </row>
    <row r="1212" spans="1:23" x14ac:dyDescent="0.25">
      <c r="A1212">
        <v>1279</v>
      </c>
      <c r="B1212">
        <v>51</v>
      </c>
      <c r="C1212">
        <v>1</v>
      </c>
      <c r="D1212" s="1">
        <v>43910</v>
      </c>
      <c r="E1212" s="59" t="str" cm="1">
        <f t="array" ref="E121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212" t="s">
        <v>2077</v>
      </c>
      <c r="G1212" s="3">
        <v>10058303</v>
      </c>
      <c r="H1212" t="s">
        <v>41</v>
      </c>
      <c r="I1212" s="4">
        <v>35340069</v>
      </c>
      <c r="J1212" t="s">
        <v>42</v>
      </c>
      <c r="K1212" s="1">
        <v>43910</v>
      </c>
      <c r="L1212">
        <v>63</v>
      </c>
      <c r="M1212" s="2" t="str">
        <f>IF(Spotify[[#This Row],[Energie]]&gt;AVERAGE(Spotify[Energie]),"FORTE","FAIBLE")</f>
        <v>FAIBLE</v>
      </c>
      <c r="N1212" s="2">
        <v>0.55500000000000005</v>
      </c>
      <c r="O1212" s="2">
        <v>0.61899999999999999</v>
      </c>
      <c r="P1212" s="2">
        <v>3.1399999999999997E-2</v>
      </c>
      <c r="Q1212" s="2">
        <v>3.2300000000000002E-2</v>
      </c>
      <c r="R1212" s="2">
        <v>9.1700000000000004E-2</v>
      </c>
      <c r="S1212" s="2">
        <v>0.14099999999999999</v>
      </c>
      <c r="T1212" s="2">
        <v>-7.9180000000000001</v>
      </c>
      <c r="U1212">
        <v>195813</v>
      </c>
      <c r="V1212">
        <f>YEAR(Spotify[[#This Row],[Date de sortie]])</f>
        <v>2020</v>
      </c>
      <c r="W1212" s="2" t="str">
        <f>IF(Spotify[[#This Row],[Popularité]]&gt;=70,"FORTE","FAIBLE")</f>
        <v>FAIBLE</v>
      </c>
    </row>
    <row r="1213" spans="1:23" x14ac:dyDescent="0.25">
      <c r="A1213">
        <v>1332</v>
      </c>
      <c r="B1213">
        <v>68</v>
      </c>
      <c r="C1213">
        <v>1</v>
      </c>
      <c r="D1213" s="1">
        <v>43896</v>
      </c>
      <c r="E1213" s="59" t="str" cm="1">
        <f t="array" ref="E121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213" t="s">
        <v>2145</v>
      </c>
      <c r="G1213" s="3">
        <v>9824605</v>
      </c>
      <c r="H1213" t="s">
        <v>1780</v>
      </c>
      <c r="I1213" s="4">
        <v>11821805</v>
      </c>
      <c r="J1213" t="s">
        <v>235</v>
      </c>
      <c r="K1213" s="1">
        <v>43896</v>
      </c>
      <c r="L1213">
        <v>63</v>
      </c>
      <c r="M1213" s="2" t="str">
        <f>IF(Spotify[[#This Row],[Energie]]&gt;AVERAGE(Spotify[Energie]),"FORTE","FAIBLE")</f>
        <v>FORTE</v>
      </c>
      <c r="N1213" s="2">
        <v>0.77500000000000002</v>
      </c>
      <c r="O1213" s="2">
        <v>0.75700000000000001</v>
      </c>
      <c r="P1213" s="2">
        <v>0.17499999999999999</v>
      </c>
      <c r="Q1213" s="2">
        <v>0.16200000000000001</v>
      </c>
      <c r="R1213" s="2">
        <v>0.14799999999999999</v>
      </c>
      <c r="S1213" s="2">
        <v>0.56200000000000006</v>
      </c>
      <c r="T1213" s="2">
        <v>-4.1390000000000002</v>
      </c>
      <c r="U1213">
        <v>188800</v>
      </c>
      <c r="V1213">
        <f>YEAR(Spotify[[#This Row],[Date de sortie]])</f>
        <v>2020</v>
      </c>
      <c r="W1213" s="2" t="str">
        <f>IF(Spotify[[#This Row],[Popularité]]&gt;=70,"FORTE","FAIBLE")</f>
        <v>FAIBLE</v>
      </c>
    </row>
    <row r="1214" spans="1:23" x14ac:dyDescent="0.25">
      <c r="A1214">
        <v>1490</v>
      </c>
      <c r="B1214">
        <v>70</v>
      </c>
      <c r="C1214">
        <v>1</v>
      </c>
      <c r="D1214" s="1">
        <v>43847</v>
      </c>
      <c r="E1214" s="59" t="str" cm="1">
        <f t="array" ref="E121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14" t="s">
        <v>2360</v>
      </c>
      <c r="G1214" s="3">
        <v>9493884</v>
      </c>
      <c r="H1214" t="s">
        <v>412</v>
      </c>
      <c r="I1214" s="4">
        <v>46814751</v>
      </c>
      <c r="J1214" t="s">
        <v>413</v>
      </c>
      <c r="K1214" s="1">
        <v>43847</v>
      </c>
      <c r="L1214">
        <v>63</v>
      </c>
      <c r="M1214" s="2" t="str">
        <f>IF(Spotify[[#This Row],[Energie]]&gt;AVERAGE(Spotify[Energie]),"FORTE","FAIBLE")</f>
        <v>FORTE</v>
      </c>
      <c r="N1214" s="2">
        <v>0.75600000000000001</v>
      </c>
      <c r="O1214" s="2">
        <v>0.747</v>
      </c>
      <c r="P1214" s="2">
        <v>4.5999999999999999E-2</v>
      </c>
      <c r="Q1214" s="2">
        <v>4.7999999999999996E-3</v>
      </c>
      <c r="R1214" s="2">
        <v>0.58799999999999997</v>
      </c>
      <c r="S1214" s="2">
        <v>6.8699999999999997E-2</v>
      </c>
      <c r="T1214" s="2">
        <v>-5.407</v>
      </c>
      <c r="U1214">
        <v>200947</v>
      </c>
      <c r="V1214">
        <f>YEAR(Spotify[[#This Row],[Date de sortie]])</f>
        <v>2020</v>
      </c>
      <c r="W1214" s="2" t="str">
        <f>IF(Spotify[[#This Row],[Popularité]]&gt;=70,"FORTE","FAIBLE")</f>
        <v>FAIBLE</v>
      </c>
    </row>
    <row r="1215" spans="1:23" x14ac:dyDescent="0.25">
      <c r="A1215">
        <v>1130</v>
      </c>
      <c r="B1215">
        <v>58</v>
      </c>
      <c r="C1215">
        <v>1</v>
      </c>
      <c r="D1215" s="1">
        <v>43980</v>
      </c>
      <c r="E1215" s="59" t="str" cm="1">
        <f t="array" ref="E121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15" t="s">
        <v>1872</v>
      </c>
      <c r="G1215" s="3">
        <v>9266945</v>
      </c>
      <c r="H1215" t="s">
        <v>607</v>
      </c>
      <c r="I1215" s="4">
        <v>18585963</v>
      </c>
      <c r="J1215" t="s">
        <v>19</v>
      </c>
      <c r="K1215" s="1">
        <v>43980</v>
      </c>
      <c r="L1215">
        <v>63</v>
      </c>
      <c r="M1215" s="2" t="str">
        <f>IF(Spotify[[#This Row],[Energie]]&gt;AVERAGE(Spotify[Energie]),"FORTE","FAIBLE")</f>
        <v>FORTE</v>
      </c>
      <c r="N1215" s="2">
        <v>0.73099999999999998</v>
      </c>
      <c r="O1215" s="2">
        <v>0.92700000000000005</v>
      </c>
      <c r="P1215" s="2">
        <v>7.8100000000000003E-2</v>
      </c>
      <c r="Q1215" s="2">
        <v>2.2800000000000001E-2</v>
      </c>
      <c r="R1215" s="2">
        <v>0.187</v>
      </c>
      <c r="S1215" s="2">
        <v>0.47799999999999998</v>
      </c>
      <c r="T1215" s="2">
        <v>-3.6339999999999999</v>
      </c>
      <c r="U1215">
        <v>191467</v>
      </c>
      <c r="V1215">
        <f>YEAR(Spotify[[#This Row],[Date de sortie]])</f>
        <v>2020</v>
      </c>
      <c r="W1215" s="2" t="str">
        <f>IF(Spotify[[#This Row],[Popularité]]&gt;=70,"FORTE","FAIBLE")</f>
        <v>FAIBLE</v>
      </c>
    </row>
    <row r="1216" spans="1:23" x14ac:dyDescent="0.25">
      <c r="A1216">
        <v>1280</v>
      </c>
      <c r="B1216">
        <v>68</v>
      </c>
      <c r="C1216">
        <v>1</v>
      </c>
      <c r="D1216" s="1">
        <v>43910</v>
      </c>
      <c r="E1216" s="59" t="str" cm="1">
        <f t="array" ref="E121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216" t="s">
        <v>2078</v>
      </c>
      <c r="G1216" s="3">
        <v>9132077</v>
      </c>
      <c r="H1216" t="s">
        <v>41</v>
      </c>
      <c r="I1216" s="4">
        <v>35340069</v>
      </c>
      <c r="J1216" t="s">
        <v>42</v>
      </c>
      <c r="K1216" s="1">
        <v>43910</v>
      </c>
      <c r="L1216">
        <v>63</v>
      </c>
      <c r="M1216" s="2" t="str">
        <f>IF(Spotify[[#This Row],[Energie]]&gt;AVERAGE(Spotify[Energie]),"FORTE","FAIBLE")</f>
        <v>FAIBLE</v>
      </c>
      <c r="N1216" s="2">
        <v>0.245</v>
      </c>
      <c r="O1216" s="2">
        <v>0.39400000000000002</v>
      </c>
      <c r="P1216" s="2">
        <v>3.7400000000000003E-2</v>
      </c>
      <c r="Q1216" s="2">
        <v>0.42299999999999999</v>
      </c>
      <c r="R1216" s="2">
        <v>9.2999999999999999E-2</v>
      </c>
      <c r="S1216" s="2">
        <v>0.14799999999999999</v>
      </c>
      <c r="T1216" s="2">
        <v>-9.8870000000000005</v>
      </c>
      <c r="U1216">
        <v>190173</v>
      </c>
      <c r="V1216">
        <f>YEAR(Spotify[[#This Row],[Date de sortie]])</f>
        <v>2020</v>
      </c>
      <c r="W1216" s="2" t="str">
        <f>IF(Spotify[[#This Row],[Popularité]]&gt;=70,"FORTE","FAIBLE")</f>
        <v>FAIBLE</v>
      </c>
    </row>
    <row r="1217" spans="1:23" x14ac:dyDescent="0.25">
      <c r="A1217">
        <v>1406</v>
      </c>
      <c r="B1217">
        <v>65</v>
      </c>
      <c r="C1217">
        <v>1</v>
      </c>
      <c r="D1217" s="1">
        <v>43875</v>
      </c>
      <c r="E1217" s="59" t="str" cm="1">
        <f t="array" ref="E121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17" t="s">
        <v>2247</v>
      </c>
      <c r="G1217" s="3">
        <v>9010535</v>
      </c>
      <c r="H1217" t="s">
        <v>35</v>
      </c>
      <c r="I1217" s="4">
        <v>48544923</v>
      </c>
      <c r="J1217" t="s">
        <v>36</v>
      </c>
      <c r="K1217" s="1">
        <v>43875</v>
      </c>
      <c r="L1217">
        <v>63</v>
      </c>
      <c r="M1217" s="2" t="str">
        <f>IF(Spotify[[#This Row],[Energie]]&gt;AVERAGE(Spotify[Energie]),"FORTE","FAIBLE")</f>
        <v>FAIBLE</v>
      </c>
      <c r="N1217" s="2">
        <v>0.56599999999999995</v>
      </c>
      <c r="O1217" s="2">
        <v>0.438</v>
      </c>
      <c r="P1217" s="2">
        <v>3.6700000000000003E-2</v>
      </c>
      <c r="Q1217" s="2">
        <v>0.80900000000000005</v>
      </c>
      <c r="R1217" s="2">
        <v>0.21199999999999999</v>
      </c>
      <c r="S1217" s="2">
        <v>0.69199999999999995</v>
      </c>
      <c r="T1217" s="2">
        <v>-7.5640000000000001</v>
      </c>
      <c r="U1217">
        <v>136907</v>
      </c>
      <c r="V1217">
        <f>YEAR(Spotify[[#This Row],[Date de sortie]])</f>
        <v>2020</v>
      </c>
      <c r="W1217" s="2" t="str">
        <f>IF(Spotify[[#This Row],[Popularité]]&gt;=70,"FORTE","FAIBLE")</f>
        <v>FAIBLE</v>
      </c>
    </row>
    <row r="1218" spans="1:23" x14ac:dyDescent="0.25">
      <c r="A1218">
        <v>705</v>
      </c>
      <c r="B1218">
        <v>97</v>
      </c>
      <c r="C1218">
        <v>1</v>
      </c>
      <c r="D1218" s="1">
        <v>44176</v>
      </c>
      <c r="E1218" s="59" t="str" cm="1">
        <f t="array" ref="E121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18" t="s">
        <v>1247</v>
      </c>
      <c r="G1218" s="3">
        <v>8901697</v>
      </c>
      <c r="H1218" t="s">
        <v>1092</v>
      </c>
      <c r="I1218" s="4">
        <v>5002317</v>
      </c>
      <c r="J1218" t="s">
        <v>426</v>
      </c>
      <c r="K1218" s="1">
        <v>44176</v>
      </c>
      <c r="L1218">
        <v>63</v>
      </c>
      <c r="M1218" s="2" t="str">
        <f>IF(Spotify[[#This Row],[Energie]]&gt;AVERAGE(Spotify[Energie]),"FORTE","FAIBLE")</f>
        <v>FORTE</v>
      </c>
      <c r="N1218" s="2">
        <v>0.64600000000000002</v>
      </c>
      <c r="O1218" s="2">
        <v>0.75800000000000001</v>
      </c>
      <c r="P1218" s="2">
        <v>7.0800000000000002E-2</v>
      </c>
      <c r="Q1218" s="2">
        <v>0.55600000000000005</v>
      </c>
      <c r="R1218" s="2">
        <v>0.33500000000000002</v>
      </c>
      <c r="S1218" s="2">
        <v>6.4199999999999993E-2</v>
      </c>
      <c r="T1218" s="2">
        <v>-7.75</v>
      </c>
      <c r="U1218">
        <v>199787</v>
      </c>
      <c r="V1218">
        <f>YEAR(Spotify[[#This Row],[Date de sortie]])</f>
        <v>2020</v>
      </c>
      <c r="W1218" s="2" t="str">
        <f>IF(Spotify[[#This Row],[Popularité]]&gt;=70,"FORTE","FAIBLE")</f>
        <v>FAIBLE</v>
      </c>
    </row>
    <row r="1219" spans="1:23" x14ac:dyDescent="0.25">
      <c r="A1219">
        <v>1134</v>
      </c>
      <c r="B1219">
        <v>79</v>
      </c>
      <c r="C1219">
        <v>1</v>
      </c>
      <c r="D1219" s="1">
        <v>43980</v>
      </c>
      <c r="E1219" s="59" t="str" cm="1">
        <f t="array" ref="E121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19" t="s">
        <v>1876</v>
      </c>
      <c r="G1219" s="3">
        <v>7479618</v>
      </c>
      <c r="H1219" t="s">
        <v>607</v>
      </c>
      <c r="I1219" s="4">
        <v>18585963</v>
      </c>
      <c r="J1219" t="s">
        <v>19</v>
      </c>
      <c r="K1219" s="1">
        <v>43980</v>
      </c>
      <c r="L1219">
        <v>63</v>
      </c>
      <c r="M1219" s="2" t="str">
        <f>IF(Spotify[[#This Row],[Energie]]&gt;AVERAGE(Spotify[Energie]),"FORTE","FAIBLE")</f>
        <v>FORTE</v>
      </c>
      <c r="N1219" s="2">
        <v>0.65800000000000003</v>
      </c>
      <c r="O1219" s="2">
        <v>0.878</v>
      </c>
      <c r="P1219" s="2">
        <v>0.123</v>
      </c>
      <c r="Q1219" s="2">
        <v>7.92E-3</v>
      </c>
      <c r="R1219" s="2">
        <v>0.94399999999999995</v>
      </c>
      <c r="S1219" s="2">
        <v>0.68300000000000005</v>
      </c>
      <c r="T1219" s="2">
        <v>-3.875</v>
      </c>
      <c r="U1219">
        <v>186653</v>
      </c>
      <c r="V1219">
        <f>YEAR(Spotify[[#This Row],[Date de sortie]])</f>
        <v>2020</v>
      </c>
      <c r="W1219" s="2" t="str">
        <f>IF(Spotify[[#This Row],[Popularité]]&gt;=70,"FORTE","FAIBLE")</f>
        <v>FAIBLE</v>
      </c>
    </row>
    <row r="1220" spans="1:23" x14ac:dyDescent="0.25">
      <c r="A1220">
        <v>1046</v>
      </c>
      <c r="B1220">
        <v>95</v>
      </c>
      <c r="C1220">
        <v>1</v>
      </c>
      <c r="D1220" s="1">
        <v>44015</v>
      </c>
      <c r="E1220" s="59" t="str" cm="1">
        <f t="array" ref="E122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220" t="s">
        <v>1750</v>
      </c>
      <c r="G1220" s="3">
        <v>7112419</v>
      </c>
      <c r="H1220" t="s">
        <v>338</v>
      </c>
      <c r="I1220" s="4">
        <v>6852509</v>
      </c>
      <c r="J1220" t="s">
        <v>158</v>
      </c>
      <c r="K1220" s="1">
        <v>44015</v>
      </c>
      <c r="L1220">
        <v>63</v>
      </c>
      <c r="M1220" s="2" t="str">
        <f>IF(Spotify[[#This Row],[Energie]]&gt;AVERAGE(Spotify[Energie]),"FORTE","FAIBLE")</f>
        <v>FAIBLE</v>
      </c>
      <c r="N1220" s="2">
        <v>0.71699999999999997</v>
      </c>
      <c r="O1220" s="2">
        <v>0.47399999999999998</v>
      </c>
      <c r="P1220" s="2">
        <v>0.40300000000000002</v>
      </c>
      <c r="Q1220" s="2">
        <v>5.0900000000000001E-2</v>
      </c>
      <c r="R1220" s="2">
        <v>0.13900000000000001</v>
      </c>
      <c r="S1220" s="2">
        <v>0.44800000000000001</v>
      </c>
      <c r="T1220" s="2">
        <v>-8.3829999999999991</v>
      </c>
      <c r="U1220">
        <v>185804</v>
      </c>
      <c r="V1220">
        <f>YEAR(Spotify[[#This Row],[Date de sortie]])</f>
        <v>2020</v>
      </c>
      <c r="W1220" s="2" t="str">
        <f>IF(Spotify[[#This Row],[Popularité]]&gt;=70,"FORTE","FAIBLE")</f>
        <v>FAIBLE</v>
      </c>
    </row>
    <row r="1221" spans="1:23" x14ac:dyDescent="0.25">
      <c r="A1221">
        <v>1182</v>
      </c>
      <c r="B1221">
        <v>83</v>
      </c>
      <c r="C1221">
        <v>1</v>
      </c>
      <c r="D1221" s="1">
        <v>43959</v>
      </c>
      <c r="E1221" s="59" t="str" cm="1">
        <f t="array" ref="E122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221" t="s">
        <v>1945</v>
      </c>
      <c r="G1221" s="3">
        <v>7055918</v>
      </c>
      <c r="H1221" t="s">
        <v>24</v>
      </c>
      <c r="I1221" s="4">
        <v>36177712</v>
      </c>
      <c r="J1221" t="s">
        <v>25</v>
      </c>
      <c r="K1221" s="1">
        <v>43961</v>
      </c>
      <c r="L1221">
        <v>63</v>
      </c>
      <c r="M1221" s="2" t="str">
        <f>IF(Spotify[[#This Row],[Energie]]&gt;AVERAGE(Spotify[Energie]),"FORTE","FAIBLE")</f>
        <v>FORTE</v>
      </c>
      <c r="N1221" s="2">
        <v>0.86899999999999999</v>
      </c>
      <c r="O1221" s="2">
        <v>0.72699999999999998</v>
      </c>
      <c r="P1221" s="2">
        <v>0.123</v>
      </c>
      <c r="Q1221" s="2">
        <v>5.8900000000000001E-2</v>
      </c>
      <c r="R1221" s="2">
        <v>0.107</v>
      </c>
      <c r="S1221" s="2">
        <v>0.92</v>
      </c>
      <c r="T1221" s="2">
        <v>-7.3970000000000002</v>
      </c>
      <c r="U1221">
        <v>143240</v>
      </c>
      <c r="V1221">
        <f>YEAR(Spotify[[#This Row],[Date de sortie]])</f>
        <v>2020</v>
      </c>
      <c r="W1221" s="2" t="str">
        <f>IF(Spotify[[#This Row],[Popularité]]&gt;=70,"FORTE","FAIBLE")</f>
        <v>FAIBLE</v>
      </c>
    </row>
    <row r="1222" spans="1:23" x14ac:dyDescent="0.25">
      <c r="A1222">
        <v>640</v>
      </c>
      <c r="B1222">
        <v>114</v>
      </c>
      <c r="C1222">
        <v>1</v>
      </c>
      <c r="D1222" s="1">
        <v>44190</v>
      </c>
      <c r="E1222" s="59" t="str" cm="1">
        <f t="array" ref="E122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22" t="s">
        <v>1138</v>
      </c>
      <c r="G1222" s="3">
        <v>6912271</v>
      </c>
      <c r="H1222" t="s">
        <v>1139</v>
      </c>
      <c r="I1222" s="4">
        <v>4958353</v>
      </c>
      <c r="J1222" t="s">
        <v>531</v>
      </c>
      <c r="K1222" s="1">
        <v>44190</v>
      </c>
      <c r="L1222">
        <v>63</v>
      </c>
      <c r="M1222" s="2" t="str">
        <f>IF(Spotify[[#This Row],[Energie]]&gt;AVERAGE(Spotify[Energie]),"FORTE","FAIBLE")</f>
        <v>FORTE</v>
      </c>
      <c r="N1222" s="2">
        <v>0.88500000000000001</v>
      </c>
      <c r="O1222" s="2">
        <v>0.66100000000000003</v>
      </c>
      <c r="P1222" s="2">
        <v>0.14099999999999999</v>
      </c>
      <c r="Q1222" s="2">
        <v>0.16500000000000001</v>
      </c>
      <c r="R1222" s="2">
        <v>0.33400000000000002</v>
      </c>
      <c r="S1222" s="2">
        <v>0.436</v>
      </c>
      <c r="T1222" s="2">
        <v>-5.0620000000000003</v>
      </c>
      <c r="U1222">
        <v>164591</v>
      </c>
      <c r="V1222">
        <f>YEAR(Spotify[[#This Row],[Date de sortie]])</f>
        <v>2020</v>
      </c>
      <c r="W1222" s="2" t="str">
        <f>IF(Spotify[[#This Row],[Popularité]]&gt;=70,"FORTE","FAIBLE")</f>
        <v>FAIBLE</v>
      </c>
    </row>
    <row r="1223" spans="1:23" x14ac:dyDescent="0.25">
      <c r="A1223">
        <v>1266</v>
      </c>
      <c r="B1223">
        <v>118</v>
      </c>
      <c r="C1223">
        <v>1</v>
      </c>
      <c r="D1223" s="1">
        <v>43917</v>
      </c>
      <c r="E1223" s="59" t="str" cm="1">
        <f t="array" ref="E122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23" t="s">
        <v>2059</v>
      </c>
      <c r="G1223" s="3">
        <v>6015914</v>
      </c>
      <c r="H1223" t="s">
        <v>28</v>
      </c>
      <c r="I1223" s="4">
        <v>27167675</v>
      </c>
      <c r="J1223" t="s">
        <v>19</v>
      </c>
      <c r="K1223" s="1">
        <v>44238</v>
      </c>
      <c r="L1223">
        <v>63</v>
      </c>
      <c r="M1223" s="2" t="str">
        <f>IF(Spotify[[#This Row],[Energie]]&gt;AVERAGE(Spotify[Energie]),"FORTE","FAIBLE")</f>
        <v>FAIBLE</v>
      </c>
      <c r="N1223" s="2">
        <v>0.76800000000000002</v>
      </c>
      <c r="O1223" s="2">
        <v>0.48599999999999999</v>
      </c>
      <c r="P1223" s="2">
        <v>3.5299999999999998E-2</v>
      </c>
      <c r="Q1223" s="2">
        <v>0.40799999999999997</v>
      </c>
      <c r="R1223" s="2">
        <v>9.8000000000000004E-2</v>
      </c>
      <c r="S1223" s="2">
        <v>0.51900000000000002</v>
      </c>
      <c r="T1223" s="2">
        <v>-5.9539999999999997</v>
      </c>
      <c r="U1223">
        <v>166266</v>
      </c>
      <c r="V1223">
        <f>YEAR(Spotify[[#This Row],[Date de sortie]])</f>
        <v>2021</v>
      </c>
      <c r="W1223" s="2" t="str">
        <f>IF(Spotify[[#This Row],[Popularité]]&gt;=70,"FORTE","FAIBLE")</f>
        <v>FAIBLE</v>
      </c>
    </row>
    <row r="1224" spans="1:23" x14ac:dyDescent="0.25">
      <c r="A1224">
        <v>441</v>
      </c>
      <c r="B1224">
        <v>147</v>
      </c>
      <c r="C1224">
        <v>1</v>
      </c>
      <c r="D1224" s="1">
        <v>44295</v>
      </c>
      <c r="E1224" s="59" t="str" cm="1">
        <f t="array" ref="E122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24" t="s">
        <v>808</v>
      </c>
      <c r="G1224" s="3">
        <v>5885151</v>
      </c>
      <c r="H1224" t="s">
        <v>746</v>
      </c>
      <c r="I1224" s="4">
        <v>42227614</v>
      </c>
      <c r="J1224" t="s">
        <v>10</v>
      </c>
      <c r="K1224" s="1">
        <v>44295</v>
      </c>
      <c r="L1224">
        <v>63</v>
      </c>
      <c r="M1224" s="2" t="str">
        <f>IF(Spotify[[#This Row],[Energie]]&gt;AVERAGE(Spotify[Energie]),"FORTE","FAIBLE")</f>
        <v>FORTE</v>
      </c>
      <c r="N1224" s="2">
        <v>0.57799999999999996</v>
      </c>
      <c r="O1224" s="2">
        <v>0.90900000000000003</v>
      </c>
      <c r="P1224" s="2">
        <v>6.2799999999999995E-2</v>
      </c>
      <c r="Q1224" s="2">
        <v>2.2200000000000001E-2</v>
      </c>
      <c r="R1224" s="2">
        <v>0.33300000000000002</v>
      </c>
      <c r="S1224" s="2">
        <v>0.54100000000000004</v>
      </c>
      <c r="T1224" s="2">
        <v>-3.669</v>
      </c>
      <c r="U1224">
        <v>200576</v>
      </c>
      <c r="V1224">
        <f>YEAR(Spotify[[#This Row],[Date de sortie]])</f>
        <v>2021</v>
      </c>
      <c r="W1224" s="2" t="str">
        <f>IF(Spotify[[#This Row],[Popularité]]&gt;=70,"FORTE","FAIBLE")</f>
        <v>FAIBLE</v>
      </c>
    </row>
    <row r="1225" spans="1:23" x14ac:dyDescent="0.25">
      <c r="A1225">
        <v>858</v>
      </c>
      <c r="B1225">
        <v>139</v>
      </c>
      <c r="C1225">
        <v>1</v>
      </c>
      <c r="D1225" s="1">
        <v>44106</v>
      </c>
      <c r="E1225" s="59" t="str" cm="1">
        <f t="array" ref="E122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25" t="s">
        <v>1478</v>
      </c>
      <c r="G1225" s="3">
        <v>5841110</v>
      </c>
      <c r="H1225" t="s">
        <v>1320</v>
      </c>
      <c r="I1225" s="4">
        <v>9949044</v>
      </c>
      <c r="J1225" t="s">
        <v>531</v>
      </c>
      <c r="K1225" s="1">
        <v>44106</v>
      </c>
      <c r="L1225">
        <v>63</v>
      </c>
      <c r="M1225" s="2" t="str">
        <f>IF(Spotify[[#This Row],[Energie]]&gt;AVERAGE(Spotify[Energie]),"FORTE","FAIBLE")</f>
        <v>FORTE</v>
      </c>
      <c r="N1225" s="2">
        <v>0.69699999999999995</v>
      </c>
      <c r="O1225" s="2">
        <v>0.70899999999999996</v>
      </c>
      <c r="P1225" s="2">
        <v>0.29799999999999999</v>
      </c>
      <c r="Q1225" s="2">
        <v>4.1000000000000002E-2</v>
      </c>
      <c r="R1225" s="2">
        <v>8.8599999999999998E-2</v>
      </c>
      <c r="S1225" s="2">
        <v>0.439</v>
      </c>
      <c r="T1225" s="2">
        <v>-6.6420000000000003</v>
      </c>
      <c r="U1225">
        <v>202420</v>
      </c>
      <c r="V1225">
        <f>YEAR(Spotify[[#This Row],[Date de sortie]])</f>
        <v>2020</v>
      </c>
      <c r="W1225" s="2" t="str">
        <f>IF(Spotify[[#This Row],[Popularité]]&gt;=70,"FORTE","FAIBLE")</f>
        <v>FAIBLE</v>
      </c>
    </row>
    <row r="1226" spans="1:23" x14ac:dyDescent="0.25">
      <c r="A1226">
        <v>1284</v>
      </c>
      <c r="B1226">
        <v>134</v>
      </c>
      <c r="C1226">
        <v>1</v>
      </c>
      <c r="D1226" s="1">
        <v>43910</v>
      </c>
      <c r="E1226" s="59" t="str" cm="1">
        <f t="array" ref="E122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226" t="s">
        <v>2082</v>
      </c>
      <c r="G1226" s="3">
        <v>5745393</v>
      </c>
      <c r="H1226" t="s">
        <v>2083</v>
      </c>
      <c r="I1226" s="4">
        <v>29067437</v>
      </c>
      <c r="J1226" t="s">
        <v>25</v>
      </c>
      <c r="K1226" s="1">
        <v>43909</v>
      </c>
      <c r="L1226">
        <v>63</v>
      </c>
      <c r="M1226" s="2" t="str">
        <f>IF(Spotify[[#This Row],[Energie]]&gt;AVERAGE(Spotify[Energie]),"FORTE","FAIBLE")</f>
        <v>FORTE</v>
      </c>
      <c r="N1226" s="2">
        <v>0.82799999999999996</v>
      </c>
      <c r="O1226" s="2">
        <v>0.73799999999999999</v>
      </c>
      <c r="P1226" s="2">
        <v>5.16E-2</v>
      </c>
      <c r="Q1226" s="2">
        <v>3.8100000000000002E-2</v>
      </c>
      <c r="R1226" s="2">
        <v>9.1700000000000004E-2</v>
      </c>
      <c r="S1226" s="2">
        <v>0.81799999999999995</v>
      </c>
      <c r="T1226" s="2">
        <v>-4.2949999999999999</v>
      </c>
      <c r="U1226">
        <v>142547</v>
      </c>
      <c r="V1226">
        <f>YEAR(Spotify[[#This Row],[Date de sortie]])</f>
        <v>2020</v>
      </c>
      <c r="W1226" s="2" t="str">
        <f>IF(Spotify[[#This Row],[Popularité]]&gt;=70,"FORTE","FAIBLE")</f>
        <v>FAIBLE</v>
      </c>
    </row>
    <row r="1227" spans="1:23" x14ac:dyDescent="0.25">
      <c r="A1227">
        <v>1422</v>
      </c>
      <c r="B1227">
        <v>68</v>
      </c>
      <c r="C1227">
        <v>3</v>
      </c>
      <c r="D1227" s="1">
        <v>43861</v>
      </c>
      <c r="E1227" s="59" t="str" cm="1">
        <f t="array" ref="E122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27" t="s">
        <v>2264</v>
      </c>
      <c r="G1227" s="3">
        <v>5376451</v>
      </c>
      <c r="H1227" t="s">
        <v>2265</v>
      </c>
      <c r="I1227" s="4">
        <v>191521</v>
      </c>
      <c r="J1227" t="s">
        <v>206</v>
      </c>
      <c r="K1227" s="1">
        <v>43860</v>
      </c>
      <c r="L1227">
        <v>63</v>
      </c>
      <c r="M1227" s="2" t="str">
        <f>IF(Spotify[[#This Row],[Energie]]&gt;AVERAGE(Spotify[Energie]),"FORTE","FAIBLE")</f>
        <v>FORTE</v>
      </c>
      <c r="N1227" s="2">
        <v>0.77100000000000002</v>
      </c>
      <c r="O1227" s="2">
        <v>0.92100000000000004</v>
      </c>
      <c r="P1227" s="2">
        <v>0.109</v>
      </c>
      <c r="Q1227" s="2">
        <v>0.16600000000000001</v>
      </c>
      <c r="R1227" s="2">
        <v>0.11899999999999999</v>
      </c>
      <c r="S1227" s="2">
        <v>0.56000000000000005</v>
      </c>
      <c r="T1227" s="2">
        <v>-4.2279999999999998</v>
      </c>
      <c r="U1227">
        <v>148125</v>
      </c>
      <c r="V1227">
        <f>YEAR(Spotify[[#This Row],[Date de sortie]])</f>
        <v>2020</v>
      </c>
      <c r="W1227" s="2" t="str">
        <f>IF(Spotify[[#This Row],[Popularité]]&gt;=70,"FORTE","FAIBLE")</f>
        <v>FAIBLE</v>
      </c>
    </row>
    <row r="1228" spans="1:23" x14ac:dyDescent="0.25">
      <c r="A1228">
        <v>791</v>
      </c>
      <c r="B1228">
        <v>31</v>
      </c>
      <c r="C1228">
        <v>2</v>
      </c>
      <c r="D1228" s="1">
        <v>44134</v>
      </c>
      <c r="E1228" s="59" t="str" cm="1">
        <f t="array" ref="E122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28" t="s">
        <v>1378</v>
      </c>
      <c r="G1228" s="3">
        <v>5282490</v>
      </c>
      <c r="H1228" t="s">
        <v>202</v>
      </c>
      <c r="I1228" s="4">
        <v>67208170</v>
      </c>
      <c r="J1228" t="s">
        <v>19</v>
      </c>
      <c r="K1228" s="1">
        <v>44134</v>
      </c>
      <c r="L1228">
        <v>63</v>
      </c>
      <c r="M1228" s="2" t="str">
        <f>IF(Spotify[[#This Row],[Energie]]&gt;AVERAGE(Spotify[Energie]),"FORTE","FAIBLE")</f>
        <v>FAIBLE</v>
      </c>
      <c r="N1228" s="2">
        <v>0.499</v>
      </c>
      <c r="O1228" s="2">
        <v>0.46200000000000002</v>
      </c>
      <c r="P1228" s="2">
        <v>3.1199999999999999E-2</v>
      </c>
      <c r="Q1228" s="2">
        <v>0.80100000000000005</v>
      </c>
      <c r="R1228" s="2">
        <v>9.4600000000000004E-2</v>
      </c>
      <c r="S1228" s="2">
        <v>0.59899999999999998</v>
      </c>
      <c r="T1228" s="2">
        <v>-5.3079999999999998</v>
      </c>
      <c r="U1228">
        <v>157710</v>
      </c>
      <c r="V1228">
        <f>YEAR(Spotify[[#This Row],[Date de sortie]])</f>
        <v>2020</v>
      </c>
      <c r="W1228" s="2" t="str">
        <f>IF(Spotify[[#This Row],[Popularité]]&gt;=70,"FORTE","FAIBLE")</f>
        <v>FAIBLE</v>
      </c>
    </row>
    <row r="1229" spans="1:23" x14ac:dyDescent="0.25">
      <c r="A1229">
        <v>1154</v>
      </c>
      <c r="B1229">
        <v>139</v>
      </c>
      <c r="C1229">
        <v>1</v>
      </c>
      <c r="D1229" s="1">
        <v>43973</v>
      </c>
      <c r="E1229" s="59" t="str" cm="1">
        <f t="array" ref="E122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29" t="s">
        <v>1904</v>
      </c>
      <c r="G1229" s="3">
        <v>5193309</v>
      </c>
      <c r="H1229" t="s">
        <v>1452</v>
      </c>
      <c r="I1229" s="4">
        <v>3337982</v>
      </c>
      <c r="J1229" t="s">
        <v>531</v>
      </c>
      <c r="K1229" s="1">
        <v>43973</v>
      </c>
      <c r="L1229">
        <v>63</v>
      </c>
      <c r="M1229" s="2" t="str">
        <f>IF(Spotify[[#This Row],[Energie]]&gt;AVERAGE(Spotify[Energie]),"FORTE","FAIBLE")</f>
        <v>FAIBLE</v>
      </c>
      <c r="N1229" s="2">
        <v>0.82299999999999995</v>
      </c>
      <c r="O1229" s="2">
        <v>0.504</v>
      </c>
      <c r="P1229" s="2">
        <v>0.16</v>
      </c>
      <c r="Q1229" s="2">
        <v>0.20599999999999999</v>
      </c>
      <c r="R1229" s="2">
        <v>0.41699999999999998</v>
      </c>
      <c r="S1229" s="2">
        <v>0.48099999999999998</v>
      </c>
      <c r="T1229" s="2">
        <v>-8.65</v>
      </c>
      <c r="U1229">
        <v>169907</v>
      </c>
      <c r="V1229">
        <f>YEAR(Spotify[[#This Row],[Date de sortie]])</f>
        <v>2020</v>
      </c>
      <c r="W1229" s="2" t="str">
        <f>IF(Spotify[[#This Row],[Popularité]]&gt;=70,"FORTE","FAIBLE")</f>
        <v>FAIBLE</v>
      </c>
    </row>
    <row r="1230" spans="1:23" x14ac:dyDescent="0.25">
      <c r="A1230">
        <v>1523</v>
      </c>
      <c r="B1230">
        <v>176</v>
      </c>
      <c r="C1230">
        <v>1</v>
      </c>
      <c r="D1230" s="1">
        <v>43840</v>
      </c>
      <c r="E1230" s="59" t="str" cm="1">
        <f t="array" ref="E123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230" t="s">
        <v>2397</v>
      </c>
      <c r="G1230" s="3">
        <v>5150724</v>
      </c>
      <c r="H1230" t="s">
        <v>409</v>
      </c>
      <c r="I1230" s="4">
        <v>6608815</v>
      </c>
      <c r="J1230" t="s">
        <v>235</v>
      </c>
      <c r="K1230" s="1">
        <v>43805</v>
      </c>
      <c r="L1230">
        <v>63</v>
      </c>
      <c r="M1230" s="2" t="str">
        <f>IF(Spotify[[#This Row],[Energie]]&gt;AVERAGE(Spotify[Energie]),"FORTE","FAIBLE")</f>
        <v>FORTE</v>
      </c>
      <c r="N1230" s="2">
        <v>0.75700000000000001</v>
      </c>
      <c r="O1230" s="2">
        <v>0.67300000000000004</v>
      </c>
      <c r="P1230" s="2">
        <v>0.14099999999999999</v>
      </c>
      <c r="Q1230" s="2">
        <v>9.5000000000000001E-2</v>
      </c>
      <c r="R1230" s="2">
        <v>0.33800000000000002</v>
      </c>
      <c r="S1230" s="2">
        <v>0.57399999999999995</v>
      </c>
      <c r="T1230" s="2">
        <v>-8.5129999999999999</v>
      </c>
      <c r="U1230">
        <v>185806</v>
      </c>
      <c r="V1230">
        <f>YEAR(Spotify[[#This Row],[Date de sortie]])</f>
        <v>2019</v>
      </c>
      <c r="W1230" s="2" t="str">
        <f>IF(Spotify[[#This Row],[Popularité]]&gt;=70,"FORTE","FAIBLE")</f>
        <v>FAIBLE</v>
      </c>
    </row>
    <row r="1231" spans="1:23" x14ac:dyDescent="0.25">
      <c r="A1231">
        <v>1426</v>
      </c>
      <c r="B1231">
        <v>61</v>
      </c>
      <c r="C1231">
        <v>3</v>
      </c>
      <c r="D1231" s="1">
        <v>43861</v>
      </c>
      <c r="E1231" s="59" t="str" cm="1">
        <f t="array" ref="E123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31" t="s">
        <v>2270</v>
      </c>
      <c r="G1231" s="3">
        <v>5111068</v>
      </c>
      <c r="H1231" t="s">
        <v>746</v>
      </c>
      <c r="I1231" s="4">
        <v>42227614</v>
      </c>
      <c r="J1231" t="s">
        <v>10</v>
      </c>
      <c r="K1231" s="1">
        <v>43861</v>
      </c>
      <c r="L1231">
        <v>63</v>
      </c>
      <c r="M1231" s="2" t="str">
        <f>IF(Spotify[[#This Row],[Energie]]&gt;AVERAGE(Spotify[Energie]),"FORTE","FAIBLE")</f>
        <v>FORTE</v>
      </c>
      <c r="N1231" s="2">
        <v>0.56000000000000005</v>
      </c>
      <c r="O1231" s="2">
        <v>0.78</v>
      </c>
      <c r="P1231" s="2">
        <v>5.1700000000000003E-2</v>
      </c>
      <c r="Q1231" s="2">
        <v>2.4399999999999999E-3</v>
      </c>
      <c r="R1231" s="2">
        <v>7.1400000000000005E-2</v>
      </c>
      <c r="S1231" s="2">
        <v>0.60199999999999998</v>
      </c>
      <c r="T1231" s="2">
        <v>-4.8949999999999996</v>
      </c>
      <c r="U1231">
        <v>157507</v>
      </c>
      <c r="V1231">
        <f>YEAR(Spotify[[#This Row],[Date de sortie]])</f>
        <v>2020</v>
      </c>
      <c r="W1231" s="2" t="str">
        <f>IF(Spotify[[#This Row],[Popularité]]&gt;=70,"FORTE","FAIBLE")</f>
        <v>FAIBLE</v>
      </c>
    </row>
    <row r="1232" spans="1:23" x14ac:dyDescent="0.25">
      <c r="A1232">
        <v>1288</v>
      </c>
      <c r="B1232">
        <v>57</v>
      </c>
      <c r="C1232">
        <v>3</v>
      </c>
      <c r="D1232" s="1">
        <v>43896</v>
      </c>
      <c r="E1232" s="59" t="str" cm="1">
        <f t="array" ref="E123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232" t="s">
        <v>2088</v>
      </c>
      <c r="G1232" s="3">
        <v>5068849</v>
      </c>
      <c r="H1232" t="s">
        <v>1780</v>
      </c>
      <c r="I1232" s="4">
        <v>11821805</v>
      </c>
      <c r="J1232" t="s">
        <v>235</v>
      </c>
      <c r="K1232" s="1">
        <v>43896</v>
      </c>
      <c r="L1232">
        <v>63</v>
      </c>
      <c r="M1232" s="2" t="str">
        <f>IF(Spotify[[#This Row],[Energie]]&gt;AVERAGE(Spotify[Energie]),"FORTE","FAIBLE")</f>
        <v>FAIBLE</v>
      </c>
      <c r="N1232" s="2">
        <v>0.879</v>
      </c>
      <c r="O1232" s="2">
        <v>0.44800000000000001</v>
      </c>
      <c r="P1232" s="2">
        <v>0.222</v>
      </c>
      <c r="Q1232" s="2">
        <v>3.4599999999999999E-2</v>
      </c>
      <c r="R1232" s="2">
        <v>0.224</v>
      </c>
      <c r="S1232" s="2">
        <v>0.27800000000000002</v>
      </c>
      <c r="T1232" s="2">
        <v>-8.57</v>
      </c>
      <c r="U1232">
        <v>198913</v>
      </c>
      <c r="V1232">
        <f>YEAR(Spotify[[#This Row],[Date de sortie]])</f>
        <v>2020</v>
      </c>
      <c r="W1232" s="2" t="str">
        <f>IF(Spotify[[#This Row],[Popularité]]&gt;=70,"FORTE","FAIBLE")</f>
        <v>FAIBLE</v>
      </c>
    </row>
    <row r="1233" spans="1:23" x14ac:dyDescent="0.25">
      <c r="A1233">
        <v>1318</v>
      </c>
      <c r="B1233">
        <v>51</v>
      </c>
      <c r="C1233">
        <v>2</v>
      </c>
      <c r="D1233" s="1">
        <v>43896</v>
      </c>
      <c r="E1233" s="59" t="str" cm="1">
        <f t="array" ref="E123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233" t="s">
        <v>2130</v>
      </c>
      <c r="G1233" s="3">
        <v>4988839</v>
      </c>
      <c r="H1233" t="s">
        <v>1780</v>
      </c>
      <c r="I1233" s="4">
        <v>11821805</v>
      </c>
      <c r="J1233" t="s">
        <v>235</v>
      </c>
      <c r="K1233" s="1">
        <v>43896</v>
      </c>
      <c r="L1233">
        <v>63</v>
      </c>
      <c r="M1233" s="2" t="str">
        <f>IF(Spotify[[#This Row],[Energie]]&gt;AVERAGE(Spotify[Energie]),"FORTE","FAIBLE")</f>
        <v>FAIBLE</v>
      </c>
      <c r="N1233" s="2">
        <v>0.92900000000000005</v>
      </c>
      <c r="O1233" s="2">
        <v>0.56299999999999994</v>
      </c>
      <c r="P1233" s="2">
        <v>0.49</v>
      </c>
      <c r="Q1233" s="2">
        <v>5.9199999999999997E-4</v>
      </c>
      <c r="R1233" s="2">
        <v>0.24399999999999999</v>
      </c>
      <c r="S1233" s="2">
        <v>0.35299999999999998</v>
      </c>
      <c r="T1233" s="2">
        <v>-7.4279999999999999</v>
      </c>
      <c r="U1233">
        <v>213885</v>
      </c>
      <c r="V1233">
        <f>YEAR(Spotify[[#This Row],[Date de sortie]])</f>
        <v>2020</v>
      </c>
      <c r="W1233" s="2" t="str">
        <f>IF(Spotify[[#This Row],[Popularité]]&gt;=70,"FORTE","FAIBLE")</f>
        <v>FAIBLE</v>
      </c>
    </row>
    <row r="1234" spans="1:23" x14ac:dyDescent="0.25">
      <c r="A1234">
        <v>759</v>
      </c>
      <c r="B1234">
        <v>192</v>
      </c>
      <c r="C1234">
        <v>1</v>
      </c>
      <c r="D1234" s="1">
        <v>44155</v>
      </c>
      <c r="E1234" s="59" t="str" cm="1">
        <f t="array" ref="E123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34" t="s">
        <v>1318</v>
      </c>
      <c r="G1234" s="3">
        <v>4920218</v>
      </c>
      <c r="H1234" t="s">
        <v>1296</v>
      </c>
      <c r="I1234" s="4">
        <v>4430628</v>
      </c>
      <c r="J1234" t="s">
        <v>438</v>
      </c>
      <c r="K1234" s="1">
        <v>44183</v>
      </c>
      <c r="L1234">
        <v>63</v>
      </c>
      <c r="M1234" s="2" t="str">
        <f>IF(Spotify[[#This Row],[Energie]]&gt;AVERAGE(Spotify[Energie]),"FORTE","FAIBLE")</f>
        <v>FORTE</v>
      </c>
      <c r="N1234" s="2">
        <v>0.84799999999999998</v>
      </c>
      <c r="O1234" s="2">
        <v>0.70799999999999996</v>
      </c>
      <c r="P1234" s="2">
        <v>3.6600000000000001E-2</v>
      </c>
      <c r="Q1234" s="2">
        <v>0.153</v>
      </c>
      <c r="R1234" s="2">
        <v>9.4799999999999995E-2</v>
      </c>
      <c r="S1234" s="2">
        <v>0.92600000000000005</v>
      </c>
      <c r="T1234" s="2">
        <v>-6.3360000000000003</v>
      </c>
      <c r="U1234">
        <v>191869</v>
      </c>
      <c r="V1234">
        <f>YEAR(Spotify[[#This Row],[Date de sortie]])</f>
        <v>2020</v>
      </c>
      <c r="W1234" s="2" t="str">
        <f>IF(Spotify[[#This Row],[Popularité]]&gt;=70,"FORTE","FAIBLE")</f>
        <v>FAIBLE</v>
      </c>
    </row>
    <row r="1235" spans="1:23" x14ac:dyDescent="0.25">
      <c r="A1235">
        <v>904</v>
      </c>
      <c r="B1235">
        <v>112</v>
      </c>
      <c r="C1235">
        <v>2</v>
      </c>
      <c r="D1235" s="1">
        <v>44078</v>
      </c>
      <c r="E1235" s="59" t="str" cm="1">
        <f t="array" ref="E123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35" t="s">
        <v>1546</v>
      </c>
      <c r="G1235" s="3">
        <v>4898520</v>
      </c>
      <c r="H1235" t="s">
        <v>1401</v>
      </c>
      <c r="I1235" s="4">
        <v>1683006</v>
      </c>
      <c r="J1235" t="s">
        <v>206</v>
      </c>
      <c r="K1235" s="1">
        <v>44084</v>
      </c>
      <c r="L1235">
        <v>63</v>
      </c>
      <c r="M1235" s="2" t="str">
        <f>IF(Spotify[[#This Row],[Energie]]&gt;AVERAGE(Spotify[Energie]),"FORTE","FAIBLE")</f>
        <v>FAIBLE</v>
      </c>
      <c r="N1235" s="2">
        <v>0.81699999999999995</v>
      </c>
      <c r="O1235" s="2">
        <v>0.46800000000000003</v>
      </c>
      <c r="P1235" s="2">
        <v>0.28699999999999998</v>
      </c>
      <c r="Q1235" s="2">
        <v>0.23300000000000001</v>
      </c>
      <c r="R1235" s="2">
        <v>9.0499999999999997E-2</v>
      </c>
      <c r="S1235" s="2">
        <v>0.23699999999999999</v>
      </c>
      <c r="T1235" s="2">
        <v>-10.945</v>
      </c>
      <c r="U1235">
        <v>182931</v>
      </c>
      <c r="V1235">
        <f>YEAR(Spotify[[#This Row],[Date de sortie]])</f>
        <v>2020</v>
      </c>
      <c r="W1235" s="2" t="str">
        <f>IF(Spotify[[#This Row],[Popularité]]&gt;=70,"FORTE","FAIBLE")</f>
        <v>FAIBLE</v>
      </c>
    </row>
    <row r="1236" spans="1:23" x14ac:dyDescent="0.25">
      <c r="A1236">
        <v>1402</v>
      </c>
      <c r="B1236">
        <v>196</v>
      </c>
      <c r="C1236">
        <v>1</v>
      </c>
      <c r="D1236" s="1">
        <v>43882</v>
      </c>
      <c r="E1236" s="59" t="str" cm="1">
        <f t="array" ref="E123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236" t="s">
        <v>2241</v>
      </c>
      <c r="G1236" s="3">
        <v>4851895</v>
      </c>
      <c r="H1236" t="s">
        <v>2242</v>
      </c>
      <c r="I1236" s="4">
        <v>3600989</v>
      </c>
      <c r="J1236" t="s">
        <v>25</v>
      </c>
      <c r="K1236" s="1">
        <v>43909</v>
      </c>
      <c r="L1236">
        <v>63</v>
      </c>
      <c r="M1236" s="2" t="str">
        <f>IF(Spotify[[#This Row],[Energie]]&gt;AVERAGE(Spotify[Energie]),"FORTE","FAIBLE")</f>
        <v>FAIBLE</v>
      </c>
      <c r="N1236" s="2">
        <v>0.52400000000000002</v>
      </c>
      <c r="O1236" s="2">
        <v>0.57699999999999996</v>
      </c>
      <c r="P1236" s="2">
        <v>0.18</v>
      </c>
      <c r="Q1236" s="2">
        <v>0.185</v>
      </c>
      <c r="R1236" s="2">
        <v>0.10299999999999999</v>
      </c>
      <c r="S1236" s="2">
        <v>0.19</v>
      </c>
      <c r="T1236" s="2">
        <v>-4.5010000000000003</v>
      </c>
      <c r="U1236">
        <v>201361</v>
      </c>
      <c r="V1236">
        <f>YEAR(Spotify[[#This Row],[Date de sortie]])</f>
        <v>2020</v>
      </c>
      <c r="W1236" s="2" t="str">
        <f>IF(Spotify[[#This Row],[Popularité]]&gt;=70,"FORTE","FAIBLE")</f>
        <v>FAIBLE</v>
      </c>
    </row>
    <row r="1237" spans="1:23" x14ac:dyDescent="0.25">
      <c r="A1237">
        <v>893</v>
      </c>
      <c r="B1237">
        <v>181</v>
      </c>
      <c r="C1237">
        <v>1</v>
      </c>
      <c r="D1237" s="1">
        <v>44092</v>
      </c>
      <c r="E1237" s="59" t="str" cm="1">
        <f t="array" ref="E123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237" t="s">
        <v>1529</v>
      </c>
      <c r="G1237" s="3">
        <v>4800543</v>
      </c>
      <c r="H1237" t="s">
        <v>616</v>
      </c>
      <c r="I1237" s="4">
        <v>4022792</v>
      </c>
      <c r="J1237" t="s">
        <v>235</v>
      </c>
      <c r="K1237" s="1">
        <v>44092</v>
      </c>
      <c r="L1237">
        <v>63</v>
      </c>
      <c r="M1237" s="2" t="str">
        <f>IF(Spotify[[#This Row],[Energie]]&gt;AVERAGE(Spotify[Energie]),"FORTE","FAIBLE")</f>
        <v>FAIBLE</v>
      </c>
      <c r="N1237" s="2">
        <v>0.66400000000000003</v>
      </c>
      <c r="O1237" s="2">
        <v>0.58599999999999997</v>
      </c>
      <c r="P1237" s="2">
        <v>0.23799999999999999</v>
      </c>
      <c r="Q1237" s="2">
        <v>0.21199999999999999</v>
      </c>
      <c r="R1237" s="2">
        <v>0.216</v>
      </c>
      <c r="S1237" s="2">
        <v>0.58899999999999997</v>
      </c>
      <c r="T1237" s="2">
        <v>-7.8129999999999997</v>
      </c>
      <c r="U1237">
        <v>179813</v>
      </c>
      <c r="V1237">
        <f>YEAR(Spotify[[#This Row],[Date de sortie]])</f>
        <v>2020</v>
      </c>
      <c r="W1237" s="2" t="str">
        <f>IF(Spotify[[#This Row],[Popularité]]&gt;=70,"FORTE","FAIBLE")</f>
        <v>FAIBLE</v>
      </c>
    </row>
    <row r="1238" spans="1:23" x14ac:dyDescent="0.25">
      <c r="A1238">
        <v>1189</v>
      </c>
      <c r="B1238">
        <v>49</v>
      </c>
      <c r="C1238">
        <v>2</v>
      </c>
      <c r="D1238" s="1">
        <v>43952</v>
      </c>
      <c r="E1238" s="59" t="str" cm="1">
        <f t="array" ref="E123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38" t="s">
        <v>1956</v>
      </c>
      <c r="G1238" s="3">
        <v>4766829</v>
      </c>
      <c r="H1238" t="s">
        <v>179</v>
      </c>
      <c r="I1238" s="4">
        <v>56327031</v>
      </c>
      <c r="J1238" t="s">
        <v>155</v>
      </c>
      <c r="K1238" s="1">
        <v>43952</v>
      </c>
      <c r="L1238">
        <v>63</v>
      </c>
      <c r="M1238" s="2" t="str">
        <f>IF(Spotify[[#This Row],[Energie]]&gt;AVERAGE(Spotify[Energie]),"FORTE","FAIBLE")</f>
        <v>FORTE</v>
      </c>
      <c r="N1238" s="2">
        <v>0.54300000000000004</v>
      </c>
      <c r="O1238" s="2">
        <v>0.76600000000000001</v>
      </c>
      <c r="P1238" s="2">
        <v>0.34300000000000003</v>
      </c>
      <c r="Q1238" s="2">
        <v>0.42299999999999999</v>
      </c>
      <c r="R1238" s="2">
        <v>0.155</v>
      </c>
      <c r="S1238" s="2">
        <v>0.72899999999999998</v>
      </c>
      <c r="T1238" s="2">
        <v>-3.387</v>
      </c>
      <c r="U1238">
        <v>204805</v>
      </c>
      <c r="V1238">
        <f>YEAR(Spotify[[#This Row],[Date de sortie]])</f>
        <v>2020</v>
      </c>
      <c r="W1238" s="2" t="str">
        <f>IF(Spotify[[#This Row],[Popularité]]&gt;=70,"FORTE","FAIBLE")</f>
        <v>FAIBLE</v>
      </c>
    </row>
    <row r="1239" spans="1:23" x14ac:dyDescent="0.25">
      <c r="A1239">
        <v>1291</v>
      </c>
      <c r="B1239">
        <v>42</v>
      </c>
      <c r="C1239">
        <v>5</v>
      </c>
      <c r="D1239" s="1">
        <v>43882</v>
      </c>
      <c r="E1239" s="59" t="str" cm="1">
        <f t="array" ref="E123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39" t="s">
        <v>2092</v>
      </c>
      <c r="G1239" s="3">
        <v>4765672</v>
      </c>
      <c r="H1239" t="s">
        <v>454</v>
      </c>
      <c r="I1239" s="4">
        <v>28931149</v>
      </c>
      <c r="J1239" t="s">
        <v>19</v>
      </c>
      <c r="K1239" s="1">
        <v>43882</v>
      </c>
      <c r="L1239">
        <v>63</v>
      </c>
      <c r="M1239" s="2" t="str">
        <f>IF(Spotify[[#This Row],[Energie]]&gt;AVERAGE(Spotify[Energie]),"FORTE","FAIBLE")</f>
        <v>FORTE</v>
      </c>
      <c r="N1239" s="2">
        <v>0.71</v>
      </c>
      <c r="O1239" s="2">
        <v>0.80800000000000005</v>
      </c>
      <c r="P1239" s="2">
        <v>4.3299999999999998E-2</v>
      </c>
      <c r="Q1239" s="2">
        <v>0.44</v>
      </c>
      <c r="R1239" s="2">
        <v>7.3400000000000007E-2</v>
      </c>
      <c r="S1239" s="2">
        <v>0.39200000000000002</v>
      </c>
      <c r="T1239" s="2">
        <v>-6.7030000000000003</v>
      </c>
      <c r="U1239">
        <v>226003</v>
      </c>
      <c r="V1239">
        <f>YEAR(Spotify[[#This Row],[Date de sortie]])</f>
        <v>2020</v>
      </c>
      <c r="W1239" s="2" t="str">
        <f>IF(Spotify[[#This Row],[Popularité]]&gt;=70,"FORTE","FAIBLE")</f>
        <v>FAIBLE</v>
      </c>
    </row>
    <row r="1240" spans="1:23" x14ac:dyDescent="0.25">
      <c r="A1240">
        <v>908</v>
      </c>
      <c r="B1240">
        <v>150</v>
      </c>
      <c r="C1240">
        <v>5</v>
      </c>
      <c r="D1240" s="1">
        <v>44071</v>
      </c>
      <c r="E1240" s="59" t="str" cm="1">
        <f t="array" ref="E124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40" t="s">
        <v>1552</v>
      </c>
      <c r="G1240" s="3">
        <v>4652583</v>
      </c>
      <c r="H1240" t="s">
        <v>504</v>
      </c>
      <c r="I1240" s="4">
        <v>15778531</v>
      </c>
      <c r="J1240" t="s">
        <v>19</v>
      </c>
      <c r="K1240" s="1">
        <v>39814</v>
      </c>
      <c r="L1240">
        <v>63</v>
      </c>
      <c r="M1240" s="2" t="str">
        <f>IF(Spotify[[#This Row],[Energie]]&gt;AVERAGE(Spotify[Energie]),"FORTE","FAIBLE")</f>
        <v>FAIBLE</v>
      </c>
      <c r="N1240" s="2">
        <v>0.45900000000000002</v>
      </c>
      <c r="O1240" s="2">
        <v>0.54500000000000004</v>
      </c>
      <c r="P1240" s="2">
        <v>2.8199999999999999E-2</v>
      </c>
      <c r="Q1240" s="2">
        <v>0.14199999999999999</v>
      </c>
      <c r="R1240" s="2">
        <v>0.105</v>
      </c>
      <c r="S1240" s="2">
        <v>0.19400000000000001</v>
      </c>
      <c r="T1240" s="2">
        <v>-4.8739999999999997</v>
      </c>
      <c r="U1240">
        <v>248587</v>
      </c>
      <c r="V1240">
        <f>YEAR(Spotify[[#This Row],[Date de sortie]])</f>
        <v>2009</v>
      </c>
      <c r="W1240" s="2" t="str">
        <f>IF(Spotify[[#This Row],[Popularité]]&gt;=70,"FORTE","FAIBLE")</f>
        <v>FAIBLE</v>
      </c>
    </row>
    <row r="1241" spans="1:23" x14ac:dyDescent="0.25">
      <c r="A1241">
        <v>1238</v>
      </c>
      <c r="B1241">
        <v>128</v>
      </c>
      <c r="C1241">
        <v>3</v>
      </c>
      <c r="D1241" s="1">
        <v>43924</v>
      </c>
      <c r="E1241" s="59" t="str" cm="1">
        <f t="array" ref="E124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241" t="s">
        <v>2020</v>
      </c>
      <c r="G1241" s="3">
        <v>4593449</v>
      </c>
      <c r="H1241" t="s">
        <v>2021</v>
      </c>
      <c r="I1241" s="4">
        <v>17792779</v>
      </c>
      <c r="J1241" t="s">
        <v>25</v>
      </c>
      <c r="K1241" s="1">
        <v>43922</v>
      </c>
      <c r="L1241">
        <v>63</v>
      </c>
      <c r="M1241" s="2" t="str">
        <f>IF(Spotify[[#This Row],[Energie]]&gt;AVERAGE(Spotify[Energie]),"FORTE","FAIBLE")</f>
        <v>FORTE</v>
      </c>
      <c r="N1241" s="2">
        <v>0.73499999999999999</v>
      </c>
      <c r="O1241" s="2">
        <v>0.78700000000000003</v>
      </c>
      <c r="P1241" s="2">
        <v>0.16</v>
      </c>
      <c r="Q1241" s="2">
        <v>0.66700000000000004</v>
      </c>
      <c r="R1241" s="2">
        <v>7.2099999999999997E-2</v>
      </c>
      <c r="S1241" s="2">
        <v>0.45500000000000002</v>
      </c>
      <c r="T1241" s="2">
        <v>-4.375</v>
      </c>
      <c r="U1241">
        <v>203093</v>
      </c>
      <c r="V1241">
        <f>YEAR(Spotify[[#This Row],[Date de sortie]])</f>
        <v>2020</v>
      </c>
      <c r="W1241" s="2" t="str">
        <f>IF(Spotify[[#This Row],[Popularité]]&gt;=70,"FORTE","FAIBLE")</f>
        <v>FAIBLE</v>
      </c>
    </row>
    <row r="1242" spans="1:23" x14ac:dyDescent="0.25">
      <c r="A1242">
        <v>1006</v>
      </c>
      <c r="B1242">
        <v>10</v>
      </c>
      <c r="C1242">
        <v>2</v>
      </c>
      <c r="D1242" s="1">
        <v>44022</v>
      </c>
      <c r="E1242" s="59" t="str" cm="1">
        <f t="array" ref="E124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242" t="s">
        <v>1695</v>
      </c>
      <c r="G1242" s="3">
        <v>15129295</v>
      </c>
      <c r="H1242" t="s">
        <v>1696</v>
      </c>
      <c r="I1242" s="4">
        <v>150587</v>
      </c>
      <c r="J1242" t="s">
        <v>235</v>
      </c>
      <c r="K1242" s="1">
        <v>44022</v>
      </c>
      <c r="L1242">
        <v>62</v>
      </c>
      <c r="M1242" s="2" t="str">
        <f>IF(Spotify[[#This Row],[Energie]]&gt;AVERAGE(Spotify[Energie]),"FORTE","FAIBLE")</f>
        <v>FAIBLE</v>
      </c>
      <c r="N1242" s="2">
        <v>0.752</v>
      </c>
      <c r="O1242" s="2">
        <v>0.375</v>
      </c>
      <c r="P1242" s="2">
        <v>0.20399999999999999</v>
      </c>
      <c r="Q1242" s="2">
        <v>0.53300000000000003</v>
      </c>
      <c r="R1242" s="2">
        <v>0.17499999999999999</v>
      </c>
      <c r="S1242" s="2">
        <v>0.59099999999999997</v>
      </c>
      <c r="T1242" s="2">
        <v>-10.157</v>
      </c>
      <c r="U1242">
        <v>147673</v>
      </c>
      <c r="V1242">
        <f>YEAR(Spotify[[#This Row],[Date de sortie]])</f>
        <v>2020</v>
      </c>
      <c r="W1242" s="2" t="str">
        <f>IF(Spotify[[#This Row],[Popularité]]&gt;=70,"FORTE","FAIBLE")</f>
        <v>FAIBLE</v>
      </c>
    </row>
    <row r="1243" spans="1:23" x14ac:dyDescent="0.25">
      <c r="A1243">
        <v>703</v>
      </c>
      <c r="B1243">
        <v>70</v>
      </c>
      <c r="C1243">
        <v>1</v>
      </c>
      <c r="D1243" s="1">
        <v>44176</v>
      </c>
      <c r="E1243" s="59" t="str" cm="1">
        <f t="array" ref="E124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43" t="s">
        <v>1245</v>
      </c>
      <c r="G1243" s="3">
        <v>11245393</v>
      </c>
      <c r="H1243" t="s">
        <v>746</v>
      </c>
      <c r="I1243" s="4">
        <v>42227614</v>
      </c>
      <c r="J1243" t="s">
        <v>10</v>
      </c>
      <c r="K1243" s="1">
        <v>44176</v>
      </c>
      <c r="L1243">
        <v>62</v>
      </c>
      <c r="M1243" s="2" t="str">
        <f>IF(Spotify[[#This Row],[Energie]]&gt;AVERAGE(Spotify[Energie]),"FORTE","FAIBLE")</f>
        <v>FORTE</v>
      </c>
      <c r="N1243" s="2">
        <v>0.68899999999999995</v>
      </c>
      <c r="O1243" s="2">
        <v>0.70399999999999996</v>
      </c>
      <c r="P1243" s="2">
        <v>0.245</v>
      </c>
      <c r="Q1243" s="2">
        <v>0.83499999999999996</v>
      </c>
      <c r="R1243" s="2">
        <v>0.13400000000000001</v>
      </c>
      <c r="S1243" s="2">
        <v>0.92</v>
      </c>
      <c r="T1243" s="2">
        <v>-10.813000000000001</v>
      </c>
      <c r="U1243">
        <v>180653</v>
      </c>
      <c r="V1243">
        <f>YEAR(Spotify[[#This Row],[Date de sortie]])</f>
        <v>2020</v>
      </c>
      <c r="W1243" s="2" t="str">
        <f>IF(Spotify[[#This Row],[Popularité]]&gt;=70,"FORTE","FAIBLE")</f>
        <v>FAIBLE</v>
      </c>
    </row>
    <row r="1244" spans="1:23" x14ac:dyDescent="0.25">
      <c r="A1244">
        <v>1487</v>
      </c>
      <c r="B1244">
        <v>57</v>
      </c>
      <c r="C1244">
        <v>1</v>
      </c>
      <c r="D1244" s="1">
        <v>43847</v>
      </c>
      <c r="E1244" s="59" t="str" cm="1">
        <f t="array" ref="E124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44" t="s">
        <v>2357</v>
      </c>
      <c r="G1244" s="3">
        <v>10830400</v>
      </c>
      <c r="H1244" t="s">
        <v>412</v>
      </c>
      <c r="I1244" s="4">
        <v>46814751</v>
      </c>
      <c r="J1244" t="s">
        <v>413</v>
      </c>
      <c r="K1244" s="1">
        <v>43847</v>
      </c>
      <c r="L1244">
        <v>62</v>
      </c>
      <c r="M1244" s="2" t="str">
        <f>IF(Spotify[[#This Row],[Energie]]&gt;AVERAGE(Spotify[Energie]),"FORTE","FAIBLE")</f>
        <v>FORTE</v>
      </c>
      <c r="N1244" s="2">
        <v>0.84699999999999998</v>
      </c>
      <c r="O1244" s="2">
        <v>0.63700000000000001</v>
      </c>
      <c r="P1244" s="2">
        <v>0.36699999999999999</v>
      </c>
      <c r="Q1244" s="2">
        <v>2.58E-2</v>
      </c>
      <c r="R1244" s="2">
        <v>0.38200000000000001</v>
      </c>
      <c r="S1244" s="2">
        <v>0.51100000000000001</v>
      </c>
      <c r="T1244" s="2">
        <v>-5.1929999999999996</v>
      </c>
      <c r="U1244">
        <v>173893</v>
      </c>
      <c r="V1244">
        <f>YEAR(Spotify[[#This Row],[Date de sortie]])</f>
        <v>2020</v>
      </c>
      <c r="W1244" s="2" t="str">
        <f>IF(Spotify[[#This Row],[Popularité]]&gt;=70,"FORTE","FAIBLE")</f>
        <v>FAIBLE</v>
      </c>
    </row>
    <row r="1245" spans="1:23" x14ac:dyDescent="0.25">
      <c r="A1245">
        <v>1331</v>
      </c>
      <c r="B1245">
        <v>64</v>
      </c>
      <c r="C1245">
        <v>1</v>
      </c>
      <c r="D1245" s="1">
        <v>43896</v>
      </c>
      <c r="E1245" s="59" t="str" cm="1">
        <f t="array" ref="E124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245" t="s">
        <v>2144</v>
      </c>
      <c r="G1245" s="3">
        <v>9974143</v>
      </c>
      <c r="H1245" t="s">
        <v>1780</v>
      </c>
      <c r="I1245" s="4">
        <v>11821805</v>
      </c>
      <c r="J1245" t="s">
        <v>235</v>
      </c>
      <c r="K1245" s="1">
        <v>43896</v>
      </c>
      <c r="L1245">
        <v>62</v>
      </c>
      <c r="M1245" s="2" t="str">
        <f>IF(Spotify[[#This Row],[Energie]]&gt;AVERAGE(Spotify[Energie]),"FORTE","FAIBLE")</f>
        <v>FORTE</v>
      </c>
      <c r="N1245" s="2">
        <v>0.77600000000000002</v>
      </c>
      <c r="O1245" s="2">
        <v>0.752</v>
      </c>
      <c r="P1245" s="2">
        <v>0.193</v>
      </c>
      <c r="Q1245" s="2">
        <v>0.32500000000000001</v>
      </c>
      <c r="R1245" s="2">
        <v>0.33</v>
      </c>
      <c r="S1245" s="2">
        <v>0.71599999999999997</v>
      </c>
      <c r="T1245" s="2">
        <v>-4.7110000000000003</v>
      </c>
      <c r="U1245">
        <v>192705</v>
      </c>
      <c r="V1245">
        <f>YEAR(Spotify[[#This Row],[Date de sortie]])</f>
        <v>2020</v>
      </c>
      <c r="W1245" s="2" t="str">
        <f>IF(Spotify[[#This Row],[Popularité]]&gt;=70,"FORTE","FAIBLE")</f>
        <v>FAIBLE</v>
      </c>
    </row>
    <row r="1246" spans="1:23" x14ac:dyDescent="0.25">
      <c r="A1246">
        <v>1491</v>
      </c>
      <c r="B1246">
        <v>71</v>
      </c>
      <c r="C1246">
        <v>1</v>
      </c>
      <c r="D1246" s="1">
        <v>43847</v>
      </c>
      <c r="E1246" s="59" t="str" cm="1">
        <f t="array" ref="E124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46" t="s">
        <v>2361</v>
      </c>
      <c r="G1246" s="3">
        <v>9443725</v>
      </c>
      <c r="H1246" t="s">
        <v>2268</v>
      </c>
      <c r="I1246" s="4">
        <v>6189454</v>
      </c>
      <c r="J1246" t="s">
        <v>426</v>
      </c>
      <c r="K1246" s="1">
        <v>43847</v>
      </c>
      <c r="L1246">
        <v>62</v>
      </c>
      <c r="M1246" s="2" t="str">
        <f>IF(Spotify[[#This Row],[Energie]]&gt;AVERAGE(Spotify[Energie]),"FORTE","FAIBLE")</f>
        <v>FAIBLE</v>
      </c>
      <c r="N1246" s="2">
        <v>0.83099999999999996</v>
      </c>
      <c r="O1246" s="2">
        <v>0.36</v>
      </c>
      <c r="P1246" s="2">
        <v>5.1999999999999998E-2</v>
      </c>
      <c r="Q1246" s="2">
        <v>0.13600000000000001</v>
      </c>
      <c r="R1246" s="2">
        <v>7.0300000000000001E-2</v>
      </c>
      <c r="S1246" s="2">
        <v>0.60099999999999998</v>
      </c>
      <c r="T1246" s="2">
        <v>-8.0730000000000004</v>
      </c>
      <c r="U1246">
        <v>232212</v>
      </c>
      <c r="V1246">
        <f>YEAR(Spotify[[#This Row],[Date de sortie]])</f>
        <v>2020</v>
      </c>
      <c r="W1246" s="2" t="str">
        <f>IF(Spotify[[#This Row],[Popularité]]&gt;=70,"FORTE","FAIBLE")</f>
        <v>FAIBLE</v>
      </c>
    </row>
    <row r="1247" spans="1:23" x14ac:dyDescent="0.25">
      <c r="A1247">
        <v>806</v>
      </c>
      <c r="B1247">
        <v>65</v>
      </c>
      <c r="C1247">
        <v>1</v>
      </c>
      <c r="D1247" s="1">
        <v>44134</v>
      </c>
      <c r="E1247" s="59" t="str" cm="1">
        <f t="array" ref="E124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47" t="s">
        <v>1395</v>
      </c>
      <c r="G1247" s="3">
        <v>9399230</v>
      </c>
      <c r="H1247" t="s">
        <v>202</v>
      </c>
      <c r="I1247" s="4">
        <v>67208170</v>
      </c>
      <c r="J1247" t="s">
        <v>19</v>
      </c>
      <c r="K1247" s="1">
        <v>44134</v>
      </c>
      <c r="L1247">
        <v>62</v>
      </c>
      <c r="M1247" s="2" t="str">
        <f>IF(Spotify[[#This Row],[Energie]]&gt;AVERAGE(Spotify[Energie]),"FORTE","FAIBLE")</f>
        <v>FAIBLE</v>
      </c>
      <c r="N1247" s="2">
        <v>0.68799999999999994</v>
      </c>
      <c r="O1247" s="2">
        <v>0.57299999999999995</v>
      </c>
      <c r="P1247" s="2">
        <v>0.20799999999999999</v>
      </c>
      <c r="Q1247" s="2">
        <v>6.8599999999999994E-2</v>
      </c>
      <c r="R1247" s="2">
        <v>7.4899999999999994E-2</v>
      </c>
      <c r="S1247" s="2">
        <v>0.55300000000000005</v>
      </c>
      <c r="T1247" s="2">
        <v>-5.03</v>
      </c>
      <c r="U1247">
        <v>179861</v>
      </c>
      <c r="V1247">
        <f>YEAR(Spotify[[#This Row],[Date de sortie]])</f>
        <v>2020</v>
      </c>
      <c r="W1247" s="2" t="str">
        <f>IF(Spotify[[#This Row],[Popularité]]&gt;=70,"FORTE","FAIBLE")</f>
        <v>FAIBLE</v>
      </c>
    </row>
    <row r="1248" spans="1:23" x14ac:dyDescent="0.25">
      <c r="A1248">
        <v>807</v>
      </c>
      <c r="B1248">
        <v>66</v>
      </c>
      <c r="C1248">
        <v>1</v>
      </c>
      <c r="D1248" s="1">
        <v>44134</v>
      </c>
      <c r="E1248" s="59" t="str" cm="1">
        <f t="array" ref="E124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48" t="s">
        <v>1396</v>
      </c>
      <c r="G1248" s="3">
        <v>9397167</v>
      </c>
      <c r="H1248" t="s">
        <v>202</v>
      </c>
      <c r="I1248" s="4">
        <v>67208170</v>
      </c>
      <c r="J1248" t="s">
        <v>19</v>
      </c>
      <c r="K1248" s="1">
        <v>44134</v>
      </c>
      <c r="L1248">
        <v>62</v>
      </c>
      <c r="M1248" s="2" t="str">
        <f>IF(Spotify[[#This Row],[Energie]]&gt;AVERAGE(Spotify[Energie]),"FORTE","FAIBLE")</f>
        <v>FAIBLE</v>
      </c>
      <c r="N1248" s="2">
        <v>0.68799999999999994</v>
      </c>
      <c r="O1248" s="2">
        <v>0.45500000000000002</v>
      </c>
      <c r="P1248" s="2">
        <v>0.19900000000000001</v>
      </c>
      <c r="Q1248" s="2">
        <v>0.186</v>
      </c>
      <c r="R1248" s="2">
        <v>7.9399999999999998E-2</v>
      </c>
      <c r="S1248" s="2">
        <v>0.55700000000000005</v>
      </c>
      <c r="T1248" s="2">
        <v>-8.6319999999999997</v>
      </c>
      <c r="U1248">
        <v>132279</v>
      </c>
      <c r="V1248">
        <f>YEAR(Spotify[[#This Row],[Date de sortie]])</f>
        <v>2020</v>
      </c>
      <c r="W1248" s="2" t="str">
        <f>IF(Spotify[[#This Row],[Popularité]]&gt;=70,"FORTE","FAIBLE")</f>
        <v>FAIBLE</v>
      </c>
    </row>
    <row r="1249" spans="1:23" x14ac:dyDescent="0.25">
      <c r="A1249">
        <v>1493</v>
      </c>
      <c r="B1249">
        <v>73</v>
      </c>
      <c r="C1249">
        <v>1</v>
      </c>
      <c r="D1249" s="1">
        <v>43847</v>
      </c>
      <c r="E1249" s="59" t="str" cm="1">
        <f t="array" ref="E124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49" t="s">
        <v>2363</v>
      </c>
      <c r="G1249" s="3">
        <v>9260007</v>
      </c>
      <c r="H1249" t="s">
        <v>412</v>
      </c>
      <c r="I1249" s="4">
        <v>46814751</v>
      </c>
      <c r="J1249" t="s">
        <v>413</v>
      </c>
      <c r="K1249" s="1">
        <v>43847</v>
      </c>
      <c r="L1249">
        <v>62</v>
      </c>
      <c r="M1249" s="2" t="str">
        <f>IF(Spotify[[#This Row],[Energie]]&gt;AVERAGE(Spotify[Energie]),"FORTE","FAIBLE")</f>
        <v>FAIBLE</v>
      </c>
      <c r="N1249" s="2">
        <v>0.871</v>
      </c>
      <c r="O1249" s="2">
        <v>0.49299999999999999</v>
      </c>
      <c r="P1249" s="2">
        <v>0.20499999999999999</v>
      </c>
      <c r="Q1249" s="2">
        <v>1.34E-2</v>
      </c>
      <c r="R1249" s="2">
        <v>0.38500000000000001</v>
      </c>
      <c r="S1249" s="2">
        <v>4.9500000000000002E-2</v>
      </c>
      <c r="T1249" s="2">
        <v>-6.3559999999999999</v>
      </c>
      <c r="U1249">
        <v>200573</v>
      </c>
      <c r="V1249">
        <f>YEAR(Spotify[[#This Row],[Date de sortie]])</f>
        <v>2020</v>
      </c>
      <c r="W1249" s="2" t="str">
        <f>IF(Spotify[[#This Row],[Popularité]]&gt;=70,"FORTE","FAIBLE")</f>
        <v>FAIBLE</v>
      </c>
    </row>
    <row r="1250" spans="1:23" x14ac:dyDescent="0.25">
      <c r="A1250">
        <v>1405</v>
      </c>
      <c r="B1250">
        <v>64</v>
      </c>
      <c r="C1250">
        <v>1</v>
      </c>
      <c r="D1250" s="1">
        <v>43875</v>
      </c>
      <c r="E1250" s="59" t="str" cm="1">
        <f t="array" ref="E125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50" t="s">
        <v>2246</v>
      </c>
      <c r="G1250" s="3">
        <v>9120086</v>
      </c>
      <c r="H1250" t="s">
        <v>35</v>
      </c>
      <c r="I1250" s="4">
        <v>48544923</v>
      </c>
      <c r="J1250" t="s">
        <v>36</v>
      </c>
      <c r="K1250" s="1">
        <v>43875</v>
      </c>
      <c r="L1250">
        <v>62</v>
      </c>
      <c r="M1250" s="2" t="str">
        <f>IF(Spotify[[#This Row],[Energie]]&gt;AVERAGE(Spotify[Energie]),"FORTE","FAIBLE")</f>
        <v>FAIBLE</v>
      </c>
      <c r="N1250" s="2">
        <v>0.76400000000000001</v>
      </c>
      <c r="O1250" s="2">
        <v>0.443</v>
      </c>
      <c r="P1250" s="2">
        <v>4.3900000000000002E-2</v>
      </c>
      <c r="Q1250" s="2">
        <v>0.52</v>
      </c>
      <c r="R1250" s="2">
        <v>7.4899999999999994E-2</v>
      </c>
      <c r="S1250" s="2">
        <v>0.63</v>
      </c>
      <c r="T1250" s="2">
        <v>-6.625</v>
      </c>
      <c r="U1250">
        <v>168200</v>
      </c>
      <c r="V1250">
        <f>YEAR(Spotify[[#This Row],[Date de sortie]])</f>
        <v>2020</v>
      </c>
      <c r="W1250" s="2" t="str">
        <f>IF(Spotify[[#This Row],[Popularité]]&gt;=70,"FORTE","FAIBLE")</f>
        <v>FAIBLE</v>
      </c>
    </row>
    <row r="1251" spans="1:23" x14ac:dyDescent="0.25">
      <c r="A1251">
        <v>1496</v>
      </c>
      <c r="B1251">
        <v>90</v>
      </c>
      <c r="C1251">
        <v>1</v>
      </c>
      <c r="D1251" s="1">
        <v>43847</v>
      </c>
      <c r="E1251" s="59" t="str" cm="1">
        <f t="array" ref="E125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51" t="s">
        <v>2366</v>
      </c>
      <c r="G1251" s="3">
        <v>8335790</v>
      </c>
      <c r="H1251" t="s">
        <v>412</v>
      </c>
      <c r="I1251" s="4">
        <v>46814751</v>
      </c>
      <c r="J1251" t="s">
        <v>413</v>
      </c>
      <c r="K1251" s="1">
        <v>43847</v>
      </c>
      <c r="L1251">
        <v>62</v>
      </c>
      <c r="M1251" s="2" t="str">
        <f>IF(Spotify[[#This Row],[Energie]]&gt;AVERAGE(Spotify[Energie]),"FORTE","FAIBLE")</f>
        <v>FORTE</v>
      </c>
      <c r="N1251" s="2">
        <v>0.747</v>
      </c>
      <c r="O1251" s="2">
        <v>0.89900000000000002</v>
      </c>
      <c r="P1251" s="2">
        <v>0.246</v>
      </c>
      <c r="Q1251" s="2">
        <v>0.1</v>
      </c>
      <c r="R1251" s="2">
        <v>0.48599999999999999</v>
      </c>
      <c r="S1251" s="2">
        <v>0.58099999999999996</v>
      </c>
      <c r="T1251" s="2">
        <v>-5.125</v>
      </c>
      <c r="U1251">
        <v>177547</v>
      </c>
      <c r="V1251">
        <f>YEAR(Spotify[[#This Row],[Date de sortie]])</f>
        <v>2020</v>
      </c>
      <c r="W1251" s="2" t="str">
        <f>IF(Spotify[[#This Row],[Popularité]]&gt;=70,"FORTE","FAIBLE")</f>
        <v>FAIBLE</v>
      </c>
    </row>
    <row r="1252" spans="1:23" x14ac:dyDescent="0.25">
      <c r="A1252">
        <v>1499</v>
      </c>
      <c r="B1252">
        <v>98</v>
      </c>
      <c r="C1252">
        <v>1</v>
      </c>
      <c r="D1252" s="1">
        <v>43847</v>
      </c>
      <c r="E1252" s="59" t="str" cm="1">
        <f t="array" ref="E125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52" t="s">
        <v>2369</v>
      </c>
      <c r="G1252" s="3">
        <v>8172098</v>
      </c>
      <c r="H1252" t="s">
        <v>2268</v>
      </c>
      <c r="I1252" s="4">
        <v>6189454</v>
      </c>
      <c r="J1252" t="s">
        <v>426</v>
      </c>
      <c r="K1252" s="1">
        <v>43847</v>
      </c>
      <c r="L1252">
        <v>62</v>
      </c>
      <c r="M1252" s="2" t="str">
        <f>IF(Spotify[[#This Row],[Energie]]&gt;AVERAGE(Spotify[Energie]),"FORTE","FAIBLE")</f>
        <v>FAIBLE</v>
      </c>
      <c r="N1252" s="2">
        <v>0.875</v>
      </c>
      <c r="O1252" s="2">
        <v>0.59899999999999998</v>
      </c>
      <c r="P1252" s="2">
        <v>0.13800000000000001</v>
      </c>
      <c r="Q1252" s="2">
        <v>3.3300000000000003E-2</v>
      </c>
      <c r="R1252" s="2">
        <v>0.113</v>
      </c>
      <c r="S1252" s="2">
        <v>0.112</v>
      </c>
      <c r="T1252" s="2">
        <v>-9.077</v>
      </c>
      <c r="U1252">
        <v>256507</v>
      </c>
      <c r="V1252">
        <f>YEAR(Spotify[[#This Row],[Date de sortie]])</f>
        <v>2020</v>
      </c>
      <c r="W1252" s="2" t="str">
        <f>IF(Spotify[[#This Row],[Popularité]]&gt;=70,"FORTE","FAIBLE")</f>
        <v>FAIBLE</v>
      </c>
    </row>
    <row r="1253" spans="1:23" x14ac:dyDescent="0.25">
      <c r="A1253">
        <v>1100</v>
      </c>
      <c r="B1253">
        <v>76</v>
      </c>
      <c r="C1253">
        <v>1</v>
      </c>
      <c r="D1253" s="1">
        <v>43994</v>
      </c>
      <c r="E1253" s="59" t="str" cm="1">
        <f t="array" ref="E125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53" t="s">
        <v>1828</v>
      </c>
      <c r="G1253" s="3">
        <v>7353153</v>
      </c>
      <c r="H1253" t="s">
        <v>264</v>
      </c>
      <c r="I1253" s="4">
        <v>7601122</v>
      </c>
      <c r="J1253" t="s">
        <v>265</v>
      </c>
      <c r="K1253" s="1">
        <v>43994</v>
      </c>
      <c r="L1253">
        <v>62</v>
      </c>
      <c r="M1253" s="2" t="str">
        <f>IF(Spotify[[#This Row],[Energie]]&gt;AVERAGE(Spotify[Energie]),"FORTE","FAIBLE")</f>
        <v>FORTE</v>
      </c>
      <c r="N1253" s="2">
        <v>0.747</v>
      </c>
      <c r="O1253" s="2">
        <v>0.68899999999999995</v>
      </c>
      <c r="P1253" s="2">
        <v>0.24199999999999999</v>
      </c>
      <c r="Q1253" s="2">
        <v>0.19700000000000001</v>
      </c>
      <c r="R1253" s="2">
        <v>8.8400000000000006E-2</v>
      </c>
      <c r="S1253" s="2">
        <v>0.75</v>
      </c>
      <c r="T1253" s="2">
        <v>-7.2460000000000004</v>
      </c>
      <c r="U1253">
        <v>204547</v>
      </c>
      <c r="V1253">
        <f>YEAR(Spotify[[#This Row],[Date de sortie]])</f>
        <v>2020</v>
      </c>
      <c r="W1253" s="2" t="str">
        <f>IF(Spotify[[#This Row],[Popularité]]&gt;=70,"FORTE","FAIBLE")</f>
        <v>FAIBLE</v>
      </c>
    </row>
    <row r="1254" spans="1:23" x14ac:dyDescent="0.25">
      <c r="A1254">
        <v>709</v>
      </c>
      <c r="B1254">
        <v>147</v>
      </c>
      <c r="C1254">
        <v>1</v>
      </c>
      <c r="D1254" s="1">
        <v>44176</v>
      </c>
      <c r="E1254" s="59" t="str" cm="1">
        <f t="array" ref="E125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54" t="s">
        <v>1251</v>
      </c>
      <c r="G1254" s="3">
        <v>6865689</v>
      </c>
      <c r="H1254" t="s">
        <v>1092</v>
      </c>
      <c r="I1254" s="4">
        <v>5002317</v>
      </c>
      <c r="J1254" t="s">
        <v>426</v>
      </c>
      <c r="K1254" s="1">
        <v>44176</v>
      </c>
      <c r="L1254">
        <v>62</v>
      </c>
      <c r="M1254" s="2" t="str">
        <f>IF(Spotify[[#This Row],[Energie]]&gt;AVERAGE(Spotify[Energie]),"FORTE","FAIBLE")</f>
        <v>FORTE</v>
      </c>
      <c r="N1254" s="2">
        <v>0.63600000000000001</v>
      </c>
      <c r="O1254" s="2">
        <v>0.64700000000000002</v>
      </c>
      <c r="P1254" s="2">
        <v>3.8100000000000002E-2</v>
      </c>
      <c r="Q1254" s="2">
        <v>0.247</v>
      </c>
      <c r="R1254" s="2">
        <v>0.113</v>
      </c>
      <c r="S1254" s="2">
        <v>0.41599999999999998</v>
      </c>
      <c r="T1254" s="2">
        <v>-6.9710000000000001</v>
      </c>
      <c r="U1254">
        <v>176027</v>
      </c>
      <c r="V1254">
        <f>YEAR(Spotify[[#This Row],[Date de sortie]])</f>
        <v>2020</v>
      </c>
      <c r="W1254" s="2" t="str">
        <f>IF(Spotify[[#This Row],[Popularité]]&gt;=70,"FORTE","FAIBLE")</f>
        <v>FAIBLE</v>
      </c>
    </row>
    <row r="1255" spans="1:23" x14ac:dyDescent="0.25">
      <c r="A1255">
        <v>1412</v>
      </c>
      <c r="B1255">
        <v>103</v>
      </c>
      <c r="C1255">
        <v>1</v>
      </c>
      <c r="D1255" s="1">
        <v>43875</v>
      </c>
      <c r="E1255" s="59" t="str" cm="1">
        <f t="array" ref="E125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55" t="s">
        <v>2253</v>
      </c>
      <c r="G1255" s="3">
        <v>6865229</v>
      </c>
      <c r="H1255" t="s">
        <v>35</v>
      </c>
      <c r="I1255" s="4">
        <v>48544923</v>
      </c>
      <c r="J1255" t="s">
        <v>36</v>
      </c>
      <c r="K1255" s="1">
        <v>43875</v>
      </c>
      <c r="L1255">
        <v>62</v>
      </c>
      <c r="M1255" s="2" t="str">
        <f>IF(Spotify[[#This Row],[Energie]]&gt;AVERAGE(Spotify[Energie]),"FORTE","FAIBLE")</f>
        <v>FAIBLE</v>
      </c>
      <c r="N1255" s="2">
        <v>0.48499999999999999</v>
      </c>
      <c r="O1255" s="2">
        <v>0.41199999999999998</v>
      </c>
      <c r="P1255" s="2">
        <v>4.2000000000000003E-2</v>
      </c>
      <c r="Q1255" s="2">
        <v>0.73799999999999999</v>
      </c>
      <c r="R1255" s="2">
        <v>0.12</v>
      </c>
      <c r="S1255" s="2">
        <v>0.61199999999999999</v>
      </c>
      <c r="T1255" s="2">
        <v>-7.766</v>
      </c>
      <c r="U1255">
        <v>135493</v>
      </c>
      <c r="V1255">
        <f>YEAR(Spotify[[#This Row],[Date de sortie]])</f>
        <v>2020</v>
      </c>
      <c r="W1255" s="2" t="str">
        <f>IF(Spotify[[#This Row],[Popularité]]&gt;=70,"FORTE","FAIBLE")</f>
        <v>FAIBLE</v>
      </c>
    </row>
    <row r="1256" spans="1:23" x14ac:dyDescent="0.25">
      <c r="A1256">
        <v>1477</v>
      </c>
      <c r="B1256">
        <v>129</v>
      </c>
      <c r="C1256">
        <v>1</v>
      </c>
      <c r="D1256" s="1">
        <v>43854</v>
      </c>
      <c r="E1256" s="59" t="str" cm="1">
        <f t="array" ref="E125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56" t="s">
        <v>2342</v>
      </c>
      <c r="G1256" s="3">
        <v>6113037</v>
      </c>
      <c r="H1256" t="s">
        <v>2343</v>
      </c>
      <c r="I1256" s="4">
        <v>1140383</v>
      </c>
      <c r="J1256" t="s">
        <v>2344</v>
      </c>
      <c r="K1256" s="1">
        <v>43874</v>
      </c>
      <c r="L1256">
        <v>62</v>
      </c>
      <c r="M1256" s="2" t="str">
        <f>IF(Spotify[[#This Row],[Energie]]&gt;AVERAGE(Spotify[Energie]),"FORTE","FAIBLE")</f>
        <v>FORTE</v>
      </c>
      <c r="N1256" s="2">
        <v>0.78400000000000003</v>
      </c>
      <c r="O1256" s="2">
        <v>0.70299999999999996</v>
      </c>
      <c r="P1256" s="2">
        <v>0.23599999999999999</v>
      </c>
      <c r="Q1256" s="2">
        <v>9.7299999999999998E-2</v>
      </c>
      <c r="R1256" s="2">
        <v>7.5399999999999995E-2</v>
      </c>
      <c r="S1256" s="2">
        <v>0.55600000000000005</v>
      </c>
      <c r="T1256" s="2">
        <v>-7.4909999999999997</v>
      </c>
      <c r="U1256">
        <v>162938</v>
      </c>
      <c r="V1256">
        <f>YEAR(Spotify[[#This Row],[Date de sortie]])</f>
        <v>2020</v>
      </c>
      <c r="W1256" s="2" t="str">
        <f>IF(Spotify[[#This Row],[Popularité]]&gt;=70,"FORTE","FAIBLE")</f>
        <v>FAIBLE</v>
      </c>
    </row>
    <row r="1257" spans="1:23" x14ac:dyDescent="0.25">
      <c r="A1257">
        <v>1231</v>
      </c>
      <c r="B1257">
        <v>102</v>
      </c>
      <c r="C1257">
        <v>1</v>
      </c>
      <c r="D1257" s="1">
        <v>43938</v>
      </c>
      <c r="E1257" s="59" t="str" cm="1">
        <f t="array" ref="E125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57" t="s">
        <v>2011</v>
      </c>
      <c r="G1257" s="3">
        <v>6033348</v>
      </c>
      <c r="H1257" t="s">
        <v>264</v>
      </c>
      <c r="I1257" s="4">
        <v>7601122</v>
      </c>
      <c r="J1257" t="s">
        <v>265</v>
      </c>
      <c r="K1257" s="1">
        <v>43938</v>
      </c>
      <c r="L1257">
        <v>62</v>
      </c>
      <c r="M1257" s="2" t="str">
        <f>IF(Spotify[[#This Row],[Energie]]&gt;AVERAGE(Spotify[Energie]),"FORTE","FAIBLE")</f>
        <v>FORTE</v>
      </c>
      <c r="N1257" s="2">
        <v>0.89600000000000002</v>
      </c>
      <c r="O1257" s="2">
        <v>0.72</v>
      </c>
      <c r="P1257" s="2">
        <v>0.35499999999999998</v>
      </c>
      <c r="Q1257" s="2">
        <v>0.16900000000000001</v>
      </c>
      <c r="R1257" s="2">
        <v>0.252</v>
      </c>
      <c r="S1257" s="2">
        <v>0.96599999999999997</v>
      </c>
      <c r="T1257" s="2">
        <v>-6.2619999999999996</v>
      </c>
      <c r="U1257">
        <v>212093</v>
      </c>
      <c r="V1257">
        <f>YEAR(Spotify[[#This Row],[Date de sortie]])</f>
        <v>2020</v>
      </c>
      <c r="W1257" s="2" t="str">
        <f>IF(Spotify[[#This Row],[Popularité]]&gt;=70,"FORTE","FAIBLE")</f>
        <v>FAIBLE</v>
      </c>
    </row>
    <row r="1258" spans="1:23" x14ac:dyDescent="0.25">
      <c r="A1258">
        <v>913</v>
      </c>
      <c r="B1258">
        <v>115</v>
      </c>
      <c r="C1258">
        <v>1</v>
      </c>
      <c r="D1258" s="1">
        <v>44078</v>
      </c>
      <c r="E1258" s="59" t="str" cm="1">
        <f t="array" ref="E125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58" t="s">
        <v>1561</v>
      </c>
      <c r="G1258" s="3">
        <v>5949270</v>
      </c>
      <c r="H1258" t="s">
        <v>1413</v>
      </c>
      <c r="I1258" s="4">
        <v>8673345</v>
      </c>
      <c r="J1258" t="s">
        <v>413</v>
      </c>
      <c r="K1258" s="1">
        <v>44078</v>
      </c>
      <c r="L1258">
        <v>62</v>
      </c>
      <c r="M1258" s="2" t="str">
        <f>IF(Spotify[[#This Row],[Energie]]&gt;AVERAGE(Spotify[Energie]),"FORTE","FAIBLE")</f>
        <v>FORTE</v>
      </c>
      <c r="N1258" s="2">
        <v>0.67600000000000005</v>
      </c>
      <c r="O1258" s="2">
        <v>0.82</v>
      </c>
      <c r="P1258" s="2">
        <v>5.5399999999999998E-2</v>
      </c>
      <c r="Q1258" s="2">
        <v>4.9299999999999997E-2</v>
      </c>
      <c r="R1258" s="2">
        <v>0.61499999999999999</v>
      </c>
      <c r="S1258" s="2">
        <v>0.61799999999999999</v>
      </c>
      <c r="T1258" s="2">
        <v>-5.2169999999999996</v>
      </c>
      <c r="U1258">
        <v>199250</v>
      </c>
      <c r="V1258">
        <f>YEAR(Spotify[[#This Row],[Date de sortie]])</f>
        <v>2020</v>
      </c>
      <c r="W1258" s="2" t="str">
        <f>IF(Spotify[[#This Row],[Popularité]]&gt;=70,"FORTE","FAIBLE")</f>
        <v>FAIBLE</v>
      </c>
    </row>
    <row r="1259" spans="1:23" x14ac:dyDescent="0.25">
      <c r="A1259">
        <v>1033</v>
      </c>
      <c r="B1259">
        <v>129</v>
      </c>
      <c r="C1259">
        <v>1</v>
      </c>
      <c r="D1259" s="1">
        <v>44022</v>
      </c>
      <c r="E1259" s="59" t="str" cm="1">
        <f t="array" ref="E125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259" t="s">
        <v>1731</v>
      </c>
      <c r="G1259" s="3">
        <v>5867111</v>
      </c>
      <c r="H1259" t="s">
        <v>1732</v>
      </c>
      <c r="I1259" s="4">
        <v>1818624</v>
      </c>
      <c r="J1259" t="s">
        <v>1733</v>
      </c>
      <c r="K1259" s="1">
        <v>44099</v>
      </c>
      <c r="L1259">
        <v>62</v>
      </c>
      <c r="M1259" s="2" t="str">
        <f>IF(Spotify[[#This Row],[Energie]]&gt;AVERAGE(Spotify[Energie]),"FORTE","FAIBLE")</f>
        <v>FORTE</v>
      </c>
      <c r="N1259" s="2">
        <v>0.751</v>
      </c>
      <c r="O1259" s="2">
        <v>0.78300000000000003</v>
      </c>
      <c r="P1259" s="2">
        <v>0.22</v>
      </c>
      <c r="Q1259" s="2">
        <v>7.1499999999999994E-2</v>
      </c>
      <c r="R1259" s="2">
        <v>0.114</v>
      </c>
      <c r="S1259" s="2">
        <v>0.379</v>
      </c>
      <c r="T1259" s="2">
        <v>-5.9260000000000002</v>
      </c>
      <c r="U1259">
        <v>189739</v>
      </c>
      <c r="V1259">
        <f>YEAR(Spotify[[#This Row],[Date de sortie]])</f>
        <v>2020</v>
      </c>
      <c r="W1259" s="2" t="str">
        <f>IF(Spotify[[#This Row],[Popularité]]&gt;=70,"FORTE","FAIBLE")</f>
        <v>FAIBLE</v>
      </c>
    </row>
    <row r="1260" spans="1:23" x14ac:dyDescent="0.25">
      <c r="A1260">
        <v>1418</v>
      </c>
      <c r="B1260">
        <v>67</v>
      </c>
      <c r="C1260">
        <v>2</v>
      </c>
      <c r="D1260" s="1">
        <v>43868</v>
      </c>
      <c r="E1260" s="59" t="str" cm="1">
        <f t="array" ref="E126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260" t="s">
        <v>2259</v>
      </c>
      <c r="G1260" s="3">
        <v>5835260</v>
      </c>
      <c r="H1260" t="s">
        <v>1619</v>
      </c>
      <c r="I1260" s="4">
        <v>7744095</v>
      </c>
      <c r="J1260" t="s">
        <v>1180</v>
      </c>
      <c r="K1260" s="1">
        <v>43917</v>
      </c>
      <c r="L1260">
        <v>62</v>
      </c>
      <c r="M1260" s="2" t="str">
        <f>IF(Spotify[[#This Row],[Energie]]&gt;AVERAGE(Spotify[Energie]),"FORTE","FAIBLE")</f>
        <v>FORTE</v>
      </c>
      <c r="N1260" s="2">
        <v>0.57599999999999996</v>
      </c>
      <c r="O1260" s="2">
        <v>0.80700000000000005</v>
      </c>
      <c r="P1260" s="2">
        <v>3.7400000000000003E-2</v>
      </c>
      <c r="Q1260" s="2">
        <v>1.8499999999999999E-2</v>
      </c>
      <c r="R1260" s="2">
        <v>9.6299999999999997E-2</v>
      </c>
      <c r="S1260" s="2">
        <v>0.47899999999999998</v>
      </c>
      <c r="T1260" s="2">
        <v>-3.0190000000000001</v>
      </c>
      <c r="U1260">
        <v>192737</v>
      </c>
      <c r="V1260">
        <f>YEAR(Spotify[[#This Row],[Date de sortie]])</f>
        <v>2020</v>
      </c>
      <c r="W1260" s="2" t="str">
        <f>IF(Spotify[[#This Row],[Popularité]]&gt;=70,"FORTE","FAIBLE")</f>
        <v>FAIBLE</v>
      </c>
    </row>
    <row r="1261" spans="1:23" x14ac:dyDescent="0.25">
      <c r="A1261">
        <v>1185</v>
      </c>
      <c r="B1261">
        <v>131</v>
      </c>
      <c r="C1261">
        <v>1</v>
      </c>
      <c r="D1261" s="1">
        <v>43959</v>
      </c>
      <c r="E1261" s="59" t="str" cm="1">
        <f t="array" ref="E126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261" t="s">
        <v>1948</v>
      </c>
      <c r="G1261" s="3">
        <v>5364262</v>
      </c>
      <c r="H1261" t="s">
        <v>1949</v>
      </c>
      <c r="I1261" s="4">
        <v>36177712</v>
      </c>
      <c r="J1261" t="s">
        <v>25</v>
      </c>
      <c r="K1261" s="1">
        <v>43961</v>
      </c>
      <c r="L1261">
        <v>62</v>
      </c>
      <c r="M1261" s="2" t="str">
        <f>IF(Spotify[[#This Row],[Energie]]&gt;AVERAGE(Spotify[Energie]),"FORTE","FAIBLE")</f>
        <v>FORTE</v>
      </c>
      <c r="N1261" s="2">
        <v>0.77900000000000003</v>
      </c>
      <c r="O1261" s="2">
        <v>0.76400000000000001</v>
      </c>
      <c r="P1261" s="2">
        <v>9.3799999999999994E-2</v>
      </c>
      <c r="Q1261" s="2">
        <v>0.221</v>
      </c>
      <c r="R1261" s="2">
        <v>9.0899999999999995E-2</v>
      </c>
      <c r="S1261" s="2">
        <v>0.67500000000000004</v>
      </c>
      <c r="T1261" s="2">
        <v>-8.2170000000000005</v>
      </c>
      <c r="U1261">
        <v>176440</v>
      </c>
      <c r="V1261">
        <f>YEAR(Spotify[[#This Row],[Date de sortie]])</f>
        <v>2020</v>
      </c>
      <c r="W1261" s="2" t="str">
        <f>IF(Spotify[[#This Row],[Popularité]]&gt;=70,"FORTE","FAIBLE")</f>
        <v>FAIBLE</v>
      </c>
    </row>
    <row r="1262" spans="1:23" x14ac:dyDescent="0.25">
      <c r="A1262">
        <v>950</v>
      </c>
      <c r="B1262">
        <v>151</v>
      </c>
      <c r="C1262">
        <v>1</v>
      </c>
      <c r="D1262" s="1">
        <v>44057</v>
      </c>
      <c r="E1262" s="59" t="str" cm="1">
        <f t="array" ref="E126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62" t="s">
        <v>1621</v>
      </c>
      <c r="G1262" s="3">
        <v>5254969</v>
      </c>
      <c r="H1262" t="s">
        <v>28</v>
      </c>
      <c r="I1262" s="4">
        <v>27167675</v>
      </c>
      <c r="J1262" t="s">
        <v>19</v>
      </c>
      <c r="K1262" s="1">
        <v>44056</v>
      </c>
      <c r="L1262">
        <v>62</v>
      </c>
      <c r="M1262" s="2" t="str">
        <f>IF(Spotify[[#This Row],[Energie]]&gt;AVERAGE(Spotify[Energie]),"FORTE","FAIBLE")</f>
        <v>FORTE</v>
      </c>
      <c r="N1262" s="2">
        <v>0.80800000000000005</v>
      </c>
      <c r="O1262" s="2">
        <v>0.65500000000000003</v>
      </c>
      <c r="P1262" s="2">
        <v>0.13900000000000001</v>
      </c>
      <c r="Q1262" s="2">
        <v>3.73E-2</v>
      </c>
      <c r="R1262" s="2">
        <v>0.20799999999999999</v>
      </c>
      <c r="S1262" s="2">
        <v>0.56000000000000005</v>
      </c>
      <c r="T1262" s="2">
        <v>-7.34</v>
      </c>
      <c r="U1262">
        <v>250280</v>
      </c>
      <c r="V1262">
        <f>YEAR(Spotify[[#This Row],[Date de sortie]])</f>
        <v>2020</v>
      </c>
      <c r="W1262" s="2" t="str">
        <f>IF(Spotify[[#This Row],[Popularité]]&gt;=70,"FORTE","FAIBLE")</f>
        <v>FAIBLE</v>
      </c>
    </row>
    <row r="1263" spans="1:23" x14ac:dyDescent="0.25">
      <c r="A1263">
        <v>1208</v>
      </c>
      <c r="B1263">
        <v>40</v>
      </c>
      <c r="C1263">
        <v>4</v>
      </c>
      <c r="D1263" s="1">
        <v>43931</v>
      </c>
      <c r="E1263" s="59" t="str" cm="1">
        <f t="array" ref="E126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63" t="s">
        <v>1979</v>
      </c>
      <c r="G1263" s="3">
        <v>5236730</v>
      </c>
      <c r="H1263" t="s">
        <v>454</v>
      </c>
      <c r="I1263" s="4">
        <v>28931149</v>
      </c>
      <c r="J1263" t="s">
        <v>19</v>
      </c>
      <c r="K1263" s="1">
        <v>43930</v>
      </c>
      <c r="L1263">
        <v>62</v>
      </c>
      <c r="M1263" s="2" t="str">
        <f>IF(Spotify[[#This Row],[Energie]]&gt;AVERAGE(Spotify[Energie]),"FORTE","FAIBLE")</f>
        <v>FAIBLE</v>
      </c>
      <c r="N1263" s="2">
        <v>0.81100000000000005</v>
      </c>
      <c r="O1263" s="2">
        <v>0.51200000000000001</v>
      </c>
      <c r="P1263" s="2">
        <v>0.17</v>
      </c>
      <c r="Q1263" s="2">
        <v>0.218</v>
      </c>
      <c r="R1263" s="2">
        <v>7.6799999999999993E-2</v>
      </c>
      <c r="S1263" s="2">
        <v>0.34599999999999997</v>
      </c>
      <c r="T1263" s="2">
        <v>-6.3810000000000002</v>
      </c>
      <c r="U1263">
        <v>161188</v>
      </c>
      <c r="V1263">
        <f>YEAR(Spotify[[#This Row],[Date de sortie]])</f>
        <v>2020</v>
      </c>
      <c r="W1263" s="2" t="str">
        <f>IF(Spotify[[#This Row],[Popularité]]&gt;=70,"FORTE","FAIBLE")</f>
        <v>FAIBLE</v>
      </c>
    </row>
    <row r="1264" spans="1:23" x14ac:dyDescent="0.25">
      <c r="A1264">
        <v>1460</v>
      </c>
      <c r="B1264">
        <v>76</v>
      </c>
      <c r="C1264">
        <v>3</v>
      </c>
      <c r="D1264" s="1">
        <v>43847</v>
      </c>
      <c r="E1264" s="59" t="str" cm="1">
        <f t="array" ref="E126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264" t="s">
        <v>2320</v>
      </c>
      <c r="G1264" s="3">
        <v>5208651</v>
      </c>
      <c r="H1264" t="s">
        <v>2321</v>
      </c>
      <c r="I1264" s="4">
        <v>486474</v>
      </c>
      <c r="J1264" t="s">
        <v>497</v>
      </c>
      <c r="K1264" s="1">
        <v>43846</v>
      </c>
      <c r="L1264">
        <v>62</v>
      </c>
      <c r="M1264" s="2" t="str">
        <f>IF(Spotify[[#This Row],[Energie]]&gt;AVERAGE(Spotify[Energie]),"FORTE","FAIBLE")</f>
        <v>FAIBLE</v>
      </c>
      <c r="N1264" s="2">
        <v>0.746</v>
      </c>
      <c r="O1264" s="2">
        <v>0.59199999999999997</v>
      </c>
      <c r="P1264" s="2">
        <v>9.1399999999999995E-2</v>
      </c>
      <c r="Q1264" s="2">
        <v>0.46200000000000002</v>
      </c>
      <c r="R1264" s="2">
        <v>0.187</v>
      </c>
      <c r="S1264" s="2">
        <v>0.629</v>
      </c>
      <c r="T1264" s="2">
        <v>-6.8609999999999998</v>
      </c>
      <c r="U1264">
        <v>162094</v>
      </c>
      <c r="V1264">
        <f>YEAR(Spotify[[#This Row],[Date de sortie]])</f>
        <v>2020</v>
      </c>
      <c r="W1264" s="2" t="str">
        <f>IF(Spotify[[#This Row],[Popularité]]&gt;=70,"FORTE","FAIBLE")</f>
        <v>FAIBLE</v>
      </c>
    </row>
    <row r="1265" spans="1:23" x14ac:dyDescent="0.25">
      <c r="A1265">
        <v>811</v>
      </c>
      <c r="B1265">
        <v>176</v>
      </c>
      <c r="C1265">
        <v>1</v>
      </c>
      <c r="D1265" s="1">
        <v>44134</v>
      </c>
      <c r="E1265" s="59" t="str" cm="1">
        <f t="array" ref="E126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65" t="s">
        <v>1402</v>
      </c>
      <c r="G1265" s="3">
        <v>5103194</v>
      </c>
      <c r="H1265" t="s">
        <v>1041</v>
      </c>
      <c r="I1265" s="4">
        <v>17097317</v>
      </c>
      <c r="J1265" t="s">
        <v>19</v>
      </c>
      <c r="K1265" s="1">
        <v>44134</v>
      </c>
      <c r="L1265">
        <v>62</v>
      </c>
      <c r="M1265" s="2" t="str">
        <f>IF(Spotify[[#This Row],[Energie]]&gt;AVERAGE(Spotify[Energie]),"FORTE","FAIBLE")</f>
        <v>FORTE</v>
      </c>
      <c r="N1265" s="2">
        <v>0.66600000000000004</v>
      </c>
      <c r="O1265" s="2">
        <v>0.72599999999999998</v>
      </c>
      <c r="P1265" s="2">
        <v>2.6200000000000001E-2</v>
      </c>
      <c r="Q1265" s="2">
        <v>0.48599999999999999</v>
      </c>
      <c r="R1265" s="2">
        <v>8.9200000000000002E-2</v>
      </c>
      <c r="S1265" s="2">
        <v>0.46800000000000003</v>
      </c>
      <c r="T1265" s="2">
        <v>-2.9980000000000002</v>
      </c>
      <c r="U1265">
        <v>207528</v>
      </c>
      <c r="V1265">
        <f>YEAR(Spotify[[#This Row],[Date de sortie]])</f>
        <v>2020</v>
      </c>
      <c r="W1265" s="2" t="str">
        <f>IF(Spotify[[#This Row],[Popularité]]&gt;=70,"FORTE","FAIBLE")</f>
        <v>FAIBLE</v>
      </c>
    </row>
    <row r="1266" spans="1:23" x14ac:dyDescent="0.25">
      <c r="A1266">
        <v>888</v>
      </c>
      <c r="B1266">
        <v>158</v>
      </c>
      <c r="C1266">
        <v>1</v>
      </c>
      <c r="D1266" s="1">
        <v>44092</v>
      </c>
      <c r="E1266" s="59" t="str" cm="1">
        <f t="array" ref="E126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66" t="s">
        <v>1521</v>
      </c>
      <c r="G1266" s="3">
        <v>5101640</v>
      </c>
      <c r="H1266" t="s">
        <v>1522</v>
      </c>
      <c r="I1266" s="4">
        <v>3071170</v>
      </c>
      <c r="J1266" t="s">
        <v>1523</v>
      </c>
      <c r="K1266" s="1">
        <v>44314</v>
      </c>
      <c r="L1266">
        <v>62</v>
      </c>
      <c r="M1266" s="2" t="str">
        <f>IF(Spotify[[#This Row],[Energie]]&gt;AVERAGE(Spotify[Energie]),"FORTE","FAIBLE")</f>
        <v>FORTE</v>
      </c>
      <c r="N1266" s="2">
        <v>0.745</v>
      </c>
      <c r="O1266" s="2">
        <v>0.65600000000000003</v>
      </c>
      <c r="P1266" s="2">
        <v>0.20300000000000001</v>
      </c>
      <c r="Q1266" s="2">
        <v>6.0400000000000002E-2</v>
      </c>
      <c r="R1266" s="2">
        <v>0.11</v>
      </c>
      <c r="S1266" s="2">
        <v>0.40500000000000003</v>
      </c>
      <c r="T1266" s="2">
        <v>-6.8289999999999997</v>
      </c>
      <c r="U1266">
        <v>201333</v>
      </c>
      <c r="V1266">
        <f>YEAR(Spotify[[#This Row],[Date de sortie]])</f>
        <v>2021</v>
      </c>
      <c r="W1266" s="2" t="str">
        <f>IF(Spotify[[#This Row],[Popularité]]&gt;=70,"FORTE","FAIBLE")</f>
        <v>FAIBLE</v>
      </c>
    </row>
    <row r="1267" spans="1:23" x14ac:dyDescent="0.25">
      <c r="A1267">
        <v>889</v>
      </c>
      <c r="B1267">
        <v>159</v>
      </c>
      <c r="C1267">
        <v>1</v>
      </c>
      <c r="D1267" s="1">
        <v>44092</v>
      </c>
      <c r="E1267" s="59" t="str" cm="1">
        <f t="array" ref="E126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67" t="s">
        <v>1524</v>
      </c>
      <c r="G1267" s="3">
        <v>5094137</v>
      </c>
      <c r="H1267" t="s">
        <v>1525</v>
      </c>
      <c r="I1267" s="4">
        <v>3071170</v>
      </c>
      <c r="J1267" t="s">
        <v>1523</v>
      </c>
      <c r="K1267" s="1">
        <v>44314</v>
      </c>
      <c r="L1267">
        <v>62</v>
      </c>
      <c r="M1267" s="2" t="str">
        <f>IF(Spotify[[#This Row],[Energie]]&gt;AVERAGE(Spotify[Energie]),"FORTE","FAIBLE")</f>
        <v>FAIBLE</v>
      </c>
      <c r="N1267" s="2">
        <v>0.52100000000000002</v>
      </c>
      <c r="O1267" s="2">
        <v>0.39</v>
      </c>
      <c r="P1267" s="2">
        <v>0.128</v>
      </c>
      <c r="Q1267" s="2">
        <v>0.58199999999999996</v>
      </c>
      <c r="R1267" s="2">
        <v>0.112</v>
      </c>
      <c r="S1267" s="2">
        <v>0.157</v>
      </c>
      <c r="T1267" s="2">
        <v>-9.7260000000000009</v>
      </c>
      <c r="U1267">
        <v>315640</v>
      </c>
      <c r="V1267">
        <f>YEAR(Spotify[[#This Row],[Date de sortie]])</f>
        <v>2021</v>
      </c>
      <c r="W1267" s="2" t="str">
        <f>IF(Spotify[[#This Row],[Popularité]]&gt;=70,"FORTE","FAIBLE")</f>
        <v>FAIBLE</v>
      </c>
    </row>
    <row r="1268" spans="1:23" x14ac:dyDescent="0.25">
      <c r="A1268">
        <v>1289</v>
      </c>
      <c r="B1268">
        <v>163</v>
      </c>
      <c r="C1268">
        <v>1</v>
      </c>
      <c r="D1268" s="1">
        <v>43910</v>
      </c>
      <c r="E1268" s="59" t="str" cm="1">
        <f t="array" ref="E126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268" t="s">
        <v>2089</v>
      </c>
      <c r="G1268" s="3">
        <v>5044774</v>
      </c>
      <c r="H1268" t="s">
        <v>2090</v>
      </c>
      <c r="I1268" s="4">
        <v>29067437</v>
      </c>
      <c r="J1268" t="s">
        <v>25</v>
      </c>
      <c r="K1268" s="1">
        <v>43909</v>
      </c>
      <c r="L1268">
        <v>62</v>
      </c>
      <c r="M1268" s="2" t="str">
        <f>IF(Spotify[[#This Row],[Energie]]&gt;AVERAGE(Spotify[Energie]),"FORTE","FAIBLE")</f>
        <v>FORTE</v>
      </c>
      <c r="N1268" s="2">
        <v>0.73099999999999998</v>
      </c>
      <c r="O1268" s="2">
        <v>0.78700000000000003</v>
      </c>
      <c r="P1268" s="2">
        <v>7.2099999999999997E-2</v>
      </c>
      <c r="Q1268" s="2">
        <v>8.5300000000000001E-2</v>
      </c>
      <c r="R1268" s="2">
        <v>0.316</v>
      </c>
      <c r="S1268" s="2">
        <v>0.39300000000000002</v>
      </c>
      <c r="T1268" s="2">
        <v>-5.26</v>
      </c>
      <c r="U1268">
        <v>186693</v>
      </c>
      <c r="V1268">
        <f>YEAR(Spotify[[#This Row],[Date de sortie]])</f>
        <v>2020</v>
      </c>
      <c r="W1268" s="2" t="str">
        <f>IF(Spotify[[#This Row],[Popularité]]&gt;=70,"FORTE","FAIBLE")</f>
        <v>FAIBLE</v>
      </c>
    </row>
    <row r="1269" spans="1:23" x14ac:dyDescent="0.25">
      <c r="A1269">
        <v>863</v>
      </c>
      <c r="B1269">
        <v>190</v>
      </c>
      <c r="C1269">
        <v>1</v>
      </c>
      <c r="D1269" s="1">
        <v>44106</v>
      </c>
      <c r="E1269" s="59" t="str" cm="1">
        <f t="array" ref="E126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69" t="s">
        <v>1485</v>
      </c>
      <c r="G1269" s="3">
        <v>4915080</v>
      </c>
      <c r="H1269" t="s">
        <v>1320</v>
      </c>
      <c r="I1269" s="4">
        <v>9949044</v>
      </c>
      <c r="J1269" t="s">
        <v>531</v>
      </c>
      <c r="K1269" s="1">
        <v>44106</v>
      </c>
      <c r="L1269">
        <v>62</v>
      </c>
      <c r="M1269" s="2" t="str">
        <f>IF(Spotify[[#This Row],[Energie]]&gt;AVERAGE(Spotify[Energie]),"FORTE","FAIBLE")</f>
        <v>FAIBLE</v>
      </c>
      <c r="N1269" s="2">
        <v>0.63</v>
      </c>
      <c r="O1269" s="2">
        <v>0.39900000000000002</v>
      </c>
      <c r="P1269" s="2">
        <v>0.17799999999999999</v>
      </c>
      <c r="Q1269" s="2">
        <v>0.105</v>
      </c>
      <c r="R1269" s="2">
        <v>0.23400000000000001</v>
      </c>
      <c r="S1269" s="2">
        <v>6.5699999999999995E-2</v>
      </c>
      <c r="T1269" s="2">
        <v>-9.8689999999999998</v>
      </c>
      <c r="U1269">
        <v>214192</v>
      </c>
      <c r="V1269">
        <f>YEAR(Spotify[[#This Row],[Date de sortie]])</f>
        <v>2020</v>
      </c>
      <c r="W1269" s="2" t="str">
        <f>IF(Spotify[[#This Row],[Popularité]]&gt;=70,"FORTE","FAIBLE")</f>
        <v>FAIBLE</v>
      </c>
    </row>
    <row r="1270" spans="1:23" x14ac:dyDescent="0.25">
      <c r="A1270">
        <v>1486</v>
      </c>
      <c r="B1270">
        <v>52</v>
      </c>
      <c r="C1270">
        <v>2</v>
      </c>
      <c r="D1270" s="1">
        <v>43847</v>
      </c>
      <c r="E1270" s="59" t="str" cm="1">
        <f t="array" ref="E127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70" t="s">
        <v>2356</v>
      </c>
      <c r="G1270" s="3">
        <v>4824037</v>
      </c>
      <c r="H1270" t="s">
        <v>412</v>
      </c>
      <c r="I1270" s="4">
        <v>46814751</v>
      </c>
      <c r="J1270" t="s">
        <v>413</v>
      </c>
      <c r="K1270" s="1">
        <v>43847</v>
      </c>
      <c r="L1270">
        <v>62</v>
      </c>
      <c r="M1270" s="2" t="str">
        <f>IF(Spotify[[#This Row],[Energie]]&gt;AVERAGE(Spotify[Energie]),"FORTE","FAIBLE")</f>
        <v>FORTE</v>
      </c>
      <c r="N1270" s="2">
        <v>0.72</v>
      </c>
      <c r="O1270" s="2">
        <v>0.76700000000000002</v>
      </c>
      <c r="P1270" s="2">
        <v>0.214</v>
      </c>
      <c r="Q1270" s="2">
        <v>3.8699999999999998E-2</v>
      </c>
      <c r="R1270" s="2">
        <v>0.20200000000000001</v>
      </c>
      <c r="S1270" s="2">
        <v>0.59499999999999997</v>
      </c>
      <c r="T1270" s="2">
        <v>-5.8390000000000004</v>
      </c>
      <c r="U1270">
        <v>194707</v>
      </c>
      <c r="V1270">
        <f>YEAR(Spotify[[#This Row],[Date de sortie]])</f>
        <v>2020</v>
      </c>
      <c r="W1270" s="2" t="str">
        <f>IF(Spotify[[#This Row],[Popularité]]&gt;=70,"FORTE","FAIBLE")</f>
        <v>FAIBLE</v>
      </c>
    </row>
    <row r="1271" spans="1:23" x14ac:dyDescent="0.25">
      <c r="A1271">
        <v>942</v>
      </c>
      <c r="B1271">
        <v>177</v>
      </c>
      <c r="C1271">
        <v>1</v>
      </c>
      <c r="D1271" s="1">
        <v>44064</v>
      </c>
      <c r="E1271" s="59" t="str" cm="1">
        <f t="array" ref="E127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71" t="s">
        <v>1608</v>
      </c>
      <c r="G1271" s="3">
        <v>4685894</v>
      </c>
      <c r="H1271" t="s">
        <v>1609</v>
      </c>
      <c r="I1271" s="4">
        <v>961181</v>
      </c>
      <c r="J1271" t="s">
        <v>206</v>
      </c>
      <c r="K1271" s="1">
        <v>44064</v>
      </c>
      <c r="L1271">
        <v>62</v>
      </c>
      <c r="M1271" s="2" t="str">
        <f>IF(Spotify[[#This Row],[Energie]]&gt;AVERAGE(Spotify[Energie]),"FORTE","FAIBLE")</f>
        <v>FAIBLE</v>
      </c>
      <c r="N1271" s="2">
        <v>0.80500000000000005</v>
      </c>
      <c r="O1271" s="2">
        <v>0.61899999999999999</v>
      </c>
      <c r="P1271" s="2">
        <v>7.7100000000000002E-2</v>
      </c>
      <c r="Q1271" s="2">
        <v>0.218</v>
      </c>
      <c r="R1271" s="2">
        <v>0.114</v>
      </c>
      <c r="S1271" s="2">
        <v>0.47599999999999998</v>
      </c>
      <c r="T1271" s="2">
        <v>-7.907</v>
      </c>
      <c r="U1271">
        <v>170200</v>
      </c>
      <c r="V1271">
        <f>YEAR(Spotify[[#This Row],[Date de sortie]])</f>
        <v>2020</v>
      </c>
      <c r="W1271" s="2" t="str">
        <f>IF(Spotify[[#This Row],[Popularité]]&gt;=70,"FORTE","FAIBLE")</f>
        <v>FAIBLE</v>
      </c>
    </row>
    <row r="1272" spans="1:23" x14ac:dyDescent="0.25">
      <c r="A1272">
        <v>1551</v>
      </c>
      <c r="B1272">
        <v>190</v>
      </c>
      <c r="C1272">
        <v>1</v>
      </c>
      <c r="D1272" s="1">
        <v>43826</v>
      </c>
      <c r="E1272" s="59" t="str" cm="1">
        <f t="array" ref="E127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272" t="s">
        <v>2435</v>
      </c>
      <c r="G1272" s="3">
        <v>4676857</v>
      </c>
      <c r="H1272" t="s">
        <v>2436</v>
      </c>
      <c r="I1272" s="4">
        <v>1390813</v>
      </c>
      <c r="J1272" t="s">
        <v>550</v>
      </c>
      <c r="K1272" s="1">
        <v>43798</v>
      </c>
      <c r="L1272">
        <v>62</v>
      </c>
      <c r="M1272" s="2" t="str">
        <f>IF(Spotify[[#This Row],[Energie]]&gt;AVERAGE(Spotify[Energie]),"FORTE","FAIBLE")</f>
        <v>FORTE</v>
      </c>
      <c r="N1272" s="2">
        <v>0.93200000000000005</v>
      </c>
      <c r="O1272" s="2">
        <v>0.77800000000000002</v>
      </c>
      <c r="P1272" s="2">
        <v>6.3799999999999996E-2</v>
      </c>
      <c r="Q1272" s="2">
        <v>0.21199999999999999</v>
      </c>
      <c r="R1272" s="2">
        <v>0.16800000000000001</v>
      </c>
      <c r="S1272" s="2">
        <v>0.93300000000000005</v>
      </c>
      <c r="T1272" s="2">
        <v>-3.3839999999999999</v>
      </c>
      <c r="U1272">
        <v>188613</v>
      </c>
      <c r="V1272">
        <f>YEAR(Spotify[[#This Row],[Date de sortie]])</f>
        <v>2019</v>
      </c>
      <c r="W1272" s="2" t="str">
        <f>IF(Spotify[[#This Row],[Popularité]]&gt;=70,"FORTE","FAIBLE")</f>
        <v>FAIBLE</v>
      </c>
    </row>
    <row r="1273" spans="1:23" x14ac:dyDescent="0.25">
      <c r="A1273">
        <v>1040</v>
      </c>
      <c r="B1273">
        <v>64</v>
      </c>
      <c r="C1273">
        <v>2</v>
      </c>
      <c r="D1273" s="1">
        <v>44015</v>
      </c>
      <c r="E1273" s="59" t="str" cm="1">
        <f t="array" ref="E127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273" t="s">
        <v>1743</v>
      </c>
      <c r="G1273" s="3">
        <v>4594248</v>
      </c>
      <c r="H1273" t="s">
        <v>338</v>
      </c>
      <c r="I1273" s="4">
        <v>6852509</v>
      </c>
      <c r="J1273" t="s">
        <v>158</v>
      </c>
      <c r="K1273" s="1">
        <v>44015</v>
      </c>
      <c r="L1273">
        <v>62</v>
      </c>
      <c r="M1273" s="2" t="str">
        <f>IF(Spotify[[#This Row],[Energie]]&gt;AVERAGE(Spotify[Energie]),"FORTE","FAIBLE")</f>
        <v>FORTE</v>
      </c>
      <c r="N1273" s="2">
        <v>0.5</v>
      </c>
      <c r="O1273" s="2">
        <v>0.76700000000000002</v>
      </c>
      <c r="P1273" s="2">
        <v>0.40300000000000002</v>
      </c>
      <c r="Q1273" s="2">
        <v>0.16200000000000001</v>
      </c>
      <c r="R1273" s="2">
        <v>0.38500000000000001</v>
      </c>
      <c r="S1273" s="2">
        <v>0.57999999999999996</v>
      </c>
      <c r="T1273" s="2">
        <v>-4.1050000000000004</v>
      </c>
      <c r="U1273">
        <v>202443</v>
      </c>
      <c r="V1273">
        <f>YEAR(Spotify[[#This Row],[Date de sortie]])</f>
        <v>2020</v>
      </c>
      <c r="W1273" s="2" t="str">
        <f>IF(Spotify[[#This Row],[Popularité]]&gt;=70,"FORTE","FAIBLE")</f>
        <v>FAIBLE</v>
      </c>
    </row>
    <row r="1274" spans="1:23" x14ac:dyDescent="0.25">
      <c r="A1274">
        <v>1148</v>
      </c>
      <c r="B1274">
        <v>45</v>
      </c>
      <c r="C1274">
        <v>4</v>
      </c>
      <c r="D1274" s="1">
        <v>43959</v>
      </c>
      <c r="E1274" s="59" t="str" cm="1">
        <f t="array" ref="E127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74" t="s">
        <v>1895</v>
      </c>
      <c r="G1274" s="3">
        <v>4556947</v>
      </c>
      <c r="H1274" t="s">
        <v>1079</v>
      </c>
      <c r="I1274" s="4">
        <v>1674348</v>
      </c>
      <c r="J1274" t="s">
        <v>206</v>
      </c>
      <c r="K1274" s="1">
        <v>43959</v>
      </c>
      <c r="L1274">
        <v>62</v>
      </c>
      <c r="M1274" s="2" t="str">
        <f>IF(Spotify[[#This Row],[Energie]]&gt;AVERAGE(Spotify[Energie]),"FORTE","FAIBLE")</f>
        <v>FORTE</v>
      </c>
      <c r="N1274" s="2">
        <v>0.81100000000000005</v>
      </c>
      <c r="O1274" s="2">
        <v>0.64500000000000002</v>
      </c>
      <c r="P1274" s="2">
        <v>0.104</v>
      </c>
      <c r="Q1274" s="2">
        <v>0.184</v>
      </c>
      <c r="R1274" s="2">
        <v>0.10299999999999999</v>
      </c>
      <c r="S1274" s="2">
        <v>0.47399999999999998</v>
      </c>
      <c r="T1274" s="2">
        <v>-8.0079999999999991</v>
      </c>
      <c r="U1274">
        <v>173761</v>
      </c>
      <c r="V1274">
        <f>YEAR(Spotify[[#This Row],[Date de sortie]])</f>
        <v>2020</v>
      </c>
      <c r="W1274" s="2" t="str">
        <f>IF(Spotify[[#This Row],[Popularité]]&gt;=70,"FORTE","FAIBLE")</f>
        <v>FAIBLE</v>
      </c>
    </row>
    <row r="1275" spans="1:23" x14ac:dyDescent="0.25">
      <c r="A1275">
        <v>1094</v>
      </c>
      <c r="B1275">
        <v>93</v>
      </c>
      <c r="C1275">
        <v>2</v>
      </c>
      <c r="D1275" s="1">
        <v>43994</v>
      </c>
      <c r="E1275" s="59" t="str" cm="1">
        <f t="array" ref="E127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75" t="s">
        <v>1817</v>
      </c>
      <c r="G1275" s="3">
        <v>4513982</v>
      </c>
      <c r="H1275" t="s">
        <v>1644</v>
      </c>
      <c r="I1275" s="4">
        <v>3372385</v>
      </c>
      <c r="J1275" t="s">
        <v>754</v>
      </c>
      <c r="K1275" s="1">
        <v>43994</v>
      </c>
      <c r="L1275">
        <v>62</v>
      </c>
      <c r="M1275" s="2" t="str">
        <f>IF(Spotify[[#This Row],[Energie]]&gt;AVERAGE(Spotify[Energie]),"FORTE","FAIBLE")</f>
        <v>FORTE</v>
      </c>
      <c r="N1275" s="2">
        <v>0.80600000000000005</v>
      </c>
      <c r="O1275" s="2">
        <v>0.749</v>
      </c>
      <c r="P1275" s="2">
        <v>0.32800000000000001</v>
      </c>
      <c r="Q1275" s="2">
        <v>8.3799999999999999E-2</v>
      </c>
      <c r="R1275" s="2">
        <v>6.2100000000000002E-2</v>
      </c>
      <c r="S1275" s="2">
        <v>0.77</v>
      </c>
      <c r="T1275" s="2">
        <v>-5.2679999999999998</v>
      </c>
      <c r="U1275">
        <v>145167</v>
      </c>
      <c r="V1275">
        <f>YEAR(Spotify[[#This Row],[Date de sortie]])</f>
        <v>2020</v>
      </c>
      <c r="W1275" s="2" t="str">
        <f>IF(Spotify[[#This Row],[Popularité]]&gt;=70,"FORTE","FAIBLE")</f>
        <v>FAIBLE</v>
      </c>
    </row>
    <row r="1276" spans="1:23" x14ac:dyDescent="0.25">
      <c r="A1276">
        <v>1169</v>
      </c>
      <c r="B1276">
        <v>199</v>
      </c>
      <c r="C1276">
        <v>1</v>
      </c>
      <c r="D1276" s="1">
        <v>43973</v>
      </c>
      <c r="E1276" s="59" t="str" cm="1">
        <f t="array" ref="E127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276" t="s">
        <v>1925</v>
      </c>
      <c r="G1276" s="3">
        <v>4419295</v>
      </c>
      <c r="H1276" t="s">
        <v>1926</v>
      </c>
      <c r="I1276" s="4">
        <v>8766508</v>
      </c>
      <c r="J1276" t="s">
        <v>25</v>
      </c>
      <c r="K1276" s="1">
        <v>43972</v>
      </c>
      <c r="L1276">
        <v>62</v>
      </c>
      <c r="M1276" s="2" t="str">
        <f>IF(Spotify[[#This Row],[Energie]]&gt;AVERAGE(Spotify[Energie]),"FORTE","FAIBLE")</f>
        <v>FORTE</v>
      </c>
      <c r="N1276" s="2">
        <v>0.72199999999999998</v>
      </c>
      <c r="O1276" s="2">
        <v>0.75700000000000001</v>
      </c>
      <c r="P1276" s="2">
        <v>7.8200000000000006E-2</v>
      </c>
      <c r="Q1276" s="2">
        <v>0.17</v>
      </c>
      <c r="R1276" s="2">
        <v>6.5699999999999995E-2</v>
      </c>
      <c r="S1276" s="2">
        <v>0.76300000000000001</v>
      </c>
      <c r="T1276" s="2">
        <v>-3.5920000000000001</v>
      </c>
      <c r="U1276">
        <v>202308</v>
      </c>
      <c r="V1276">
        <f>YEAR(Spotify[[#This Row],[Date de sortie]])</f>
        <v>2020</v>
      </c>
      <c r="W1276" s="2" t="str">
        <f>IF(Spotify[[#This Row],[Popularité]]&gt;=70,"FORTE","FAIBLE")</f>
        <v>FAIBLE</v>
      </c>
    </row>
    <row r="1277" spans="1:23" x14ac:dyDescent="0.25">
      <c r="A1277">
        <v>622</v>
      </c>
      <c r="B1277">
        <v>3</v>
      </c>
      <c r="C1277">
        <v>7</v>
      </c>
      <c r="D1277" s="1">
        <v>44183</v>
      </c>
      <c r="E1277" s="59" t="str" cm="1">
        <f t="array" ref="E127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77" t="s">
        <v>1103</v>
      </c>
      <c r="G1277" s="3">
        <v>16657592</v>
      </c>
      <c r="H1277" t="s">
        <v>202</v>
      </c>
      <c r="I1277" s="4">
        <v>67208170</v>
      </c>
      <c r="J1277" t="s">
        <v>19</v>
      </c>
      <c r="K1277" s="1">
        <v>41967</v>
      </c>
      <c r="L1277">
        <v>61</v>
      </c>
      <c r="M1277" s="2" t="str">
        <f>IF(Spotify[[#This Row],[Energie]]&gt;AVERAGE(Spotify[Energie]),"FORTE","FAIBLE")</f>
        <v>FAIBLE</v>
      </c>
      <c r="N1277" s="2">
        <v>0.52500000000000002</v>
      </c>
      <c r="O1277" s="2">
        <v>0.621</v>
      </c>
      <c r="P1277" s="2">
        <v>0.11600000000000001</v>
      </c>
      <c r="Q1277" s="2">
        <v>4.8899999999999999E-2</v>
      </c>
      <c r="R1277" s="2">
        <v>0.29399999999999998</v>
      </c>
      <c r="S1277" s="2">
        <v>0.59099999999999997</v>
      </c>
      <c r="T1277" s="2">
        <v>-7.3639999999999999</v>
      </c>
      <c r="U1277">
        <v>204093</v>
      </c>
      <c r="V1277">
        <f>YEAR(Spotify[[#This Row],[Date de sortie]])</f>
        <v>2014</v>
      </c>
      <c r="W1277" s="2" t="str">
        <f>IF(Spotify[[#This Row],[Popularité]]&gt;=70,"FORTE","FAIBLE")</f>
        <v>FAIBLE</v>
      </c>
    </row>
    <row r="1278" spans="1:23" x14ac:dyDescent="0.25">
      <c r="A1278">
        <v>1330</v>
      </c>
      <c r="B1278">
        <v>61</v>
      </c>
      <c r="C1278">
        <v>1</v>
      </c>
      <c r="D1278" s="1">
        <v>43896</v>
      </c>
      <c r="E1278" s="59" t="str" cm="1">
        <f t="array" ref="E127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278" t="s">
        <v>2143</v>
      </c>
      <c r="G1278" s="3">
        <v>10396969</v>
      </c>
      <c r="H1278" t="s">
        <v>1780</v>
      </c>
      <c r="I1278" s="4">
        <v>11821805</v>
      </c>
      <c r="J1278" t="s">
        <v>235</v>
      </c>
      <c r="K1278" s="1">
        <v>43896</v>
      </c>
      <c r="L1278">
        <v>61</v>
      </c>
      <c r="M1278" s="2" t="str">
        <f>IF(Spotify[[#This Row],[Energie]]&gt;AVERAGE(Spotify[Energie]),"FORTE","FAIBLE")</f>
        <v>FORTE</v>
      </c>
      <c r="N1278" s="2">
        <v>0.748</v>
      </c>
      <c r="O1278" s="2">
        <v>0.77100000000000002</v>
      </c>
      <c r="P1278" s="2">
        <v>0.15</v>
      </c>
      <c r="Q1278" s="2">
        <v>0.10100000000000001</v>
      </c>
      <c r="R1278" s="2">
        <v>0.13500000000000001</v>
      </c>
      <c r="S1278" s="2">
        <v>0.79200000000000004</v>
      </c>
      <c r="T1278" s="2">
        <v>-4.1559999999999997</v>
      </c>
      <c r="U1278">
        <v>195058</v>
      </c>
      <c r="V1278">
        <f>YEAR(Spotify[[#This Row],[Date de sortie]])</f>
        <v>2020</v>
      </c>
      <c r="W1278" s="2" t="str">
        <f>IF(Spotify[[#This Row],[Popularité]]&gt;=70,"FORTE","FAIBLE")</f>
        <v>FAIBLE</v>
      </c>
    </row>
    <row r="1279" spans="1:23" x14ac:dyDescent="0.25">
      <c r="A1279">
        <v>1494</v>
      </c>
      <c r="B1279">
        <v>74</v>
      </c>
      <c r="C1279">
        <v>1</v>
      </c>
      <c r="D1279" s="1">
        <v>43847</v>
      </c>
      <c r="E1279" s="59" t="str" cm="1">
        <f t="array" ref="E127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79" t="s">
        <v>2364</v>
      </c>
      <c r="G1279" s="3">
        <v>9159901</v>
      </c>
      <c r="H1279" t="s">
        <v>412</v>
      </c>
      <c r="I1279" s="4">
        <v>46814751</v>
      </c>
      <c r="J1279" t="s">
        <v>413</v>
      </c>
      <c r="K1279" s="1">
        <v>43847</v>
      </c>
      <c r="L1279">
        <v>61</v>
      </c>
      <c r="M1279" s="2" t="str">
        <f>IF(Spotify[[#This Row],[Energie]]&gt;AVERAGE(Spotify[Energie]),"FORTE","FAIBLE")</f>
        <v>FORTE</v>
      </c>
      <c r="N1279" s="2">
        <v>0.77900000000000003</v>
      </c>
      <c r="O1279" s="2">
        <v>0.80500000000000005</v>
      </c>
      <c r="P1279" s="2">
        <v>0.17799999999999999</v>
      </c>
      <c r="Q1279" s="2">
        <v>1.7999999999999999E-2</v>
      </c>
      <c r="R1279" s="2">
        <v>0.32100000000000001</v>
      </c>
      <c r="S1279" s="2">
        <v>0.55700000000000005</v>
      </c>
      <c r="T1279" s="2">
        <v>-3.121</v>
      </c>
      <c r="U1279">
        <v>213413</v>
      </c>
      <c r="V1279">
        <f>YEAR(Spotify[[#This Row],[Date de sortie]])</f>
        <v>2020</v>
      </c>
      <c r="W1279" s="2" t="str">
        <f>IF(Spotify[[#This Row],[Popularité]]&gt;=70,"FORTE","FAIBLE")</f>
        <v>FAIBLE</v>
      </c>
    </row>
    <row r="1280" spans="1:23" x14ac:dyDescent="0.25">
      <c r="A1280">
        <v>1407</v>
      </c>
      <c r="B1280">
        <v>72</v>
      </c>
      <c r="C1280">
        <v>1</v>
      </c>
      <c r="D1280" s="1">
        <v>43875</v>
      </c>
      <c r="E1280" s="59" t="str" cm="1">
        <f t="array" ref="E128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80" t="s">
        <v>2248</v>
      </c>
      <c r="G1280" s="3">
        <v>8362828</v>
      </c>
      <c r="H1280" t="s">
        <v>35</v>
      </c>
      <c r="I1280" s="4">
        <v>48544923</v>
      </c>
      <c r="J1280" t="s">
        <v>36</v>
      </c>
      <c r="K1280" s="1">
        <v>43875</v>
      </c>
      <c r="L1280">
        <v>61</v>
      </c>
      <c r="M1280" s="2" t="str">
        <f>IF(Spotify[[#This Row],[Energie]]&gt;AVERAGE(Spotify[Energie]),"FORTE","FAIBLE")</f>
        <v>FAIBLE</v>
      </c>
      <c r="N1280" s="2">
        <v>0.83199999999999996</v>
      </c>
      <c r="O1280" s="2">
        <v>0.50800000000000001</v>
      </c>
      <c r="P1280" s="2">
        <v>0.14899999999999999</v>
      </c>
      <c r="Q1280" s="2">
        <v>4.9200000000000001E-2</v>
      </c>
      <c r="R1280" s="2">
        <v>0.107</v>
      </c>
      <c r="S1280" s="2">
        <v>0.75</v>
      </c>
      <c r="T1280" s="2">
        <v>-6.9130000000000003</v>
      </c>
      <c r="U1280">
        <v>185427</v>
      </c>
      <c r="V1280">
        <f>YEAR(Spotify[[#This Row],[Date de sortie]])</f>
        <v>2020</v>
      </c>
      <c r="W1280" s="2" t="str">
        <f>IF(Spotify[[#This Row],[Popularité]]&gt;=70,"FORTE","FAIBLE")</f>
        <v>FAIBLE</v>
      </c>
    </row>
    <row r="1281" spans="1:23" x14ac:dyDescent="0.25">
      <c r="A1281">
        <v>1498</v>
      </c>
      <c r="B1281">
        <v>94</v>
      </c>
      <c r="C1281">
        <v>1</v>
      </c>
      <c r="D1281" s="1">
        <v>43847</v>
      </c>
      <c r="E1281" s="59" t="str" cm="1">
        <f t="array" ref="E128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81" t="s">
        <v>2368</v>
      </c>
      <c r="G1281" s="3">
        <v>8277608</v>
      </c>
      <c r="H1281" t="s">
        <v>412</v>
      </c>
      <c r="I1281" s="4">
        <v>46814751</v>
      </c>
      <c r="J1281" t="s">
        <v>413</v>
      </c>
      <c r="K1281" s="1">
        <v>43847</v>
      </c>
      <c r="L1281">
        <v>61</v>
      </c>
      <c r="M1281" s="2" t="str">
        <f>IF(Spotify[[#This Row],[Energie]]&gt;AVERAGE(Spotify[Energie]),"FORTE","FAIBLE")</f>
        <v>FORTE</v>
      </c>
      <c r="N1281" s="2">
        <v>0.89</v>
      </c>
      <c r="O1281" s="2">
        <v>0.66400000000000003</v>
      </c>
      <c r="P1281" s="2">
        <v>0.106</v>
      </c>
      <c r="Q1281" s="2">
        <v>4.8700000000000002E-3</v>
      </c>
      <c r="R1281" s="2">
        <v>0.25700000000000001</v>
      </c>
      <c r="S1281" s="2">
        <v>0.46700000000000003</v>
      </c>
      <c r="T1281" s="2">
        <v>-6.625</v>
      </c>
      <c r="U1281">
        <v>247733</v>
      </c>
      <c r="V1281">
        <f>YEAR(Spotify[[#This Row],[Date de sortie]])</f>
        <v>2020</v>
      </c>
      <c r="W1281" s="2" t="str">
        <f>IF(Spotify[[#This Row],[Popularité]]&gt;=70,"FORTE","FAIBLE")</f>
        <v>FAIBLE</v>
      </c>
    </row>
    <row r="1282" spans="1:23" x14ac:dyDescent="0.25">
      <c r="A1282">
        <v>1408</v>
      </c>
      <c r="B1282">
        <v>79</v>
      </c>
      <c r="C1282">
        <v>1</v>
      </c>
      <c r="D1282" s="1">
        <v>43875</v>
      </c>
      <c r="E1282" s="59" t="str" cm="1">
        <f t="array" ref="E128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82" t="s">
        <v>2249</v>
      </c>
      <c r="G1282" s="3">
        <v>8109572</v>
      </c>
      <c r="H1282" t="s">
        <v>35</v>
      </c>
      <c r="I1282" s="4">
        <v>48544923</v>
      </c>
      <c r="J1282" t="s">
        <v>36</v>
      </c>
      <c r="K1282" s="1">
        <v>43875</v>
      </c>
      <c r="L1282">
        <v>61</v>
      </c>
      <c r="M1282" s="2" t="str">
        <f>IF(Spotify[[#This Row],[Energie]]&gt;AVERAGE(Spotify[Energie]),"FORTE","FAIBLE")</f>
        <v>FORTE</v>
      </c>
      <c r="N1282" s="2">
        <v>0.79600000000000004</v>
      </c>
      <c r="O1282" s="2">
        <v>0.77700000000000002</v>
      </c>
      <c r="P1282" s="2">
        <v>5.67E-2</v>
      </c>
      <c r="Q1282" s="2">
        <v>2.76E-2</v>
      </c>
      <c r="R1282" s="2">
        <v>9.5000000000000001E-2</v>
      </c>
      <c r="S1282" s="2">
        <v>0.96</v>
      </c>
      <c r="T1282" s="2">
        <v>-6.1120000000000001</v>
      </c>
      <c r="U1282">
        <v>202720</v>
      </c>
      <c r="V1282">
        <f>YEAR(Spotify[[#This Row],[Date de sortie]])</f>
        <v>2020</v>
      </c>
      <c r="W1282" s="2" t="str">
        <f>IF(Spotify[[#This Row],[Popularité]]&gt;=70,"FORTE","FAIBLE")</f>
        <v>FAIBLE</v>
      </c>
    </row>
    <row r="1283" spans="1:23" x14ac:dyDescent="0.25">
      <c r="A1283">
        <v>706</v>
      </c>
      <c r="B1283">
        <v>126</v>
      </c>
      <c r="C1283">
        <v>1</v>
      </c>
      <c r="D1283" s="1">
        <v>44176</v>
      </c>
      <c r="E1283" s="59" t="str" cm="1">
        <f t="array" ref="E128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83" t="s">
        <v>1248</v>
      </c>
      <c r="G1283" s="3">
        <v>7655623</v>
      </c>
      <c r="H1283" t="s">
        <v>1092</v>
      </c>
      <c r="I1283" s="4">
        <v>5002317</v>
      </c>
      <c r="J1283" t="s">
        <v>426</v>
      </c>
      <c r="K1283" s="1">
        <v>44176</v>
      </c>
      <c r="L1283">
        <v>61</v>
      </c>
      <c r="M1283" s="2" t="str">
        <f>IF(Spotify[[#This Row],[Energie]]&gt;AVERAGE(Spotify[Energie]),"FORTE","FAIBLE")</f>
        <v>FORTE</v>
      </c>
      <c r="N1283" s="2">
        <v>0.58899999999999997</v>
      </c>
      <c r="O1283" s="2">
        <v>0.72699999999999998</v>
      </c>
      <c r="P1283" s="2">
        <v>8.6599999999999996E-2</v>
      </c>
      <c r="Q1283" s="2">
        <v>0.23899999999999999</v>
      </c>
      <c r="R1283" s="2">
        <v>0.16400000000000001</v>
      </c>
      <c r="S1283" s="2">
        <v>0.52</v>
      </c>
      <c r="T1283" s="2">
        <v>-6.907</v>
      </c>
      <c r="U1283">
        <v>242267</v>
      </c>
      <c r="V1283">
        <f>YEAR(Spotify[[#This Row],[Date de sortie]])</f>
        <v>2020</v>
      </c>
      <c r="W1283" s="2" t="str">
        <f>IF(Spotify[[#This Row],[Popularité]]&gt;=70,"FORTE","FAIBLE")</f>
        <v>FAIBLE</v>
      </c>
    </row>
    <row r="1284" spans="1:23" x14ac:dyDescent="0.25">
      <c r="A1284">
        <v>1137</v>
      </c>
      <c r="B1284">
        <v>91</v>
      </c>
      <c r="C1284">
        <v>1</v>
      </c>
      <c r="D1284" s="1">
        <v>43980</v>
      </c>
      <c r="E1284" s="59" t="str" cm="1">
        <f t="array" ref="E128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84" t="s">
        <v>1879</v>
      </c>
      <c r="G1284" s="3">
        <v>6996402</v>
      </c>
      <c r="H1284" t="s">
        <v>607</v>
      </c>
      <c r="I1284" s="4">
        <v>18585963</v>
      </c>
      <c r="J1284" t="s">
        <v>19</v>
      </c>
      <c r="K1284" s="1">
        <v>43980</v>
      </c>
      <c r="L1284">
        <v>61</v>
      </c>
      <c r="M1284" s="2" t="str">
        <f>IF(Spotify[[#This Row],[Energie]]&gt;AVERAGE(Spotify[Energie]),"FORTE","FAIBLE")</f>
        <v>FORTE</v>
      </c>
      <c r="N1284" s="2">
        <v>0.69799999999999995</v>
      </c>
      <c r="O1284" s="2">
        <v>0.79900000000000004</v>
      </c>
      <c r="P1284" s="2">
        <v>3.4200000000000001E-2</v>
      </c>
      <c r="Q1284" s="2">
        <v>1.29E-2</v>
      </c>
      <c r="R1284" s="2">
        <v>0.215</v>
      </c>
      <c r="S1284" s="2">
        <v>0.35099999999999998</v>
      </c>
      <c r="T1284" s="2">
        <v>-4.3719999999999999</v>
      </c>
      <c r="U1284">
        <v>161733</v>
      </c>
      <c r="V1284">
        <f>YEAR(Spotify[[#This Row],[Date de sortie]])</f>
        <v>2020</v>
      </c>
      <c r="W1284" s="2" t="str">
        <f>IF(Spotify[[#This Row],[Popularité]]&gt;=70,"FORTE","FAIBLE")</f>
        <v>FAIBLE</v>
      </c>
    </row>
    <row r="1285" spans="1:23" x14ac:dyDescent="0.25">
      <c r="A1285">
        <v>1086</v>
      </c>
      <c r="B1285">
        <v>86</v>
      </c>
      <c r="C1285">
        <v>1</v>
      </c>
      <c r="D1285" s="1">
        <v>44001</v>
      </c>
      <c r="E1285" s="59" t="str" cm="1">
        <f t="array" ref="E128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85" t="s">
        <v>1805</v>
      </c>
      <c r="G1285" s="3">
        <v>6707101</v>
      </c>
      <c r="H1285" t="s">
        <v>1401</v>
      </c>
      <c r="I1285" s="4">
        <v>1683006</v>
      </c>
      <c r="J1285" t="s">
        <v>206</v>
      </c>
      <c r="K1285" s="1">
        <v>44000</v>
      </c>
      <c r="L1285">
        <v>61</v>
      </c>
      <c r="M1285" s="2" t="str">
        <f>IF(Spotify[[#This Row],[Energie]]&gt;AVERAGE(Spotify[Energie]),"FORTE","FAIBLE")</f>
        <v>FAIBLE</v>
      </c>
      <c r="N1285" s="2">
        <v>0.88400000000000001</v>
      </c>
      <c r="O1285" s="2">
        <v>0.45100000000000001</v>
      </c>
      <c r="P1285" s="2">
        <v>0.39300000000000002</v>
      </c>
      <c r="Q1285" s="2">
        <v>7.3099999999999998E-2</v>
      </c>
      <c r="R1285" s="2">
        <v>0.26800000000000002</v>
      </c>
      <c r="S1285" s="2">
        <v>0.311</v>
      </c>
      <c r="T1285" s="2">
        <v>-8.9689999999999994</v>
      </c>
      <c r="U1285">
        <v>148284</v>
      </c>
      <c r="V1285">
        <f>YEAR(Spotify[[#This Row],[Date de sortie]])</f>
        <v>2020</v>
      </c>
      <c r="W1285" s="2" t="str">
        <f>IF(Spotify[[#This Row],[Popularité]]&gt;=70,"FORTE","FAIBLE")</f>
        <v>FAIBLE</v>
      </c>
    </row>
    <row r="1286" spans="1:23" x14ac:dyDescent="0.25">
      <c r="A1286">
        <v>1506</v>
      </c>
      <c r="B1286">
        <v>148</v>
      </c>
      <c r="C1286">
        <v>1</v>
      </c>
      <c r="D1286" s="1">
        <v>43847</v>
      </c>
      <c r="E1286" s="59" t="str" cm="1">
        <f t="array" ref="E128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86" t="s">
        <v>2376</v>
      </c>
      <c r="G1286" s="3">
        <v>6159873</v>
      </c>
      <c r="H1286" t="s">
        <v>2268</v>
      </c>
      <c r="I1286" s="4">
        <v>6189454</v>
      </c>
      <c r="J1286" t="s">
        <v>426</v>
      </c>
      <c r="K1286" s="1">
        <v>43847</v>
      </c>
      <c r="L1286">
        <v>61</v>
      </c>
      <c r="M1286" s="2" t="str">
        <f>IF(Spotify[[#This Row],[Energie]]&gt;AVERAGE(Spotify[Energie]),"FORTE","FAIBLE")</f>
        <v>FAIBLE</v>
      </c>
      <c r="N1286" s="2">
        <v>0.76200000000000001</v>
      </c>
      <c r="O1286" s="2">
        <v>5.3999999999999999E-2</v>
      </c>
      <c r="P1286" s="2">
        <v>5.0299999999999997E-2</v>
      </c>
      <c r="Q1286" s="2">
        <v>0.94699999999999995</v>
      </c>
      <c r="R1286" s="2">
        <v>0.124</v>
      </c>
      <c r="S1286" s="2">
        <v>0.33900000000000002</v>
      </c>
      <c r="T1286" s="2">
        <v>-16.734999999999999</v>
      </c>
      <c r="U1286">
        <v>160267</v>
      </c>
      <c r="V1286">
        <f>YEAR(Spotify[[#This Row],[Date de sortie]])</f>
        <v>2020</v>
      </c>
      <c r="W1286" s="2" t="str">
        <f>IF(Spotify[[#This Row],[Popularité]]&gt;=70,"FORTE","FAIBLE")</f>
        <v>FAIBLE</v>
      </c>
    </row>
    <row r="1287" spans="1:23" x14ac:dyDescent="0.25">
      <c r="A1287">
        <v>713</v>
      </c>
      <c r="B1287">
        <v>185</v>
      </c>
      <c r="C1287">
        <v>1</v>
      </c>
      <c r="D1287" s="1">
        <v>44176</v>
      </c>
      <c r="E1287" s="59" t="str" cm="1">
        <f t="array" ref="E128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87" t="s">
        <v>1255</v>
      </c>
      <c r="G1287" s="3">
        <v>6068816</v>
      </c>
      <c r="H1287" t="s">
        <v>1092</v>
      </c>
      <c r="I1287" s="4">
        <v>5002317</v>
      </c>
      <c r="J1287" t="s">
        <v>426</v>
      </c>
      <c r="K1287" s="1">
        <v>44176</v>
      </c>
      <c r="L1287">
        <v>61</v>
      </c>
      <c r="M1287" s="2" t="str">
        <f>IF(Spotify[[#This Row],[Energie]]&gt;AVERAGE(Spotify[Energie]),"FORTE","FAIBLE")</f>
        <v>FAIBLE</v>
      </c>
      <c r="N1287" s="2">
        <v>0.46400000000000002</v>
      </c>
      <c r="O1287" s="2">
        <v>0.45900000000000002</v>
      </c>
      <c r="P1287" s="2">
        <v>3.1399999999999997E-2</v>
      </c>
      <c r="Q1287" s="2">
        <v>0.36499999999999999</v>
      </c>
      <c r="R1287" s="2">
        <v>0.11700000000000001</v>
      </c>
      <c r="S1287" s="2">
        <v>7.8600000000000003E-2</v>
      </c>
      <c r="T1287" s="2">
        <v>-8.7360000000000007</v>
      </c>
      <c r="U1287">
        <v>325413</v>
      </c>
      <c r="V1287">
        <f>YEAR(Spotify[[#This Row],[Date de sortie]])</f>
        <v>2020</v>
      </c>
      <c r="W1287" s="2" t="str">
        <f>IF(Spotify[[#This Row],[Popularité]]&gt;=70,"FORTE","FAIBLE")</f>
        <v>FAIBLE</v>
      </c>
    </row>
    <row r="1288" spans="1:23" x14ac:dyDescent="0.25">
      <c r="A1288">
        <v>1173</v>
      </c>
      <c r="B1288">
        <v>110</v>
      </c>
      <c r="C1288">
        <v>1</v>
      </c>
      <c r="D1288" s="1">
        <v>43966</v>
      </c>
      <c r="E1288" s="59" t="str" cm="1">
        <f t="array" ref="E128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88" t="s">
        <v>1931</v>
      </c>
      <c r="G1288" s="3">
        <v>6057848</v>
      </c>
      <c r="H1288" t="s">
        <v>719</v>
      </c>
      <c r="I1288" s="4">
        <v>10491105</v>
      </c>
      <c r="J1288" t="s">
        <v>531</v>
      </c>
      <c r="K1288" s="1">
        <v>43966</v>
      </c>
      <c r="L1288">
        <v>61</v>
      </c>
      <c r="M1288" s="2" t="str">
        <f>IF(Spotify[[#This Row],[Energie]]&gt;AVERAGE(Spotify[Energie]),"FORTE","FAIBLE")</f>
        <v>FAIBLE</v>
      </c>
      <c r="N1288" s="2">
        <v>0.76800000000000002</v>
      </c>
      <c r="O1288" s="2">
        <v>0.52600000000000002</v>
      </c>
      <c r="P1288" s="2">
        <v>0.20899999999999999</v>
      </c>
      <c r="Q1288" s="2">
        <v>0.23699999999999999</v>
      </c>
      <c r="R1288" s="2">
        <v>0.13900000000000001</v>
      </c>
      <c r="S1288" s="2">
        <v>0.47299999999999998</v>
      </c>
      <c r="T1288" s="2">
        <v>-7.1820000000000004</v>
      </c>
      <c r="U1288">
        <v>167552</v>
      </c>
      <c r="V1288">
        <f>YEAR(Spotify[[#This Row],[Date de sortie]])</f>
        <v>2020</v>
      </c>
      <c r="W1288" s="2" t="str">
        <f>IF(Spotify[[#This Row],[Popularité]]&gt;=70,"FORTE","FAIBLE")</f>
        <v>FAIBLE</v>
      </c>
    </row>
    <row r="1289" spans="1:23" x14ac:dyDescent="0.25">
      <c r="A1289">
        <v>1050</v>
      </c>
      <c r="B1289">
        <v>121</v>
      </c>
      <c r="C1289">
        <v>1</v>
      </c>
      <c r="D1289" s="1">
        <v>44015</v>
      </c>
      <c r="E1289" s="59" t="str" cm="1">
        <f t="array" ref="E128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289" t="s">
        <v>1754</v>
      </c>
      <c r="G1289" s="3">
        <v>5931242</v>
      </c>
      <c r="H1289" t="s">
        <v>338</v>
      </c>
      <c r="I1289" s="4">
        <v>6852509</v>
      </c>
      <c r="J1289" t="s">
        <v>158</v>
      </c>
      <c r="K1289" s="1">
        <v>44015</v>
      </c>
      <c r="L1289">
        <v>61</v>
      </c>
      <c r="M1289" s="2" t="str">
        <f>IF(Spotify[[#This Row],[Energie]]&gt;AVERAGE(Spotify[Energie]),"FORTE","FAIBLE")</f>
        <v>FORTE</v>
      </c>
      <c r="N1289" s="2">
        <v>0.83099999999999996</v>
      </c>
      <c r="O1289" s="2">
        <v>0.76200000000000001</v>
      </c>
      <c r="P1289" s="2">
        <v>0.20699999999999999</v>
      </c>
      <c r="Q1289" s="2">
        <v>8.8499999999999995E-2</v>
      </c>
      <c r="R1289" s="2">
        <v>0.107</v>
      </c>
      <c r="S1289" s="2">
        <v>0.495</v>
      </c>
      <c r="T1289" s="2">
        <v>-5.6559999999999997</v>
      </c>
      <c r="U1289">
        <v>192000</v>
      </c>
      <c r="V1289">
        <f>YEAR(Spotify[[#This Row],[Date de sortie]])</f>
        <v>2020</v>
      </c>
      <c r="W1289" s="2" t="str">
        <f>IF(Spotify[[#This Row],[Popularité]]&gt;=70,"FORTE","FAIBLE")</f>
        <v>FAIBLE</v>
      </c>
    </row>
    <row r="1290" spans="1:23" x14ac:dyDescent="0.25">
      <c r="A1290">
        <v>980</v>
      </c>
      <c r="B1290">
        <v>140</v>
      </c>
      <c r="C1290">
        <v>1</v>
      </c>
      <c r="D1290" s="1">
        <v>44043</v>
      </c>
      <c r="E1290" s="59" t="str" cm="1">
        <f t="array" ref="E129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90" t="s">
        <v>1661</v>
      </c>
      <c r="G1290" s="3">
        <v>5768616</v>
      </c>
      <c r="H1290" t="s">
        <v>1662</v>
      </c>
      <c r="I1290" s="4">
        <v>3037935</v>
      </c>
      <c r="J1290" t="s">
        <v>426</v>
      </c>
      <c r="K1290" s="1">
        <v>44099</v>
      </c>
      <c r="L1290">
        <v>61</v>
      </c>
      <c r="M1290" s="2" t="str">
        <f>IF(Spotify[[#This Row],[Energie]]&gt;AVERAGE(Spotify[Energie]),"FORTE","FAIBLE")</f>
        <v>FORTE</v>
      </c>
      <c r="N1290" s="2">
        <v>0.80800000000000005</v>
      </c>
      <c r="O1290" s="2">
        <v>0.67600000000000005</v>
      </c>
      <c r="P1290" s="2">
        <v>0.223</v>
      </c>
      <c r="Q1290" s="2">
        <v>6.1800000000000001E-2</v>
      </c>
      <c r="R1290" s="2">
        <v>0.11</v>
      </c>
      <c r="S1290" s="2">
        <v>7.6300000000000007E-2</v>
      </c>
      <c r="T1290" s="2">
        <v>-4.9020000000000001</v>
      </c>
      <c r="U1290">
        <v>144973</v>
      </c>
      <c r="V1290">
        <f>YEAR(Spotify[[#This Row],[Date de sortie]])</f>
        <v>2020</v>
      </c>
      <c r="W1290" s="2" t="str">
        <f>IF(Spotify[[#This Row],[Popularité]]&gt;=70,"FORTE","FAIBLE")</f>
        <v>FAIBLE</v>
      </c>
    </row>
    <row r="1291" spans="1:23" x14ac:dyDescent="0.25">
      <c r="A1291">
        <v>1062</v>
      </c>
      <c r="B1291">
        <v>90</v>
      </c>
      <c r="C1291">
        <v>2</v>
      </c>
      <c r="D1291" s="1">
        <v>44001</v>
      </c>
      <c r="E1291" s="59" t="str" cm="1">
        <f t="array" ref="E129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91" t="s">
        <v>1772</v>
      </c>
      <c r="G1291" s="3">
        <v>5474807</v>
      </c>
      <c r="H1291" t="s">
        <v>1773</v>
      </c>
      <c r="I1291" s="4">
        <v>28335112</v>
      </c>
      <c r="J1291" t="s">
        <v>19</v>
      </c>
      <c r="K1291" s="1">
        <v>44001</v>
      </c>
      <c r="L1291">
        <v>61</v>
      </c>
      <c r="M1291" s="2" t="str">
        <f>IF(Spotify[[#This Row],[Energie]]&gt;AVERAGE(Spotify[Energie]),"FORTE","FAIBLE")</f>
        <v>FAIBLE</v>
      </c>
      <c r="N1291" s="2">
        <v>0.82399999999999995</v>
      </c>
      <c r="O1291" s="2">
        <v>0.55500000000000005</v>
      </c>
      <c r="P1291" s="2">
        <v>0.05</v>
      </c>
      <c r="Q1291" s="2">
        <v>3.3700000000000002E-3</v>
      </c>
      <c r="R1291" s="2">
        <v>0.217</v>
      </c>
      <c r="S1291" s="2">
        <v>6.1100000000000002E-2</v>
      </c>
      <c r="T1291" s="2">
        <v>-5.8170000000000002</v>
      </c>
      <c r="U1291">
        <v>281273</v>
      </c>
      <c r="V1291">
        <f>YEAR(Spotify[[#This Row],[Date de sortie]])</f>
        <v>2020</v>
      </c>
      <c r="W1291" s="2" t="str">
        <f>IF(Spotify[[#This Row],[Popularité]]&gt;=70,"FORTE","FAIBLE")</f>
        <v>FAIBLE</v>
      </c>
    </row>
    <row r="1292" spans="1:23" x14ac:dyDescent="0.25">
      <c r="A1292">
        <v>1369</v>
      </c>
      <c r="B1292">
        <v>128</v>
      </c>
      <c r="C1292">
        <v>2</v>
      </c>
      <c r="D1292" s="1">
        <v>43882</v>
      </c>
      <c r="E1292" s="59" t="str" cm="1">
        <f t="array" ref="E129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92" t="s">
        <v>2196</v>
      </c>
      <c r="G1292" s="3">
        <v>5260351</v>
      </c>
      <c r="H1292" t="s">
        <v>719</v>
      </c>
      <c r="I1292" s="4">
        <v>10491105</v>
      </c>
      <c r="J1292" t="s">
        <v>531</v>
      </c>
      <c r="K1292" s="1">
        <v>43876</v>
      </c>
      <c r="L1292">
        <v>61</v>
      </c>
      <c r="M1292" s="2" t="str">
        <f>IF(Spotify[[#This Row],[Energie]]&gt;AVERAGE(Spotify[Energie]),"FORTE","FAIBLE")</f>
        <v>FAIBLE</v>
      </c>
      <c r="N1292" s="2">
        <v>0.81</v>
      </c>
      <c r="O1292" s="2">
        <v>0.56599999999999995</v>
      </c>
      <c r="P1292" s="2">
        <v>0.433</v>
      </c>
      <c r="Q1292" s="2">
        <v>0.107</v>
      </c>
      <c r="R1292" s="2">
        <v>0.122</v>
      </c>
      <c r="S1292" s="2">
        <v>0.58199999999999996</v>
      </c>
      <c r="T1292" s="2">
        <v>-8.33</v>
      </c>
      <c r="U1292">
        <v>315346</v>
      </c>
      <c r="V1292">
        <f>YEAR(Spotify[[#This Row],[Date de sortie]])</f>
        <v>2020</v>
      </c>
      <c r="W1292" s="2" t="str">
        <f>IF(Spotify[[#This Row],[Popularité]]&gt;=70,"FORTE","FAIBLE")</f>
        <v>FAIBLE</v>
      </c>
    </row>
    <row r="1293" spans="1:23" x14ac:dyDescent="0.25">
      <c r="A1293">
        <v>1438</v>
      </c>
      <c r="B1293">
        <v>45</v>
      </c>
      <c r="C1293">
        <v>2</v>
      </c>
      <c r="D1293" s="1">
        <v>43861</v>
      </c>
      <c r="E1293" s="59" t="str" cm="1">
        <f t="array" ref="E129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93" t="s">
        <v>2286</v>
      </c>
      <c r="G1293" s="3">
        <v>5236560</v>
      </c>
      <c r="H1293" t="s">
        <v>2287</v>
      </c>
      <c r="I1293" s="4">
        <v>48544923</v>
      </c>
      <c r="J1293" t="s">
        <v>36</v>
      </c>
      <c r="K1293" s="1">
        <v>43875</v>
      </c>
      <c r="L1293">
        <v>61</v>
      </c>
      <c r="M1293" s="2" t="str">
        <f>IF(Spotify[[#This Row],[Energie]]&gt;AVERAGE(Spotify[Energie]),"FORTE","FAIBLE")</f>
        <v>FAIBLE</v>
      </c>
      <c r="N1293" s="2">
        <v>0.83199999999999996</v>
      </c>
      <c r="O1293" s="2">
        <v>0.50800000000000001</v>
      </c>
      <c r="P1293" s="2">
        <v>0.14899999999999999</v>
      </c>
      <c r="Q1293" s="2">
        <v>4.9200000000000001E-2</v>
      </c>
      <c r="R1293" s="2">
        <v>0.107</v>
      </c>
      <c r="S1293" s="2">
        <v>0.75</v>
      </c>
      <c r="T1293" s="2">
        <v>-6.9130000000000003</v>
      </c>
      <c r="U1293">
        <v>185427</v>
      </c>
      <c r="V1293">
        <f>YEAR(Spotify[[#This Row],[Date de sortie]])</f>
        <v>2020</v>
      </c>
      <c r="W1293" s="2" t="str">
        <f>IF(Spotify[[#This Row],[Popularité]]&gt;=70,"FORTE","FAIBLE")</f>
        <v>FAIBLE</v>
      </c>
    </row>
    <row r="1294" spans="1:23" x14ac:dyDescent="0.25">
      <c r="A1294">
        <v>861</v>
      </c>
      <c r="B1294">
        <v>179</v>
      </c>
      <c r="C1294">
        <v>1</v>
      </c>
      <c r="D1294" s="1">
        <v>44106</v>
      </c>
      <c r="E1294" s="59" t="str" cm="1">
        <f t="array" ref="E129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94" t="s">
        <v>1481</v>
      </c>
      <c r="G1294" s="3">
        <v>5154955</v>
      </c>
      <c r="H1294" t="s">
        <v>1320</v>
      </c>
      <c r="I1294" s="4">
        <v>9949044</v>
      </c>
      <c r="J1294" t="s">
        <v>531</v>
      </c>
      <c r="K1294" s="1">
        <v>44106</v>
      </c>
      <c r="L1294">
        <v>61</v>
      </c>
      <c r="M1294" s="2" t="str">
        <f>IF(Spotify[[#This Row],[Energie]]&gt;AVERAGE(Spotify[Energie]),"FORTE","FAIBLE")</f>
        <v>FORTE</v>
      </c>
      <c r="N1294" s="2">
        <v>0.82299999999999995</v>
      </c>
      <c r="O1294" s="2">
        <v>0.70299999999999996</v>
      </c>
      <c r="P1294" s="2">
        <v>0.29799999999999999</v>
      </c>
      <c r="Q1294" s="2">
        <v>1.61E-2</v>
      </c>
      <c r="R1294" s="2">
        <v>0.29399999999999998</v>
      </c>
      <c r="S1294" s="2">
        <v>0.26</v>
      </c>
      <c r="T1294" s="2">
        <v>-2.6909999999999998</v>
      </c>
      <c r="U1294">
        <v>194214</v>
      </c>
      <c r="V1294">
        <f>YEAR(Spotify[[#This Row],[Date de sortie]])</f>
        <v>2020</v>
      </c>
      <c r="W1294" s="2" t="str">
        <f>IF(Spotify[[#This Row],[Popularité]]&gt;=70,"FORTE","FAIBLE")</f>
        <v>FAIBLE</v>
      </c>
    </row>
    <row r="1295" spans="1:23" x14ac:dyDescent="0.25">
      <c r="A1295">
        <v>862</v>
      </c>
      <c r="B1295">
        <v>106</v>
      </c>
      <c r="C1295">
        <v>5</v>
      </c>
      <c r="D1295" s="1">
        <v>44078</v>
      </c>
      <c r="E1295" s="59" t="str" cm="1">
        <f t="array" ref="E129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295" t="s">
        <v>1482</v>
      </c>
      <c r="G1295" s="3">
        <v>5109038</v>
      </c>
      <c r="H1295" t="s">
        <v>1483</v>
      </c>
      <c r="I1295" s="4">
        <v>25417</v>
      </c>
      <c r="J1295" t="s">
        <v>1484</v>
      </c>
      <c r="K1295" s="1">
        <v>44063</v>
      </c>
      <c r="L1295">
        <v>61</v>
      </c>
      <c r="M1295" s="2" t="str">
        <f>IF(Spotify[[#This Row],[Energie]]&gt;AVERAGE(Spotify[Energie]),"FORTE","FAIBLE")</f>
        <v>FORTE</v>
      </c>
      <c r="N1295" s="2">
        <v>0.83899999999999997</v>
      </c>
      <c r="O1295" s="2">
        <v>0.68300000000000005</v>
      </c>
      <c r="P1295" s="2">
        <v>0.16500000000000001</v>
      </c>
      <c r="Q1295" s="2">
        <v>6.6699999999999997E-3</v>
      </c>
      <c r="R1295" s="2">
        <v>0.24099999999999999</v>
      </c>
      <c r="S1295" s="2">
        <v>0.52200000000000002</v>
      </c>
      <c r="T1295" s="2">
        <v>-9.2319999999999993</v>
      </c>
      <c r="U1295">
        <v>159955</v>
      </c>
      <c r="V1295">
        <f>YEAR(Spotify[[#This Row],[Date de sortie]])</f>
        <v>2020</v>
      </c>
      <c r="W1295" s="2" t="str">
        <f>IF(Spotify[[#This Row],[Popularité]]&gt;=70,"FORTE","FAIBLE")</f>
        <v>FAIBLE</v>
      </c>
    </row>
    <row r="1296" spans="1:23" x14ac:dyDescent="0.25">
      <c r="A1296">
        <v>1089</v>
      </c>
      <c r="B1296">
        <v>131</v>
      </c>
      <c r="C1296">
        <v>1</v>
      </c>
      <c r="D1296" s="1">
        <v>44001</v>
      </c>
      <c r="E1296" s="59" t="str" cm="1">
        <f t="array" ref="E129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296" t="s">
        <v>1809</v>
      </c>
      <c r="G1296" s="3">
        <v>5095478</v>
      </c>
      <c r="H1296" t="s">
        <v>1810</v>
      </c>
      <c r="I1296" s="4">
        <v>5865895</v>
      </c>
      <c r="J1296" t="s">
        <v>235</v>
      </c>
      <c r="K1296" s="1">
        <v>44001</v>
      </c>
      <c r="L1296">
        <v>61</v>
      </c>
      <c r="M1296" s="2" t="str">
        <f>IF(Spotify[[#This Row],[Energie]]&gt;AVERAGE(Spotify[Energie]),"FORTE","FAIBLE")</f>
        <v>FAIBLE</v>
      </c>
      <c r="N1296" s="2">
        <v>0.69799999999999995</v>
      </c>
      <c r="O1296" s="2">
        <v>0.57199999999999995</v>
      </c>
      <c r="P1296" s="2">
        <v>0.19800000000000001</v>
      </c>
      <c r="Q1296" s="2">
        <v>0.13500000000000001</v>
      </c>
      <c r="R1296" s="2">
        <v>0.154</v>
      </c>
      <c r="S1296" s="2">
        <v>0.39100000000000001</v>
      </c>
      <c r="T1296" s="2">
        <v>-7.7350000000000003</v>
      </c>
      <c r="U1296">
        <v>176959</v>
      </c>
      <c r="V1296">
        <f>YEAR(Spotify[[#This Row],[Date de sortie]])</f>
        <v>2020</v>
      </c>
      <c r="W1296" s="2" t="str">
        <f>IF(Spotify[[#This Row],[Popularité]]&gt;=70,"FORTE","FAIBLE")</f>
        <v>FAIBLE</v>
      </c>
    </row>
    <row r="1297" spans="1:23" x14ac:dyDescent="0.25">
      <c r="A1297">
        <v>1396</v>
      </c>
      <c r="B1297">
        <v>182</v>
      </c>
      <c r="C1297">
        <v>1</v>
      </c>
      <c r="D1297" s="1">
        <v>43882</v>
      </c>
      <c r="E1297" s="59" t="str" cm="1">
        <f t="array" ref="E129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97" t="s">
        <v>2231</v>
      </c>
      <c r="G1297" s="3">
        <v>4994448</v>
      </c>
      <c r="H1297" t="s">
        <v>2232</v>
      </c>
      <c r="I1297" s="4">
        <v>1347589</v>
      </c>
      <c r="J1297" t="s">
        <v>531</v>
      </c>
      <c r="K1297" s="1">
        <v>43637</v>
      </c>
      <c r="L1297">
        <v>61</v>
      </c>
      <c r="M1297" s="2" t="str">
        <f>IF(Spotify[[#This Row],[Energie]]&gt;AVERAGE(Spotify[Energie]),"FORTE","FAIBLE")</f>
        <v>FAIBLE</v>
      </c>
      <c r="N1297" s="2">
        <v>0.91500000000000004</v>
      </c>
      <c r="O1297" s="2">
        <v>0.55600000000000005</v>
      </c>
      <c r="P1297" s="2">
        <v>0.216</v>
      </c>
      <c r="Q1297" s="2">
        <v>1.4500000000000001E-2</v>
      </c>
      <c r="R1297" s="2">
        <v>7.3300000000000004E-2</v>
      </c>
      <c r="S1297" s="2">
        <v>0.67</v>
      </c>
      <c r="T1297" s="2">
        <v>-8.6010000000000009</v>
      </c>
      <c r="U1297">
        <v>170947</v>
      </c>
      <c r="V1297">
        <f>YEAR(Spotify[[#This Row],[Date de sortie]])</f>
        <v>2019</v>
      </c>
      <c r="W1297" s="2" t="str">
        <f>IF(Spotify[[#This Row],[Popularité]]&gt;=70,"FORTE","FAIBLE")</f>
        <v>FAIBLE</v>
      </c>
    </row>
    <row r="1298" spans="1:23" x14ac:dyDescent="0.25">
      <c r="A1298">
        <v>1176</v>
      </c>
      <c r="B1298">
        <v>173</v>
      </c>
      <c r="C1298">
        <v>1</v>
      </c>
      <c r="D1298" s="1">
        <v>43966</v>
      </c>
      <c r="E1298" s="59" t="str" cm="1">
        <f t="array" ref="E129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298" t="s">
        <v>1935</v>
      </c>
      <c r="G1298" s="3">
        <v>4729629</v>
      </c>
      <c r="H1298" t="s">
        <v>530</v>
      </c>
      <c r="I1298" s="4">
        <v>11692972</v>
      </c>
      <c r="J1298" t="s">
        <v>531</v>
      </c>
      <c r="K1298" s="1">
        <v>43962</v>
      </c>
      <c r="L1298">
        <v>61</v>
      </c>
      <c r="M1298" s="2" t="str">
        <f>IF(Spotify[[#This Row],[Energie]]&gt;AVERAGE(Spotify[Energie]),"FORTE","FAIBLE")</f>
        <v>FAIBLE</v>
      </c>
      <c r="N1298" s="2">
        <v>0.81399999999999995</v>
      </c>
      <c r="O1298" s="2">
        <v>0.58399999999999996</v>
      </c>
      <c r="P1298" s="2">
        <v>8.1900000000000001E-2</v>
      </c>
      <c r="Q1298" s="2">
        <v>8.3899999999999999E-3</v>
      </c>
      <c r="R1298" s="2">
        <v>6.4600000000000005E-2</v>
      </c>
      <c r="S1298" s="2">
        <v>0.40500000000000003</v>
      </c>
      <c r="T1298" s="2">
        <v>-5.4249999999999998</v>
      </c>
      <c r="U1298">
        <v>178025</v>
      </c>
      <c r="V1298">
        <f>YEAR(Spotify[[#This Row],[Date de sortie]])</f>
        <v>2020</v>
      </c>
      <c r="W1298" s="2" t="str">
        <f>IF(Spotify[[#This Row],[Popularité]]&gt;=70,"FORTE","FAIBLE")</f>
        <v>FAIBLE</v>
      </c>
    </row>
    <row r="1299" spans="1:23" x14ac:dyDescent="0.25">
      <c r="A1299">
        <v>975</v>
      </c>
      <c r="B1299">
        <v>170</v>
      </c>
      <c r="C1299">
        <v>5</v>
      </c>
      <c r="D1299" s="1">
        <v>44029</v>
      </c>
      <c r="E1299" s="59" t="str" cm="1">
        <f t="array" ref="E129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299" t="s">
        <v>1655</v>
      </c>
      <c r="G1299" s="3">
        <v>4522005</v>
      </c>
      <c r="H1299" t="s">
        <v>1656</v>
      </c>
      <c r="I1299" s="4">
        <v>141016</v>
      </c>
      <c r="J1299" t="s">
        <v>19</v>
      </c>
      <c r="K1299" s="1">
        <v>43945</v>
      </c>
      <c r="L1299">
        <v>61</v>
      </c>
      <c r="M1299" s="2" t="str">
        <f>IF(Spotify[[#This Row],[Energie]]&gt;AVERAGE(Spotify[Energie]),"FORTE","FAIBLE")</f>
        <v>FORTE</v>
      </c>
      <c r="N1299" s="2">
        <v>0.75800000000000001</v>
      </c>
      <c r="O1299" s="2">
        <v>0.84799999999999998</v>
      </c>
      <c r="P1299" s="2">
        <v>4.5699999999999998E-2</v>
      </c>
      <c r="Q1299" s="2">
        <v>0.21</v>
      </c>
      <c r="R1299" s="2">
        <v>0.114</v>
      </c>
      <c r="S1299" s="2">
        <v>0.70599999999999996</v>
      </c>
      <c r="T1299" s="2">
        <v>-3.84</v>
      </c>
      <c r="U1299">
        <v>153149</v>
      </c>
      <c r="V1299">
        <f>YEAR(Spotify[[#This Row],[Date de sortie]])</f>
        <v>2020</v>
      </c>
      <c r="W1299" s="2" t="str">
        <f>IF(Spotify[[#This Row],[Popularité]]&gt;=70,"FORTE","FAIBLE")</f>
        <v>FAIBLE</v>
      </c>
    </row>
    <row r="1300" spans="1:23" x14ac:dyDescent="0.25">
      <c r="A1300">
        <v>1097</v>
      </c>
      <c r="B1300">
        <v>129</v>
      </c>
      <c r="C1300">
        <v>4</v>
      </c>
      <c r="D1300" s="1">
        <v>43987</v>
      </c>
      <c r="E1300" s="59" t="str" cm="1">
        <f t="array" ref="E130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300" t="s">
        <v>1822</v>
      </c>
      <c r="G1300" s="3">
        <v>4396629</v>
      </c>
      <c r="H1300" t="s">
        <v>1465</v>
      </c>
      <c r="I1300" s="4">
        <v>352402</v>
      </c>
      <c r="J1300" t="s">
        <v>407</v>
      </c>
      <c r="K1300" s="1">
        <v>43988</v>
      </c>
      <c r="L1300">
        <v>61</v>
      </c>
      <c r="M1300" s="2" t="str">
        <f>IF(Spotify[[#This Row],[Energie]]&gt;AVERAGE(Spotify[Energie]),"FORTE","FAIBLE")</f>
        <v>FORTE</v>
      </c>
      <c r="N1300" s="2">
        <v>0.96199999999999997</v>
      </c>
      <c r="O1300" s="2">
        <v>0.78700000000000003</v>
      </c>
      <c r="P1300" s="2">
        <v>5.5399999999999998E-2</v>
      </c>
      <c r="Q1300" s="2">
        <v>0.66600000000000004</v>
      </c>
      <c r="R1300" s="2">
        <v>0.17599999999999999</v>
      </c>
      <c r="S1300" s="2">
        <v>0.96799999999999997</v>
      </c>
      <c r="T1300" s="2">
        <v>1.5089999999999999</v>
      </c>
      <c r="U1300">
        <v>165231</v>
      </c>
      <c r="V1300">
        <f>YEAR(Spotify[[#This Row],[Date de sortie]])</f>
        <v>2020</v>
      </c>
      <c r="W1300" s="2" t="str">
        <f>IF(Spotify[[#This Row],[Popularité]]&gt;=70,"FORTE","FAIBLE")</f>
        <v>FAIBLE</v>
      </c>
    </row>
    <row r="1301" spans="1:23" x14ac:dyDescent="0.25">
      <c r="A1301">
        <v>1488</v>
      </c>
      <c r="B1301">
        <v>62</v>
      </c>
      <c r="C1301">
        <v>1</v>
      </c>
      <c r="D1301" s="1">
        <v>43847</v>
      </c>
      <c r="E1301" s="59" t="str" cm="1">
        <f t="array" ref="E130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01" t="s">
        <v>2358</v>
      </c>
      <c r="G1301" s="3">
        <v>10086930</v>
      </c>
      <c r="H1301" t="s">
        <v>2268</v>
      </c>
      <c r="I1301" s="4">
        <v>6189454</v>
      </c>
      <c r="J1301" t="s">
        <v>426</v>
      </c>
      <c r="K1301" s="1">
        <v>43847</v>
      </c>
      <c r="L1301">
        <v>60</v>
      </c>
      <c r="M1301" s="2" t="str">
        <f>IF(Spotify[[#This Row],[Energie]]&gt;AVERAGE(Spotify[Energie]),"FORTE","FAIBLE")</f>
        <v>FAIBLE</v>
      </c>
      <c r="N1301" s="2">
        <v>0.69899999999999995</v>
      </c>
      <c r="O1301" s="2">
        <v>0.503</v>
      </c>
      <c r="P1301" s="2">
        <v>8.8200000000000001E-2</v>
      </c>
      <c r="Q1301" s="2">
        <v>0.39100000000000001</v>
      </c>
      <c r="R1301" s="2">
        <v>9.9599999999999994E-2</v>
      </c>
      <c r="S1301" s="2">
        <v>5.4600000000000003E-2</v>
      </c>
      <c r="T1301" s="2">
        <v>-9.9220000000000006</v>
      </c>
      <c r="U1301">
        <v>220853</v>
      </c>
      <c r="V1301">
        <f>YEAR(Spotify[[#This Row],[Date de sortie]])</f>
        <v>2020</v>
      </c>
      <c r="W1301" s="2" t="str">
        <f>IF(Spotify[[#This Row],[Popularité]]&gt;=70,"FORTE","FAIBLE")</f>
        <v>FAIBLE</v>
      </c>
    </row>
    <row r="1302" spans="1:23" x14ac:dyDescent="0.25">
      <c r="A1302">
        <v>1333</v>
      </c>
      <c r="B1302">
        <v>73</v>
      </c>
      <c r="C1302">
        <v>1</v>
      </c>
      <c r="D1302" s="1">
        <v>43896</v>
      </c>
      <c r="E1302" s="59" t="str" cm="1">
        <f t="array" ref="E130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302" t="s">
        <v>2146</v>
      </c>
      <c r="G1302" s="3">
        <v>9533898</v>
      </c>
      <c r="H1302" t="s">
        <v>1780</v>
      </c>
      <c r="I1302" s="4">
        <v>11821805</v>
      </c>
      <c r="J1302" t="s">
        <v>235</v>
      </c>
      <c r="K1302" s="1">
        <v>43896</v>
      </c>
      <c r="L1302">
        <v>60</v>
      </c>
      <c r="M1302" s="2" t="str">
        <f>IF(Spotify[[#This Row],[Energie]]&gt;AVERAGE(Spotify[Energie]),"FORTE","FAIBLE")</f>
        <v>FAIBLE</v>
      </c>
      <c r="N1302" s="2">
        <v>0.84199999999999997</v>
      </c>
      <c r="O1302" s="2">
        <v>0.55600000000000005</v>
      </c>
      <c r="P1302" s="2">
        <v>0.442</v>
      </c>
      <c r="Q1302" s="2">
        <v>0.159</v>
      </c>
      <c r="R1302" s="2">
        <v>0.20399999999999999</v>
      </c>
      <c r="S1302" s="2">
        <v>0.30599999999999999</v>
      </c>
      <c r="T1302" s="2">
        <v>-6.7930000000000001</v>
      </c>
      <c r="U1302">
        <v>196639</v>
      </c>
      <c r="V1302">
        <f>YEAR(Spotify[[#This Row],[Date de sortie]])</f>
        <v>2020</v>
      </c>
      <c r="W1302" s="2" t="str">
        <f>IF(Spotify[[#This Row],[Popularité]]&gt;=70,"FORTE","FAIBLE")</f>
        <v>FAIBLE</v>
      </c>
    </row>
    <row r="1303" spans="1:23" x14ac:dyDescent="0.25">
      <c r="A1303">
        <v>1495</v>
      </c>
      <c r="B1303">
        <v>83</v>
      </c>
      <c r="C1303">
        <v>1</v>
      </c>
      <c r="D1303" s="1">
        <v>43847</v>
      </c>
      <c r="E1303" s="59" t="str" cm="1">
        <f t="array" ref="E130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03" t="s">
        <v>2365</v>
      </c>
      <c r="G1303" s="3">
        <v>8695060</v>
      </c>
      <c r="H1303" t="s">
        <v>412</v>
      </c>
      <c r="I1303" s="4">
        <v>46814751</v>
      </c>
      <c r="J1303" t="s">
        <v>413</v>
      </c>
      <c r="K1303" s="1">
        <v>43847</v>
      </c>
      <c r="L1303">
        <v>60</v>
      </c>
      <c r="M1303" s="2" t="str">
        <f>IF(Spotify[[#This Row],[Energie]]&gt;AVERAGE(Spotify[Energie]),"FORTE","FAIBLE")</f>
        <v>FORTE</v>
      </c>
      <c r="N1303" s="2">
        <v>0.45800000000000002</v>
      </c>
      <c r="O1303" s="2">
        <v>0.96599999999999997</v>
      </c>
      <c r="P1303" s="2">
        <v>0.38400000000000001</v>
      </c>
      <c r="Q1303" s="2">
        <v>0.14000000000000001</v>
      </c>
      <c r="R1303" s="2">
        <v>0.11</v>
      </c>
      <c r="S1303" s="2">
        <v>0.35599999999999998</v>
      </c>
      <c r="T1303" s="2">
        <v>-2.1070000000000002</v>
      </c>
      <c r="U1303">
        <v>286960</v>
      </c>
      <c r="V1303">
        <f>YEAR(Spotify[[#This Row],[Date de sortie]])</f>
        <v>2020</v>
      </c>
      <c r="W1303" s="2" t="str">
        <f>IF(Spotify[[#This Row],[Popularité]]&gt;=70,"FORTE","FAIBLE")</f>
        <v>FAIBLE</v>
      </c>
    </row>
    <row r="1304" spans="1:23" x14ac:dyDescent="0.25">
      <c r="A1304">
        <v>1030</v>
      </c>
      <c r="B1304">
        <v>78</v>
      </c>
      <c r="C1304">
        <v>1</v>
      </c>
      <c r="D1304" s="1">
        <v>44022</v>
      </c>
      <c r="E1304" s="59" t="str" cm="1">
        <f t="array" ref="E130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304" t="s">
        <v>1728</v>
      </c>
      <c r="G1304" s="3">
        <v>8449557</v>
      </c>
      <c r="H1304" t="s">
        <v>345</v>
      </c>
      <c r="I1304" s="4">
        <v>19102888</v>
      </c>
      <c r="J1304" t="s">
        <v>79</v>
      </c>
      <c r="K1304" s="1">
        <v>44022</v>
      </c>
      <c r="L1304">
        <v>60</v>
      </c>
      <c r="M1304" s="2" t="str">
        <f>IF(Spotify[[#This Row],[Energie]]&gt;AVERAGE(Spotify[Energie]),"FORTE","FAIBLE")</f>
        <v>FAIBLE</v>
      </c>
      <c r="N1304" s="2">
        <v>0.307</v>
      </c>
      <c r="O1304" s="2">
        <v>0.52800000000000002</v>
      </c>
      <c r="P1304" s="2">
        <v>0.108</v>
      </c>
      <c r="Q1304" s="2">
        <v>0.97199999999999998</v>
      </c>
      <c r="R1304" s="2">
        <v>0.222</v>
      </c>
      <c r="S1304" s="2">
        <v>0.57999999999999996</v>
      </c>
      <c r="T1304" s="2">
        <v>-11.337</v>
      </c>
      <c r="U1304">
        <v>70395</v>
      </c>
      <c r="V1304">
        <f>YEAR(Spotify[[#This Row],[Date de sortie]])</f>
        <v>2020</v>
      </c>
      <c r="W1304" s="2" t="str">
        <f>IF(Spotify[[#This Row],[Popularité]]&gt;=70,"FORTE","FAIBLE")</f>
        <v>FAIBLE</v>
      </c>
    </row>
    <row r="1305" spans="1:23" x14ac:dyDescent="0.25">
      <c r="A1305">
        <v>745</v>
      </c>
      <c r="B1305">
        <v>78</v>
      </c>
      <c r="C1305">
        <v>1</v>
      </c>
      <c r="D1305" s="1">
        <v>44155</v>
      </c>
      <c r="E1305" s="59" t="str" cm="1">
        <f t="array" ref="E130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305" t="s">
        <v>1294</v>
      </c>
      <c r="G1305" s="3">
        <v>8392247</v>
      </c>
      <c r="H1305" t="s">
        <v>32</v>
      </c>
      <c r="I1305" s="4">
        <v>37151476</v>
      </c>
      <c r="J1305" t="s">
        <v>33</v>
      </c>
      <c r="K1305" s="1">
        <v>44155</v>
      </c>
      <c r="L1305">
        <v>60</v>
      </c>
      <c r="M1305" s="2" t="str">
        <f>IF(Spotify[[#This Row],[Energie]]&gt;AVERAGE(Spotify[Energie]),"FORTE","FAIBLE")</f>
        <v>FAIBLE</v>
      </c>
      <c r="N1305" s="2">
        <v>0.70299999999999996</v>
      </c>
      <c r="O1305" s="2">
        <v>0.32100000000000001</v>
      </c>
      <c r="P1305" s="2">
        <v>0.88400000000000001</v>
      </c>
      <c r="Q1305" s="2">
        <v>0.86399999999999999</v>
      </c>
      <c r="R1305" s="2">
        <v>0.90800000000000003</v>
      </c>
      <c r="S1305" s="2">
        <v>0.54400000000000004</v>
      </c>
      <c r="T1305" s="2">
        <v>-13.135</v>
      </c>
      <c r="U1305">
        <v>179548</v>
      </c>
      <c r="V1305">
        <f>YEAR(Spotify[[#This Row],[Date de sortie]])</f>
        <v>2020</v>
      </c>
      <c r="W1305" s="2" t="str">
        <f>IF(Spotify[[#This Row],[Popularité]]&gt;=70,"FORTE","FAIBLE")</f>
        <v>FAIBLE</v>
      </c>
    </row>
    <row r="1306" spans="1:23" x14ac:dyDescent="0.25">
      <c r="A1306">
        <v>1201</v>
      </c>
      <c r="B1306">
        <v>67</v>
      </c>
      <c r="C1306">
        <v>1</v>
      </c>
      <c r="D1306" s="1">
        <v>43952</v>
      </c>
      <c r="E1306" s="59" t="str" cm="1">
        <f t="array" ref="E130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06" t="s">
        <v>1971</v>
      </c>
      <c r="G1306" s="3">
        <v>8355036</v>
      </c>
      <c r="H1306" t="s">
        <v>179</v>
      </c>
      <c r="I1306" s="4">
        <v>56327031</v>
      </c>
      <c r="J1306" t="s">
        <v>155</v>
      </c>
      <c r="K1306" s="1">
        <v>43952</v>
      </c>
      <c r="L1306">
        <v>60</v>
      </c>
      <c r="M1306" s="2" t="str">
        <f>IF(Spotify[[#This Row],[Energie]]&gt;AVERAGE(Spotify[Energie]),"FORTE","FAIBLE")</f>
        <v>FORTE</v>
      </c>
      <c r="N1306" s="2">
        <v>0.88100000000000001</v>
      </c>
      <c r="O1306" s="2">
        <v>0.63600000000000001</v>
      </c>
      <c r="P1306" s="2">
        <v>0.28699999999999998</v>
      </c>
      <c r="Q1306" s="2">
        <v>6.0600000000000003E-3</v>
      </c>
      <c r="R1306" s="2">
        <v>0.111</v>
      </c>
      <c r="S1306" s="2">
        <v>0.71499999999999997</v>
      </c>
      <c r="T1306" s="2">
        <v>-4.6289999999999996</v>
      </c>
      <c r="U1306">
        <v>152195</v>
      </c>
      <c r="V1306">
        <f>YEAR(Spotify[[#This Row],[Date de sortie]])</f>
        <v>2020</v>
      </c>
      <c r="W1306" s="2" t="str">
        <f>IF(Spotify[[#This Row],[Popularité]]&gt;=70,"FORTE","FAIBLE")</f>
        <v>FAIBLE</v>
      </c>
    </row>
    <row r="1307" spans="1:23" x14ac:dyDescent="0.25">
      <c r="A1307">
        <v>1202</v>
      </c>
      <c r="B1307">
        <v>68</v>
      </c>
      <c r="C1307">
        <v>1</v>
      </c>
      <c r="D1307" s="1">
        <v>43952</v>
      </c>
      <c r="E1307" s="59" t="str" cm="1">
        <f t="array" ref="E130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07" t="s">
        <v>1972</v>
      </c>
      <c r="G1307" s="3">
        <v>8304928</v>
      </c>
      <c r="H1307" t="s">
        <v>179</v>
      </c>
      <c r="I1307" s="4">
        <v>56327031</v>
      </c>
      <c r="J1307" t="s">
        <v>155</v>
      </c>
      <c r="K1307" s="1">
        <v>43952</v>
      </c>
      <c r="L1307">
        <v>60</v>
      </c>
      <c r="M1307" s="2" t="str">
        <f>IF(Spotify[[#This Row],[Energie]]&gt;AVERAGE(Spotify[Energie]),"FORTE","FAIBLE")</f>
        <v>FORTE</v>
      </c>
      <c r="N1307" s="2">
        <v>0.41</v>
      </c>
      <c r="O1307" s="2">
        <v>0.82</v>
      </c>
      <c r="P1307" s="2">
        <v>0.53300000000000003</v>
      </c>
      <c r="Q1307" s="2">
        <v>0.252</v>
      </c>
      <c r="R1307" s="2">
        <v>0.53800000000000003</v>
      </c>
      <c r="S1307" s="2">
        <v>0.52600000000000002</v>
      </c>
      <c r="T1307" s="2">
        <v>-6.8079999999999998</v>
      </c>
      <c r="U1307">
        <v>223124</v>
      </c>
      <c r="V1307">
        <f>YEAR(Spotify[[#This Row],[Date de sortie]])</f>
        <v>2020</v>
      </c>
      <c r="W1307" s="2" t="str">
        <f>IF(Spotify[[#This Row],[Popularité]]&gt;=70,"FORTE","FAIBLE")</f>
        <v>FAIBLE</v>
      </c>
    </row>
    <row r="1308" spans="1:23" x14ac:dyDescent="0.25">
      <c r="A1308">
        <v>1501</v>
      </c>
      <c r="B1308">
        <v>102</v>
      </c>
      <c r="C1308">
        <v>1</v>
      </c>
      <c r="D1308" s="1">
        <v>43847</v>
      </c>
      <c r="E1308" s="59" t="str" cm="1">
        <f t="array" ref="E130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08" t="s">
        <v>2371</v>
      </c>
      <c r="G1308" s="3">
        <v>7913461</v>
      </c>
      <c r="H1308" t="s">
        <v>412</v>
      </c>
      <c r="I1308" s="4">
        <v>46814751</v>
      </c>
      <c r="J1308" t="s">
        <v>413</v>
      </c>
      <c r="K1308" s="1">
        <v>43847</v>
      </c>
      <c r="L1308">
        <v>60</v>
      </c>
      <c r="M1308" s="2" t="str">
        <f>IF(Spotify[[#This Row],[Energie]]&gt;AVERAGE(Spotify[Energie]),"FORTE","FAIBLE")</f>
        <v>FORTE</v>
      </c>
      <c r="N1308" s="2">
        <v>0.76900000000000002</v>
      </c>
      <c r="O1308" s="2">
        <v>0.81100000000000005</v>
      </c>
      <c r="P1308" s="2">
        <v>0.22800000000000001</v>
      </c>
      <c r="Q1308" s="2">
        <v>2.3400000000000001E-2</v>
      </c>
      <c r="R1308" s="2">
        <v>4.5100000000000001E-2</v>
      </c>
      <c r="S1308" s="2">
        <v>0.76</v>
      </c>
      <c r="T1308" s="2">
        <v>-4.1619999999999999</v>
      </c>
      <c r="U1308">
        <v>177293</v>
      </c>
      <c r="V1308">
        <f>YEAR(Spotify[[#This Row],[Date de sortie]])</f>
        <v>2020</v>
      </c>
      <c r="W1308" s="2" t="str">
        <f>IF(Spotify[[#This Row],[Popularité]]&gt;=70,"FORTE","FAIBLE")</f>
        <v>FAIBLE</v>
      </c>
    </row>
    <row r="1309" spans="1:23" x14ac:dyDescent="0.25">
      <c r="A1309">
        <v>1132</v>
      </c>
      <c r="B1309">
        <v>75</v>
      </c>
      <c r="C1309">
        <v>1</v>
      </c>
      <c r="D1309" s="1">
        <v>43980</v>
      </c>
      <c r="E1309" s="59" t="str" cm="1">
        <f t="array" ref="E130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309" t="s">
        <v>1874</v>
      </c>
      <c r="G1309" s="3">
        <v>7734309</v>
      </c>
      <c r="H1309" t="s">
        <v>607</v>
      </c>
      <c r="I1309" s="4">
        <v>18585963</v>
      </c>
      <c r="J1309" t="s">
        <v>19</v>
      </c>
      <c r="K1309" s="1">
        <v>43980</v>
      </c>
      <c r="L1309">
        <v>60</v>
      </c>
      <c r="M1309" s="2" t="str">
        <f>IF(Spotify[[#This Row],[Energie]]&gt;AVERAGE(Spotify[Energie]),"FORTE","FAIBLE")</f>
        <v>FORTE</v>
      </c>
      <c r="N1309" s="2">
        <v>0.64200000000000002</v>
      </c>
      <c r="O1309" s="2">
        <v>0.79200000000000004</v>
      </c>
      <c r="P1309" s="2">
        <v>4.8800000000000003E-2</v>
      </c>
      <c r="Q1309" s="2">
        <v>0.158</v>
      </c>
      <c r="R1309" s="2">
        <v>0.68</v>
      </c>
      <c r="S1309" s="2">
        <v>9.0300000000000005E-2</v>
      </c>
      <c r="T1309" s="2">
        <v>-5.7460000000000004</v>
      </c>
      <c r="U1309">
        <v>244880</v>
      </c>
      <c r="V1309">
        <f>YEAR(Spotify[[#This Row],[Date de sortie]])</f>
        <v>2020</v>
      </c>
      <c r="W1309" s="2" t="str">
        <f>IF(Spotify[[#This Row],[Popularité]]&gt;=70,"FORTE","FAIBLE")</f>
        <v>FAIBLE</v>
      </c>
    </row>
    <row r="1310" spans="1:23" x14ac:dyDescent="0.25">
      <c r="A1310">
        <v>707</v>
      </c>
      <c r="B1310">
        <v>129</v>
      </c>
      <c r="C1310">
        <v>1</v>
      </c>
      <c r="D1310" s="1">
        <v>44176</v>
      </c>
      <c r="E1310" s="59" t="str" cm="1">
        <f t="array" ref="E131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10" t="s">
        <v>1249</v>
      </c>
      <c r="G1310" s="3">
        <v>7524738</v>
      </c>
      <c r="H1310" t="s">
        <v>1092</v>
      </c>
      <c r="I1310" s="4">
        <v>5002317</v>
      </c>
      <c r="J1310" t="s">
        <v>426</v>
      </c>
      <c r="K1310" s="1">
        <v>44176</v>
      </c>
      <c r="L1310">
        <v>60</v>
      </c>
      <c r="M1310" s="2" t="str">
        <f>IF(Spotify[[#This Row],[Energie]]&gt;AVERAGE(Spotify[Energie]),"FORTE","FAIBLE")</f>
        <v>FAIBLE</v>
      </c>
      <c r="N1310" s="2">
        <v>0.64</v>
      </c>
      <c r="O1310" s="2">
        <v>0.621</v>
      </c>
      <c r="P1310" s="2">
        <v>6.7900000000000002E-2</v>
      </c>
      <c r="Q1310" s="2">
        <v>0.67</v>
      </c>
      <c r="R1310" s="2">
        <v>0.36</v>
      </c>
      <c r="S1310" s="2">
        <v>0.33200000000000002</v>
      </c>
      <c r="T1310" s="2">
        <v>-8.2690000000000001</v>
      </c>
      <c r="U1310">
        <v>148707</v>
      </c>
      <c r="V1310">
        <f>YEAR(Spotify[[#This Row],[Date de sortie]])</f>
        <v>2020</v>
      </c>
      <c r="W1310" s="2" t="str">
        <f>IF(Spotify[[#This Row],[Popularité]]&gt;=70,"FORTE","FAIBLE")</f>
        <v>FAIBLE</v>
      </c>
    </row>
    <row r="1311" spans="1:23" x14ac:dyDescent="0.25">
      <c r="A1311">
        <v>1502</v>
      </c>
      <c r="B1311">
        <v>113</v>
      </c>
      <c r="C1311">
        <v>1</v>
      </c>
      <c r="D1311" s="1">
        <v>43847</v>
      </c>
      <c r="E1311" s="59" t="str" cm="1">
        <f t="array" ref="E131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11" t="s">
        <v>2372</v>
      </c>
      <c r="G1311" s="3">
        <v>7115414</v>
      </c>
      <c r="H1311" t="s">
        <v>412</v>
      </c>
      <c r="I1311" s="4">
        <v>46814751</v>
      </c>
      <c r="J1311" t="s">
        <v>413</v>
      </c>
      <c r="K1311" s="1">
        <v>43847</v>
      </c>
      <c r="L1311">
        <v>60</v>
      </c>
      <c r="M1311" s="2" t="str">
        <f>IF(Spotify[[#This Row],[Energie]]&gt;AVERAGE(Spotify[Energie]),"FORTE","FAIBLE")</f>
        <v>FAIBLE</v>
      </c>
      <c r="N1311" s="2">
        <v>0.63500000000000001</v>
      </c>
      <c r="O1311" s="2">
        <v>0.54300000000000004</v>
      </c>
      <c r="P1311" s="2">
        <v>6.7000000000000004E-2</v>
      </c>
      <c r="Q1311" s="2">
        <v>4.5400000000000003E-2</v>
      </c>
      <c r="R1311" s="2">
        <v>0.27200000000000002</v>
      </c>
      <c r="S1311" s="2">
        <v>3.5999999999999997E-2</v>
      </c>
      <c r="T1311" s="2">
        <v>-5.9409999999999998</v>
      </c>
      <c r="U1311">
        <v>303000</v>
      </c>
      <c r="V1311">
        <f>YEAR(Spotify[[#This Row],[Date de sortie]])</f>
        <v>2020</v>
      </c>
      <c r="W1311" s="2" t="str">
        <f>IF(Spotify[[#This Row],[Popularité]]&gt;=70,"FORTE","FAIBLE")</f>
        <v>FAIBLE</v>
      </c>
    </row>
    <row r="1312" spans="1:23" x14ac:dyDescent="0.25">
      <c r="A1312">
        <v>686</v>
      </c>
      <c r="B1312">
        <v>167</v>
      </c>
      <c r="C1312">
        <v>1</v>
      </c>
      <c r="D1312" s="1">
        <v>44183</v>
      </c>
      <c r="E1312" s="59" t="str" cm="1">
        <f t="array" ref="E131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312" t="s">
        <v>1220</v>
      </c>
      <c r="G1312" s="3">
        <v>6985392</v>
      </c>
      <c r="H1312" t="s">
        <v>1221</v>
      </c>
      <c r="I1312" s="4">
        <v>3083825</v>
      </c>
      <c r="J1312" t="s">
        <v>1222</v>
      </c>
      <c r="K1312" s="1">
        <v>43075</v>
      </c>
      <c r="L1312">
        <v>60</v>
      </c>
      <c r="M1312" s="2" t="str">
        <f>IF(Spotify[[#This Row],[Energie]]&gt;AVERAGE(Spotify[Energie]),"FORTE","FAIBLE")</f>
        <v>FAIBLE</v>
      </c>
      <c r="N1312" s="2">
        <v>0.36399999999999999</v>
      </c>
      <c r="O1312" s="2">
        <v>0.378</v>
      </c>
      <c r="P1312" s="2">
        <v>3.3099999999999997E-2</v>
      </c>
      <c r="Q1312" s="2">
        <v>0.47</v>
      </c>
      <c r="R1312" s="2">
        <v>0.33900000000000002</v>
      </c>
      <c r="S1312" s="2">
        <v>0.36599999999999999</v>
      </c>
      <c r="T1312" s="2">
        <v>-7.3810000000000002</v>
      </c>
      <c r="U1312">
        <v>268960</v>
      </c>
      <c r="V1312">
        <f>YEAR(Spotify[[#This Row],[Date de sortie]])</f>
        <v>2017</v>
      </c>
      <c r="W1312" s="2" t="str">
        <f>IF(Spotify[[#This Row],[Popularité]]&gt;=70,"FORTE","FAIBLE")</f>
        <v>FAIBLE</v>
      </c>
    </row>
    <row r="1313" spans="1:23" x14ac:dyDescent="0.25">
      <c r="A1313">
        <v>1505</v>
      </c>
      <c r="B1313">
        <v>139</v>
      </c>
      <c r="C1313">
        <v>1</v>
      </c>
      <c r="D1313" s="1">
        <v>43847</v>
      </c>
      <c r="E1313" s="59" t="str" cm="1">
        <f t="array" ref="E131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13" t="s">
        <v>2375</v>
      </c>
      <c r="G1313" s="3">
        <v>6462701</v>
      </c>
      <c r="H1313" t="s">
        <v>2268</v>
      </c>
      <c r="I1313" s="4">
        <v>6189454</v>
      </c>
      <c r="J1313" t="s">
        <v>426</v>
      </c>
      <c r="K1313" s="1">
        <v>43847</v>
      </c>
      <c r="L1313">
        <v>60</v>
      </c>
      <c r="M1313" s="2" t="str">
        <f>IF(Spotify[[#This Row],[Energie]]&gt;AVERAGE(Spotify[Energie]),"FORTE","FAIBLE")</f>
        <v>FAIBLE</v>
      </c>
      <c r="N1313" s="2">
        <v>0.58299999999999996</v>
      </c>
      <c r="O1313" s="2">
        <v>0.499</v>
      </c>
      <c r="P1313" s="2">
        <v>2.6100000000000002E-2</v>
      </c>
      <c r="Q1313" s="2">
        <v>0.59099999999999997</v>
      </c>
      <c r="R1313" s="2">
        <v>0.33</v>
      </c>
      <c r="S1313" s="2">
        <v>0.34200000000000003</v>
      </c>
      <c r="T1313" s="2">
        <v>-10.086</v>
      </c>
      <c r="U1313">
        <v>217868</v>
      </c>
      <c r="V1313">
        <f>YEAR(Spotify[[#This Row],[Date de sortie]])</f>
        <v>2020</v>
      </c>
      <c r="W1313" s="2" t="str">
        <f>IF(Spotify[[#This Row],[Popularité]]&gt;=70,"FORTE","FAIBLE")</f>
        <v>FAIBLE</v>
      </c>
    </row>
    <row r="1314" spans="1:23" x14ac:dyDescent="0.25">
      <c r="A1314">
        <v>1152</v>
      </c>
      <c r="B1314">
        <v>92</v>
      </c>
      <c r="C1314">
        <v>1</v>
      </c>
      <c r="D1314" s="1">
        <v>43973</v>
      </c>
      <c r="E1314" s="59" t="str" cm="1">
        <f t="array" ref="E131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14" t="s">
        <v>1901</v>
      </c>
      <c r="G1314" s="3">
        <v>6384306</v>
      </c>
      <c r="H1314" t="s">
        <v>1452</v>
      </c>
      <c r="I1314" s="4">
        <v>3337982</v>
      </c>
      <c r="J1314" t="s">
        <v>531</v>
      </c>
      <c r="K1314" s="1">
        <v>43973</v>
      </c>
      <c r="L1314">
        <v>60</v>
      </c>
      <c r="M1314" s="2" t="str">
        <f>IF(Spotify[[#This Row],[Energie]]&gt;AVERAGE(Spotify[Energie]),"FORTE","FAIBLE")</f>
        <v>FAIBLE</v>
      </c>
      <c r="N1314" s="2">
        <v>0.89</v>
      </c>
      <c r="O1314" s="2">
        <v>0.45500000000000002</v>
      </c>
      <c r="P1314" s="2">
        <v>0.255</v>
      </c>
      <c r="Q1314" s="2">
        <v>2.1700000000000001E-2</v>
      </c>
      <c r="R1314" s="2">
        <v>0.11</v>
      </c>
      <c r="S1314" s="2">
        <v>0.313</v>
      </c>
      <c r="T1314" s="2">
        <v>-9</v>
      </c>
      <c r="U1314">
        <v>158240</v>
      </c>
      <c r="V1314">
        <f>YEAR(Spotify[[#This Row],[Date de sortie]])</f>
        <v>2020</v>
      </c>
      <c r="W1314" s="2" t="str">
        <f>IF(Spotify[[#This Row],[Popularité]]&gt;=70,"FORTE","FAIBLE")</f>
        <v>FAIBLE</v>
      </c>
    </row>
    <row r="1315" spans="1:23" x14ac:dyDescent="0.25">
      <c r="A1315">
        <v>1171</v>
      </c>
      <c r="B1315">
        <v>105</v>
      </c>
      <c r="C1315">
        <v>1</v>
      </c>
      <c r="D1315" s="1">
        <v>43966</v>
      </c>
      <c r="E1315" s="59" t="str" cm="1">
        <f t="array" ref="E131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15" t="s">
        <v>1929</v>
      </c>
      <c r="G1315" s="3">
        <v>6194224</v>
      </c>
      <c r="H1315" t="s">
        <v>719</v>
      </c>
      <c r="I1315" s="4">
        <v>10491105</v>
      </c>
      <c r="J1315" t="s">
        <v>531</v>
      </c>
      <c r="K1315" s="1">
        <v>43966</v>
      </c>
      <c r="L1315">
        <v>60</v>
      </c>
      <c r="M1315" s="2" t="str">
        <f>IF(Spotify[[#This Row],[Energie]]&gt;AVERAGE(Spotify[Energie]),"FORTE","FAIBLE")</f>
        <v>FORTE</v>
      </c>
      <c r="N1315" s="2">
        <v>0.93100000000000005</v>
      </c>
      <c r="O1315" s="2">
        <v>0.66700000000000004</v>
      </c>
      <c r="P1315" s="2">
        <v>0.318</v>
      </c>
      <c r="Q1315" s="2">
        <v>1.44E-2</v>
      </c>
      <c r="R1315" s="2">
        <v>0.15</v>
      </c>
      <c r="S1315" s="2">
        <v>0.66700000000000004</v>
      </c>
      <c r="T1315" s="2">
        <v>-7.0430000000000001</v>
      </c>
      <c r="U1315">
        <v>207739</v>
      </c>
      <c r="V1315">
        <f>YEAR(Spotify[[#This Row],[Date de sortie]])</f>
        <v>2020</v>
      </c>
      <c r="W1315" s="2" t="str">
        <f>IF(Spotify[[#This Row],[Popularité]]&gt;=70,"FORTE","FAIBLE")</f>
        <v>FAIBLE</v>
      </c>
    </row>
    <row r="1316" spans="1:23" x14ac:dyDescent="0.25">
      <c r="A1316">
        <v>856</v>
      </c>
      <c r="B1316">
        <v>131</v>
      </c>
      <c r="C1316">
        <v>1</v>
      </c>
      <c r="D1316" s="1">
        <v>44106</v>
      </c>
      <c r="E1316" s="59" t="str" cm="1">
        <f t="array" ref="E131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16" t="s">
        <v>1476</v>
      </c>
      <c r="G1316" s="3">
        <v>6029118</v>
      </c>
      <c r="H1316" t="s">
        <v>1320</v>
      </c>
      <c r="I1316" s="4">
        <v>9949044</v>
      </c>
      <c r="J1316" t="s">
        <v>531</v>
      </c>
      <c r="K1316" s="1">
        <v>44106</v>
      </c>
      <c r="L1316">
        <v>60</v>
      </c>
      <c r="M1316" s="2" t="str">
        <f>IF(Spotify[[#This Row],[Energie]]&gt;AVERAGE(Spotify[Energie]),"FORTE","FAIBLE")</f>
        <v>FAIBLE</v>
      </c>
      <c r="N1316" s="2">
        <v>0.83099999999999996</v>
      </c>
      <c r="O1316" s="2">
        <v>0.53200000000000003</v>
      </c>
      <c r="P1316" s="2">
        <v>0.30099999999999999</v>
      </c>
      <c r="Q1316" s="2">
        <v>6.5199999999999994E-2</v>
      </c>
      <c r="R1316" s="2">
        <v>0.46400000000000002</v>
      </c>
      <c r="S1316" s="2">
        <v>0.36399999999999999</v>
      </c>
      <c r="T1316" s="2">
        <v>-5.319</v>
      </c>
      <c r="U1316">
        <v>181716</v>
      </c>
      <c r="V1316">
        <f>YEAR(Spotify[[#This Row],[Date de sortie]])</f>
        <v>2020</v>
      </c>
      <c r="W1316" s="2" t="str">
        <f>IF(Spotify[[#This Row],[Popularité]]&gt;=70,"FORTE","FAIBLE")</f>
        <v>FAIBLE</v>
      </c>
    </row>
    <row r="1317" spans="1:23" x14ac:dyDescent="0.25">
      <c r="A1317">
        <v>982</v>
      </c>
      <c r="B1317">
        <v>144</v>
      </c>
      <c r="C1317">
        <v>1</v>
      </c>
      <c r="D1317" s="1">
        <v>44043</v>
      </c>
      <c r="E1317" s="59" t="str" cm="1">
        <f t="array" ref="E131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17" t="s">
        <v>1664</v>
      </c>
      <c r="G1317" s="3">
        <v>5674945</v>
      </c>
      <c r="H1317" t="s">
        <v>1401</v>
      </c>
      <c r="I1317" s="4">
        <v>1683006</v>
      </c>
      <c r="J1317" t="s">
        <v>206</v>
      </c>
      <c r="K1317" s="1">
        <v>44084</v>
      </c>
      <c r="L1317">
        <v>60</v>
      </c>
      <c r="M1317" s="2" t="str">
        <f>IF(Spotify[[#This Row],[Energie]]&gt;AVERAGE(Spotify[Energie]),"FORTE","FAIBLE")</f>
        <v>FAIBLE</v>
      </c>
      <c r="N1317" s="2">
        <v>0.88200000000000001</v>
      </c>
      <c r="O1317" s="2">
        <v>0.52600000000000002</v>
      </c>
      <c r="P1317" s="2">
        <v>0.23699999999999999</v>
      </c>
      <c r="Q1317" s="2">
        <v>0.11799999999999999</v>
      </c>
      <c r="R1317" s="2">
        <v>8.3500000000000005E-2</v>
      </c>
      <c r="S1317" s="2">
        <v>0.182</v>
      </c>
      <c r="T1317" s="2">
        <v>-8.5530000000000008</v>
      </c>
      <c r="U1317">
        <v>180950</v>
      </c>
      <c r="V1317">
        <f>YEAR(Spotify[[#This Row],[Date de sortie]])</f>
        <v>2020</v>
      </c>
      <c r="W1317" s="2" t="str">
        <f>IF(Spotify[[#This Row],[Popularité]]&gt;=70,"FORTE","FAIBLE")</f>
        <v>FAIBLE</v>
      </c>
    </row>
    <row r="1318" spans="1:23" x14ac:dyDescent="0.25">
      <c r="A1318">
        <v>994</v>
      </c>
      <c r="B1318">
        <v>147</v>
      </c>
      <c r="C1318">
        <v>1</v>
      </c>
      <c r="D1318" s="1">
        <v>44036</v>
      </c>
      <c r="E1318" s="59" t="str" cm="1">
        <f t="array" ref="E131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18" t="s">
        <v>1677</v>
      </c>
      <c r="G1318" s="3">
        <v>5600868</v>
      </c>
      <c r="H1318" t="s">
        <v>1678</v>
      </c>
      <c r="I1318" s="4">
        <v>4093115</v>
      </c>
      <c r="J1318" t="s">
        <v>206</v>
      </c>
      <c r="K1318" s="1">
        <v>44035</v>
      </c>
      <c r="L1318">
        <v>60</v>
      </c>
      <c r="M1318" s="2" t="str">
        <f>IF(Spotify[[#This Row],[Energie]]&gt;AVERAGE(Spotify[Energie]),"FORTE","FAIBLE")</f>
        <v>FORTE</v>
      </c>
      <c r="N1318" s="2">
        <v>0.69199999999999995</v>
      </c>
      <c r="O1318" s="2">
        <v>0.76400000000000001</v>
      </c>
      <c r="P1318" s="2">
        <v>0.113</v>
      </c>
      <c r="Q1318" s="2">
        <v>0.57399999999999995</v>
      </c>
      <c r="R1318" s="2">
        <v>0.106</v>
      </c>
      <c r="S1318" s="2">
        <v>0.56399999999999995</v>
      </c>
      <c r="T1318" s="2">
        <v>-5.2329999999999997</v>
      </c>
      <c r="U1318">
        <v>189686</v>
      </c>
      <c r="V1318">
        <f>YEAR(Spotify[[#This Row],[Date de sortie]])</f>
        <v>2020</v>
      </c>
      <c r="W1318" s="2" t="str">
        <f>IF(Spotify[[#This Row],[Popularité]]&gt;=70,"FORTE","FAIBLE")</f>
        <v>FAIBLE</v>
      </c>
    </row>
    <row r="1319" spans="1:23" x14ac:dyDescent="0.25">
      <c r="A1319">
        <v>1437</v>
      </c>
      <c r="B1319">
        <v>70</v>
      </c>
      <c r="C1319">
        <v>2</v>
      </c>
      <c r="D1319" s="1">
        <v>43861</v>
      </c>
      <c r="E1319" s="59" t="str" cm="1">
        <f t="array" ref="E131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19" t="s">
        <v>2284</v>
      </c>
      <c r="G1319" s="3">
        <v>5561205</v>
      </c>
      <c r="H1319" t="s">
        <v>2285</v>
      </c>
      <c r="I1319" s="4">
        <v>10710088</v>
      </c>
      <c r="J1319" t="s">
        <v>426</v>
      </c>
      <c r="K1319" s="1">
        <v>43861</v>
      </c>
      <c r="L1319">
        <v>60</v>
      </c>
      <c r="M1319" s="2" t="str">
        <f>IF(Spotify[[#This Row],[Energie]]&gt;AVERAGE(Spotify[Energie]),"FORTE","FAIBLE")</f>
        <v>FAIBLE</v>
      </c>
      <c r="N1319" s="2">
        <v>0.80400000000000005</v>
      </c>
      <c r="O1319" s="2">
        <v>0.52800000000000002</v>
      </c>
      <c r="P1319" s="2">
        <v>0.378</v>
      </c>
      <c r="Q1319" s="2">
        <v>0.125</v>
      </c>
      <c r="R1319" s="2">
        <v>0.41</v>
      </c>
      <c r="S1319" s="2">
        <v>0.32100000000000001</v>
      </c>
      <c r="T1319" s="2">
        <v>-3.2309999999999999</v>
      </c>
      <c r="U1319">
        <v>184440</v>
      </c>
      <c r="V1319">
        <f>YEAR(Spotify[[#This Row],[Date de sortie]])</f>
        <v>2020</v>
      </c>
      <c r="W1319" s="2" t="str">
        <f>IF(Spotify[[#This Row],[Popularité]]&gt;=70,"FORTE","FAIBLE")</f>
        <v>FAIBLE</v>
      </c>
    </row>
    <row r="1320" spans="1:23" x14ac:dyDescent="0.25">
      <c r="A1320">
        <v>1306</v>
      </c>
      <c r="B1320">
        <v>147</v>
      </c>
      <c r="C1320">
        <v>1</v>
      </c>
      <c r="D1320" s="1">
        <v>43903</v>
      </c>
      <c r="E1320" s="59" t="str" cm="1">
        <f t="array" ref="E132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320" t="s">
        <v>2115</v>
      </c>
      <c r="G1320" s="3">
        <v>5496780</v>
      </c>
      <c r="H1320" t="s">
        <v>1780</v>
      </c>
      <c r="I1320" s="4">
        <v>11821805</v>
      </c>
      <c r="J1320" t="s">
        <v>235</v>
      </c>
      <c r="K1320" s="1">
        <v>43903</v>
      </c>
      <c r="L1320">
        <v>60</v>
      </c>
      <c r="M1320" s="2" t="str">
        <f>IF(Spotify[[#This Row],[Energie]]&gt;AVERAGE(Spotify[Energie]),"FORTE","FAIBLE")</f>
        <v>FORTE</v>
      </c>
      <c r="N1320" s="2">
        <v>0.95</v>
      </c>
      <c r="O1320" s="2">
        <v>0.65400000000000003</v>
      </c>
      <c r="P1320" s="2">
        <v>0.307</v>
      </c>
      <c r="Q1320" s="2">
        <v>7.4399999999999994E-2</v>
      </c>
      <c r="R1320" s="2">
        <v>0.13800000000000001</v>
      </c>
      <c r="S1320" s="2">
        <v>0.88600000000000001</v>
      </c>
      <c r="T1320" s="2">
        <v>-5.8949999999999996</v>
      </c>
      <c r="U1320">
        <v>194844</v>
      </c>
      <c r="V1320">
        <f>YEAR(Spotify[[#This Row],[Date de sortie]])</f>
        <v>2020</v>
      </c>
      <c r="W1320" s="2" t="str">
        <f>IF(Spotify[[#This Row],[Popularité]]&gt;=70,"FORTE","FAIBLE")</f>
        <v>FAIBLE</v>
      </c>
    </row>
    <row r="1321" spans="1:23" x14ac:dyDescent="0.25">
      <c r="A1321">
        <v>810</v>
      </c>
      <c r="B1321">
        <v>91</v>
      </c>
      <c r="C1321">
        <v>2</v>
      </c>
      <c r="D1321" s="1">
        <v>44127</v>
      </c>
      <c r="E1321" s="59" t="str" cm="1">
        <f t="array" ref="E132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21" t="s">
        <v>1400</v>
      </c>
      <c r="G1321" s="3">
        <v>5226264</v>
      </c>
      <c r="H1321" t="s">
        <v>1401</v>
      </c>
      <c r="I1321" s="4">
        <v>1683006</v>
      </c>
      <c r="J1321" t="s">
        <v>206</v>
      </c>
      <c r="K1321" s="1">
        <v>44133</v>
      </c>
      <c r="L1321">
        <v>60</v>
      </c>
      <c r="M1321" s="2" t="str">
        <f>IF(Spotify[[#This Row],[Energie]]&gt;AVERAGE(Spotify[Energie]),"FORTE","FAIBLE")</f>
        <v>FAIBLE</v>
      </c>
      <c r="N1321" s="2">
        <v>0.65800000000000003</v>
      </c>
      <c r="O1321" s="2">
        <v>0.624</v>
      </c>
      <c r="P1321" s="2">
        <v>9.1499999999999998E-2</v>
      </c>
      <c r="Q1321" s="2">
        <v>0.17100000000000001</v>
      </c>
      <c r="R1321" s="2">
        <v>0.11600000000000001</v>
      </c>
      <c r="S1321" s="2">
        <v>0.314</v>
      </c>
      <c r="T1321" s="2">
        <v>-9.1549999999999994</v>
      </c>
      <c r="U1321">
        <v>168991</v>
      </c>
      <c r="V1321">
        <f>YEAR(Spotify[[#This Row],[Date de sortie]])</f>
        <v>2020</v>
      </c>
      <c r="W1321" s="2" t="str">
        <f>IF(Spotify[[#This Row],[Popularité]]&gt;=70,"FORTE","FAIBLE")</f>
        <v>FAIBLE</v>
      </c>
    </row>
    <row r="1322" spans="1:23" x14ac:dyDescent="0.25">
      <c r="A1322">
        <v>1053</v>
      </c>
      <c r="B1322">
        <v>158</v>
      </c>
      <c r="C1322">
        <v>1</v>
      </c>
      <c r="D1322" s="1">
        <v>44015</v>
      </c>
      <c r="E1322" s="59" t="str" cm="1">
        <f t="array" ref="E132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322" t="s">
        <v>1759</v>
      </c>
      <c r="G1322" s="3">
        <v>4907751</v>
      </c>
      <c r="H1322" t="s">
        <v>338</v>
      </c>
      <c r="I1322" s="4">
        <v>6852509</v>
      </c>
      <c r="J1322" t="s">
        <v>158</v>
      </c>
      <c r="K1322" s="1">
        <v>44015</v>
      </c>
      <c r="L1322">
        <v>60</v>
      </c>
      <c r="M1322" s="2" t="str">
        <f>IF(Spotify[[#This Row],[Energie]]&gt;AVERAGE(Spotify[Energie]),"FORTE","FAIBLE")</f>
        <v>FORTE</v>
      </c>
      <c r="N1322" s="2">
        <v>0.71799999999999997</v>
      </c>
      <c r="O1322" s="2">
        <v>0.66</v>
      </c>
      <c r="P1322" s="2">
        <v>0.32500000000000001</v>
      </c>
      <c r="Q1322" s="2">
        <v>0.36299999999999999</v>
      </c>
      <c r="R1322" s="2">
        <v>0.159</v>
      </c>
      <c r="S1322" s="2">
        <v>0.65900000000000003</v>
      </c>
      <c r="T1322" s="2">
        <v>-7.39</v>
      </c>
      <c r="U1322">
        <v>132587</v>
      </c>
      <c r="V1322">
        <f>YEAR(Spotify[[#This Row],[Date de sortie]])</f>
        <v>2020</v>
      </c>
      <c r="W1322" s="2" t="str">
        <f>IF(Spotify[[#This Row],[Popularité]]&gt;=70,"FORTE","FAIBLE")</f>
        <v>FAIBLE</v>
      </c>
    </row>
    <row r="1323" spans="1:23" x14ac:dyDescent="0.25">
      <c r="A1323">
        <v>1322</v>
      </c>
      <c r="B1323">
        <v>52</v>
      </c>
      <c r="C1323">
        <v>2</v>
      </c>
      <c r="D1323" s="1">
        <v>43896</v>
      </c>
      <c r="E1323" s="59" t="str" cm="1">
        <f t="array" ref="E132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323" t="s">
        <v>2134</v>
      </c>
      <c r="G1323" s="3">
        <v>4818039</v>
      </c>
      <c r="H1323" t="s">
        <v>1780</v>
      </c>
      <c r="I1323" s="4">
        <v>11821805</v>
      </c>
      <c r="J1323" t="s">
        <v>235</v>
      </c>
      <c r="K1323" s="1">
        <v>43896</v>
      </c>
      <c r="L1323">
        <v>60</v>
      </c>
      <c r="M1323" s="2" t="str">
        <f>IF(Spotify[[#This Row],[Energie]]&gt;AVERAGE(Spotify[Energie]),"FORTE","FAIBLE")</f>
        <v>FAIBLE</v>
      </c>
      <c r="N1323" s="2">
        <v>0.85799999999999998</v>
      </c>
      <c r="O1323" s="2">
        <v>0.54700000000000004</v>
      </c>
      <c r="P1323" s="2">
        <v>0.28999999999999998</v>
      </c>
      <c r="Q1323" s="2">
        <v>0.21299999999999999</v>
      </c>
      <c r="R1323" s="2">
        <v>0.104</v>
      </c>
      <c r="S1323" s="2">
        <v>0.30299999999999999</v>
      </c>
      <c r="T1323" s="2">
        <v>-5.8220000000000001</v>
      </c>
      <c r="U1323">
        <v>211883</v>
      </c>
      <c r="V1323">
        <f>YEAR(Spotify[[#This Row],[Date de sortie]])</f>
        <v>2020</v>
      </c>
      <c r="W1323" s="2" t="str">
        <f>IF(Spotify[[#This Row],[Popularité]]&gt;=70,"FORTE","FAIBLE")</f>
        <v>FAIBLE</v>
      </c>
    </row>
    <row r="1324" spans="1:23" x14ac:dyDescent="0.25">
      <c r="A1324">
        <v>1016</v>
      </c>
      <c r="B1324">
        <v>169</v>
      </c>
      <c r="C1324">
        <v>1</v>
      </c>
      <c r="D1324" s="1">
        <v>44029</v>
      </c>
      <c r="E1324" s="59" t="str" cm="1">
        <f t="array" ref="E132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324" t="s">
        <v>1707</v>
      </c>
      <c r="G1324" s="3">
        <v>4803071</v>
      </c>
      <c r="H1324" t="s">
        <v>1708</v>
      </c>
      <c r="I1324" s="4">
        <v>942380</v>
      </c>
      <c r="J1324" t="s">
        <v>1709</v>
      </c>
      <c r="K1324" s="1">
        <v>44028</v>
      </c>
      <c r="L1324">
        <v>60</v>
      </c>
      <c r="M1324" s="2" t="str">
        <f>IF(Spotify[[#This Row],[Energie]]&gt;AVERAGE(Spotify[Energie]),"FORTE","FAIBLE")</f>
        <v>FAIBLE</v>
      </c>
      <c r="N1324" s="2">
        <v>0.874</v>
      </c>
      <c r="O1324" s="2">
        <v>0.54200000000000004</v>
      </c>
      <c r="P1324" s="2">
        <v>0.34399999999999997</v>
      </c>
      <c r="Q1324" s="2">
        <v>6.2100000000000002E-2</v>
      </c>
      <c r="R1324" s="2">
        <v>0.18099999999999999</v>
      </c>
      <c r="S1324" s="2">
        <v>0.48099999999999998</v>
      </c>
      <c r="T1324" s="2">
        <v>-7.0640000000000001</v>
      </c>
      <c r="U1324">
        <v>196933</v>
      </c>
      <c r="V1324">
        <f>YEAR(Spotify[[#This Row],[Date de sortie]])</f>
        <v>2020</v>
      </c>
      <c r="W1324" s="2" t="str">
        <f>IF(Spotify[[#This Row],[Popularité]]&gt;=70,"FORTE","FAIBLE")</f>
        <v>FAIBLE</v>
      </c>
    </row>
    <row r="1325" spans="1:23" x14ac:dyDescent="0.25">
      <c r="A1325">
        <v>1037</v>
      </c>
      <c r="B1325">
        <v>139</v>
      </c>
      <c r="C1325">
        <v>2</v>
      </c>
      <c r="D1325" s="1">
        <v>44015</v>
      </c>
      <c r="E1325" s="59" t="str" cm="1">
        <f t="array" ref="E132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325" t="s">
        <v>1739</v>
      </c>
      <c r="G1325" s="3">
        <v>4729070</v>
      </c>
      <c r="H1325" t="s">
        <v>1532</v>
      </c>
      <c r="I1325" s="4">
        <v>6514102</v>
      </c>
      <c r="J1325" t="s">
        <v>557</v>
      </c>
      <c r="K1325" s="1">
        <v>44015</v>
      </c>
      <c r="L1325">
        <v>60</v>
      </c>
      <c r="M1325" s="2" t="str">
        <f>IF(Spotify[[#This Row],[Energie]]&gt;AVERAGE(Spotify[Energie]),"FORTE","FAIBLE")</f>
        <v>FORTE</v>
      </c>
      <c r="N1325" s="2">
        <v>0.67200000000000004</v>
      </c>
      <c r="O1325" s="2">
        <v>0.73299999999999998</v>
      </c>
      <c r="P1325" s="2">
        <v>5.6599999999999998E-2</v>
      </c>
      <c r="Q1325" s="2">
        <v>2.8900000000000002E-3</v>
      </c>
      <c r="R1325" s="2">
        <v>0.19900000000000001</v>
      </c>
      <c r="S1325" s="2">
        <v>0.35399999999999998</v>
      </c>
      <c r="T1325" s="2">
        <v>-5.3769999999999998</v>
      </c>
      <c r="U1325">
        <v>149857</v>
      </c>
      <c r="V1325">
        <f>YEAR(Spotify[[#This Row],[Date de sortie]])</f>
        <v>2020</v>
      </c>
      <c r="W1325" s="2" t="str">
        <f>IF(Spotify[[#This Row],[Popularité]]&gt;=70,"FORTE","FAIBLE")</f>
        <v>FAIBLE</v>
      </c>
    </row>
    <row r="1326" spans="1:23" x14ac:dyDescent="0.25">
      <c r="A1326">
        <v>1143</v>
      </c>
      <c r="B1326">
        <v>183</v>
      </c>
      <c r="C1326">
        <v>1</v>
      </c>
      <c r="D1326" s="1">
        <v>43980</v>
      </c>
      <c r="E1326" s="59" t="str" cm="1">
        <f t="array" ref="E132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26" t="s">
        <v>1887</v>
      </c>
      <c r="G1326" s="3">
        <v>4629320</v>
      </c>
      <c r="H1326" t="s">
        <v>1888</v>
      </c>
      <c r="I1326" s="4">
        <v>218931</v>
      </c>
      <c r="J1326" t="s">
        <v>206</v>
      </c>
      <c r="K1326" s="1">
        <v>44098</v>
      </c>
      <c r="L1326">
        <v>60</v>
      </c>
      <c r="M1326" s="2" t="str">
        <f>IF(Spotify[[#This Row],[Energie]]&gt;AVERAGE(Spotify[Energie]),"FORTE","FAIBLE")</f>
        <v>FORTE</v>
      </c>
      <c r="N1326" s="2">
        <v>0.80300000000000005</v>
      </c>
      <c r="O1326" s="2">
        <v>0.64900000000000002</v>
      </c>
      <c r="P1326" s="2">
        <v>0.13200000000000001</v>
      </c>
      <c r="Q1326" s="2">
        <v>0.16300000000000001</v>
      </c>
      <c r="R1326" s="2">
        <v>0.152</v>
      </c>
      <c r="S1326" s="2">
        <v>0.58399999999999996</v>
      </c>
      <c r="T1326" s="2">
        <v>-6.5990000000000002</v>
      </c>
      <c r="U1326">
        <v>119040</v>
      </c>
      <c r="V1326">
        <f>YEAR(Spotify[[#This Row],[Date de sortie]])</f>
        <v>2020</v>
      </c>
      <c r="W1326" s="2" t="str">
        <f>IF(Spotify[[#This Row],[Popularité]]&gt;=70,"FORTE","FAIBLE")</f>
        <v>FAIBLE</v>
      </c>
    </row>
    <row r="1327" spans="1:23" x14ac:dyDescent="0.25">
      <c r="A1327">
        <v>1005</v>
      </c>
      <c r="B1327">
        <v>196</v>
      </c>
      <c r="C1327">
        <v>1</v>
      </c>
      <c r="D1327" s="1">
        <v>44036</v>
      </c>
      <c r="E1327" s="59" t="str" cm="1">
        <f t="array" ref="E132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27" t="s">
        <v>1693</v>
      </c>
      <c r="G1327" s="3">
        <v>4621205</v>
      </c>
      <c r="H1327" t="s">
        <v>1694</v>
      </c>
      <c r="I1327" s="4">
        <v>5449291</v>
      </c>
      <c r="J1327" t="s">
        <v>553</v>
      </c>
      <c r="K1327" s="1">
        <v>44036</v>
      </c>
      <c r="L1327">
        <v>60</v>
      </c>
      <c r="M1327" s="2" t="str">
        <f>IF(Spotify[[#This Row],[Energie]]&gt;AVERAGE(Spotify[Energie]),"FORTE","FAIBLE")</f>
        <v>FORTE</v>
      </c>
      <c r="N1327" s="2">
        <v>0.62</v>
      </c>
      <c r="O1327" s="2">
        <v>0.78600000000000003</v>
      </c>
      <c r="P1327" s="2">
        <v>0.16700000000000001</v>
      </c>
      <c r="Q1327" s="2">
        <v>0.14299999999999999</v>
      </c>
      <c r="R1327" s="2">
        <v>0.46</v>
      </c>
      <c r="S1327" s="2">
        <v>0.67900000000000005</v>
      </c>
      <c r="T1327" s="2">
        <v>-5.22</v>
      </c>
      <c r="U1327">
        <v>265191</v>
      </c>
      <c r="V1327">
        <f>YEAR(Spotify[[#This Row],[Date de sortie]])</f>
        <v>2020</v>
      </c>
      <c r="W1327" s="2" t="str">
        <f>IF(Spotify[[#This Row],[Popularité]]&gt;=70,"FORTE","FAIBLE")</f>
        <v>FAIBLE</v>
      </c>
    </row>
    <row r="1328" spans="1:23" x14ac:dyDescent="0.25">
      <c r="A1328">
        <v>1555</v>
      </c>
      <c r="B1328">
        <v>198</v>
      </c>
      <c r="C1328">
        <v>1</v>
      </c>
      <c r="D1328" s="1">
        <v>43826</v>
      </c>
      <c r="E1328" s="59" t="str" cm="1">
        <f t="array" ref="E132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328" t="s">
        <v>2440</v>
      </c>
      <c r="G1328" s="3">
        <v>4607385</v>
      </c>
      <c r="H1328" t="s">
        <v>2441</v>
      </c>
      <c r="I1328" s="4">
        <v>208630</v>
      </c>
      <c r="J1328" t="s">
        <v>2224</v>
      </c>
      <c r="K1328" s="1">
        <v>43733</v>
      </c>
      <c r="L1328">
        <v>60</v>
      </c>
      <c r="M1328" s="2" t="str">
        <f>IF(Spotify[[#This Row],[Energie]]&gt;AVERAGE(Spotify[Energie]),"FORTE","FAIBLE")</f>
        <v>FAIBLE</v>
      </c>
      <c r="N1328" s="2">
        <v>0.83199999999999996</v>
      </c>
      <c r="O1328" s="2">
        <v>0.55000000000000004</v>
      </c>
      <c r="P1328" s="2">
        <v>5.8700000000000002E-2</v>
      </c>
      <c r="Q1328" s="2">
        <v>0.249</v>
      </c>
      <c r="R1328" s="2">
        <v>0.182</v>
      </c>
      <c r="S1328" s="2">
        <v>0.88100000000000001</v>
      </c>
      <c r="T1328" s="2">
        <v>-7.0259999999999998</v>
      </c>
      <c r="U1328">
        <v>152784</v>
      </c>
      <c r="V1328">
        <f>YEAR(Spotify[[#This Row],[Date de sortie]])</f>
        <v>2019</v>
      </c>
      <c r="W1328" s="2" t="str">
        <f>IF(Spotify[[#This Row],[Popularité]]&gt;=70,"FORTE","FAIBLE")</f>
        <v>FAIBLE</v>
      </c>
    </row>
    <row r="1329" spans="1:23" x14ac:dyDescent="0.25">
      <c r="A1329">
        <v>974</v>
      </c>
      <c r="B1329">
        <v>50</v>
      </c>
      <c r="C1329">
        <v>6</v>
      </c>
      <c r="D1329" s="1">
        <v>44015</v>
      </c>
      <c r="E1329" s="59" t="str" cm="1">
        <f t="array" ref="E132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29" t="s">
        <v>1654</v>
      </c>
      <c r="G1329" s="3">
        <v>4599408</v>
      </c>
      <c r="H1329" t="s">
        <v>1079</v>
      </c>
      <c r="I1329" s="4">
        <v>1674348</v>
      </c>
      <c r="J1329" t="s">
        <v>206</v>
      </c>
      <c r="K1329" s="1">
        <v>44043</v>
      </c>
      <c r="L1329">
        <v>60</v>
      </c>
      <c r="M1329" s="2" t="str">
        <f>IF(Spotify[[#This Row],[Energie]]&gt;AVERAGE(Spotify[Energie]),"FORTE","FAIBLE")</f>
        <v>FORTE</v>
      </c>
      <c r="N1329" s="2">
        <v>0.79</v>
      </c>
      <c r="O1329" s="2">
        <v>0.70399999999999996</v>
      </c>
      <c r="P1329" s="2">
        <v>0.41699999999999998</v>
      </c>
      <c r="Q1329" s="2">
        <v>6.9000000000000006E-2</v>
      </c>
      <c r="R1329" s="2">
        <v>0.113</v>
      </c>
      <c r="S1329" s="2">
        <v>0.21199999999999999</v>
      </c>
      <c r="T1329" s="2">
        <v>-7.9349999999999996</v>
      </c>
      <c r="U1329">
        <v>196213</v>
      </c>
      <c r="V1329">
        <f>YEAR(Spotify[[#This Row],[Date de sortie]])</f>
        <v>2020</v>
      </c>
      <c r="W1329" s="2" t="str">
        <f>IF(Spotify[[#This Row],[Popularité]]&gt;=70,"FORTE","FAIBLE")</f>
        <v>FAIBLE</v>
      </c>
    </row>
    <row r="1330" spans="1:23" x14ac:dyDescent="0.25">
      <c r="A1330">
        <v>933</v>
      </c>
      <c r="B1330">
        <v>113</v>
      </c>
      <c r="C1330">
        <v>4</v>
      </c>
      <c r="D1330" s="1">
        <v>44057</v>
      </c>
      <c r="E1330" s="59" t="str" cm="1">
        <f t="array" ref="E133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330" t="s">
        <v>1594</v>
      </c>
      <c r="G1330" s="3">
        <v>4547965</v>
      </c>
      <c r="H1330" t="s">
        <v>850</v>
      </c>
      <c r="I1330" s="4">
        <v>2203386</v>
      </c>
      <c r="J1330" t="s">
        <v>1595</v>
      </c>
      <c r="K1330" s="1">
        <v>44050</v>
      </c>
      <c r="L1330">
        <v>60</v>
      </c>
      <c r="M1330" s="2" t="str">
        <f>IF(Spotify[[#This Row],[Energie]]&gt;AVERAGE(Spotify[Energie]),"FORTE","FAIBLE")</f>
        <v>FAIBLE</v>
      </c>
      <c r="N1330" s="2">
        <v>0.874</v>
      </c>
      <c r="O1330" s="2">
        <v>0.443</v>
      </c>
      <c r="P1330" s="2">
        <v>0.24099999999999999</v>
      </c>
      <c r="Q1330" s="2">
        <v>0.14699999999999999</v>
      </c>
      <c r="R1330" s="2">
        <v>0.124</v>
      </c>
      <c r="S1330" s="2">
        <v>0.29799999999999999</v>
      </c>
      <c r="T1330" s="2">
        <v>-9.6280000000000001</v>
      </c>
      <c r="U1330">
        <v>235988</v>
      </c>
      <c r="V1330">
        <f>YEAR(Spotify[[#This Row],[Date de sortie]])</f>
        <v>2020</v>
      </c>
      <c r="W1330" s="2" t="str">
        <f>IF(Spotify[[#This Row],[Popularité]]&gt;=70,"FORTE","FAIBLE")</f>
        <v>FAIBLE</v>
      </c>
    </row>
    <row r="1331" spans="1:23" x14ac:dyDescent="0.25">
      <c r="A1331">
        <v>631</v>
      </c>
      <c r="B1331">
        <v>15</v>
      </c>
      <c r="C1331">
        <v>6</v>
      </c>
      <c r="D1331" s="1">
        <v>44183</v>
      </c>
      <c r="E1331" s="59" t="str" cm="1">
        <f t="array" ref="E133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331" t="s">
        <v>1121</v>
      </c>
      <c r="G1331" s="3">
        <v>10609206</v>
      </c>
      <c r="H1331" t="s">
        <v>35</v>
      </c>
      <c r="I1331" s="4">
        <v>48544923</v>
      </c>
      <c r="J1331" t="s">
        <v>36</v>
      </c>
      <c r="K1331" s="1">
        <v>40544</v>
      </c>
      <c r="L1331">
        <v>59</v>
      </c>
      <c r="M1331" s="2" t="str">
        <f>IF(Spotify[[#This Row],[Energie]]&gt;AVERAGE(Spotify[Energie]),"FORTE","FAIBLE")</f>
        <v>FAIBLE</v>
      </c>
      <c r="N1331" s="2">
        <v>0.65700000000000003</v>
      </c>
      <c r="O1331" s="2">
        <v>0.56000000000000005</v>
      </c>
      <c r="P1331" s="2">
        <v>4.6699999999999998E-2</v>
      </c>
      <c r="Q1331" s="2">
        <v>0.498</v>
      </c>
      <c r="R1331" s="2">
        <v>7.9399999999999998E-2</v>
      </c>
      <c r="S1331" s="2">
        <v>0.85399999999999998</v>
      </c>
      <c r="T1331" s="2">
        <v>-9.0489999999999995</v>
      </c>
      <c r="U1331">
        <v>182947</v>
      </c>
      <c r="V1331">
        <f>YEAR(Spotify[[#This Row],[Date de sortie]])</f>
        <v>2011</v>
      </c>
      <c r="W1331" s="2" t="str">
        <f>IF(Spotify[[#This Row],[Popularité]]&gt;=70,"FORTE","FAIBLE")</f>
        <v>FAIBLE</v>
      </c>
    </row>
    <row r="1332" spans="1:23" x14ac:dyDescent="0.25">
      <c r="A1332">
        <v>1403</v>
      </c>
      <c r="B1332">
        <v>57</v>
      </c>
      <c r="C1332">
        <v>1</v>
      </c>
      <c r="D1332" s="1">
        <v>43875</v>
      </c>
      <c r="E1332" s="59" t="str" cm="1">
        <f t="array" ref="E133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32" t="s">
        <v>2243</v>
      </c>
      <c r="G1332" s="3">
        <v>9652399</v>
      </c>
      <c r="H1332" t="s">
        <v>2244</v>
      </c>
      <c r="I1332" s="4">
        <v>11692972</v>
      </c>
      <c r="J1332" t="s">
        <v>531</v>
      </c>
      <c r="K1332" s="1">
        <v>43875</v>
      </c>
      <c r="L1332">
        <v>59</v>
      </c>
      <c r="M1332" s="2" t="str">
        <f>IF(Spotify[[#This Row],[Energie]]&gt;AVERAGE(Spotify[Energie]),"FORTE","FAIBLE")</f>
        <v>FAIBLE</v>
      </c>
      <c r="N1332" s="2">
        <v>0.90400000000000003</v>
      </c>
      <c r="O1332" s="2">
        <v>0.627</v>
      </c>
      <c r="P1332" s="2">
        <v>0.222</v>
      </c>
      <c r="Q1332" s="2">
        <v>3.0300000000000001E-2</v>
      </c>
      <c r="R1332" s="2">
        <v>9.2299999999999993E-2</v>
      </c>
      <c r="S1332" s="2">
        <v>0.23599999999999999</v>
      </c>
      <c r="T1332" s="2">
        <v>-5.6079999999999997</v>
      </c>
      <c r="U1332">
        <v>224243</v>
      </c>
      <c r="V1332">
        <f>YEAR(Spotify[[#This Row],[Date de sortie]])</f>
        <v>2020</v>
      </c>
      <c r="W1332" s="2" t="str">
        <f>IF(Spotify[[#This Row],[Popularité]]&gt;=70,"FORTE","FAIBLE")</f>
        <v>FAIBLE</v>
      </c>
    </row>
    <row r="1333" spans="1:23" x14ac:dyDescent="0.25">
      <c r="A1333">
        <v>1133</v>
      </c>
      <c r="B1333">
        <v>77</v>
      </c>
      <c r="C1333">
        <v>1</v>
      </c>
      <c r="D1333" s="1">
        <v>43980</v>
      </c>
      <c r="E1333" s="59" t="str" cm="1">
        <f t="array" ref="E133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333" t="s">
        <v>1875</v>
      </c>
      <c r="G1333" s="3">
        <v>7695566</v>
      </c>
      <c r="H1333" t="s">
        <v>607</v>
      </c>
      <c r="I1333" s="4">
        <v>18585963</v>
      </c>
      <c r="J1333" t="s">
        <v>19</v>
      </c>
      <c r="K1333" s="1">
        <v>43980</v>
      </c>
      <c r="L1333">
        <v>59</v>
      </c>
      <c r="M1333" s="2" t="str">
        <f>IF(Spotify[[#This Row],[Energie]]&gt;AVERAGE(Spotify[Energie]),"FORTE","FAIBLE")</f>
        <v>FORTE</v>
      </c>
      <c r="N1333" s="2">
        <v>0.66900000000000004</v>
      </c>
      <c r="O1333" s="2">
        <v>0.80400000000000005</v>
      </c>
      <c r="P1333" s="2">
        <v>3.5999999999999997E-2</v>
      </c>
      <c r="Q1333" s="2">
        <v>3.0599999999999999E-2</v>
      </c>
      <c r="R1333" s="2">
        <v>0.69399999999999995</v>
      </c>
      <c r="S1333" s="2">
        <v>0.184</v>
      </c>
      <c r="T1333" s="2">
        <v>-4.0350000000000001</v>
      </c>
      <c r="U1333">
        <v>179760</v>
      </c>
      <c r="V1333">
        <f>YEAR(Spotify[[#This Row],[Date de sortie]])</f>
        <v>2020</v>
      </c>
      <c r="W1333" s="2" t="str">
        <f>IF(Spotify[[#This Row],[Popularité]]&gt;=70,"FORTE","FAIBLE")</f>
        <v>FAIBLE</v>
      </c>
    </row>
    <row r="1334" spans="1:23" x14ac:dyDescent="0.25">
      <c r="A1334">
        <v>1358</v>
      </c>
      <c r="B1334">
        <v>106</v>
      </c>
      <c r="C1334">
        <v>1</v>
      </c>
      <c r="D1334" s="1">
        <v>43889</v>
      </c>
      <c r="E1334" s="59" t="str" cm="1">
        <f t="array" ref="E133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34" t="s">
        <v>2179</v>
      </c>
      <c r="G1334" s="3">
        <v>7410327</v>
      </c>
      <c r="H1334" t="s">
        <v>932</v>
      </c>
      <c r="I1334" s="4">
        <v>7816213</v>
      </c>
      <c r="J1334" t="s">
        <v>531</v>
      </c>
      <c r="K1334" s="1">
        <v>43889</v>
      </c>
      <c r="L1334">
        <v>59</v>
      </c>
      <c r="M1334" s="2" t="str">
        <f>IF(Spotify[[#This Row],[Energie]]&gt;AVERAGE(Spotify[Energie]),"FORTE","FAIBLE")</f>
        <v>FORTE</v>
      </c>
      <c r="N1334" s="2">
        <v>0.80700000000000005</v>
      </c>
      <c r="O1334" s="2">
        <v>0.67800000000000005</v>
      </c>
      <c r="P1334" s="2">
        <v>0.17699999999999999</v>
      </c>
      <c r="Q1334" s="2">
        <v>3.4500000000000003E-2</v>
      </c>
      <c r="R1334" s="2">
        <v>9.8599999999999993E-2</v>
      </c>
      <c r="S1334" s="2">
        <v>0.21</v>
      </c>
      <c r="T1334" s="2">
        <v>-3.2440000000000002</v>
      </c>
      <c r="U1334">
        <v>173061</v>
      </c>
      <c r="V1334">
        <f>YEAR(Spotify[[#This Row],[Date de sortie]])</f>
        <v>2020</v>
      </c>
      <c r="W1334" s="2" t="str">
        <f>IF(Spotify[[#This Row],[Popularité]]&gt;=70,"FORTE","FAIBLE")</f>
        <v>FAIBLE</v>
      </c>
    </row>
    <row r="1335" spans="1:23" x14ac:dyDescent="0.25">
      <c r="A1335">
        <v>708</v>
      </c>
      <c r="B1335">
        <v>139</v>
      </c>
      <c r="C1335">
        <v>1</v>
      </c>
      <c r="D1335" s="1">
        <v>44176</v>
      </c>
      <c r="E1335" s="59" t="str" cm="1">
        <f t="array" ref="E133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35" t="s">
        <v>1250</v>
      </c>
      <c r="G1335" s="3">
        <v>7117347</v>
      </c>
      <c r="H1335" t="s">
        <v>1092</v>
      </c>
      <c r="I1335" s="4">
        <v>5002317</v>
      </c>
      <c r="J1335" t="s">
        <v>426</v>
      </c>
      <c r="K1335" s="1">
        <v>44176</v>
      </c>
      <c r="L1335">
        <v>59</v>
      </c>
      <c r="M1335" s="2" t="str">
        <f>IF(Spotify[[#This Row],[Energie]]&gt;AVERAGE(Spotify[Energie]),"FORTE","FAIBLE")</f>
        <v>FAIBLE</v>
      </c>
      <c r="N1335" s="2">
        <v>0.78600000000000003</v>
      </c>
      <c r="O1335" s="2">
        <v>0.61</v>
      </c>
      <c r="P1335" s="2">
        <v>5.5800000000000002E-2</v>
      </c>
      <c r="Q1335" s="2">
        <v>0.379</v>
      </c>
      <c r="R1335" s="2">
        <v>7.6499999999999999E-2</v>
      </c>
      <c r="S1335" s="2">
        <v>0.22800000000000001</v>
      </c>
      <c r="T1335" s="2">
        <v>-6.7359999999999998</v>
      </c>
      <c r="U1335">
        <v>201093</v>
      </c>
      <c r="V1335">
        <f>YEAR(Spotify[[#This Row],[Date de sortie]])</f>
        <v>2020</v>
      </c>
      <c r="W1335" s="2" t="str">
        <f>IF(Spotify[[#This Row],[Popularité]]&gt;=70,"FORTE","FAIBLE")</f>
        <v>FAIBLE</v>
      </c>
    </row>
    <row r="1336" spans="1:23" x14ac:dyDescent="0.25">
      <c r="A1336">
        <v>1503</v>
      </c>
      <c r="B1336">
        <v>115</v>
      </c>
      <c r="C1336">
        <v>1</v>
      </c>
      <c r="D1336" s="1">
        <v>43847</v>
      </c>
      <c r="E1336" s="59" t="str" cm="1">
        <f t="array" ref="E133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336" t="s">
        <v>2373</v>
      </c>
      <c r="G1336" s="3">
        <v>7050815</v>
      </c>
      <c r="H1336" t="s">
        <v>955</v>
      </c>
      <c r="I1336" s="4">
        <v>15663384</v>
      </c>
      <c r="J1336" t="s">
        <v>19</v>
      </c>
      <c r="K1336" s="1">
        <v>43847</v>
      </c>
      <c r="L1336">
        <v>59</v>
      </c>
      <c r="M1336" s="2" t="str">
        <f>IF(Spotify[[#This Row],[Energie]]&gt;AVERAGE(Spotify[Energie]),"FORTE","FAIBLE")</f>
        <v>FORTE</v>
      </c>
      <c r="N1336" s="2">
        <v>0.70799999999999996</v>
      </c>
      <c r="O1336" s="2">
        <v>0.66100000000000003</v>
      </c>
      <c r="P1336" s="2">
        <v>5.4600000000000003E-2</v>
      </c>
      <c r="Q1336" s="2">
        <v>3.9600000000000003E-2</v>
      </c>
      <c r="R1336" s="2">
        <v>0.113</v>
      </c>
      <c r="S1336" s="2">
        <v>0.317</v>
      </c>
      <c r="T1336" s="2">
        <v>-6.5430000000000001</v>
      </c>
      <c r="U1336">
        <v>211784</v>
      </c>
      <c r="V1336">
        <f>YEAR(Spotify[[#This Row],[Date de sortie]])</f>
        <v>2020</v>
      </c>
      <c r="W1336" s="2" t="str">
        <f>IF(Spotify[[#This Row],[Popularité]]&gt;=70,"FORTE","FAIBLE")</f>
        <v>FAIBLE</v>
      </c>
    </row>
    <row r="1337" spans="1:23" x14ac:dyDescent="0.25">
      <c r="A1337">
        <v>1031</v>
      </c>
      <c r="B1337">
        <v>112</v>
      </c>
      <c r="C1337">
        <v>1</v>
      </c>
      <c r="D1337" s="1">
        <v>44022</v>
      </c>
      <c r="E1337" s="59" t="str" cm="1">
        <f t="array" ref="E133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337" t="s">
        <v>1729</v>
      </c>
      <c r="G1337" s="3">
        <v>6682917</v>
      </c>
      <c r="H1337" t="s">
        <v>345</v>
      </c>
      <c r="I1337" s="4">
        <v>19102888</v>
      </c>
      <c r="J1337" t="s">
        <v>79</v>
      </c>
      <c r="K1337" s="1">
        <v>44022</v>
      </c>
      <c r="L1337">
        <v>59</v>
      </c>
      <c r="M1337" s="2" t="str">
        <f>IF(Spotify[[#This Row],[Energie]]&gt;AVERAGE(Spotify[Energie]),"FORTE","FAIBLE")</f>
        <v>FAIBLE</v>
      </c>
      <c r="N1337" s="2">
        <v>0.39200000000000002</v>
      </c>
      <c r="O1337" s="2">
        <v>0.373</v>
      </c>
      <c r="P1337" s="2">
        <v>9.6799999999999997E-2</v>
      </c>
      <c r="Q1337" s="2">
        <v>0.99099999999999999</v>
      </c>
      <c r="R1337" s="2">
        <v>0.54500000000000004</v>
      </c>
      <c r="S1337" s="2">
        <v>0.51900000000000002</v>
      </c>
      <c r="T1337" s="2">
        <v>-14.097</v>
      </c>
      <c r="U1337">
        <v>30583</v>
      </c>
      <c r="V1337">
        <f>YEAR(Spotify[[#This Row],[Date de sortie]])</f>
        <v>2020</v>
      </c>
      <c r="W1337" s="2" t="str">
        <f>IF(Spotify[[#This Row],[Popularité]]&gt;=70,"FORTE","FAIBLE")</f>
        <v>FAIBLE</v>
      </c>
    </row>
    <row r="1338" spans="1:23" x14ac:dyDescent="0.25">
      <c r="A1338">
        <v>1048</v>
      </c>
      <c r="B1338">
        <v>114</v>
      </c>
      <c r="C1338">
        <v>1</v>
      </c>
      <c r="D1338" s="1">
        <v>44015</v>
      </c>
      <c r="E1338" s="59" t="str" cm="1">
        <f t="array" ref="E133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338" t="s">
        <v>1752</v>
      </c>
      <c r="G1338" s="3">
        <v>6144736</v>
      </c>
      <c r="H1338" t="s">
        <v>338</v>
      </c>
      <c r="I1338" s="4">
        <v>6852509</v>
      </c>
      <c r="J1338" t="s">
        <v>158</v>
      </c>
      <c r="K1338" s="1">
        <v>44015</v>
      </c>
      <c r="L1338">
        <v>59</v>
      </c>
      <c r="M1338" s="2" t="str">
        <f>IF(Spotify[[#This Row],[Energie]]&gt;AVERAGE(Spotify[Energie]),"FORTE","FAIBLE")</f>
        <v>FORTE</v>
      </c>
      <c r="N1338" s="2">
        <v>0.64500000000000002</v>
      </c>
      <c r="O1338" s="2">
        <v>0.64</v>
      </c>
      <c r="P1338" s="2">
        <v>0.17899999999999999</v>
      </c>
      <c r="Q1338" s="2">
        <v>0.39500000000000002</v>
      </c>
      <c r="R1338" s="2">
        <v>0.28599999999999998</v>
      </c>
      <c r="S1338" s="2">
        <v>0.67400000000000004</v>
      </c>
      <c r="T1338" s="2">
        <v>-6.8710000000000004</v>
      </c>
      <c r="U1338">
        <v>48000</v>
      </c>
      <c r="V1338">
        <f>YEAR(Spotify[[#This Row],[Date de sortie]])</f>
        <v>2020</v>
      </c>
      <c r="W1338" s="2" t="str">
        <f>IF(Spotify[[#This Row],[Popularité]]&gt;=70,"FORTE","FAIBLE")</f>
        <v>FAIBLE</v>
      </c>
    </row>
    <row r="1339" spans="1:23" x14ac:dyDescent="0.25">
      <c r="A1339">
        <v>1049</v>
      </c>
      <c r="B1339">
        <v>117</v>
      </c>
      <c r="C1339">
        <v>1</v>
      </c>
      <c r="D1339" s="1">
        <v>44015</v>
      </c>
      <c r="E1339" s="59" t="str" cm="1">
        <f t="array" ref="E133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339" t="s">
        <v>1753</v>
      </c>
      <c r="G1339" s="3">
        <v>6102253</v>
      </c>
      <c r="H1339" t="s">
        <v>338</v>
      </c>
      <c r="I1339" s="4">
        <v>6852509</v>
      </c>
      <c r="J1339" t="s">
        <v>158</v>
      </c>
      <c r="K1339" s="1">
        <v>44015</v>
      </c>
      <c r="L1339">
        <v>59</v>
      </c>
      <c r="M1339" s="2" t="str">
        <f>IF(Spotify[[#This Row],[Energie]]&gt;AVERAGE(Spotify[Energie]),"FORTE","FAIBLE")</f>
        <v>FAIBLE</v>
      </c>
      <c r="N1339" s="2">
        <v>0.94399999999999995</v>
      </c>
      <c r="O1339" s="2">
        <v>0.57899999999999996</v>
      </c>
      <c r="P1339" s="2">
        <v>0.191</v>
      </c>
      <c r="Q1339" s="2">
        <v>3.8100000000000002E-2</v>
      </c>
      <c r="R1339" s="2">
        <v>0.253</v>
      </c>
      <c r="S1339" s="2">
        <v>0.76900000000000002</v>
      </c>
      <c r="T1339" s="2">
        <v>-4.9610000000000003</v>
      </c>
      <c r="U1339">
        <v>259346</v>
      </c>
      <c r="V1339">
        <f>YEAR(Spotify[[#This Row],[Date de sortie]])</f>
        <v>2020</v>
      </c>
      <c r="W1339" s="2" t="str">
        <f>IF(Spotify[[#This Row],[Popularité]]&gt;=70,"FORTE","FAIBLE")</f>
        <v>FAIBLE</v>
      </c>
    </row>
    <row r="1340" spans="1:23" x14ac:dyDescent="0.25">
      <c r="A1340">
        <v>1343</v>
      </c>
      <c r="B1340">
        <v>159</v>
      </c>
      <c r="C1340">
        <v>1</v>
      </c>
      <c r="D1340" s="1">
        <v>43896</v>
      </c>
      <c r="E1340" s="59" t="str" cm="1">
        <f t="array" ref="E134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40" t="s">
        <v>2159</v>
      </c>
      <c r="G1340" s="3">
        <v>5846484</v>
      </c>
      <c r="H1340" t="s">
        <v>1452</v>
      </c>
      <c r="I1340" s="4">
        <v>3337982</v>
      </c>
      <c r="J1340" t="s">
        <v>531</v>
      </c>
      <c r="K1340" s="1">
        <v>43896</v>
      </c>
      <c r="L1340">
        <v>59</v>
      </c>
      <c r="M1340" s="2" t="str">
        <f>IF(Spotify[[#This Row],[Energie]]&gt;AVERAGE(Spotify[Energie]),"FORTE","FAIBLE")</f>
        <v>FORTE</v>
      </c>
      <c r="N1340" s="2">
        <v>0.77900000000000003</v>
      </c>
      <c r="O1340" s="2">
        <v>0.70699999999999996</v>
      </c>
      <c r="P1340" s="2">
        <v>0.16</v>
      </c>
      <c r="Q1340" s="2">
        <v>9.9099999999999994E-2</v>
      </c>
      <c r="R1340" s="2">
        <v>9.3399999999999997E-2</v>
      </c>
      <c r="S1340" s="2">
        <v>0.34300000000000003</v>
      </c>
      <c r="T1340" s="2">
        <v>-6.5270000000000001</v>
      </c>
      <c r="U1340">
        <v>178097</v>
      </c>
      <c r="V1340">
        <f>YEAR(Spotify[[#This Row],[Date de sortie]])</f>
        <v>2020</v>
      </c>
      <c r="W1340" s="2" t="str">
        <f>IF(Spotify[[#This Row],[Popularité]]&gt;=70,"FORTE","FAIBLE")</f>
        <v>FAIBLE</v>
      </c>
    </row>
    <row r="1341" spans="1:23" x14ac:dyDescent="0.25">
      <c r="A1341">
        <v>981</v>
      </c>
      <c r="B1341">
        <v>141</v>
      </c>
      <c r="C1341">
        <v>1</v>
      </c>
      <c r="D1341" s="1">
        <v>44043</v>
      </c>
      <c r="E1341" s="59" t="str" cm="1">
        <f t="array" ref="E134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41" t="s">
        <v>1663</v>
      </c>
      <c r="G1341" s="3">
        <v>5752169</v>
      </c>
      <c r="H1341" t="s">
        <v>1079</v>
      </c>
      <c r="I1341" s="4">
        <v>1674348</v>
      </c>
      <c r="J1341" t="s">
        <v>206</v>
      </c>
      <c r="K1341" s="1">
        <v>44043</v>
      </c>
      <c r="L1341">
        <v>59</v>
      </c>
      <c r="M1341" s="2" t="str">
        <f>IF(Spotify[[#This Row],[Energie]]&gt;AVERAGE(Spotify[Energie]),"FORTE","FAIBLE")</f>
        <v>FAIBLE</v>
      </c>
      <c r="N1341" s="2">
        <v>0.81899999999999995</v>
      </c>
      <c r="O1341" s="2">
        <v>0.50700000000000001</v>
      </c>
      <c r="P1341" s="2">
        <v>8.8099999999999998E-2</v>
      </c>
      <c r="Q1341" s="2">
        <v>0.48199999999999998</v>
      </c>
      <c r="R1341" s="2">
        <v>0.105</v>
      </c>
      <c r="S1341" s="2">
        <v>0.63400000000000001</v>
      </c>
      <c r="T1341" s="2">
        <v>-7.3360000000000003</v>
      </c>
      <c r="U1341">
        <v>152013</v>
      </c>
      <c r="V1341">
        <f>YEAR(Spotify[[#This Row],[Date de sortie]])</f>
        <v>2020</v>
      </c>
      <c r="W1341" s="2" t="str">
        <f>IF(Spotify[[#This Row],[Popularité]]&gt;=70,"FORTE","FAIBLE")</f>
        <v>FAIBLE</v>
      </c>
    </row>
    <row r="1342" spans="1:23" x14ac:dyDescent="0.25">
      <c r="A1342">
        <v>1509</v>
      </c>
      <c r="B1342">
        <v>167</v>
      </c>
      <c r="C1342">
        <v>1</v>
      </c>
      <c r="D1342" s="1">
        <v>43847</v>
      </c>
      <c r="E1342" s="59" t="str" cm="1">
        <f t="array" ref="E134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342" t="s">
        <v>2380</v>
      </c>
      <c r="G1342" s="3">
        <v>5678754</v>
      </c>
      <c r="H1342" t="s">
        <v>2381</v>
      </c>
      <c r="I1342" s="4">
        <v>951798</v>
      </c>
      <c r="J1342" t="s">
        <v>550</v>
      </c>
      <c r="K1342" s="1">
        <v>43847</v>
      </c>
      <c r="L1342">
        <v>59</v>
      </c>
      <c r="M1342" s="2" t="str">
        <f>IF(Spotify[[#This Row],[Energie]]&gt;AVERAGE(Spotify[Energie]),"FORTE","FAIBLE")</f>
        <v>FAIBLE</v>
      </c>
      <c r="N1342" s="2">
        <v>0.91600000000000004</v>
      </c>
      <c r="O1342" s="2">
        <v>0.56999999999999995</v>
      </c>
      <c r="P1342" s="2">
        <v>0.18</v>
      </c>
      <c r="Q1342" s="2">
        <v>2.86E-2</v>
      </c>
      <c r="R1342" s="2">
        <v>8.5099999999999995E-2</v>
      </c>
      <c r="S1342" s="2">
        <v>0.7</v>
      </c>
      <c r="T1342" s="2">
        <v>-6.2779999999999996</v>
      </c>
      <c r="U1342">
        <v>169702</v>
      </c>
      <c r="V1342">
        <f>YEAR(Spotify[[#This Row],[Date de sortie]])</f>
        <v>2020</v>
      </c>
      <c r="W1342" s="2" t="str">
        <f>IF(Spotify[[#This Row],[Popularité]]&gt;=70,"FORTE","FAIBLE")</f>
        <v>FAIBLE</v>
      </c>
    </row>
    <row r="1343" spans="1:23" x14ac:dyDescent="0.25">
      <c r="A1343">
        <v>983</v>
      </c>
      <c r="B1343">
        <v>149</v>
      </c>
      <c r="C1343">
        <v>1</v>
      </c>
      <c r="D1343" s="1">
        <v>44043</v>
      </c>
      <c r="E1343" s="59" t="str" cm="1">
        <f t="array" ref="E134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43" t="s">
        <v>1665</v>
      </c>
      <c r="G1343" s="3">
        <v>5534361</v>
      </c>
      <c r="H1343" t="s">
        <v>1333</v>
      </c>
      <c r="I1343" s="4">
        <v>10491105</v>
      </c>
      <c r="J1343" t="s">
        <v>531</v>
      </c>
      <c r="K1343" s="1">
        <v>44043</v>
      </c>
      <c r="L1343">
        <v>59</v>
      </c>
      <c r="M1343" s="2" t="str">
        <f>IF(Spotify[[#This Row],[Energie]]&gt;AVERAGE(Spotify[Energie]),"FORTE","FAIBLE")</f>
        <v>FORTE</v>
      </c>
      <c r="N1343" s="2">
        <v>0.77300000000000002</v>
      </c>
      <c r="O1343" s="2">
        <v>0.74199999999999999</v>
      </c>
      <c r="P1343" s="2">
        <v>0.16200000000000001</v>
      </c>
      <c r="Q1343" s="2">
        <v>1.98E-3</v>
      </c>
      <c r="R1343" s="2">
        <v>0.55800000000000005</v>
      </c>
      <c r="S1343" s="2">
        <v>0.35</v>
      </c>
      <c r="T1343" s="2">
        <v>-5.4530000000000003</v>
      </c>
      <c r="U1343">
        <v>186843</v>
      </c>
      <c r="V1343">
        <f>YEAR(Spotify[[#This Row],[Date de sortie]])</f>
        <v>2020</v>
      </c>
      <c r="W1343" s="2" t="str">
        <f>IF(Spotify[[#This Row],[Popularité]]&gt;=70,"FORTE","FAIBLE")</f>
        <v>FAIBLE</v>
      </c>
    </row>
    <row r="1344" spans="1:23" x14ac:dyDescent="0.25">
      <c r="A1344">
        <v>749</v>
      </c>
      <c r="B1344">
        <v>162</v>
      </c>
      <c r="C1344">
        <v>1</v>
      </c>
      <c r="D1344" s="1">
        <v>44155</v>
      </c>
      <c r="E1344" s="59" t="str" cm="1">
        <f t="array" ref="E134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44" t="s">
        <v>1302</v>
      </c>
      <c r="G1344" s="3">
        <v>5504912</v>
      </c>
      <c r="H1344" t="s">
        <v>1296</v>
      </c>
      <c r="I1344" s="4">
        <v>4430628</v>
      </c>
      <c r="J1344" t="s">
        <v>438</v>
      </c>
      <c r="K1344" s="1">
        <v>44183</v>
      </c>
      <c r="L1344">
        <v>59</v>
      </c>
      <c r="M1344" s="2" t="str">
        <f>IF(Spotify[[#This Row],[Energie]]&gt;AVERAGE(Spotify[Energie]),"FORTE","FAIBLE")</f>
        <v>FORTE</v>
      </c>
      <c r="N1344" s="2">
        <v>0.72299999999999998</v>
      </c>
      <c r="O1344" s="2">
        <v>0.67300000000000004</v>
      </c>
      <c r="P1344" s="2">
        <v>0.13700000000000001</v>
      </c>
      <c r="Q1344" s="2">
        <v>9.8500000000000004E-2</v>
      </c>
      <c r="R1344" s="2">
        <v>0.32300000000000001</v>
      </c>
      <c r="S1344" s="2">
        <v>0.30199999999999999</v>
      </c>
      <c r="T1344" s="2">
        <v>-7.6360000000000001</v>
      </c>
      <c r="U1344">
        <v>230389</v>
      </c>
      <c r="V1344">
        <f>YEAR(Spotify[[#This Row],[Date de sortie]])</f>
        <v>2020</v>
      </c>
      <c r="W1344" s="2" t="str">
        <f>IF(Spotify[[#This Row],[Popularité]]&gt;=70,"FORTE","FAIBLE")</f>
        <v>FAIBLE</v>
      </c>
    </row>
    <row r="1345" spans="1:23" x14ac:dyDescent="0.25">
      <c r="A1345">
        <v>1307</v>
      </c>
      <c r="B1345">
        <v>149</v>
      </c>
      <c r="C1345">
        <v>1</v>
      </c>
      <c r="D1345" s="1">
        <v>43903</v>
      </c>
      <c r="E1345" s="59" t="str" cm="1">
        <f t="array" ref="E134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345" t="s">
        <v>2116</v>
      </c>
      <c r="G1345" s="3">
        <v>5468083</v>
      </c>
      <c r="H1345" t="s">
        <v>1780</v>
      </c>
      <c r="I1345" s="4">
        <v>11821805</v>
      </c>
      <c r="J1345" t="s">
        <v>235</v>
      </c>
      <c r="K1345" s="1">
        <v>43903</v>
      </c>
      <c r="L1345">
        <v>59</v>
      </c>
      <c r="M1345" s="2" t="str">
        <f>IF(Spotify[[#This Row],[Energie]]&gt;AVERAGE(Spotify[Energie]),"FORTE","FAIBLE")</f>
        <v>FORTE</v>
      </c>
      <c r="N1345" s="2">
        <v>0.86199999999999999</v>
      </c>
      <c r="O1345" s="2">
        <v>0.65</v>
      </c>
      <c r="P1345" s="2">
        <v>0.35499999999999998</v>
      </c>
      <c r="Q1345" s="2">
        <v>2.07E-2</v>
      </c>
      <c r="R1345" s="2">
        <v>0.56799999999999995</v>
      </c>
      <c r="S1345" s="2">
        <v>0.65800000000000003</v>
      </c>
      <c r="T1345" s="2">
        <v>-6.9779999999999998</v>
      </c>
      <c r="U1345">
        <v>115350</v>
      </c>
      <c r="V1345">
        <f>YEAR(Spotify[[#This Row],[Date de sortie]])</f>
        <v>2020</v>
      </c>
      <c r="W1345" s="2" t="str">
        <f>IF(Spotify[[#This Row],[Popularité]]&gt;=70,"FORTE","FAIBLE")</f>
        <v>FAIBLE</v>
      </c>
    </row>
    <row r="1346" spans="1:23" x14ac:dyDescent="0.25">
      <c r="A1346">
        <v>1420</v>
      </c>
      <c r="B1346">
        <v>164</v>
      </c>
      <c r="C1346">
        <v>1</v>
      </c>
      <c r="D1346" s="1">
        <v>43875</v>
      </c>
      <c r="E1346" s="59" t="str" cm="1">
        <f t="array" ref="E134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346" t="s">
        <v>2261</v>
      </c>
      <c r="G1346" s="3">
        <v>5440037</v>
      </c>
      <c r="H1346" t="s">
        <v>35</v>
      </c>
      <c r="I1346" s="4">
        <v>48544923</v>
      </c>
      <c r="J1346" t="s">
        <v>36</v>
      </c>
      <c r="K1346" s="1">
        <v>43875</v>
      </c>
      <c r="L1346">
        <v>59</v>
      </c>
      <c r="M1346" s="2" t="str">
        <f>IF(Spotify[[#This Row],[Energie]]&gt;AVERAGE(Spotify[Energie]),"FORTE","FAIBLE")</f>
        <v>FAIBLE</v>
      </c>
      <c r="N1346" s="2">
        <v>0.63900000000000001</v>
      </c>
      <c r="O1346" s="2">
        <v>0.437</v>
      </c>
      <c r="P1346" s="2">
        <v>3.5499999999999997E-2</v>
      </c>
      <c r="Q1346" s="2">
        <v>0.69199999999999995</v>
      </c>
      <c r="R1346" s="2">
        <v>0.12</v>
      </c>
      <c r="S1346" s="2">
        <v>0.751</v>
      </c>
      <c r="T1346" s="2">
        <v>-6.9589999999999996</v>
      </c>
      <c r="U1346">
        <v>165120</v>
      </c>
      <c r="V1346">
        <f>YEAR(Spotify[[#This Row],[Date de sortie]])</f>
        <v>2020</v>
      </c>
      <c r="W1346" s="2" t="str">
        <f>IF(Spotify[[#This Row],[Popularité]]&gt;=70,"FORTE","FAIBLE")</f>
        <v>FAIBLE</v>
      </c>
    </row>
    <row r="1347" spans="1:23" x14ac:dyDescent="0.25">
      <c r="A1347">
        <v>1242</v>
      </c>
      <c r="B1347">
        <v>127</v>
      </c>
      <c r="C1347">
        <v>1</v>
      </c>
      <c r="D1347" s="1">
        <v>43931</v>
      </c>
      <c r="E1347" s="59" t="str" cm="1">
        <f t="array" ref="E134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47" t="s">
        <v>2027</v>
      </c>
      <c r="G1347" s="3">
        <v>5291167</v>
      </c>
      <c r="H1347" t="s">
        <v>1401</v>
      </c>
      <c r="I1347" s="4">
        <v>1683006</v>
      </c>
      <c r="J1347" t="s">
        <v>206</v>
      </c>
      <c r="K1347" s="1">
        <v>43930</v>
      </c>
      <c r="L1347">
        <v>59</v>
      </c>
      <c r="M1347" s="2" t="str">
        <f>IF(Spotify[[#This Row],[Energie]]&gt;AVERAGE(Spotify[Energie]),"FORTE","FAIBLE")</f>
        <v>FAIBLE</v>
      </c>
      <c r="N1347" s="2">
        <v>0.83899999999999997</v>
      </c>
      <c r="O1347" s="2">
        <v>0.59399999999999997</v>
      </c>
      <c r="P1347" s="2">
        <v>0.13900000000000001</v>
      </c>
      <c r="Q1347" s="2">
        <v>0.249</v>
      </c>
      <c r="R1347" s="2">
        <v>0.16500000000000001</v>
      </c>
      <c r="S1347" s="2">
        <v>0.57999999999999996</v>
      </c>
      <c r="T1347" s="2">
        <v>-9.0869999999999997</v>
      </c>
      <c r="U1347">
        <v>179844</v>
      </c>
      <c r="V1347">
        <f>YEAR(Spotify[[#This Row],[Date de sortie]])</f>
        <v>2020</v>
      </c>
      <c r="W1347" s="2" t="str">
        <f>IF(Spotify[[#This Row],[Popularité]]&gt;=70,"FORTE","FAIBLE")</f>
        <v>FAIBLE</v>
      </c>
    </row>
    <row r="1348" spans="1:23" x14ac:dyDescent="0.25">
      <c r="A1348">
        <v>1537</v>
      </c>
      <c r="B1348">
        <v>125</v>
      </c>
      <c r="C1348">
        <v>2</v>
      </c>
      <c r="D1348" s="1">
        <v>43826</v>
      </c>
      <c r="E1348" s="59" t="str" cm="1">
        <f t="array" ref="E134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348" t="s">
        <v>2416</v>
      </c>
      <c r="G1348" s="3">
        <v>5229616</v>
      </c>
      <c r="H1348" t="s">
        <v>2417</v>
      </c>
      <c r="I1348" s="4">
        <v>4039037</v>
      </c>
      <c r="J1348" t="s">
        <v>2418</v>
      </c>
      <c r="K1348" s="1">
        <v>43735</v>
      </c>
      <c r="L1348">
        <v>59</v>
      </c>
      <c r="M1348" s="2" t="str">
        <f>IF(Spotify[[#This Row],[Energie]]&gt;AVERAGE(Spotify[Energie]),"FORTE","FAIBLE")</f>
        <v>FORTE</v>
      </c>
      <c r="N1348" s="2">
        <v>0.77300000000000002</v>
      </c>
      <c r="O1348" s="2">
        <v>0.83599999999999997</v>
      </c>
      <c r="P1348" s="2">
        <v>0.153</v>
      </c>
      <c r="Q1348" s="2">
        <v>0.28299999999999997</v>
      </c>
      <c r="R1348" s="2">
        <v>8.2799999999999999E-2</v>
      </c>
      <c r="S1348" s="2">
        <v>0.497</v>
      </c>
      <c r="T1348" s="2">
        <v>-2.3260000000000001</v>
      </c>
      <c r="U1348">
        <v>201271</v>
      </c>
      <c r="V1348">
        <f>YEAR(Spotify[[#This Row],[Date de sortie]])</f>
        <v>2019</v>
      </c>
      <c r="W1348" s="2" t="str">
        <f>IF(Spotify[[#This Row],[Popularité]]&gt;=70,"FORTE","FAIBLE")</f>
        <v>FAIBLE</v>
      </c>
    </row>
    <row r="1349" spans="1:23" x14ac:dyDescent="0.25">
      <c r="A1349">
        <v>1480</v>
      </c>
      <c r="B1349">
        <v>171</v>
      </c>
      <c r="C1349">
        <v>1</v>
      </c>
      <c r="D1349" s="1">
        <v>43854</v>
      </c>
      <c r="E1349" s="59" t="str" cm="1">
        <f t="array" ref="E134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349" t="s">
        <v>2348</v>
      </c>
      <c r="G1349" s="3">
        <v>5215211</v>
      </c>
      <c r="H1349" t="s">
        <v>134</v>
      </c>
      <c r="I1349" s="4">
        <v>4794212</v>
      </c>
      <c r="J1349" t="s">
        <v>135</v>
      </c>
      <c r="K1349" s="1">
        <v>43854</v>
      </c>
      <c r="L1349">
        <v>59</v>
      </c>
      <c r="M1349" s="2" t="str">
        <f>IF(Spotify[[#This Row],[Energie]]&gt;AVERAGE(Spotify[Energie]),"FORTE","FAIBLE")</f>
        <v>FORTE</v>
      </c>
      <c r="N1349" s="2">
        <v>0.74199999999999999</v>
      </c>
      <c r="O1349" s="2">
        <v>0.73099999999999998</v>
      </c>
      <c r="P1349" s="2">
        <v>0.30599999999999999</v>
      </c>
      <c r="Q1349" s="2">
        <v>8.5099999999999995E-2</v>
      </c>
      <c r="R1349" s="2">
        <v>0.13100000000000001</v>
      </c>
      <c r="S1349" s="2">
        <v>0.54700000000000004</v>
      </c>
      <c r="T1349" s="2">
        <v>-4.3620000000000001</v>
      </c>
      <c r="U1349">
        <v>183143</v>
      </c>
      <c r="V1349">
        <f>YEAR(Spotify[[#This Row],[Date de sortie]])</f>
        <v>2020</v>
      </c>
      <c r="W1349" s="2" t="str">
        <f>IF(Spotify[[#This Row],[Popularité]]&gt;=70,"FORTE","FAIBLE")</f>
        <v>FAIBLE</v>
      </c>
    </row>
    <row r="1350" spans="1:23" x14ac:dyDescent="0.25">
      <c r="A1350">
        <v>1316</v>
      </c>
      <c r="B1350">
        <v>177</v>
      </c>
      <c r="C1350">
        <v>1</v>
      </c>
      <c r="D1350" s="1">
        <v>43903</v>
      </c>
      <c r="E1350" s="59" t="str" cm="1">
        <f t="array" ref="E135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350" t="s">
        <v>2128</v>
      </c>
      <c r="G1350" s="3">
        <v>5043990</v>
      </c>
      <c r="H1350" t="s">
        <v>1780</v>
      </c>
      <c r="I1350" s="4">
        <v>11821805</v>
      </c>
      <c r="J1350" t="s">
        <v>235</v>
      </c>
      <c r="K1350" s="1">
        <v>43903</v>
      </c>
      <c r="L1350">
        <v>59</v>
      </c>
      <c r="M1350" s="2" t="str">
        <f>IF(Spotify[[#This Row],[Energie]]&gt;AVERAGE(Spotify[Energie]),"FORTE","FAIBLE")</f>
        <v>FAIBLE</v>
      </c>
      <c r="N1350" s="2">
        <v>0.71</v>
      </c>
      <c r="O1350" s="2">
        <v>0.58599999999999997</v>
      </c>
      <c r="P1350" s="2">
        <v>0.38100000000000001</v>
      </c>
      <c r="Q1350" s="2">
        <v>0.248</v>
      </c>
      <c r="R1350" s="2">
        <v>0.193</v>
      </c>
      <c r="S1350" s="2">
        <v>0.20699999999999999</v>
      </c>
      <c r="T1350" s="2">
        <v>-5.3310000000000004</v>
      </c>
      <c r="U1350">
        <v>185439</v>
      </c>
      <c r="V1350">
        <f>YEAR(Spotify[[#This Row],[Date de sortie]])</f>
        <v>2020</v>
      </c>
      <c r="W1350" s="2" t="str">
        <f>IF(Spotify[[#This Row],[Popularité]]&gt;=70,"FORTE","FAIBLE")</f>
        <v>FAIBLE</v>
      </c>
    </row>
    <row r="1351" spans="1:23" x14ac:dyDescent="0.25">
      <c r="A1351">
        <v>907</v>
      </c>
      <c r="B1351">
        <v>183</v>
      </c>
      <c r="C1351">
        <v>1</v>
      </c>
      <c r="D1351" s="1">
        <v>44085</v>
      </c>
      <c r="E1351" s="59" t="str" cm="1">
        <f t="array" ref="E135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51" t="s">
        <v>1550</v>
      </c>
      <c r="G1351" s="3">
        <v>4723116</v>
      </c>
      <c r="H1351" t="s">
        <v>1551</v>
      </c>
      <c r="I1351" s="4">
        <v>1683006</v>
      </c>
      <c r="J1351" t="s">
        <v>206</v>
      </c>
      <c r="K1351" s="1">
        <v>44084</v>
      </c>
      <c r="L1351">
        <v>59</v>
      </c>
      <c r="M1351" s="2" t="str">
        <f>IF(Spotify[[#This Row],[Energie]]&gt;AVERAGE(Spotify[Energie]),"FORTE","FAIBLE")</f>
        <v>FORTE</v>
      </c>
      <c r="N1351" s="2">
        <v>0.77400000000000002</v>
      </c>
      <c r="O1351" s="2">
        <v>0.81399999999999995</v>
      </c>
      <c r="P1351" s="2">
        <v>5.8400000000000001E-2</v>
      </c>
      <c r="Q1351" s="2">
        <v>0.20399999999999999</v>
      </c>
      <c r="R1351" s="2">
        <v>0.11799999999999999</v>
      </c>
      <c r="S1351" s="2">
        <v>0.254</v>
      </c>
      <c r="T1351" s="2">
        <v>-6.1449999999999996</v>
      </c>
      <c r="U1351">
        <v>185330</v>
      </c>
      <c r="V1351">
        <f>YEAR(Spotify[[#This Row],[Date de sortie]])</f>
        <v>2020</v>
      </c>
      <c r="W1351" s="2" t="str">
        <f>IF(Spotify[[#This Row],[Popularité]]&gt;=70,"FORTE","FAIBLE")</f>
        <v>FAIBLE</v>
      </c>
    </row>
    <row r="1352" spans="1:23" x14ac:dyDescent="0.25">
      <c r="A1352">
        <v>1142</v>
      </c>
      <c r="B1352">
        <v>180</v>
      </c>
      <c r="C1352">
        <v>1</v>
      </c>
      <c r="D1352" s="1">
        <v>43980</v>
      </c>
      <c r="E1352" s="59" t="str" cm="1">
        <f t="array" ref="E135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352" t="s">
        <v>1886</v>
      </c>
      <c r="G1352" s="3">
        <v>4681054</v>
      </c>
      <c r="H1352" t="s">
        <v>1853</v>
      </c>
      <c r="I1352" s="4">
        <v>1101597</v>
      </c>
      <c r="J1352" t="s">
        <v>1709</v>
      </c>
      <c r="K1352" s="1">
        <v>43980</v>
      </c>
      <c r="L1352">
        <v>59</v>
      </c>
      <c r="M1352" s="2" t="str">
        <f>IF(Spotify[[#This Row],[Energie]]&gt;AVERAGE(Spotify[Energie]),"FORTE","FAIBLE")</f>
        <v>FAIBLE</v>
      </c>
      <c r="N1352" s="2">
        <v>0.83499999999999996</v>
      </c>
      <c r="O1352" s="2">
        <v>0.59599999999999997</v>
      </c>
      <c r="P1352" s="2">
        <v>0.29699999999999999</v>
      </c>
      <c r="Q1352" s="2">
        <v>0.13700000000000001</v>
      </c>
      <c r="R1352" s="2">
        <v>0.16400000000000001</v>
      </c>
      <c r="S1352" s="2">
        <v>0.89700000000000002</v>
      </c>
      <c r="T1352" s="2">
        <v>-6.6369999999999996</v>
      </c>
      <c r="U1352">
        <v>174893</v>
      </c>
      <c r="V1352">
        <f>YEAR(Spotify[[#This Row],[Date de sortie]])</f>
        <v>2020</v>
      </c>
      <c r="W1352" s="2" t="str">
        <f>IF(Spotify[[#This Row],[Popularité]]&gt;=70,"FORTE","FAIBLE")</f>
        <v>FAIBLE</v>
      </c>
    </row>
    <row r="1353" spans="1:23" x14ac:dyDescent="0.25">
      <c r="A1353">
        <v>1543</v>
      </c>
      <c r="B1353">
        <v>192</v>
      </c>
      <c r="C1353">
        <v>2</v>
      </c>
      <c r="D1353" s="1">
        <v>43826</v>
      </c>
      <c r="E1353" s="59" t="str" cm="1">
        <f t="array" ref="E135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353" t="s">
        <v>2424</v>
      </c>
      <c r="G1353" s="3">
        <v>4543012</v>
      </c>
      <c r="H1353" t="s">
        <v>1061</v>
      </c>
      <c r="I1353" s="4">
        <v>29238936</v>
      </c>
      <c r="J1353" t="s">
        <v>25</v>
      </c>
      <c r="K1353" s="1">
        <v>43798</v>
      </c>
      <c r="L1353">
        <v>59</v>
      </c>
      <c r="M1353" s="2" t="str">
        <f>IF(Spotify[[#This Row],[Energie]]&gt;AVERAGE(Spotify[Energie]),"FORTE","FAIBLE")</f>
        <v>FORTE</v>
      </c>
      <c r="N1353" s="2">
        <v>0.69499999999999995</v>
      </c>
      <c r="O1353" s="2">
        <v>0.71899999999999997</v>
      </c>
      <c r="P1353" s="2">
        <v>9.0300000000000005E-2</v>
      </c>
      <c r="Q1353" s="2">
        <v>0.22700000000000001</v>
      </c>
      <c r="R1353" s="2">
        <v>8.8400000000000006E-2</v>
      </c>
      <c r="S1353" s="2">
        <v>0.78100000000000003</v>
      </c>
      <c r="T1353" s="2">
        <v>-5.9379999999999997</v>
      </c>
      <c r="U1353">
        <v>175187</v>
      </c>
      <c r="V1353">
        <f>YEAR(Spotify[[#This Row],[Date de sortie]])</f>
        <v>2019</v>
      </c>
      <c r="W1353" s="2" t="str">
        <f>IF(Spotify[[#This Row],[Popularité]]&gt;=70,"FORTE","FAIBLE")</f>
        <v>FAIBLE</v>
      </c>
    </row>
    <row r="1354" spans="1:23" x14ac:dyDescent="0.25">
      <c r="A1354">
        <v>1224</v>
      </c>
      <c r="B1354">
        <v>183</v>
      </c>
      <c r="C1354">
        <v>1</v>
      </c>
      <c r="D1354" s="1">
        <v>43945</v>
      </c>
      <c r="E1354" s="59" t="str" cm="1">
        <f t="array" ref="E135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1354" t="s">
        <v>2000</v>
      </c>
      <c r="G1354" s="3">
        <v>4429092</v>
      </c>
      <c r="H1354" t="s">
        <v>2001</v>
      </c>
      <c r="I1354" s="4">
        <v>5044278</v>
      </c>
      <c r="J1354" t="s">
        <v>148</v>
      </c>
      <c r="K1354" s="1">
        <v>43944</v>
      </c>
      <c r="L1354">
        <v>59</v>
      </c>
      <c r="M1354" s="2" t="str">
        <f>IF(Spotify[[#This Row],[Energie]]&gt;AVERAGE(Spotify[Energie]),"FORTE","FAIBLE")</f>
        <v>FORTE</v>
      </c>
      <c r="N1354" s="2">
        <v>0.65100000000000002</v>
      </c>
      <c r="O1354" s="2">
        <v>0.80600000000000005</v>
      </c>
      <c r="P1354" s="2">
        <v>3.1099999999999999E-2</v>
      </c>
      <c r="Q1354" s="2">
        <v>3.9899999999999996E-3</v>
      </c>
      <c r="R1354" s="2">
        <v>9.2700000000000005E-2</v>
      </c>
      <c r="S1354" s="2">
        <v>0.38600000000000001</v>
      </c>
      <c r="T1354" s="2">
        <v>-4.8419999999999996</v>
      </c>
      <c r="U1354">
        <v>239877</v>
      </c>
      <c r="V1354">
        <f>YEAR(Spotify[[#This Row],[Date de sortie]])</f>
        <v>2020</v>
      </c>
      <c r="W1354" s="2" t="str">
        <f>IF(Spotify[[#This Row],[Popularité]]&gt;=70,"FORTE","FAIBLE")</f>
        <v>FAIBLE</v>
      </c>
    </row>
    <row r="1355" spans="1:23" x14ac:dyDescent="0.25">
      <c r="A1355">
        <v>623</v>
      </c>
      <c r="B1355">
        <v>5</v>
      </c>
      <c r="C1355">
        <v>7</v>
      </c>
      <c r="D1355" s="1">
        <v>44183</v>
      </c>
      <c r="E1355" s="59" t="str" cm="1">
        <f t="array" ref="E135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355" t="s">
        <v>1104</v>
      </c>
      <c r="G1355" s="3">
        <v>16613649</v>
      </c>
      <c r="H1355" t="s">
        <v>1105</v>
      </c>
      <c r="I1355" s="4">
        <v>222627</v>
      </c>
      <c r="J1355" t="s">
        <v>1106</v>
      </c>
      <c r="K1355" s="1">
        <v>23669</v>
      </c>
      <c r="L1355">
        <v>58</v>
      </c>
      <c r="M1355" s="2" t="str">
        <f>IF(Spotify[[#This Row],[Energie]]&gt;AVERAGE(Spotify[Energie]),"FORTE","FAIBLE")</f>
        <v>FAIBLE</v>
      </c>
      <c r="N1355" s="2">
        <v>0.58899999999999997</v>
      </c>
      <c r="O1355" s="2">
        <v>0.47199999999999998</v>
      </c>
      <c r="P1355" s="2">
        <v>5.0200000000000002E-2</v>
      </c>
      <c r="Q1355" s="2">
        <v>0.61399999999999999</v>
      </c>
      <c r="R1355" s="2">
        <v>0.505</v>
      </c>
      <c r="S1355" s="2">
        <v>0.89800000000000002</v>
      </c>
      <c r="T1355" s="2">
        <v>-8.7490000000000006</v>
      </c>
      <c r="U1355">
        <v>126267</v>
      </c>
      <c r="V1355">
        <f>YEAR(Spotify[[#This Row],[Date de sortie]])</f>
        <v>1964</v>
      </c>
      <c r="W1355" s="2" t="str">
        <f>IF(Spotify[[#This Row],[Popularité]]&gt;=70,"FORTE","FAIBLE")</f>
        <v>FAIBLE</v>
      </c>
    </row>
    <row r="1356" spans="1:23" x14ac:dyDescent="0.25">
      <c r="A1356">
        <v>1329</v>
      </c>
      <c r="B1356">
        <v>60</v>
      </c>
      <c r="C1356">
        <v>1</v>
      </c>
      <c r="D1356" s="1">
        <v>43896</v>
      </c>
      <c r="E1356" s="59" t="str" cm="1">
        <f t="array" ref="E135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356" t="s">
        <v>2142</v>
      </c>
      <c r="G1356" s="3">
        <v>10484727</v>
      </c>
      <c r="H1356" t="s">
        <v>1780</v>
      </c>
      <c r="I1356" s="4">
        <v>11821805</v>
      </c>
      <c r="J1356" t="s">
        <v>235</v>
      </c>
      <c r="K1356" s="1">
        <v>43896</v>
      </c>
      <c r="L1356">
        <v>58</v>
      </c>
      <c r="M1356" s="2" t="str">
        <f>IF(Spotify[[#This Row],[Energie]]&gt;AVERAGE(Spotify[Energie]),"FORTE","FAIBLE")</f>
        <v>FAIBLE</v>
      </c>
      <c r="N1356" s="2">
        <v>0.74099999999999999</v>
      </c>
      <c r="O1356" s="2">
        <v>0.59899999999999998</v>
      </c>
      <c r="P1356" s="2">
        <v>0.41899999999999998</v>
      </c>
      <c r="Q1356" s="2">
        <v>9.6100000000000005E-3</v>
      </c>
      <c r="R1356" s="2">
        <v>0.78500000000000003</v>
      </c>
      <c r="S1356" s="2">
        <v>0.27600000000000002</v>
      </c>
      <c r="T1356" s="2">
        <v>-6.6719999999999997</v>
      </c>
      <c r="U1356">
        <v>227474</v>
      </c>
      <c r="V1356">
        <f>YEAR(Spotify[[#This Row],[Date de sortie]])</f>
        <v>2020</v>
      </c>
      <c r="W1356" s="2" t="str">
        <f>IF(Spotify[[#This Row],[Popularité]]&gt;=70,"FORTE","FAIBLE")</f>
        <v>FAIBLE</v>
      </c>
    </row>
    <row r="1357" spans="1:23" x14ac:dyDescent="0.25">
      <c r="A1357">
        <v>1203</v>
      </c>
      <c r="B1357">
        <v>70</v>
      </c>
      <c r="C1357">
        <v>1</v>
      </c>
      <c r="D1357" s="1">
        <v>43952</v>
      </c>
      <c r="E1357" s="59" t="str" cm="1">
        <f t="array" ref="E135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57" t="s">
        <v>1973</v>
      </c>
      <c r="G1357" s="3">
        <v>8285754</v>
      </c>
      <c r="H1357" t="s">
        <v>179</v>
      </c>
      <c r="I1357" s="4">
        <v>56327031</v>
      </c>
      <c r="J1357" t="s">
        <v>155</v>
      </c>
      <c r="K1357" s="1">
        <v>43952</v>
      </c>
      <c r="L1357">
        <v>58</v>
      </c>
      <c r="M1357" s="2" t="str">
        <f>IF(Spotify[[#This Row],[Energie]]&gt;AVERAGE(Spotify[Energie]),"FORTE","FAIBLE")</f>
        <v>FORTE</v>
      </c>
      <c r="N1357" s="2">
        <v>0.47299999999999998</v>
      </c>
      <c r="O1357" s="2">
        <v>0.82399999999999995</v>
      </c>
      <c r="P1357" s="2">
        <v>0.16300000000000001</v>
      </c>
      <c r="Q1357" s="2">
        <v>0.48199999999999998</v>
      </c>
      <c r="R1357" s="2">
        <v>0.60499999999999998</v>
      </c>
      <c r="S1357" s="2">
        <v>0.374</v>
      </c>
      <c r="T1357" s="2">
        <v>-3.68</v>
      </c>
      <c r="U1357">
        <v>222929</v>
      </c>
      <c r="V1357">
        <f>YEAR(Spotify[[#This Row],[Date de sortie]])</f>
        <v>2020</v>
      </c>
      <c r="W1357" s="2" t="str">
        <f>IF(Spotify[[#This Row],[Popularité]]&gt;=70,"FORTE","FAIBLE")</f>
        <v>FAIBLE</v>
      </c>
    </row>
    <row r="1358" spans="1:23" x14ac:dyDescent="0.25">
      <c r="A1358">
        <v>1131</v>
      </c>
      <c r="B1358">
        <v>74</v>
      </c>
      <c r="C1358">
        <v>1</v>
      </c>
      <c r="D1358" s="1">
        <v>43980</v>
      </c>
      <c r="E1358" s="59" t="str" cm="1">
        <f t="array" ref="E135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358" t="s">
        <v>1873</v>
      </c>
      <c r="G1358" s="3">
        <v>7907329</v>
      </c>
      <c r="H1358" t="s">
        <v>607</v>
      </c>
      <c r="I1358" s="4">
        <v>18585963</v>
      </c>
      <c r="J1358" t="s">
        <v>19</v>
      </c>
      <c r="K1358" s="1">
        <v>43980</v>
      </c>
      <c r="L1358">
        <v>58</v>
      </c>
      <c r="M1358" s="2" t="str">
        <f>IF(Spotify[[#This Row],[Energie]]&gt;AVERAGE(Spotify[Energie]),"FORTE","FAIBLE")</f>
        <v>FORTE</v>
      </c>
      <c r="N1358" s="2">
        <v>0.64500000000000002</v>
      </c>
      <c r="O1358" s="2">
        <v>0.92300000000000004</v>
      </c>
      <c r="P1358" s="2">
        <v>7.2499999999999995E-2</v>
      </c>
      <c r="Q1358" s="2">
        <v>0.36399999999999999</v>
      </c>
      <c r="R1358" s="2">
        <v>0.14000000000000001</v>
      </c>
      <c r="S1358" s="2">
        <v>0.32300000000000001</v>
      </c>
      <c r="T1358" s="2">
        <v>-4.2619999999999996</v>
      </c>
      <c r="U1358">
        <v>173427</v>
      </c>
      <c r="V1358">
        <f>YEAR(Spotify[[#This Row],[Date de sortie]])</f>
        <v>2020</v>
      </c>
      <c r="W1358" s="2" t="str">
        <f>IF(Spotify[[#This Row],[Popularité]]&gt;=70,"FORTE","FAIBLE")</f>
        <v>FAIBLE</v>
      </c>
    </row>
    <row r="1359" spans="1:23" x14ac:dyDescent="0.25">
      <c r="A1359">
        <v>1409</v>
      </c>
      <c r="B1359">
        <v>85</v>
      </c>
      <c r="C1359">
        <v>1</v>
      </c>
      <c r="D1359" s="1">
        <v>43875</v>
      </c>
      <c r="E1359" s="59" t="str" cm="1">
        <f t="array" ref="E135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359" t="s">
        <v>2250</v>
      </c>
      <c r="G1359" s="3">
        <v>7493188</v>
      </c>
      <c r="H1359" t="s">
        <v>35</v>
      </c>
      <c r="I1359" s="4">
        <v>48544923</v>
      </c>
      <c r="J1359" t="s">
        <v>36</v>
      </c>
      <c r="K1359" s="1">
        <v>43875</v>
      </c>
      <c r="L1359">
        <v>58</v>
      </c>
      <c r="M1359" s="2" t="str">
        <f>IF(Spotify[[#This Row],[Energie]]&gt;AVERAGE(Spotify[Energie]),"FORTE","FAIBLE")</f>
        <v>FAIBLE</v>
      </c>
      <c r="N1359" s="2">
        <v>0.77400000000000002</v>
      </c>
      <c r="O1359" s="2">
        <v>0.60299999999999998</v>
      </c>
      <c r="P1359" s="2">
        <v>5.91E-2</v>
      </c>
      <c r="Q1359" s="2">
        <v>0.438</v>
      </c>
      <c r="R1359" s="2">
        <v>8.6900000000000005E-2</v>
      </c>
      <c r="S1359" s="2">
        <v>0.97699999999999998</v>
      </c>
      <c r="T1359" s="2">
        <v>-7.319</v>
      </c>
      <c r="U1359">
        <v>179627</v>
      </c>
      <c r="V1359">
        <f>YEAR(Spotify[[#This Row],[Date de sortie]])</f>
        <v>2020</v>
      </c>
      <c r="W1359" s="2" t="str">
        <f>IF(Spotify[[#This Row],[Popularité]]&gt;=70,"FORTE","FAIBLE")</f>
        <v>FAIBLE</v>
      </c>
    </row>
    <row r="1360" spans="1:23" x14ac:dyDescent="0.25">
      <c r="A1360">
        <v>1410</v>
      </c>
      <c r="B1360">
        <v>86</v>
      </c>
      <c r="C1360">
        <v>1</v>
      </c>
      <c r="D1360" s="1">
        <v>43875</v>
      </c>
      <c r="E1360" s="59" t="str" cm="1">
        <f t="array" ref="E136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360" t="s">
        <v>2251</v>
      </c>
      <c r="G1360" s="3">
        <v>7473249</v>
      </c>
      <c r="H1360" t="s">
        <v>35</v>
      </c>
      <c r="I1360" s="4">
        <v>48544923</v>
      </c>
      <c r="J1360" t="s">
        <v>36</v>
      </c>
      <c r="K1360" s="1">
        <v>43875</v>
      </c>
      <c r="L1360">
        <v>58</v>
      </c>
      <c r="M1360" s="2" t="str">
        <f>IF(Spotify[[#This Row],[Energie]]&gt;AVERAGE(Spotify[Energie]),"FORTE","FAIBLE")</f>
        <v>FAIBLE</v>
      </c>
      <c r="N1360" s="2">
        <v>0.70199999999999996</v>
      </c>
      <c r="O1360" s="2">
        <v>0.60799999999999998</v>
      </c>
      <c r="P1360" s="2">
        <v>3.5900000000000001E-2</v>
      </c>
      <c r="Q1360" s="2">
        <v>7.3599999999999999E-2</v>
      </c>
      <c r="R1360" s="2">
        <v>0.129</v>
      </c>
      <c r="S1360" s="2">
        <v>0.59699999999999998</v>
      </c>
      <c r="T1360" s="2">
        <v>-6.843</v>
      </c>
      <c r="U1360">
        <v>195333</v>
      </c>
      <c r="V1360">
        <f>YEAR(Spotify[[#This Row],[Date de sortie]])</f>
        <v>2020</v>
      </c>
      <c r="W1360" s="2" t="str">
        <f>IF(Spotify[[#This Row],[Popularité]]&gt;=70,"FORTE","FAIBLE")</f>
        <v>FAIBLE</v>
      </c>
    </row>
    <row r="1361" spans="1:23" x14ac:dyDescent="0.25">
      <c r="A1361">
        <v>1135</v>
      </c>
      <c r="B1361">
        <v>80</v>
      </c>
      <c r="C1361">
        <v>1</v>
      </c>
      <c r="D1361" s="1">
        <v>43980</v>
      </c>
      <c r="E1361" s="59" t="str" cm="1">
        <f t="array" ref="E136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361" t="s">
        <v>1877</v>
      </c>
      <c r="G1361" s="3">
        <v>7451452</v>
      </c>
      <c r="H1361" t="s">
        <v>607</v>
      </c>
      <c r="I1361" s="4">
        <v>18585963</v>
      </c>
      <c r="J1361" t="s">
        <v>19</v>
      </c>
      <c r="K1361" s="1">
        <v>43980</v>
      </c>
      <c r="L1361">
        <v>58</v>
      </c>
      <c r="M1361" s="2" t="str">
        <f>IF(Spotify[[#This Row],[Energie]]&gt;AVERAGE(Spotify[Energie]),"FORTE","FAIBLE")</f>
        <v>FORTE</v>
      </c>
      <c r="N1361" s="2">
        <v>0.74299999999999999</v>
      </c>
      <c r="O1361" s="2">
        <v>0.85299999999999998</v>
      </c>
      <c r="P1361" s="2">
        <v>0.04</v>
      </c>
      <c r="Q1361" s="2">
        <v>1.9E-3</v>
      </c>
      <c r="R1361" s="2">
        <v>8.72E-2</v>
      </c>
      <c r="S1361" s="2">
        <v>0.42199999999999999</v>
      </c>
      <c r="T1361" s="2">
        <v>-4.8419999999999996</v>
      </c>
      <c r="U1361">
        <v>221667</v>
      </c>
      <c r="V1361">
        <f>YEAR(Spotify[[#This Row],[Date de sortie]])</f>
        <v>2020</v>
      </c>
      <c r="W1361" s="2" t="str">
        <f>IF(Spotify[[#This Row],[Popularité]]&gt;=70,"FORTE","FAIBLE")</f>
        <v>FAIBLE</v>
      </c>
    </row>
    <row r="1362" spans="1:23" x14ac:dyDescent="0.25">
      <c r="A1362">
        <v>1136</v>
      </c>
      <c r="B1362">
        <v>87</v>
      </c>
      <c r="C1362">
        <v>1</v>
      </c>
      <c r="D1362" s="1">
        <v>43980</v>
      </c>
      <c r="E1362" s="59" t="str" cm="1">
        <f t="array" ref="E136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362" t="s">
        <v>1878</v>
      </c>
      <c r="G1362" s="3">
        <v>7136521</v>
      </c>
      <c r="H1362" t="s">
        <v>607</v>
      </c>
      <c r="I1362" s="4">
        <v>18585963</v>
      </c>
      <c r="J1362" t="s">
        <v>19</v>
      </c>
      <c r="K1362" s="1">
        <v>43980</v>
      </c>
      <c r="L1362">
        <v>58</v>
      </c>
      <c r="M1362" s="2" t="str">
        <f>IF(Spotify[[#This Row],[Energie]]&gt;AVERAGE(Spotify[Energie]),"FORTE","FAIBLE")</f>
        <v>FAIBLE</v>
      </c>
      <c r="N1362" s="2">
        <v>0.184</v>
      </c>
      <c r="O1362" s="2">
        <v>0.29699999999999999</v>
      </c>
      <c r="P1362" s="2">
        <v>3.5900000000000001E-2</v>
      </c>
      <c r="Q1362" s="2">
        <v>0.47299999999999998</v>
      </c>
      <c r="R1362" s="2">
        <v>0.52700000000000002</v>
      </c>
      <c r="S1362" s="2">
        <v>0.113</v>
      </c>
      <c r="T1362" s="2">
        <v>-14.534000000000001</v>
      </c>
      <c r="U1362">
        <v>41867</v>
      </c>
      <c r="V1362">
        <f>YEAR(Spotify[[#This Row],[Date de sortie]])</f>
        <v>2020</v>
      </c>
      <c r="W1362" s="2" t="str">
        <f>IF(Spotify[[#This Row],[Popularité]]&gt;=70,"FORTE","FAIBLE")</f>
        <v>FAIBLE</v>
      </c>
    </row>
    <row r="1363" spans="1:23" x14ac:dyDescent="0.25">
      <c r="A1363">
        <v>1032</v>
      </c>
      <c r="B1363">
        <v>113</v>
      </c>
      <c r="C1363">
        <v>1</v>
      </c>
      <c r="D1363" s="1">
        <v>44022</v>
      </c>
      <c r="E1363" s="59" t="str" cm="1">
        <f t="array" ref="E136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363" t="s">
        <v>1730</v>
      </c>
      <c r="G1363" s="3">
        <v>6640728</v>
      </c>
      <c r="H1363" t="s">
        <v>345</v>
      </c>
      <c r="I1363" s="4">
        <v>19102888</v>
      </c>
      <c r="J1363" t="s">
        <v>79</v>
      </c>
      <c r="K1363" s="1">
        <v>44022</v>
      </c>
      <c r="L1363">
        <v>58</v>
      </c>
      <c r="M1363" s="2" t="str">
        <f>IF(Spotify[[#This Row],[Energie]]&gt;AVERAGE(Spotify[Energie]),"FORTE","FAIBLE")</f>
        <v>FAIBLE</v>
      </c>
      <c r="N1363" s="2">
        <v>0.66700000000000004</v>
      </c>
      <c r="O1363" s="2">
        <v>0.44700000000000001</v>
      </c>
      <c r="P1363" s="2">
        <v>0.76100000000000001</v>
      </c>
      <c r="Q1363" s="2">
        <v>0.91600000000000004</v>
      </c>
      <c r="R1363" s="2">
        <v>0.61199999999999999</v>
      </c>
      <c r="S1363" s="2">
        <v>0.82899999999999996</v>
      </c>
      <c r="T1363" s="2">
        <v>-14.625</v>
      </c>
      <c r="U1363">
        <v>136545</v>
      </c>
      <c r="V1363">
        <f>YEAR(Spotify[[#This Row],[Date de sortie]])</f>
        <v>2020</v>
      </c>
      <c r="W1363" s="2" t="str">
        <f>IF(Spotify[[#This Row],[Popularité]]&gt;=70,"FORTE","FAIBLE")</f>
        <v>FAIBLE</v>
      </c>
    </row>
    <row r="1364" spans="1:23" x14ac:dyDescent="0.25">
      <c r="A1364">
        <v>1138</v>
      </c>
      <c r="B1364">
        <v>93</v>
      </c>
      <c r="C1364">
        <v>1</v>
      </c>
      <c r="D1364" s="1">
        <v>43980</v>
      </c>
      <c r="E1364" s="59" t="str" cm="1">
        <f t="array" ref="E136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364" t="s">
        <v>1880</v>
      </c>
      <c r="G1364" s="3">
        <v>6630385</v>
      </c>
      <c r="H1364" t="s">
        <v>607</v>
      </c>
      <c r="I1364" s="4">
        <v>18585963</v>
      </c>
      <c r="J1364" t="s">
        <v>19</v>
      </c>
      <c r="K1364" s="1">
        <v>43980</v>
      </c>
      <c r="L1364">
        <v>58</v>
      </c>
      <c r="M1364" s="2" t="str">
        <f>IF(Spotify[[#This Row],[Energie]]&gt;AVERAGE(Spotify[Energie]),"FORTE","FAIBLE")</f>
        <v>FAIBLE</v>
      </c>
      <c r="N1364" s="2">
        <v>0.184</v>
      </c>
      <c r="O1364" s="2">
        <v>0.29699999999999999</v>
      </c>
      <c r="P1364" s="2">
        <v>3.5900000000000001E-2</v>
      </c>
      <c r="Q1364" s="2">
        <v>0.47299999999999998</v>
      </c>
      <c r="R1364" s="2">
        <v>0.52700000000000002</v>
      </c>
      <c r="S1364" s="2">
        <v>0.113</v>
      </c>
      <c r="T1364" s="2">
        <v>-14.534000000000001</v>
      </c>
      <c r="U1364">
        <v>41867</v>
      </c>
      <c r="V1364">
        <f>YEAR(Spotify[[#This Row],[Date de sortie]])</f>
        <v>2020</v>
      </c>
      <c r="W1364" s="2" t="str">
        <f>IF(Spotify[[#This Row],[Popularité]]&gt;=70,"FORTE","FAIBLE")</f>
        <v>FAIBLE</v>
      </c>
    </row>
    <row r="1365" spans="1:23" x14ac:dyDescent="0.25">
      <c r="A1365">
        <v>1413</v>
      </c>
      <c r="B1365">
        <v>116</v>
      </c>
      <c r="C1365">
        <v>1</v>
      </c>
      <c r="D1365" s="1">
        <v>43875</v>
      </c>
      <c r="E1365" s="59" t="str" cm="1">
        <f t="array" ref="E136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365" t="s">
        <v>2254</v>
      </c>
      <c r="G1365" s="3">
        <v>6520106</v>
      </c>
      <c r="H1365" t="s">
        <v>35</v>
      </c>
      <c r="I1365" s="4">
        <v>48544923</v>
      </c>
      <c r="J1365" t="s">
        <v>36</v>
      </c>
      <c r="K1365" s="1">
        <v>43875</v>
      </c>
      <c r="L1365">
        <v>58</v>
      </c>
      <c r="M1365" s="2" t="str">
        <f>IF(Spotify[[#This Row],[Energie]]&gt;AVERAGE(Spotify[Energie]),"FORTE","FAIBLE")</f>
        <v>FAIBLE</v>
      </c>
      <c r="N1365" s="2">
        <v>0.438</v>
      </c>
      <c r="O1365" s="2">
        <v>0.315</v>
      </c>
      <c r="P1365" s="2">
        <v>3.7499999999999999E-2</v>
      </c>
      <c r="Q1365" s="2">
        <v>0.60799999999999998</v>
      </c>
      <c r="R1365" s="2">
        <v>0.151</v>
      </c>
      <c r="S1365" s="2">
        <v>0.44900000000000001</v>
      </c>
      <c r="T1365" s="2">
        <v>-8.1859999999999999</v>
      </c>
      <c r="U1365">
        <v>170587</v>
      </c>
      <c r="V1365">
        <f>YEAR(Spotify[[#This Row],[Date de sortie]])</f>
        <v>2020</v>
      </c>
      <c r="W1365" s="2" t="str">
        <f>IF(Spotify[[#This Row],[Popularité]]&gt;=70,"FORTE","FAIBLE")</f>
        <v>FAIBLE</v>
      </c>
    </row>
    <row r="1366" spans="1:23" x14ac:dyDescent="0.25">
      <c r="A1366">
        <v>1139</v>
      </c>
      <c r="B1366">
        <v>106</v>
      </c>
      <c r="C1366">
        <v>1</v>
      </c>
      <c r="D1366" s="1">
        <v>43980</v>
      </c>
      <c r="E1366" s="59" t="str" cm="1">
        <f t="array" ref="E136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366" t="s">
        <v>1881</v>
      </c>
      <c r="G1366" s="3">
        <v>6069544</v>
      </c>
      <c r="H1366" t="s">
        <v>607</v>
      </c>
      <c r="I1366" s="4">
        <v>18585963</v>
      </c>
      <c r="J1366" t="s">
        <v>19</v>
      </c>
      <c r="K1366" s="1">
        <v>43980</v>
      </c>
      <c r="L1366">
        <v>58</v>
      </c>
      <c r="M1366" s="2" t="str">
        <f>IF(Spotify[[#This Row],[Energie]]&gt;AVERAGE(Spotify[Energie]),"FORTE","FAIBLE")</f>
        <v>FORTE</v>
      </c>
      <c r="N1366" s="2">
        <v>0.66800000000000004</v>
      </c>
      <c r="O1366" s="2">
        <v>0.82599999999999996</v>
      </c>
      <c r="P1366" s="2">
        <v>3.8300000000000001E-2</v>
      </c>
      <c r="Q1366" s="2">
        <v>2.3599999999999999E-2</v>
      </c>
      <c r="R1366" s="2">
        <v>0.47399999999999998</v>
      </c>
      <c r="S1366" s="2">
        <v>0.38800000000000001</v>
      </c>
      <c r="T1366" s="2">
        <v>-4.4660000000000002</v>
      </c>
      <c r="U1366">
        <v>215480</v>
      </c>
      <c r="V1366">
        <f>YEAR(Spotify[[#This Row],[Date de sortie]])</f>
        <v>2020</v>
      </c>
      <c r="W1366" s="2" t="str">
        <f>IF(Spotify[[#This Row],[Popularité]]&gt;=70,"FORTE","FAIBLE")</f>
        <v>FAIBLE</v>
      </c>
    </row>
    <row r="1367" spans="1:23" x14ac:dyDescent="0.25">
      <c r="A1367">
        <v>1303</v>
      </c>
      <c r="B1367">
        <v>126</v>
      </c>
      <c r="C1367">
        <v>1</v>
      </c>
      <c r="D1367" s="1">
        <v>43903</v>
      </c>
      <c r="E1367" s="59" t="str" cm="1">
        <f t="array" ref="E136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367" t="s">
        <v>2110</v>
      </c>
      <c r="G1367" s="3">
        <v>6017103</v>
      </c>
      <c r="H1367" t="s">
        <v>1780</v>
      </c>
      <c r="I1367" s="4">
        <v>11821805</v>
      </c>
      <c r="J1367" t="s">
        <v>235</v>
      </c>
      <c r="K1367" s="1">
        <v>43903</v>
      </c>
      <c r="L1367">
        <v>58</v>
      </c>
      <c r="M1367" s="2" t="str">
        <f>IF(Spotify[[#This Row],[Energie]]&gt;AVERAGE(Spotify[Energie]),"FORTE","FAIBLE")</f>
        <v>FORTE</v>
      </c>
      <c r="N1367" s="2">
        <v>0.80200000000000005</v>
      </c>
      <c r="O1367" s="2">
        <v>0.748</v>
      </c>
      <c r="P1367" s="2">
        <v>0.20699999999999999</v>
      </c>
      <c r="Q1367" s="2">
        <v>0.24</v>
      </c>
      <c r="R1367" s="2">
        <v>0.16500000000000001</v>
      </c>
      <c r="S1367" s="2">
        <v>0.51600000000000001</v>
      </c>
      <c r="T1367" s="2">
        <v>-5.7080000000000002</v>
      </c>
      <c r="U1367">
        <v>193861</v>
      </c>
      <c r="V1367">
        <f>YEAR(Spotify[[#This Row],[Date de sortie]])</f>
        <v>2020</v>
      </c>
      <c r="W1367" s="2" t="str">
        <f>IF(Spotify[[#This Row],[Popularité]]&gt;=70,"FORTE","FAIBLE")</f>
        <v>FAIBLE</v>
      </c>
    </row>
    <row r="1368" spans="1:23" x14ac:dyDescent="0.25">
      <c r="A1368">
        <v>1415</v>
      </c>
      <c r="B1368">
        <v>135</v>
      </c>
      <c r="C1368">
        <v>1</v>
      </c>
      <c r="D1368" s="1">
        <v>43875</v>
      </c>
      <c r="E1368" s="59" t="str" cm="1">
        <f t="array" ref="E136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368" t="s">
        <v>2256</v>
      </c>
      <c r="G1368" s="3">
        <v>6008945</v>
      </c>
      <c r="H1368" t="s">
        <v>35</v>
      </c>
      <c r="I1368" s="4">
        <v>48544923</v>
      </c>
      <c r="J1368" t="s">
        <v>36</v>
      </c>
      <c r="K1368" s="1">
        <v>43875</v>
      </c>
      <c r="L1368">
        <v>58</v>
      </c>
      <c r="M1368" s="2" t="str">
        <f>IF(Spotify[[#This Row],[Energie]]&gt;AVERAGE(Spotify[Energie]),"FORTE","FAIBLE")</f>
        <v>FAIBLE</v>
      </c>
      <c r="N1368" s="2">
        <v>0.46500000000000002</v>
      </c>
      <c r="O1368" s="2">
        <v>0.49399999999999999</v>
      </c>
      <c r="P1368" s="2">
        <v>6.6000000000000003E-2</v>
      </c>
      <c r="Q1368" s="2">
        <v>0.49</v>
      </c>
      <c r="R1368" s="2">
        <v>0.127</v>
      </c>
      <c r="S1368" s="2">
        <v>0.45700000000000002</v>
      </c>
      <c r="T1368" s="2">
        <v>-7.5949999999999998</v>
      </c>
      <c r="U1368">
        <v>176733</v>
      </c>
      <c r="V1368">
        <f>YEAR(Spotify[[#This Row],[Date de sortie]])</f>
        <v>2020</v>
      </c>
      <c r="W1368" s="2" t="str">
        <f>IF(Spotify[[#This Row],[Popularité]]&gt;=70,"FORTE","FAIBLE")</f>
        <v>FAIBLE</v>
      </c>
    </row>
    <row r="1369" spans="1:23" x14ac:dyDescent="0.25">
      <c r="A1369">
        <v>1508</v>
      </c>
      <c r="B1369">
        <v>157</v>
      </c>
      <c r="C1369">
        <v>1</v>
      </c>
      <c r="D1369" s="1">
        <v>43847</v>
      </c>
      <c r="E1369" s="59" t="str" cm="1">
        <f t="array" ref="E136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69" t="s">
        <v>2379</v>
      </c>
      <c r="G1369" s="3">
        <v>5934464</v>
      </c>
      <c r="H1369" t="s">
        <v>2268</v>
      </c>
      <c r="I1369" s="4">
        <v>6189454</v>
      </c>
      <c r="J1369" t="s">
        <v>426</v>
      </c>
      <c r="K1369" s="1">
        <v>43847</v>
      </c>
      <c r="L1369">
        <v>58</v>
      </c>
      <c r="M1369" s="2" t="str">
        <f>IF(Spotify[[#This Row],[Energie]]&gt;AVERAGE(Spotify[Energie]),"FORTE","FAIBLE")</f>
        <v>FAIBLE</v>
      </c>
      <c r="N1369" s="2">
        <v>0.73899999999999999</v>
      </c>
      <c r="O1369" s="2">
        <v>0.627</v>
      </c>
      <c r="P1369" s="2">
        <v>0.17100000000000001</v>
      </c>
      <c r="Q1369" s="2">
        <v>4.5900000000000003E-2</v>
      </c>
      <c r="R1369" s="2">
        <v>0.159</v>
      </c>
      <c r="S1369" s="2">
        <v>0.54200000000000004</v>
      </c>
      <c r="T1369" s="2">
        <v>-8.6080000000000005</v>
      </c>
      <c r="U1369">
        <v>199981</v>
      </c>
      <c r="V1369">
        <f>YEAR(Spotify[[#This Row],[Date de sortie]])</f>
        <v>2020</v>
      </c>
      <c r="W1369" s="2" t="str">
        <f>IF(Spotify[[#This Row],[Popularité]]&gt;=70,"FORTE","FAIBLE")</f>
        <v>FAIBLE</v>
      </c>
    </row>
    <row r="1370" spans="1:23" x14ac:dyDescent="0.25">
      <c r="A1370">
        <v>1311</v>
      </c>
      <c r="B1370">
        <v>158</v>
      </c>
      <c r="C1370">
        <v>1</v>
      </c>
      <c r="D1370" s="1">
        <v>43903</v>
      </c>
      <c r="E1370" s="59" t="str" cm="1">
        <f t="array" ref="E137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370" t="s">
        <v>2121</v>
      </c>
      <c r="G1370" s="3">
        <v>5324545</v>
      </c>
      <c r="H1370" t="s">
        <v>1780</v>
      </c>
      <c r="I1370" s="4">
        <v>11821805</v>
      </c>
      <c r="J1370" t="s">
        <v>235</v>
      </c>
      <c r="K1370" s="1">
        <v>43903</v>
      </c>
      <c r="L1370">
        <v>58</v>
      </c>
      <c r="M1370" s="2" t="str">
        <f>IF(Spotify[[#This Row],[Energie]]&gt;AVERAGE(Spotify[Energie]),"FORTE","FAIBLE")</f>
        <v>FORTE</v>
      </c>
      <c r="N1370" s="2">
        <v>0.86699999999999999</v>
      </c>
      <c r="O1370" s="2">
        <v>0.76800000000000002</v>
      </c>
      <c r="P1370" s="2">
        <v>7.9100000000000004E-2</v>
      </c>
      <c r="Q1370" s="2">
        <v>0.18</v>
      </c>
      <c r="R1370" s="2">
        <v>0.254</v>
      </c>
      <c r="S1370" s="2">
        <v>0.34</v>
      </c>
      <c r="T1370" s="2">
        <v>-3.73</v>
      </c>
      <c r="U1370">
        <v>181826</v>
      </c>
      <c r="V1370">
        <f>YEAR(Spotify[[#This Row],[Date de sortie]])</f>
        <v>2020</v>
      </c>
      <c r="W1370" s="2" t="str">
        <f>IF(Spotify[[#This Row],[Popularité]]&gt;=70,"FORTE","FAIBLE")</f>
        <v>FAIBLE</v>
      </c>
    </row>
    <row r="1371" spans="1:23" x14ac:dyDescent="0.25">
      <c r="A1371">
        <v>1525</v>
      </c>
      <c r="B1371">
        <v>187</v>
      </c>
      <c r="C1371">
        <v>1</v>
      </c>
      <c r="D1371" s="1">
        <v>43840</v>
      </c>
      <c r="E1371" s="59" t="str" cm="1">
        <f t="array" ref="E137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371" t="s">
        <v>2399</v>
      </c>
      <c r="G1371" s="3">
        <v>4981484</v>
      </c>
      <c r="H1371" t="s">
        <v>134</v>
      </c>
      <c r="I1371" s="4">
        <v>4794212</v>
      </c>
      <c r="J1371" t="s">
        <v>135</v>
      </c>
      <c r="K1371" s="1">
        <v>43840</v>
      </c>
      <c r="L1371">
        <v>58</v>
      </c>
      <c r="M1371" s="2" t="str">
        <f>IF(Spotify[[#This Row],[Energie]]&gt;AVERAGE(Spotify[Energie]),"FORTE","FAIBLE")</f>
        <v>FORTE</v>
      </c>
      <c r="N1371" s="2">
        <v>0.78500000000000003</v>
      </c>
      <c r="O1371" s="2">
        <v>0.753</v>
      </c>
      <c r="P1371" s="2">
        <v>8.7300000000000003E-2</v>
      </c>
      <c r="Q1371" s="2">
        <v>0.188</v>
      </c>
      <c r="R1371" s="2">
        <v>0.26500000000000001</v>
      </c>
      <c r="S1371" s="2">
        <v>0.48799999999999999</v>
      </c>
      <c r="T1371" s="2">
        <v>-3.8410000000000002</v>
      </c>
      <c r="U1371">
        <v>199301</v>
      </c>
      <c r="V1371">
        <f>YEAR(Spotify[[#This Row],[Date de sortie]])</f>
        <v>2020</v>
      </c>
      <c r="W1371" s="2" t="str">
        <f>IF(Spotify[[#This Row],[Popularité]]&gt;=70,"FORTE","FAIBLE")</f>
        <v>FAIBLE</v>
      </c>
    </row>
    <row r="1372" spans="1:23" x14ac:dyDescent="0.25">
      <c r="A1372">
        <v>1319</v>
      </c>
      <c r="B1372">
        <v>184</v>
      </c>
      <c r="C1372">
        <v>1</v>
      </c>
      <c r="D1372" s="1">
        <v>43903</v>
      </c>
      <c r="E1372" s="59" t="str" cm="1">
        <f t="array" ref="E137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372" t="s">
        <v>2131</v>
      </c>
      <c r="G1372" s="3">
        <v>4946997</v>
      </c>
      <c r="H1372" t="s">
        <v>1780</v>
      </c>
      <c r="I1372" s="4">
        <v>11821805</v>
      </c>
      <c r="J1372" t="s">
        <v>235</v>
      </c>
      <c r="K1372" s="1">
        <v>43903</v>
      </c>
      <c r="L1372">
        <v>58</v>
      </c>
      <c r="M1372" s="2" t="str">
        <f>IF(Spotify[[#This Row],[Energie]]&gt;AVERAGE(Spotify[Energie]),"FORTE","FAIBLE")</f>
        <v>FAIBLE</v>
      </c>
      <c r="N1372" s="2">
        <v>0.83699999999999997</v>
      </c>
      <c r="O1372" s="2">
        <v>0.60099999999999998</v>
      </c>
      <c r="P1372" s="2">
        <v>0.19800000000000001</v>
      </c>
      <c r="Q1372" s="2">
        <v>0.21</v>
      </c>
      <c r="R1372" s="2">
        <v>9.2799999999999994E-2</v>
      </c>
      <c r="S1372" s="2">
        <v>0.749</v>
      </c>
      <c r="T1372" s="2">
        <v>-5.6280000000000001</v>
      </c>
      <c r="U1372">
        <v>176756</v>
      </c>
      <c r="V1372">
        <f>YEAR(Spotify[[#This Row],[Date de sortie]])</f>
        <v>2020</v>
      </c>
      <c r="W1372" s="2" t="str">
        <f>IF(Spotify[[#This Row],[Popularité]]&gt;=70,"FORTE","FAIBLE")</f>
        <v>FAIBLE</v>
      </c>
    </row>
    <row r="1373" spans="1:23" x14ac:dyDescent="0.25">
      <c r="A1373">
        <v>1221</v>
      </c>
      <c r="B1373">
        <v>151</v>
      </c>
      <c r="C1373">
        <v>1</v>
      </c>
      <c r="D1373" s="1">
        <v>43945</v>
      </c>
      <c r="E1373" s="59" t="str" cm="1">
        <f t="array" ref="E137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73" t="s">
        <v>1996</v>
      </c>
      <c r="G1373" s="3">
        <v>4914429</v>
      </c>
      <c r="H1373" t="s">
        <v>421</v>
      </c>
      <c r="I1373" s="4">
        <v>2010879</v>
      </c>
      <c r="J1373" t="s">
        <v>217</v>
      </c>
      <c r="K1373" s="1">
        <v>43945</v>
      </c>
      <c r="L1373">
        <v>58</v>
      </c>
      <c r="M1373" s="2" t="str">
        <f>IF(Spotify[[#This Row],[Energie]]&gt;AVERAGE(Spotify[Energie]),"FORTE","FAIBLE")</f>
        <v>FAIBLE</v>
      </c>
      <c r="N1373" s="2">
        <v>0.57199999999999995</v>
      </c>
      <c r="O1373" s="2">
        <v>0.51900000000000002</v>
      </c>
      <c r="P1373" s="2">
        <v>0.24299999999999999</v>
      </c>
      <c r="Q1373" s="2">
        <v>4.15E-4</v>
      </c>
      <c r="R1373" s="2">
        <v>0.129</v>
      </c>
      <c r="S1373" s="2">
        <v>0.70399999999999996</v>
      </c>
      <c r="T1373" s="2">
        <v>-8.0540000000000003</v>
      </c>
      <c r="U1373">
        <v>169355</v>
      </c>
      <c r="V1373">
        <f>YEAR(Spotify[[#This Row],[Date de sortie]])</f>
        <v>2020</v>
      </c>
      <c r="W1373" s="2" t="str">
        <f>IF(Spotify[[#This Row],[Popularité]]&gt;=70,"FORTE","FAIBLE")</f>
        <v>FAIBLE</v>
      </c>
    </row>
    <row r="1374" spans="1:23" x14ac:dyDescent="0.25">
      <c r="A1374">
        <v>1187</v>
      </c>
      <c r="B1374">
        <v>69</v>
      </c>
      <c r="C1374">
        <v>2</v>
      </c>
      <c r="D1374" s="1">
        <v>43952</v>
      </c>
      <c r="E1374" s="59" t="str" cm="1">
        <f t="array" ref="E137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74" t="s">
        <v>1953</v>
      </c>
      <c r="G1374" s="3">
        <v>4912914</v>
      </c>
      <c r="H1374" t="s">
        <v>1954</v>
      </c>
      <c r="I1374" s="4">
        <v>4093115</v>
      </c>
      <c r="J1374" t="s">
        <v>206</v>
      </c>
      <c r="K1374" s="1">
        <v>43950</v>
      </c>
      <c r="L1374">
        <v>58</v>
      </c>
      <c r="M1374" s="2" t="str">
        <f>IF(Spotify[[#This Row],[Energie]]&gt;AVERAGE(Spotify[Energie]),"FORTE","FAIBLE")</f>
        <v>FORTE</v>
      </c>
      <c r="N1374" s="2">
        <v>0.71899999999999997</v>
      </c>
      <c r="O1374" s="2">
        <v>0.65</v>
      </c>
      <c r="P1374" s="2">
        <v>0.23200000000000001</v>
      </c>
      <c r="Q1374" s="2">
        <v>0.38100000000000001</v>
      </c>
      <c r="R1374" s="2">
        <v>0.16700000000000001</v>
      </c>
      <c r="S1374" s="2">
        <v>0.48799999999999999</v>
      </c>
      <c r="T1374" s="2">
        <v>-7.274</v>
      </c>
      <c r="U1374">
        <v>176953</v>
      </c>
      <c r="V1374">
        <f>YEAR(Spotify[[#This Row],[Date de sortie]])</f>
        <v>2020</v>
      </c>
      <c r="W1374" s="2" t="str">
        <f>IF(Spotify[[#This Row],[Popularité]]&gt;=70,"FORTE","FAIBLE")</f>
        <v>FAIBLE</v>
      </c>
    </row>
    <row r="1375" spans="1:23" x14ac:dyDescent="0.25">
      <c r="A1375">
        <v>1328</v>
      </c>
      <c r="B1375">
        <v>120</v>
      </c>
      <c r="C1375">
        <v>5</v>
      </c>
      <c r="D1375" s="1">
        <v>43861</v>
      </c>
      <c r="E1375" s="59" t="str" cm="1">
        <f t="array" ref="E137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375" t="s">
        <v>2140</v>
      </c>
      <c r="G1375" s="3">
        <v>4730891</v>
      </c>
      <c r="H1375" t="s">
        <v>2141</v>
      </c>
      <c r="I1375" s="4">
        <v>13312073</v>
      </c>
      <c r="J1375" t="s">
        <v>874</v>
      </c>
      <c r="K1375" s="1">
        <v>43861</v>
      </c>
      <c r="L1375">
        <v>58</v>
      </c>
      <c r="M1375" s="2" t="str">
        <f>IF(Spotify[[#This Row],[Energie]]&gt;AVERAGE(Spotify[Energie]),"FORTE","FAIBLE")</f>
        <v>FORTE</v>
      </c>
      <c r="N1375" s="2">
        <v>0.66800000000000004</v>
      </c>
      <c r="O1375" s="2">
        <v>0.68400000000000005</v>
      </c>
      <c r="P1375" s="2">
        <v>5.2699999999999997E-2</v>
      </c>
      <c r="Q1375" s="2">
        <v>0.627</v>
      </c>
      <c r="R1375" s="2">
        <v>0.92300000000000004</v>
      </c>
      <c r="S1375" s="2">
        <v>0.7</v>
      </c>
      <c r="T1375" s="2">
        <v>-5.9370000000000003</v>
      </c>
      <c r="U1375">
        <v>187986</v>
      </c>
      <c r="V1375">
        <f>YEAR(Spotify[[#This Row],[Date de sortie]])</f>
        <v>2020</v>
      </c>
      <c r="W1375" s="2" t="str">
        <f>IF(Spotify[[#This Row],[Popularité]]&gt;=70,"FORTE","FAIBLE")</f>
        <v>FAIBLE</v>
      </c>
    </row>
    <row r="1376" spans="1:23" x14ac:dyDescent="0.25">
      <c r="A1376">
        <v>973</v>
      </c>
      <c r="B1376">
        <v>180</v>
      </c>
      <c r="C1376">
        <v>1</v>
      </c>
      <c r="D1376" s="1">
        <v>44050</v>
      </c>
      <c r="E1376" s="59" t="str" cm="1">
        <f t="array" ref="E137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376" t="s">
        <v>1653</v>
      </c>
      <c r="G1376" s="3">
        <v>4625985</v>
      </c>
      <c r="H1376" t="s">
        <v>1532</v>
      </c>
      <c r="I1376" s="4">
        <v>6514102</v>
      </c>
      <c r="J1376" t="s">
        <v>557</v>
      </c>
      <c r="K1376" s="1">
        <v>44045</v>
      </c>
      <c r="L1376">
        <v>58</v>
      </c>
      <c r="M1376" s="2" t="str">
        <f>IF(Spotify[[#This Row],[Energie]]&gt;AVERAGE(Spotify[Energie]),"FORTE","FAIBLE")</f>
        <v>FAIBLE</v>
      </c>
      <c r="N1376" s="2">
        <v>0.84099999999999997</v>
      </c>
      <c r="O1376" s="2">
        <v>0.54100000000000004</v>
      </c>
      <c r="P1376" s="2">
        <v>0.22900000000000001</v>
      </c>
      <c r="Q1376" s="2">
        <v>1.8599999999999998E-2</v>
      </c>
      <c r="R1376" s="2">
        <v>0.123</v>
      </c>
      <c r="S1376" s="2">
        <v>0.42</v>
      </c>
      <c r="T1376" s="2">
        <v>-7.1210000000000004</v>
      </c>
      <c r="U1376">
        <v>115255</v>
      </c>
      <c r="V1376">
        <f>YEAR(Spotify[[#This Row],[Date de sortie]])</f>
        <v>2020</v>
      </c>
      <c r="W1376" s="2" t="str">
        <f>IF(Spotify[[#This Row],[Popularité]]&gt;=70,"FORTE","FAIBLE")</f>
        <v>FAIBLE</v>
      </c>
    </row>
    <row r="1377" spans="1:23" x14ac:dyDescent="0.25">
      <c r="A1377">
        <v>201</v>
      </c>
      <c r="B1377">
        <v>66</v>
      </c>
      <c r="C1377">
        <v>1</v>
      </c>
      <c r="D1377" s="1">
        <v>44393</v>
      </c>
      <c r="E1377" s="59" t="str" cm="1">
        <f t="array" ref="E137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377" t="s">
        <v>414</v>
      </c>
      <c r="G1377" s="3">
        <v>8859168</v>
      </c>
      <c r="H1377" t="s">
        <v>338</v>
      </c>
      <c r="I1377" s="4">
        <v>6837946</v>
      </c>
      <c r="J1377" t="s">
        <v>158</v>
      </c>
      <c r="K1377" s="1">
        <v>44408</v>
      </c>
      <c r="L1377">
        <v>57</v>
      </c>
      <c r="M1377" s="2" t="str">
        <f>IF(Spotify[[#This Row],[Energie]]&gt;AVERAGE(Spotify[Energie]),"FORTE","FAIBLE")</f>
        <v>FORTE</v>
      </c>
      <c r="N1377" s="2">
        <v>0.66200000000000003</v>
      </c>
      <c r="O1377" s="2">
        <v>0.68600000000000005</v>
      </c>
      <c r="P1377" s="2">
        <v>0.33200000000000002</v>
      </c>
      <c r="Q1377" s="2">
        <v>0.251</v>
      </c>
      <c r="R1377" s="2">
        <v>0.34899999999999998</v>
      </c>
      <c r="S1377" s="2">
        <v>0.67800000000000005</v>
      </c>
      <c r="T1377" s="2">
        <v>-8.3019999999999996</v>
      </c>
      <c r="U1377">
        <v>215000</v>
      </c>
      <c r="V1377">
        <f>YEAR(Spotify[[#This Row],[Date de sortie]])</f>
        <v>2021</v>
      </c>
      <c r="W1377" s="2" t="str">
        <f>IF(Spotify[[#This Row],[Popularité]]&gt;=70,"FORTE","FAIBLE")</f>
        <v>FAIBLE</v>
      </c>
    </row>
    <row r="1378" spans="1:23" x14ac:dyDescent="0.25">
      <c r="A1378">
        <v>1334</v>
      </c>
      <c r="B1378">
        <v>93</v>
      </c>
      <c r="C1378">
        <v>1</v>
      </c>
      <c r="D1378" s="1">
        <v>43896</v>
      </c>
      <c r="E1378" s="59" t="str" cm="1">
        <f t="array" ref="E137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378" t="s">
        <v>2147</v>
      </c>
      <c r="G1378" s="3">
        <v>8219307</v>
      </c>
      <c r="H1378" t="s">
        <v>1780</v>
      </c>
      <c r="I1378" s="4">
        <v>11821805</v>
      </c>
      <c r="J1378" t="s">
        <v>235</v>
      </c>
      <c r="K1378" s="1">
        <v>43896</v>
      </c>
      <c r="L1378">
        <v>57</v>
      </c>
      <c r="M1378" s="2" t="str">
        <f>IF(Spotify[[#This Row],[Energie]]&gt;AVERAGE(Spotify[Energie]),"FORTE","FAIBLE")</f>
        <v>FORTE</v>
      </c>
      <c r="N1378" s="2">
        <v>0.70199999999999996</v>
      </c>
      <c r="O1378" s="2">
        <v>0.76800000000000002</v>
      </c>
      <c r="P1378" s="2">
        <v>6.6900000000000001E-2</v>
      </c>
      <c r="Q1378" s="2">
        <v>0.54100000000000004</v>
      </c>
      <c r="R1378" s="2">
        <v>0.105</v>
      </c>
      <c r="S1378" s="2">
        <v>0.57399999999999995</v>
      </c>
      <c r="T1378" s="2">
        <v>-4.0549999999999997</v>
      </c>
      <c r="U1378">
        <v>212821</v>
      </c>
      <c r="V1378">
        <f>YEAR(Spotify[[#This Row],[Date de sortie]])</f>
        <v>2020</v>
      </c>
      <c r="W1378" s="2" t="str">
        <f>IF(Spotify[[#This Row],[Popularité]]&gt;=70,"FORTE","FAIBLE")</f>
        <v>FAIBLE</v>
      </c>
    </row>
    <row r="1379" spans="1:23" x14ac:dyDescent="0.25">
      <c r="A1379">
        <v>1500</v>
      </c>
      <c r="B1379">
        <v>100</v>
      </c>
      <c r="C1379">
        <v>1</v>
      </c>
      <c r="D1379" s="1">
        <v>43847</v>
      </c>
      <c r="E1379" s="59" t="str" cm="1">
        <f t="array" ref="E137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79" t="s">
        <v>2370</v>
      </c>
      <c r="G1379" s="3">
        <v>8030151</v>
      </c>
      <c r="H1379" t="s">
        <v>412</v>
      </c>
      <c r="I1379" s="4">
        <v>46814751</v>
      </c>
      <c r="J1379" t="s">
        <v>413</v>
      </c>
      <c r="K1379" s="1">
        <v>43847</v>
      </c>
      <c r="L1379">
        <v>57</v>
      </c>
      <c r="M1379" s="2" t="str">
        <f>IF(Spotify[[#This Row],[Energie]]&gt;AVERAGE(Spotify[Energie]),"FORTE","FAIBLE")</f>
        <v>FAIBLE</v>
      </c>
      <c r="N1379" s="2">
        <v>0.42899999999999999</v>
      </c>
      <c r="O1379" s="2">
        <v>0.23100000000000001</v>
      </c>
      <c r="P1379" s="2">
        <v>0.40200000000000002</v>
      </c>
      <c r="Q1379" s="2">
        <v>0.878</v>
      </c>
      <c r="R1379" s="2">
        <v>0.27900000000000003</v>
      </c>
      <c r="S1379" s="2">
        <v>0.91400000000000003</v>
      </c>
      <c r="T1379" s="2">
        <v>-20.43</v>
      </c>
      <c r="U1379">
        <v>30133</v>
      </c>
      <c r="V1379">
        <f>YEAR(Spotify[[#This Row],[Date de sortie]])</f>
        <v>2020</v>
      </c>
      <c r="W1379" s="2" t="str">
        <f>IF(Spotify[[#This Row],[Popularité]]&gt;=70,"FORTE","FAIBLE")</f>
        <v>FAIBLE</v>
      </c>
    </row>
    <row r="1380" spans="1:23" x14ac:dyDescent="0.25">
      <c r="A1380">
        <v>1335</v>
      </c>
      <c r="B1380">
        <v>102</v>
      </c>
      <c r="C1380">
        <v>1</v>
      </c>
      <c r="D1380" s="1">
        <v>43896</v>
      </c>
      <c r="E1380" s="59" t="str" cm="1">
        <f t="array" ref="E138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380" t="s">
        <v>2148</v>
      </c>
      <c r="G1380" s="3">
        <v>7828045</v>
      </c>
      <c r="H1380" t="s">
        <v>1780</v>
      </c>
      <c r="I1380" s="4">
        <v>11821805</v>
      </c>
      <c r="J1380" t="s">
        <v>235</v>
      </c>
      <c r="K1380" s="1">
        <v>43896</v>
      </c>
      <c r="L1380">
        <v>57</v>
      </c>
      <c r="M1380" s="2" t="str">
        <f>IF(Spotify[[#This Row],[Energie]]&gt;AVERAGE(Spotify[Energie]),"FORTE","FAIBLE")</f>
        <v>FORTE</v>
      </c>
      <c r="N1380" s="2">
        <v>0.73399999999999999</v>
      </c>
      <c r="O1380" s="2">
        <v>0.70299999999999996</v>
      </c>
      <c r="P1380" s="2">
        <v>0.35499999999999998</v>
      </c>
      <c r="Q1380" s="2">
        <v>0.23699999999999999</v>
      </c>
      <c r="R1380" s="2">
        <v>0.41299999999999998</v>
      </c>
      <c r="S1380" s="2">
        <v>0.60799999999999998</v>
      </c>
      <c r="T1380" s="2">
        <v>-6.2560000000000002</v>
      </c>
      <c r="U1380">
        <v>194452</v>
      </c>
      <c r="V1380">
        <f>YEAR(Spotify[[#This Row],[Date de sortie]])</f>
        <v>2020</v>
      </c>
      <c r="W1380" s="2" t="str">
        <f>IF(Spotify[[#This Row],[Popularité]]&gt;=70,"FORTE","FAIBLE")</f>
        <v>FAIBLE</v>
      </c>
    </row>
    <row r="1381" spans="1:23" x14ac:dyDescent="0.25">
      <c r="A1381">
        <v>1337</v>
      </c>
      <c r="B1381">
        <v>122</v>
      </c>
      <c r="C1381">
        <v>1</v>
      </c>
      <c r="D1381" s="1">
        <v>43896</v>
      </c>
      <c r="E1381" s="59" t="str" cm="1">
        <f t="array" ref="E138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381" t="s">
        <v>2152</v>
      </c>
      <c r="G1381" s="3">
        <v>7053947</v>
      </c>
      <c r="H1381" t="s">
        <v>1780</v>
      </c>
      <c r="I1381" s="4">
        <v>11821805</v>
      </c>
      <c r="J1381" t="s">
        <v>235</v>
      </c>
      <c r="K1381" s="1">
        <v>43896</v>
      </c>
      <c r="L1381">
        <v>57</v>
      </c>
      <c r="M1381" s="2" t="str">
        <f>IF(Spotify[[#This Row],[Energie]]&gt;AVERAGE(Spotify[Energie]),"FORTE","FAIBLE")</f>
        <v>FORTE</v>
      </c>
      <c r="N1381" s="2">
        <v>0.80300000000000005</v>
      </c>
      <c r="O1381" s="2">
        <v>0.71899999999999997</v>
      </c>
      <c r="P1381" s="2">
        <v>0.39200000000000002</v>
      </c>
      <c r="Q1381" s="2">
        <v>0.34399999999999997</v>
      </c>
      <c r="R1381" s="2">
        <v>0.42499999999999999</v>
      </c>
      <c r="S1381" s="2">
        <v>0.54900000000000004</v>
      </c>
      <c r="T1381" s="2">
        <v>-4.4850000000000003</v>
      </c>
      <c r="U1381">
        <v>238425</v>
      </c>
      <c r="V1381">
        <f>YEAR(Spotify[[#This Row],[Date de sortie]])</f>
        <v>2020</v>
      </c>
      <c r="W1381" s="2" t="str">
        <f>IF(Spotify[[#This Row],[Popularité]]&gt;=70,"FORTE","FAIBLE")</f>
        <v>FAIBLE</v>
      </c>
    </row>
    <row r="1382" spans="1:23" x14ac:dyDescent="0.25">
      <c r="A1382">
        <v>1206</v>
      </c>
      <c r="B1382">
        <v>89</v>
      </c>
      <c r="C1382">
        <v>1</v>
      </c>
      <c r="D1382" s="1">
        <v>43952</v>
      </c>
      <c r="E1382" s="59" t="str" cm="1">
        <f t="array" ref="E138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82" t="s">
        <v>1976</v>
      </c>
      <c r="G1382" s="3">
        <v>6894756</v>
      </c>
      <c r="H1382" t="s">
        <v>179</v>
      </c>
      <c r="I1382" s="4">
        <v>56327031</v>
      </c>
      <c r="J1382" t="s">
        <v>155</v>
      </c>
      <c r="K1382" s="1">
        <v>43952</v>
      </c>
      <c r="L1382">
        <v>57</v>
      </c>
      <c r="M1382" s="2" t="str">
        <f>IF(Spotify[[#This Row],[Energie]]&gt;AVERAGE(Spotify[Energie]),"FORTE","FAIBLE")</f>
        <v>FAIBLE</v>
      </c>
      <c r="N1382" s="2">
        <v>0.55100000000000005</v>
      </c>
      <c r="O1382" s="2">
        <v>0.56999999999999995</v>
      </c>
      <c r="P1382" s="2">
        <v>0.35099999999999998</v>
      </c>
      <c r="Q1382" s="2">
        <v>0.28000000000000003</v>
      </c>
      <c r="R1382" s="2">
        <v>0.42399999999999999</v>
      </c>
      <c r="S1382" s="2">
        <v>0.505</v>
      </c>
      <c r="T1382" s="2">
        <v>-7.3849999999999998</v>
      </c>
      <c r="U1382">
        <v>271184</v>
      </c>
      <c r="V1382">
        <f>YEAR(Spotify[[#This Row],[Date de sortie]])</f>
        <v>2020</v>
      </c>
      <c r="W1382" s="2" t="str">
        <f>IF(Spotify[[#This Row],[Popularité]]&gt;=70,"FORTE","FAIBLE")</f>
        <v>FAIBLE</v>
      </c>
    </row>
    <row r="1383" spans="1:23" x14ac:dyDescent="0.25">
      <c r="A1383">
        <v>710</v>
      </c>
      <c r="B1383">
        <v>152</v>
      </c>
      <c r="C1383">
        <v>1</v>
      </c>
      <c r="D1383" s="1">
        <v>44176</v>
      </c>
      <c r="E1383" s="59" t="str" cm="1">
        <f t="array" ref="E138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83" t="s">
        <v>1252</v>
      </c>
      <c r="G1383" s="3">
        <v>6763705</v>
      </c>
      <c r="H1383" t="s">
        <v>1092</v>
      </c>
      <c r="I1383" s="4">
        <v>5002317</v>
      </c>
      <c r="J1383" t="s">
        <v>426</v>
      </c>
      <c r="K1383" s="1">
        <v>44176</v>
      </c>
      <c r="L1383">
        <v>57</v>
      </c>
      <c r="M1383" s="2" t="str">
        <f>IF(Spotify[[#This Row],[Energie]]&gt;AVERAGE(Spotify[Energie]),"FORTE","FAIBLE")</f>
        <v>FAIBLE</v>
      </c>
      <c r="N1383" s="2">
        <v>0.625</v>
      </c>
      <c r="O1383" s="2">
        <v>0.58099999999999996</v>
      </c>
      <c r="P1383" s="2">
        <v>3.1600000000000003E-2</v>
      </c>
      <c r="Q1383" s="2">
        <v>0.55300000000000005</v>
      </c>
      <c r="R1383" s="2">
        <v>0.254</v>
      </c>
      <c r="S1383" s="2">
        <v>0.26700000000000002</v>
      </c>
      <c r="T1383" s="2">
        <v>-7.1</v>
      </c>
      <c r="U1383">
        <v>150853</v>
      </c>
      <c r="V1383">
        <f>YEAR(Spotify[[#This Row],[Date de sortie]])</f>
        <v>2020</v>
      </c>
      <c r="W1383" s="2" t="str">
        <f>IF(Spotify[[#This Row],[Popularité]]&gt;=70,"FORTE","FAIBLE")</f>
        <v>FAIBLE</v>
      </c>
    </row>
    <row r="1384" spans="1:23" x14ac:dyDescent="0.25">
      <c r="A1384">
        <v>1414</v>
      </c>
      <c r="B1384">
        <v>122</v>
      </c>
      <c r="C1384">
        <v>1</v>
      </c>
      <c r="D1384" s="1">
        <v>43875</v>
      </c>
      <c r="E1384" s="59" t="str" cm="1">
        <f t="array" ref="E138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384" t="s">
        <v>2255</v>
      </c>
      <c r="G1384" s="3">
        <v>6341141</v>
      </c>
      <c r="H1384" t="s">
        <v>1708</v>
      </c>
      <c r="I1384" s="4">
        <v>942380</v>
      </c>
      <c r="J1384" t="s">
        <v>1709</v>
      </c>
      <c r="K1384" s="1">
        <v>43874</v>
      </c>
      <c r="L1384">
        <v>57</v>
      </c>
      <c r="M1384" s="2" t="str">
        <f>IF(Spotify[[#This Row],[Energie]]&gt;AVERAGE(Spotify[Energie]),"FORTE","FAIBLE")</f>
        <v>FAIBLE</v>
      </c>
      <c r="N1384" s="2">
        <v>0.67700000000000005</v>
      </c>
      <c r="O1384" s="2">
        <v>0.63300000000000001</v>
      </c>
      <c r="P1384" s="2">
        <v>4.6699999999999998E-2</v>
      </c>
      <c r="Q1384" s="2">
        <v>0.111</v>
      </c>
      <c r="R1384" s="2">
        <v>0.217</v>
      </c>
      <c r="S1384" s="2">
        <v>0.40400000000000003</v>
      </c>
      <c r="T1384" s="2">
        <v>-7.3529999999999998</v>
      </c>
      <c r="U1384">
        <v>232147</v>
      </c>
      <c r="V1384">
        <f>YEAR(Spotify[[#This Row],[Date de sortie]])</f>
        <v>2020</v>
      </c>
      <c r="W1384" s="2" t="str">
        <f>IF(Spotify[[#This Row],[Popularité]]&gt;=70,"FORTE","FAIBLE")</f>
        <v>FAIBLE</v>
      </c>
    </row>
    <row r="1385" spans="1:23" x14ac:dyDescent="0.25">
      <c r="A1385">
        <v>857</v>
      </c>
      <c r="B1385">
        <v>138</v>
      </c>
      <c r="C1385">
        <v>1</v>
      </c>
      <c r="D1385" s="1">
        <v>44106</v>
      </c>
      <c r="E1385" s="59" t="str" cm="1">
        <f t="array" ref="E138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85" t="s">
        <v>1477</v>
      </c>
      <c r="G1385" s="3">
        <v>5846760</v>
      </c>
      <c r="H1385" t="s">
        <v>1320</v>
      </c>
      <c r="I1385" s="4">
        <v>9949044</v>
      </c>
      <c r="J1385" t="s">
        <v>531</v>
      </c>
      <c r="K1385" s="1">
        <v>44106</v>
      </c>
      <c r="L1385">
        <v>57</v>
      </c>
      <c r="M1385" s="2" t="str">
        <f>IF(Spotify[[#This Row],[Energie]]&gt;AVERAGE(Spotify[Energie]),"FORTE","FAIBLE")</f>
        <v>FORTE</v>
      </c>
      <c r="N1385" s="2">
        <v>0.82099999999999995</v>
      </c>
      <c r="O1385" s="2">
        <v>0.67100000000000004</v>
      </c>
      <c r="P1385" s="2">
        <v>0.18</v>
      </c>
      <c r="Q1385" s="2">
        <v>8.43E-3</v>
      </c>
      <c r="R1385" s="2">
        <v>9.7199999999999995E-2</v>
      </c>
      <c r="S1385" s="2">
        <v>0.49399999999999999</v>
      </c>
      <c r="T1385" s="2">
        <v>-5.8929999999999998</v>
      </c>
      <c r="U1385">
        <v>187773</v>
      </c>
      <c r="V1385">
        <f>YEAR(Spotify[[#This Row],[Date de sortie]])</f>
        <v>2020</v>
      </c>
      <c r="W1385" s="2" t="str">
        <f>IF(Spotify[[#This Row],[Popularité]]&gt;=70,"FORTE","FAIBLE")</f>
        <v>FAIBLE</v>
      </c>
    </row>
    <row r="1386" spans="1:23" x14ac:dyDescent="0.25">
      <c r="A1386">
        <v>1087</v>
      </c>
      <c r="B1386">
        <v>104</v>
      </c>
      <c r="C1386">
        <v>1</v>
      </c>
      <c r="D1386" s="1">
        <v>44001</v>
      </c>
      <c r="E1386" s="59" t="str" cm="1">
        <f t="array" ref="E138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86" t="s">
        <v>1806</v>
      </c>
      <c r="G1386" s="3">
        <v>5827600</v>
      </c>
      <c r="H1386" t="s">
        <v>1807</v>
      </c>
      <c r="I1386" s="4">
        <v>4093115</v>
      </c>
      <c r="J1386" t="s">
        <v>206</v>
      </c>
      <c r="K1386" s="1">
        <v>44000</v>
      </c>
      <c r="L1386">
        <v>57</v>
      </c>
      <c r="M1386" s="2" t="str">
        <f>IF(Spotify[[#This Row],[Energie]]&gt;AVERAGE(Spotify[Energie]),"FORTE","FAIBLE")</f>
        <v>FORTE</v>
      </c>
      <c r="N1386" s="2">
        <v>0.498</v>
      </c>
      <c r="O1386" s="2">
        <v>0.83599999999999997</v>
      </c>
      <c r="P1386" s="2">
        <v>0.184</v>
      </c>
      <c r="Q1386" s="2">
        <v>0.52500000000000002</v>
      </c>
      <c r="R1386" s="2">
        <v>9.9400000000000002E-2</v>
      </c>
      <c r="S1386" s="2">
        <v>0.60899999999999999</v>
      </c>
      <c r="T1386" s="2">
        <v>-3.9049999999999998</v>
      </c>
      <c r="U1386">
        <v>168750</v>
      </c>
      <c r="V1386">
        <f>YEAR(Spotify[[#This Row],[Date de sortie]])</f>
        <v>2020</v>
      </c>
      <c r="W1386" s="2" t="str">
        <f>IF(Spotify[[#This Row],[Popularité]]&gt;=70,"FORTE","FAIBLE")</f>
        <v>FAIBLE</v>
      </c>
    </row>
    <row r="1387" spans="1:23" x14ac:dyDescent="0.25">
      <c r="A1387">
        <v>1391</v>
      </c>
      <c r="B1387">
        <v>154</v>
      </c>
      <c r="C1387">
        <v>4</v>
      </c>
      <c r="D1387" s="1">
        <v>43882</v>
      </c>
      <c r="E1387" s="59" t="str" cm="1">
        <f t="array" ref="E138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387" t="s">
        <v>2222</v>
      </c>
      <c r="G1387" s="3">
        <v>5510844</v>
      </c>
      <c r="H1387" t="s">
        <v>2223</v>
      </c>
      <c r="I1387" s="4">
        <v>28017</v>
      </c>
      <c r="J1387" t="s">
        <v>2224</v>
      </c>
      <c r="K1387" s="1">
        <v>43784</v>
      </c>
      <c r="L1387">
        <v>57</v>
      </c>
      <c r="M1387" s="2" t="str">
        <f>IF(Spotify[[#This Row],[Energie]]&gt;AVERAGE(Spotify[Energie]),"FORTE","FAIBLE")</f>
        <v>FORTE</v>
      </c>
      <c r="N1387" s="2">
        <v>0.81399999999999995</v>
      </c>
      <c r="O1387" s="2">
        <v>0.755</v>
      </c>
      <c r="P1387" s="2">
        <v>9.4200000000000006E-2</v>
      </c>
      <c r="Q1387" s="2">
        <v>0.23899999999999999</v>
      </c>
      <c r="R1387" s="2">
        <v>0.30599999999999999</v>
      </c>
      <c r="S1387" s="2">
        <v>0.96299999999999997</v>
      </c>
      <c r="T1387" s="2">
        <v>-6.1639999999999997</v>
      </c>
      <c r="U1387">
        <v>178500</v>
      </c>
      <c r="V1387">
        <f>YEAR(Spotify[[#This Row],[Date de sortie]])</f>
        <v>2019</v>
      </c>
      <c r="W1387" s="2" t="str">
        <f>IF(Spotify[[#This Row],[Popularité]]&gt;=70,"FORTE","FAIBLE")</f>
        <v>FAIBLE</v>
      </c>
    </row>
    <row r="1388" spans="1:23" x14ac:dyDescent="0.25">
      <c r="A1388">
        <v>1419</v>
      </c>
      <c r="B1388">
        <v>160</v>
      </c>
      <c r="C1388">
        <v>1</v>
      </c>
      <c r="D1388" s="1">
        <v>43875</v>
      </c>
      <c r="E1388" s="59" t="str" cm="1">
        <f t="array" ref="E138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388" t="s">
        <v>2260</v>
      </c>
      <c r="G1388" s="3">
        <v>5503902</v>
      </c>
      <c r="H1388" t="s">
        <v>1810</v>
      </c>
      <c r="I1388" s="4">
        <v>5865895</v>
      </c>
      <c r="J1388" t="s">
        <v>235</v>
      </c>
      <c r="K1388" s="1">
        <v>43875</v>
      </c>
      <c r="L1388">
        <v>57</v>
      </c>
      <c r="M1388" s="2" t="str">
        <f>IF(Spotify[[#This Row],[Energie]]&gt;AVERAGE(Spotify[Energie]),"FORTE","FAIBLE")</f>
        <v>FAIBLE</v>
      </c>
      <c r="N1388" s="2">
        <v>0.68700000000000006</v>
      </c>
      <c r="O1388" s="2">
        <v>0.59199999999999997</v>
      </c>
      <c r="P1388" s="2">
        <v>0.224</v>
      </c>
      <c r="Q1388" s="2">
        <v>0.20300000000000001</v>
      </c>
      <c r="R1388" s="2">
        <v>0.27900000000000003</v>
      </c>
      <c r="S1388" s="2">
        <v>0.246</v>
      </c>
      <c r="T1388" s="2">
        <v>-6.3780000000000001</v>
      </c>
      <c r="U1388">
        <v>225266</v>
      </c>
      <c r="V1388">
        <f>YEAR(Spotify[[#This Row],[Date de sortie]])</f>
        <v>2020</v>
      </c>
      <c r="W1388" s="2" t="str">
        <f>IF(Spotify[[#This Row],[Popularité]]&gt;=70,"FORTE","FAIBLE")</f>
        <v>FAIBLE</v>
      </c>
    </row>
    <row r="1389" spans="1:23" x14ac:dyDescent="0.25">
      <c r="A1389">
        <v>1309</v>
      </c>
      <c r="B1389">
        <v>153</v>
      </c>
      <c r="C1389">
        <v>1</v>
      </c>
      <c r="D1389" s="1">
        <v>43903</v>
      </c>
      <c r="E1389" s="59" t="str" cm="1">
        <f t="array" ref="E138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389" t="s">
        <v>2118</v>
      </c>
      <c r="G1389" s="3">
        <v>5415044</v>
      </c>
      <c r="H1389" t="s">
        <v>1780</v>
      </c>
      <c r="I1389" s="4">
        <v>11821805</v>
      </c>
      <c r="J1389" t="s">
        <v>235</v>
      </c>
      <c r="K1389" s="1">
        <v>43903</v>
      </c>
      <c r="L1389">
        <v>57</v>
      </c>
      <c r="M1389" s="2" t="str">
        <f>IF(Spotify[[#This Row],[Energie]]&gt;AVERAGE(Spotify[Energie]),"FORTE","FAIBLE")</f>
        <v>FAIBLE</v>
      </c>
      <c r="N1389" s="2">
        <v>0.76200000000000001</v>
      </c>
      <c r="O1389" s="2">
        <v>0.622</v>
      </c>
      <c r="P1389" s="2">
        <v>0.223</v>
      </c>
      <c r="Q1389" s="2">
        <v>0.35199999999999998</v>
      </c>
      <c r="R1389" s="2">
        <v>0.14499999999999999</v>
      </c>
      <c r="S1389" s="2">
        <v>0.626</v>
      </c>
      <c r="T1389" s="2">
        <v>-6.2930000000000001</v>
      </c>
      <c r="U1389">
        <v>193314</v>
      </c>
      <c r="V1389">
        <f>YEAR(Spotify[[#This Row],[Date de sortie]])</f>
        <v>2020</v>
      </c>
      <c r="W1389" s="2" t="str">
        <f>IF(Spotify[[#This Row],[Popularité]]&gt;=70,"FORTE","FAIBLE")</f>
        <v>FAIBLE</v>
      </c>
    </row>
    <row r="1390" spans="1:23" x14ac:dyDescent="0.25">
      <c r="A1390">
        <v>1479</v>
      </c>
      <c r="B1390">
        <v>164</v>
      </c>
      <c r="C1390">
        <v>1</v>
      </c>
      <c r="D1390" s="1">
        <v>43854</v>
      </c>
      <c r="E1390" s="59" t="str" cm="1">
        <f t="array" ref="E139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90" t="s">
        <v>2346</v>
      </c>
      <c r="G1390" s="3">
        <v>5297101</v>
      </c>
      <c r="H1390" t="s">
        <v>2347</v>
      </c>
      <c r="I1390" s="4">
        <v>1045091</v>
      </c>
      <c r="J1390" t="s">
        <v>206</v>
      </c>
      <c r="K1390" s="1">
        <v>43853</v>
      </c>
      <c r="L1390">
        <v>57</v>
      </c>
      <c r="M1390" s="2" t="str">
        <f>IF(Spotify[[#This Row],[Energie]]&gt;AVERAGE(Spotify[Energie]),"FORTE","FAIBLE")</f>
        <v>FORTE</v>
      </c>
      <c r="N1390" s="2">
        <v>0.70699999999999996</v>
      </c>
      <c r="O1390" s="2">
        <v>0.747</v>
      </c>
      <c r="P1390" s="2">
        <v>0.27900000000000003</v>
      </c>
      <c r="Q1390" s="2">
        <v>0.307</v>
      </c>
      <c r="R1390" s="2">
        <v>0.183</v>
      </c>
      <c r="S1390" s="2">
        <v>0.49099999999999999</v>
      </c>
      <c r="T1390" s="2">
        <v>-5.2119999999999997</v>
      </c>
      <c r="U1390">
        <v>197861</v>
      </c>
      <c r="V1390">
        <f>YEAR(Spotify[[#This Row],[Date de sortie]])</f>
        <v>2020</v>
      </c>
      <c r="W1390" s="2" t="str">
        <f>IF(Spotify[[#This Row],[Popularité]]&gt;=70,"FORTE","FAIBLE")</f>
        <v>FAIBLE</v>
      </c>
    </row>
    <row r="1391" spans="1:23" x14ac:dyDescent="0.25">
      <c r="A1391">
        <v>1243</v>
      </c>
      <c r="B1391">
        <v>128</v>
      </c>
      <c r="C1391">
        <v>1</v>
      </c>
      <c r="D1391" s="1">
        <v>43931</v>
      </c>
      <c r="E1391" s="59" t="str" cm="1">
        <f t="array" ref="E139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91" t="s">
        <v>2028</v>
      </c>
      <c r="G1391" s="3">
        <v>5290730</v>
      </c>
      <c r="H1391" t="s">
        <v>2029</v>
      </c>
      <c r="I1391" s="4">
        <v>1045091</v>
      </c>
      <c r="J1391" t="s">
        <v>206</v>
      </c>
      <c r="K1391" s="1">
        <v>43930</v>
      </c>
      <c r="L1391">
        <v>57</v>
      </c>
      <c r="M1391" s="2" t="str">
        <f>IF(Spotify[[#This Row],[Energie]]&gt;AVERAGE(Spotify[Energie]),"FORTE","FAIBLE")</f>
        <v>FORTE</v>
      </c>
      <c r="N1391" s="2">
        <v>0.628</v>
      </c>
      <c r="O1391" s="2">
        <v>0.71199999999999997</v>
      </c>
      <c r="P1391" s="2">
        <v>0.156</v>
      </c>
      <c r="Q1391" s="2">
        <v>0.28199999999999997</v>
      </c>
      <c r="R1391" s="2">
        <v>0.156</v>
      </c>
      <c r="S1391" s="2">
        <v>0.45</v>
      </c>
      <c r="T1391" s="2">
        <v>-4.8639999999999999</v>
      </c>
      <c r="U1391">
        <v>167827</v>
      </c>
      <c r="V1391">
        <f>YEAR(Spotify[[#This Row],[Date de sortie]])</f>
        <v>2020</v>
      </c>
      <c r="W1391" s="2" t="str">
        <f>IF(Spotify[[#This Row],[Popularité]]&gt;=70,"FORTE","FAIBLE")</f>
        <v>FAIBLE</v>
      </c>
    </row>
    <row r="1392" spans="1:23" x14ac:dyDescent="0.25">
      <c r="A1392">
        <v>1482</v>
      </c>
      <c r="B1392">
        <v>187</v>
      </c>
      <c r="C1392">
        <v>1</v>
      </c>
      <c r="D1392" s="1">
        <v>43854</v>
      </c>
      <c r="E1392" s="59" t="str" cm="1">
        <f t="array" ref="E139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392" t="s">
        <v>2350</v>
      </c>
      <c r="G1392" s="3">
        <v>5037967</v>
      </c>
      <c r="H1392" t="s">
        <v>2351</v>
      </c>
      <c r="I1392" s="4">
        <v>862965</v>
      </c>
      <c r="J1392" t="s">
        <v>1311</v>
      </c>
      <c r="K1392" s="1">
        <v>44071</v>
      </c>
      <c r="L1392">
        <v>57</v>
      </c>
      <c r="M1392" s="2" t="str">
        <f>IF(Spotify[[#This Row],[Energie]]&gt;AVERAGE(Spotify[Energie]),"FORTE","FAIBLE")</f>
        <v>FAIBLE</v>
      </c>
      <c r="N1392" s="2">
        <v>0.93300000000000005</v>
      </c>
      <c r="O1392" s="2">
        <v>0.44800000000000001</v>
      </c>
      <c r="P1392" s="2">
        <v>0.13600000000000001</v>
      </c>
      <c r="Q1392" s="2">
        <v>2.53E-2</v>
      </c>
      <c r="R1392" s="2">
        <v>0.104</v>
      </c>
      <c r="S1392" s="2">
        <v>0.73699999999999999</v>
      </c>
      <c r="T1392" s="2">
        <v>-4.4909999999999997</v>
      </c>
      <c r="U1392">
        <v>167350</v>
      </c>
      <c r="V1392">
        <f>YEAR(Spotify[[#This Row],[Date de sortie]])</f>
        <v>2020</v>
      </c>
      <c r="W1392" s="2" t="str">
        <f>IF(Spotify[[#This Row],[Popularité]]&gt;=70,"FORTE","FAIBLE")</f>
        <v>FAIBLE</v>
      </c>
    </row>
    <row r="1393" spans="1:23" x14ac:dyDescent="0.25">
      <c r="A1393">
        <v>864</v>
      </c>
      <c r="B1393">
        <v>197</v>
      </c>
      <c r="C1393">
        <v>1</v>
      </c>
      <c r="D1393" s="1">
        <v>44106</v>
      </c>
      <c r="E1393" s="59" t="str" cm="1">
        <f t="array" ref="E139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93" t="s">
        <v>1486</v>
      </c>
      <c r="G1393" s="3">
        <v>4853661</v>
      </c>
      <c r="H1393" t="s">
        <v>1320</v>
      </c>
      <c r="I1393" s="4">
        <v>9949044</v>
      </c>
      <c r="J1393" t="s">
        <v>531</v>
      </c>
      <c r="K1393" s="1">
        <v>44106</v>
      </c>
      <c r="L1393">
        <v>57</v>
      </c>
      <c r="M1393" s="2" t="str">
        <f>IF(Spotify[[#This Row],[Energie]]&gt;AVERAGE(Spotify[Energie]),"FORTE","FAIBLE")</f>
        <v>FORTE</v>
      </c>
      <c r="N1393" s="2">
        <v>0.84899999999999998</v>
      </c>
      <c r="O1393" s="2">
        <v>0.63500000000000001</v>
      </c>
      <c r="P1393" s="2">
        <v>0.254</v>
      </c>
      <c r="Q1393" s="2">
        <v>6.0800000000000003E-4</v>
      </c>
      <c r="R1393" s="2">
        <v>6.2E-2</v>
      </c>
      <c r="S1393" s="2">
        <v>0.79800000000000004</v>
      </c>
      <c r="T1393" s="2">
        <v>-4.0679999999999996</v>
      </c>
      <c r="U1393">
        <v>140833</v>
      </c>
      <c r="V1393">
        <f>YEAR(Spotify[[#This Row],[Date de sortie]])</f>
        <v>2020</v>
      </c>
      <c r="W1393" s="2" t="str">
        <f>IF(Spotify[[#This Row],[Popularité]]&gt;=70,"FORTE","FAIBLE")</f>
        <v>FAIBLE</v>
      </c>
    </row>
    <row r="1394" spans="1:23" x14ac:dyDescent="0.25">
      <c r="A1394">
        <v>1321</v>
      </c>
      <c r="B1394">
        <v>188</v>
      </c>
      <c r="C1394">
        <v>1</v>
      </c>
      <c r="D1394" s="1">
        <v>43903</v>
      </c>
      <c r="E1394" s="59" t="str" cm="1">
        <f t="array" ref="E139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394" t="s">
        <v>2133</v>
      </c>
      <c r="G1394" s="3">
        <v>4831405</v>
      </c>
      <c r="H1394" t="s">
        <v>1780</v>
      </c>
      <c r="I1394" s="4">
        <v>11821805</v>
      </c>
      <c r="J1394" t="s">
        <v>235</v>
      </c>
      <c r="K1394" s="1">
        <v>43903</v>
      </c>
      <c r="L1394">
        <v>57</v>
      </c>
      <c r="M1394" s="2" t="str">
        <f>IF(Spotify[[#This Row],[Energie]]&gt;AVERAGE(Spotify[Energie]),"FORTE","FAIBLE")</f>
        <v>FORTE</v>
      </c>
      <c r="N1394" s="2">
        <v>0.81699999999999995</v>
      </c>
      <c r="O1394" s="2">
        <v>0.65600000000000003</v>
      </c>
      <c r="P1394" s="2">
        <v>0.27700000000000002</v>
      </c>
      <c r="Q1394" s="2">
        <v>5.0999999999999997E-2</v>
      </c>
      <c r="R1394" s="2">
        <v>0.115</v>
      </c>
      <c r="S1394" s="2">
        <v>0.314</v>
      </c>
      <c r="T1394" s="2">
        <v>-7.0860000000000003</v>
      </c>
      <c r="U1394">
        <v>120076</v>
      </c>
      <c r="V1394">
        <f>YEAR(Spotify[[#This Row],[Date de sortie]])</f>
        <v>2020</v>
      </c>
      <c r="W1394" s="2" t="str">
        <f>IF(Spotify[[#This Row],[Popularité]]&gt;=70,"FORTE","FAIBLE")</f>
        <v>FAIBLE</v>
      </c>
    </row>
    <row r="1395" spans="1:23" x14ac:dyDescent="0.25">
      <c r="A1395">
        <v>1237</v>
      </c>
      <c r="B1395">
        <v>180</v>
      </c>
      <c r="C1395">
        <v>1</v>
      </c>
      <c r="D1395" s="1">
        <v>43938</v>
      </c>
      <c r="E1395" s="59" t="str" cm="1">
        <f t="array" ref="E139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95" t="s">
        <v>2019</v>
      </c>
      <c r="G1395" s="3">
        <v>4616034</v>
      </c>
      <c r="H1395" t="s">
        <v>264</v>
      </c>
      <c r="I1395" s="4">
        <v>7601122</v>
      </c>
      <c r="J1395" t="s">
        <v>265</v>
      </c>
      <c r="K1395" s="1">
        <v>43938</v>
      </c>
      <c r="L1395">
        <v>57</v>
      </c>
      <c r="M1395" s="2" t="str">
        <f>IF(Spotify[[#This Row],[Energie]]&gt;AVERAGE(Spotify[Energie]),"FORTE","FAIBLE")</f>
        <v>FORTE</v>
      </c>
      <c r="N1395" s="2">
        <v>0.875</v>
      </c>
      <c r="O1395" s="2">
        <v>0.68700000000000006</v>
      </c>
      <c r="P1395" s="2">
        <v>0.38700000000000001</v>
      </c>
      <c r="Q1395" s="2">
        <v>0.23599999999999999</v>
      </c>
      <c r="R1395" s="2">
        <v>0.14099999999999999</v>
      </c>
      <c r="S1395" s="2">
        <v>0.86399999999999999</v>
      </c>
      <c r="T1395" s="2">
        <v>-5.734</v>
      </c>
      <c r="U1395">
        <v>125907</v>
      </c>
      <c r="V1395">
        <f>YEAR(Spotify[[#This Row],[Date de sortie]])</f>
        <v>2020</v>
      </c>
      <c r="W1395" s="2" t="str">
        <f>IF(Spotify[[#This Row],[Popularité]]&gt;=70,"FORTE","FAIBLE")</f>
        <v>FAIBLE</v>
      </c>
    </row>
    <row r="1396" spans="1:23" x14ac:dyDescent="0.25">
      <c r="A1396">
        <v>624</v>
      </c>
      <c r="B1396">
        <v>7</v>
      </c>
      <c r="C1396">
        <v>7</v>
      </c>
      <c r="D1396" s="1">
        <v>44183</v>
      </c>
      <c r="E1396" s="59" t="str" cm="1">
        <f t="array" ref="E139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396" t="s">
        <v>1107</v>
      </c>
      <c r="G1396" s="3">
        <v>16527404</v>
      </c>
      <c r="H1396" t="s">
        <v>1108</v>
      </c>
      <c r="I1396" s="4">
        <v>20637</v>
      </c>
      <c r="J1396"/>
      <c r="K1396" s="1">
        <v>21156</v>
      </c>
      <c r="L1396">
        <v>56</v>
      </c>
      <c r="M1396" s="2" t="str">
        <f>IF(Spotify[[#This Row],[Energie]]&gt;AVERAGE(Spotify[Energie]),"FORTE","FAIBLE")</f>
        <v>FAIBLE</v>
      </c>
      <c r="N1396" s="2">
        <v>0.754</v>
      </c>
      <c r="O1396" s="2">
        <v>0.42399999999999999</v>
      </c>
      <c r="P1396" s="2">
        <v>3.6299999999999999E-2</v>
      </c>
      <c r="Q1396" s="2">
        <v>0.64300000000000002</v>
      </c>
      <c r="R1396" s="2">
        <v>6.5199999999999994E-2</v>
      </c>
      <c r="S1396" s="2">
        <v>0.80600000000000005</v>
      </c>
      <c r="T1396" s="2">
        <v>-8.4629999999999992</v>
      </c>
      <c r="U1396">
        <v>130973</v>
      </c>
      <c r="V1396">
        <f>YEAR(Spotify[[#This Row],[Date de sortie]])</f>
        <v>1957</v>
      </c>
      <c r="W1396" s="2" t="str">
        <f>IF(Spotify[[#This Row],[Popularité]]&gt;=70,"FORTE","FAIBLE")</f>
        <v>FAIBLE</v>
      </c>
    </row>
    <row r="1397" spans="1:23" x14ac:dyDescent="0.25">
      <c r="A1397">
        <v>1512</v>
      </c>
      <c r="B1397">
        <v>90</v>
      </c>
      <c r="C1397">
        <v>1</v>
      </c>
      <c r="D1397" s="1">
        <v>43840</v>
      </c>
      <c r="E1397" s="59" t="str" cm="1">
        <f t="array" ref="E139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397" t="s">
        <v>2385</v>
      </c>
      <c r="G1397" s="3">
        <v>7394604</v>
      </c>
      <c r="H1397" t="s">
        <v>454</v>
      </c>
      <c r="I1397" s="4">
        <v>28931149</v>
      </c>
      <c r="J1397" t="s">
        <v>19</v>
      </c>
      <c r="K1397" s="1">
        <v>43840</v>
      </c>
      <c r="L1397">
        <v>56</v>
      </c>
      <c r="M1397" s="2" t="str">
        <f>IF(Spotify[[#This Row],[Energie]]&gt;AVERAGE(Spotify[Energie]),"FORTE","FAIBLE")</f>
        <v>FAIBLE</v>
      </c>
      <c r="N1397" s="2">
        <v>0.78400000000000003</v>
      </c>
      <c r="O1397" s="2">
        <v>0.55200000000000005</v>
      </c>
      <c r="P1397" s="2">
        <v>8.7099999999999997E-2</v>
      </c>
      <c r="Q1397" s="2">
        <v>4.4699999999999997E-2</v>
      </c>
      <c r="R1397" s="2">
        <v>0.192</v>
      </c>
      <c r="S1397" s="2">
        <v>0.46500000000000002</v>
      </c>
      <c r="T1397" s="2">
        <v>-7.2610000000000001</v>
      </c>
      <c r="U1397">
        <v>170498</v>
      </c>
      <c r="V1397">
        <f>YEAR(Spotify[[#This Row],[Date de sortie]])</f>
        <v>2020</v>
      </c>
      <c r="W1397" s="2" t="str">
        <f>IF(Spotify[[#This Row],[Popularité]]&gt;=70,"FORTE","FAIBLE")</f>
        <v>FAIBLE</v>
      </c>
    </row>
    <row r="1398" spans="1:23" x14ac:dyDescent="0.25">
      <c r="A1398">
        <v>202</v>
      </c>
      <c r="B1398">
        <v>87</v>
      </c>
      <c r="C1398">
        <v>1</v>
      </c>
      <c r="D1398" s="1">
        <v>44393</v>
      </c>
      <c r="E1398" s="59" t="str" cm="1">
        <f t="array" ref="E139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398" t="s">
        <v>415</v>
      </c>
      <c r="G1398" s="3">
        <v>7371935</v>
      </c>
      <c r="H1398" t="s">
        <v>338</v>
      </c>
      <c r="I1398" s="4">
        <v>6837946</v>
      </c>
      <c r="J1398" t="s">
        <v>158</v>
      </c>
      <c r="K1398" s="1">
        <v>44408</v>
      </c>
      <c r="L1398">
        <v>56</v>
      </c>
      <c r="M1398" s="2" t="str">
        <f>IF(Spotify[[#This Row],[Energie]]&gt;AVERAGE(Spotify[Energie]),"FORTE","FAIBLE")</f>
        <v>FORTE</v>
      </c>
      <c r="N1398" s="2">
        <v>0.56299999999999994</v>
      </c>
      <c r="O1398" s="2">
        <v>0.67200000000000004</v>
      </c>
      <c r="P1398" s="2">
        <v>7.6499999999999999E-2</v>
      </c>
      <c r="Q1398" s="2">
        <v>0.35899999999999999</v>
      </c>
      <c r="R1398" s="2">
        <v>9.7199999999999995E-2</v>
      </c>
      <c r="S1398" s="2">
        <v>0.28399999999999997</v>
      </c>
      <c r="T1398" s="2">
        <v>-7.226</v>
      </c>
      <c r="U1398">
        <v>156000</v>
      </c>
      <c r="V1398">
        <f>YEAR(Spotify[[#This Row],[Date de sortie]])</f>
        <v>2021</v>
      </c>
      <c r="W1398" s="2" t="str">
        <f>IF(Spotify[[#This Row],[Popularité]]&gt;=70,"FORTE","FAIBLE")</f>
        <v>FAIBLE</v>
      </c>
    </row>
    <row r="1399" spans="1:23" x14ac:dyDescent="0.25">
      <c r="A1399">
        <v>1267</v>
      </c>
      <c r="B1399">
        <v>122</v>
      </c>
      <c r="C1399">
        <v>1</v>
      </c>
      <c r="D1399" s="1">
        <v>43917</v>
      </c>
      <c r="E1399" s="59" t="str" cm="1">
        <f t="array" ref="E139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399" t="s">
        <v>2060</v>
      </c>
      <c r="G1399" s="3">
        <v>5995116</v>
      </c>
      <c r="H1399" t="s">
        <v>2061</v>
      </c>
      <c r="I1399" s="4">
        <v>561372</v>
      </c>
      <c r="J1399" t="s">
        <v>438</v>
      </c>
      <c r="K1399" s="1">
        <v>43916</v>
      </c>
      <c r="L1399">
        <v>56</v>
      </c>
      <c r="M1399" s="2" t="str">
        <f>IF(Spotify[[#This Row],[Energie]]&gt;AVERAGE(Spotify[Energie]),"FORTE","FAIBLE")</f>
        <v>FORTE</v>
      </c>
      <c r="N1399" s="2">
        <v>0.82</v>
      </c>
      <c r="O1399" s="2">
        <v>0.78300000000000003</v>
      </c>
      <c r="P1399" s="2">
        <v>6.2100000000000002E-2</v>
      </c>
      <c r="Q1399" s="2">
        <v>1.5800000000000002E-2</v>
      </c>
      <c r="R1399" s="2">
        <v>9.3799999999999994E-2</v>
      </c>
      <c r="S1399" s="2">
        <v>0.65300000000000002</v>
      </c>
      <c r="T1399" s="2">
        <v>-6.1459999999999999</v>
      </c>
      <c r="U1399">
        <v>166087</v>
      </c>
      <c r="V1399">
        <f>YEAR(Spotify[[#This Row],[Date de sortie]])</f>
        <v>2020</v>
      </c>
      <c r="W1399" s="2" t="str">
        <f>IF(Spotify[[#This Row],[Popularité]]&gt;=70,"FORTE","FAIBLE")</f>
        <v>FAIBLE</v>
      </c>
    </row>
    <row r="1400" spans="1:23" x14ac:dyDescent="0.25">
      <c r="A1400">
        <v>742</v>
      </c>
      <c r="B1400">
        <v>171</v>
      </c>
      <c r="C1400">
        <v>1</v>
      </c>
      <c r="D1400" s="1">
        <v>44162</v>
      </c>
      <c r="E1400" s="59" t="str" cm="1">
        <f t="array" ref="E140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00" t="s">
        <v>1289</v>
      </c>
      <c r="G1400" s="3">
        <v>5842320</v>
      </c>
      <c r="H1400" t="s">
        <v>1290</v>
      </c>
      <c r="I1400" s="4">
        <v>36177712</v>
      </c>
      <c r="J1400" t="s">
        <v>25</v>
      </c>
      <c r="K1400" s="1">
        <v>44162</v>
      </c>
      <c r="L1400">
        <v>56</v>
      </c>
      <c r="M1400" s="2" t="str">
        <f>IF(Spotify[[#This Row],[Energie]]&gt;AVERAGE(Spotify[Energie]),"FORTE","FAIBLE")</f>
        <v>FAIBLE</v>
      </c>
      <c r="N1400" s="2">
        <v>0.76400000000000001</v>
      </c>
      <c r="O1400" s="2">
        <v>0.52300000000000002</v>
      </c>
      <c r="P1400" s="2">
        <v>4.0599999999999997E-2</v>
      </c>
      <c r="Q1400" s="2">
        <v>0.77700000000000002</v>
      </c>
      <c r="R1400" s="2">
        <v>0.35199999999999998</v>
      </c>
      <c r="S1400" s="2">
        <v>0.96199999999999997</v>
      </c>
      <c r="T1400" s="2">
        <v>-7.3710000000000004</v>
      </c>
      <c r="U1400">
        <v>199720</v>
      </c>
      <c r="V1400">
        <f>YEAR(Spotify[[#This Row],[Date de sortie]])</f>
        <v>2020</v>
      </c>
      <c r="W1400" s="2" t="str">
        <f>IF(Spotify[[#This Row],[Popularité]]&gt;=70,"FORTE","FAIBLE")</f>
        <v>FAIBLE</v>
      </c>
    </row>
    <row r="1401" spans="1:23" x14ac:dyDescent="0.25">
      <c r="A1401">
        <v>770</v>
      </c>
      <c r="B1401">
        <v>153</v>
      </c>
      <c r="C1401">
        <v>1</v>
      </c>
      <c r="D1401" s="1">
        <v>44148</v>
      </c>
      <c r="E1401" s="59" t="str" cm="1">
        <f t="array" ref="E140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401" t="s">
        <v>1339</v>
      </c>
      <c r="G1401" s="3">
        <v>5445204</v>
      </c>
      <c r="H1401" t="s">
        <v>1333</v>
      </c>
      <c r="I1401" s="4">
        <v>10491105</v>
      </c>
      <c r="J1401" t="s">
        <v>531</v>
      </c>
      <c r="K1401" s="1">
        <v>44148</v>
      </c>
      <c r="L1401">
        <v>56</v>
      </c>
      <c r="M1401" s="2" t="str">
        <f>IF(Spotify[[#This Row],[Energie]]&gt;AVERAGE(Spotify[Energie]),"FORTE","FAIBLE")</f>
        <v>FAIBLE</v>
      </c>
      <c r="N1401" s="2">
        <v>0.75800000000000001</v>
      </c>
      <c r="O1401" s="2">
        <v>0.57399999999999995</v>
      </c>
      <c r="P1401" s="2">
        <v>0.217</v>
      </c>
      <c r="Q1401" s="2">
        <v>0.216</v>
      </c>
      <c r="R1401" s="2">
        <v>0.14399999999999999</v>
      </c>
      <c r="S1401" s="2">
        <v>0.70599999999999996</v>
      </c>
      <c r="T1401" s="2">
        <v>-7.8330000000000002</v>
      </c>
      <c r="U1401">
        <v>274313</v>
      </c>
      <c r="V1401">
        <f>YEAR(Spotify[[#This Row],[Date de sortie]])</f>
        <v>2020</v>
      </c>
      <c r="W1401" s="2" t="str">
        <f>IF(Spotify[[#This Row],[Popularité]]&gt;=70,"FORTE","FAIBLE")</f>
        <v>FAIBLE</v>
      </c>
    </row>
    <row r="1402" spans="1:23" x14ac:dyDescent="0.25">
      <c r="A1402">
        <v>937</v>
      </c>
      <c r="B1402">
        <v>145</v>
      </c>
      <c r="C1402">
        <v>1</v>
      </c>
      <c r="D1402" s="1">
        <v>44064</v>
      </c>
      <c r="E1402" s="59" t="str" cm="1">
        <f t="array" ref="E140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402" t="s">
        <v>1601</v>
      </c>
      <c r="G1402" s="3">
        <v>5440253</v>
      </c>
      <c r="H1402" t="s">
        <v>1602</v>
      </c>
      <c r="I1402" s="4">
        <v>4093115</v>
      </c>
      <c r="J1402" t="s">
        <v>206</v>
      </c>
      <c r="K1402" s="1">
        <v>44091</v>
      </c>
      <c r="L1402">
        <v>56</v>
      </c>
      <c r="M1402" s="2" t="str">
        <f>IF(Spotify[[#This Row],[Energie]]&gt;AVERAGE(Spotify[Energie]),"FORTE","FAIBLE")</f>
        <v>FORTE</v>
      </c>
      <c r="N1402" s="2">
        <v>0.74399999999999999</v>
      </c>
      <c r="O1402" s="2">
        <v>0.64400000000000002</v>
      </c>
      <c r="P1402" s="2">
        <v>6.4100000000000004E-2</v>
      </c>
      <c r="Q1402" s="2">
        <v>0.22900000000000001</v>
      </c>
      <c r="R1402" s="2">
        <v>0.20399999999999999</v>
      </c>
      <c r="S1402" s="2">
        <v>0.57699999999999996</v>
      </c>
      <c r="T1402" s="2">
        <v>-5.5620000000000003</v>
      </c>
      <c r="U1402">
        <v>151360</v>
      </c>
      <c r="V1402">
        <f>YEAR(Spotify[[#This Row],[Date de sortie]])</f>
        <v>2020</v>
      </c>
      <c r="W1402" s="2" t="str">
        <f>IF(Spotify[[#This Row],[Popularité]]&gt;=70,"FORTE","FAIBLE")</f>
        <v>FAIBLE</v>
      </c>
    </row>
    <row r="1403" spans="1:23" x14ac:dyDescent="0.25">
      <c r="A1403">
        <v>1547</v>
      </c>
      <c r="B1403">
        <v>143</v>
      </c>
      <c r="C1403">
        <v>1</v>
      </c>
      <c r="D1403" s="1">
        <v>43826</v>
      </c>
      <c r="E1403" s="59" t="str" cm="1">
        <f t="array" ref="E140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403" t="s">
        <v>2430</v>
      </c>
      <c r="G1403" s="3">
        <v>5363493</v>
      </c>
      <c r="H1403" t="s">
        <v>2430</v>
      </c>
      <c r="I1403" s="4">
        <v>437907</v>
      </c>
      <c r="J1403" t="s">
        <v>186</v>
      </c>
      <c r="K1403" s="1">
        <v>43826</v>
      </c>
      <c r="L1403">
        <v>56</v>
      </c>
      <c r="M1403" s="2" t="str">
        <f>IF(Spotify[[#This Row],[Energie]]&gt;AVERAGE(Spotify[Energie]),"FORTE","FAIBLE")</f>
        <v>FAIBLE</v>
      </c>
      <c r="N1403" s="2">
        <v>0.41299999999999998</v>
      </c>
      <c r="O1403" s="2">
        <v>0.13</v>
      </c>
      <c r="P1403" s="2">
        <v>3.3599999999999998E-2</v>
      </c>
      <c r="Q1403" s="2">
        <v>0.9</v>
      </c>
      <c r="R1403" s="2">
        <v>0.111</v>
      </c>
      <c r="S1403" s="2">
        <v>6.7599999999999993E-2</v>
      </c>
      <c r="T1403" s="2">
        <v>-25.166</v>
      </c>
      <c r="U1403">
        <v>46837</v>
      </c>
      <c r="V1403">
        <f>YEAR(Spotify[[#This Row],[Date de sortie]])</f>
        <v>2019</v>
      </c>
      <c r="W1403" s="2" t="str">
        <f>IF(Spotify[[#This Row],[Popularité]]&gt;=70,"FORTE","FAIBLE")</f>
        <v>FAIBLE</v>
      </c>
    </row>
    <row r="1404" spans="1:23" x14ac:dyDescent="0.25">
      <c r="A1404">
        <v>1423</v>
      </c>
      <c r="B1404">
        <v>175</v>
      </c>
      <c r="C1404">
        <v>1</v>
      </c>
      <c r="D1404" s="1">
        <v>43875</v>
      </c>
      <c r="E1404" s="59" t="str" cm="1">
        <f t="array" ref="E140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04" t="s">
        <v>2266</v>
      </c>
      <c r="G1404" s="3">
        <v>5279739</v>
      </c>
      <c r="H1404" t="s">
        <v>906</v>
      </c>
      <c r="I1404" s="4">
        <v>5064200</v>
      </c>
      <c r="J1404" t="s">
        <v>907</v>
      </c>
      <c r="K1404" s="1">
        <v>43875</v>
      </c>
      <c r="L1404">
        <v>56</v>
      </c>
      <c r="M1404" s="2" t="str">
        <f>IF(Spotify[[#This Row],[Energie]]&gt;AVERAGE(Spotify[Energie]),"FORTE","FAIBLE")</f>
        <v>FORTE</v>
      </c>
      <c r="N1404" s="2">
        <v>0.60199999999999998</v>
      </c>
      <c r="O1404" s="2">
        <v>0.88</v>
      </c>
      <c r="P1404" s="2">
        <v>3.5400000000000001E-2</v>
      </c>
      <c r="Q1404" s="2">
        <v>5.7000000000000002E-2</v>
      </c>
      <c r="R1404" s="2">
        <v>0.28399999999999997</v>
      </c>
      <c r="S1404" s="2">
        <v>0.49299999999999999</v>
      </c>
      <c r="T1404" s="2">
        <v>-5.4139999999999997</v>
      </c>
      <c r="U1404">
        <v>324013</v>
      </c>
      <c r="V1404">
        <f>YEAR(Spotify[[#This Row],[Date de sortie]])</f>
        <v>2020</v>
      </c>
      <c r="W1404" s="2" t="str">
        <f>IF(Spotify[[#This Row],[Popularité]]&gt;=70,"FORTE","FAIBLE")</f>
        <v>FAIBLE</v>
      </c>
    </row>
    <row r="1405" spans="1:23" x14ac:dyDescent="0.25">
      <c r="A1405">
        <v>1462</v>
      </c>
      <c r="B1405">
        <v>183</v>
      </c>
      <c r="C1405">
        <v>1</v>
      </c>
      <c r="D1405" s="1">
        <v>43861</v>
      </c>
      <c r="E1405" s="59" t="str" cm="1">
        <f t="array" ref="E140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405" t="s">
        <v>2323</v>
      </c>
      <c r="G1405" s="3">
        <v>5029979</v>
      </c>
      <c r="H1405" t="s">
        <v>421</v>
      </c>
      <c r="I1405" s="4">
        <v>2010879</v>
      </c>
      <c r="J1405" t="s">
        <v>217</v>
      </c>
      <c r="K1405" s="1">
        <v>43857</v>
      </c>
      <c r="L1405">
        <v>56</v>
      </c>
      <c r="M1405" s="2" t="str">
        <f>IF(Spotify[[#This Row],[Energie]]&gt;AVERAGE(Spotify[Energie]),"FORTE","FAIBLE")</f>
        <v>FORTE</v>
      </c>
      <c r="N1405" s="2">
        <v>0.64200000000000002</v>
      </c>
      <c r="O1405" s="2">
        <v>0.66900000000000004</v>
      </c>
      <c r="P1405" s="2">
        <v>4.8599999999999997E-2</v>
      </c>
      <c r="Q1405" s="2">
        <v>0.318</v>
      </c>
      <c r="R1405" s="2">
        <v>0.11899999999999999</v>
      </c>
      <c r="S1405" s="2">
        <v>0.22700000000000001</v>
      </c>
      <c r="T1405" s="2">
        <v>-5.774</v>
      </c>
      <c r="U1405">
        <v>175067</v>
      </c>
      <c r="V1405">
        <f>YEAR(Spotify[[#This Row],[Date de sortie]])</f>
        <v>2020</v>
      </c>
      <c r="W1405" s="2" t="str">
        <f>IF(Spotify[[#This Row],[Popularité]]&gt;=70,"FORTE","FAIBLE")</f>
        <v>FAIBLE</v>
      </c>
    </row>
    <row r="1406" spans="1:23" x14ac:dyDescent="0.25">
      <c r="A1406">
        <v>1451</v>
      </c>
      <c r="B1406">
        <v>192</v>
      </c>
      <c r="C1406">
        <v>1</v>
      </c>
      <c r="D1406" s="1">
        <v>43868</v>
      </c>
      <c r="E1406" s="59" t="str" cm="1">
        <f t="array" ref="E140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406" t="s">
        <v>2307</v>
      </c>
      <c r="G1406" s="3">
        <v>4872077</v>
      </c>
      <c r="H1406" t="s">
        <v>2029</v>
      </c>
      <c r="I1406" s="4">
        <v>1045091</v>
      </c>
      <c r="J1406" t="s">
        <v>206</v>
      </c>
      <c r="K1406" s="1">
        <v>43868</v>
      </c>
      <c r="L1406">
        <v>56</v>
      </c>
      <c r="M1406" s="2" t="str">
        <f>IF(Spotify[[#This Row],[Energie]]&gt;AVERAGE(Spotify[Energie]),"FORTE","FAIBLE")</f>
        <v>FAIBLE</v>
      </c>
      <c r="N1406" s="2">
        <v>0.6</v>
      </c>
      <c r="O1406" s="2">
        <v>0.52500000000000002</v>
      </c>
      <c r="P1406" s="2">
        <v>0.42299999999999999</v>
      </c>
      <c r="Q1406" s="2">
        <v>0.39300000000000002</v>
      </c>
      <c r="R1406" s="2">
        <v>0.111</v>
      </c>
      <c r="S1406" s="2">
        <v>0.436</v>
      </c>
      <c r="T1406" s="2">
        <v>-6.585</v>
      </c>
      <c r="U1406">
        <v>162702</v>
      </c>
      <c r="V1406">
        <f>YEAR(Spotify[[#This Row],[Date de sortie]])</f>
        <v>2020</v>
      </c>
      <c r="W1406" s="2" t="str">
        <f>IF(Spotify[[#This Row],[Popularité]]&gt;=70,"FORTE","FAIBLE")</f>
        <v>FAIBLE</v>
      </c>
    </row>
    <row r="1407" spans="1:23" x14ac:dyDescent="0.25">
      <c r="A1407">
        <v>1232</v>
      </c>
      <c r="B1407">
        <v>156</v>
      </c>
      <c r="C1407">
        <v>1</v>
      </c>
      <c r="D1407" s="1">
        <v>43938</v>
      </c>
      <c r="E1407" s="59" t="str" cm="1">
        <f t="array" ref="E140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407" t="s">
        <v>2012</v>
      </c>
      <c r="G1407" s="3">
        <v>4861875</v>
      </c>
      <c r="H1407" t="s">
        <v>264</v>
      </c>
      <c r="I1407" s="4">
        <v>7601122</v>
      </c>
      <c r="J1407" t="s">
        <v>265</v>
      </c>
      <c r="K1407" s="1">
        <v>43938</v>
      </c>
      <c r="L1407">
        <v>56</v>
      </c>
      <c r="M1407" s="2" t="str">
        <f>IF(Spotify[[#This Row],[Energie]]&gt;AVERAGE(Spotify[Energie]),"FORTE","FAIBLE")</f>
        <v>FAIBLE</v>
      </c>
      <c r="N1407" s="2">
        <v>0.93200000000000005</v>
      </c>
      <c r="O1407" s="2">
        <v>0.57799999999999996</v>
      </c>
      <c r="P1407" s="2">
        <v>0.36599999999999999</v>
      </c>
      <c r="Q1407" s="2">
        <v>0.115</v>
      </c>
      <c r="R1407" s="2">
        <v>0.115</v>
      </c>
      <c r="S1407" s="2">
        <v>0.623</v>
      </c>
      <c r="T1407" s="2">
        <v>-4.4779999999999998</v>
      </c>
      <c r="U1407">
        <v>111173</v>
      </c>
      <c r="V1407">
        <f>YEAR(Spotify[[#This Row],[Date de sortie]])</f>
        <v>2020</v>
      </c>
      <c r="W1407" s="2" t="str">
        <f>IF(Spotify[[#This Row],[Popularité]]&gt;=70,"FORTE","FAIBLE")</f>
        <v>FAIBLE</v>
      </c>
    </row>
    <row r="1408" spans="1:23" x14ac:dyDescent="0.25">
      <c r="A1408">
        <v>1222</v>
      </c>
      <c r="B1408">
        <v>166</v>
      </c>
      <c r="C1408">
        <v>1</v>
      </c>
      <c r="D1408" s="1">
        <v>43945</v>
      </c>
      <c r="E1408" s="59" t="str" cm="1">
        <f t="array" ref="E140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408" t="s">
        <v>1997</v>
      </c>
      <c r="G1408" s="3">
        <v>4701551</v>
      </c>
      <c r="H1408" t="s">
        <v>1780</v>
      </c>
      <c r="I1408" s="4">
        <v>11821805</v>
      </c>
      <c r="J1408" t="s">
        <v>235</v>
      </c>
      <c r="K1408" s="1">
        <v>43945</v>
      </c>
      <c r="L1408">
        <v>56</v>
      </c>
      <c r="M1408" s="2" t="str">
        <f>IF(Spotify[[#This Row],[Energie]]&gt;AVERAGE(Spotify[Energie]),"FORTE","FAIBLE")</f>
        <v>FAIBLE</v>
      </c>
      <c r="N1408" s="2">
        <v>0.85899999999999999</v>
      </c>
      <c r="O1408" s="2">
        <v>0.47699999999999998</v>
      </c>
      <c r="P1408" s="2">
        <v>0.42799999999999999</v>
      </c>
      <c r="Q1408" s="2">
        <v>4.1399999999999996E-3</v>
      </c>
      <c r="R1408" s="2">
        <v>8.1900000000000001E-2</v>
      </c>
      <c r="S1408" s="2">
        <v>0.153</v>
      </c>
      <c r="T1408" s="2">
        <v>-6.1159999999999997</v>
      </c>
      <c r="U1408">
        <v>251336</v>
      </c>
      <c r="V1408">
        <f>YEAR(Spotify[[#This Row],[Date de sortie]])</f>
        <v>2020</v>
      </c>
      <c r="W1408" s="2" t="str">
        <f>IF(Spotify[[#This Row],[Popularité]]&gt;=70,"FORTE","FAIBLE")</f>
        <v>FAIBLE</v>
      </c>
    </row>
    <row r="1409" spans="1:23" x14ac:dyDescent="0.25">
      <c r="A1409">
        <v>625</v>
      </c>
      <c r="B1409">
        <v>6</v>
      </c>
      <c r="C1409">
        <v>7</v>
      </c>
      <c r="D1409" s="1">
        <v>44183</v>
      </c>
      <c r="E1409" s="59" t="str" cm="1">
        <f t="array" ref="E140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09" t="s">
        <v>1109</v>
      </c>
      <c r="G1409" s="3">
        <v>15424001</v>
      </c>
      <c r="H1409" t="s">
        <v>1110</v>
      </c>
      <c r="I1409" s="4">
        <v>4702232</v>
      </c>
      <c r="J1409" t="s">
        <v>1106</v>
      </c>
      <c r="K1409" s="1">
        <v>41222</v>
      </c>
      <c r="L1409">
        <v>55</v>
      </c>
      <c r="M1409" s="2" t="str">
        <f>IF(Spotify[[#This Row],[Energie]]&gt;AVERAGE(Spotify[Energie]),"FORTE","FAIBLE")</f>
        <v>FAIBLE</v>
      </c>
      <c r="N1409" s="2">
        <v>0.33900000000000002</v>
      </c>
      <c r="O1409" s="2">
        <v>0.214</v>
      </c>
      <c r="P1409" s="2">
        <v>3.7499999999999999E-2</v>
      </c>
      <c r="Q1409" s="2">
        <v>0.90800000000000003</v>
      </c>
      <c r="R1409" s="2">
        <v>0.34100000000000003</v>
      </c>
      <c r="S1409" s="2">
        <v>0.36299999999999999</v>
      </c>
      <c r="T1409" s="2">
        <v>-11.714</v>
      </c>
      <c r="U1409">
        <v>206640</v>
      </c>
      <c r="V1409">
        <f>YEAR(Spotify[[#This Row],[Date de sortie]])</f>
        <v>2012</v>
      </c>
      <c r="W1409" s="2" t="str">
        <f>IF(Spotify[[#This Row],[Popularité]]&gt;=70,"FORTE","FAIBLE")</f>
        <v>FAIBLE</v>
      </c>
    </row>
    <row r="1410" spans="1:23" x14ac:dyDescent="0.25">
      <c r="A1410">
        <v>626</v>
      </c>
      <c r="B1410">
        <v>8</v>
      </c>
      <c r="C1410">
        <v>7</v>
      </c>
      <c r="D1410" s="1">
        <v>44183</v>
      </c>
      <c r="E1410" s="59" t="str" cm="1">
        <f t="array" ref="E141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10" t="s">
        <v>1111</v>
      </c>
      <c r="G1410" s="3">
        <v>14582001</v>
      </c>
      <c r="H1410" t="s">
        <v>1112</v>
      </c>
      <c r="I1410" s="4">
        <v>369548</v>
      </c>
      <c r="J1410" t="s">
        <v>1106</v>
      </c>
      <c r="K1410" s="1">
        <v>23339</v>
      </c>
      <c r="L1410">
        <v>55</v>
      </c>
      <c r="M1410" s="2" t="str">
        <f>IF(Spotify[[#This Row],[Energie]]&gt;AVERAGE(Spotify[Energie]),"FORTE","FAIBLE")</f>
        <v>FAIBLE</v>
      </c>
      <c r="N1410" s="2">
        <v>0.24</v>
      </c>
      <c r="O1410" s="2">
        <v>0.59799999999999998</v>
      </c>
      <c r="P1410" s="2">
        <v>3.6900000000000002E-2</v>
      </c>
      <c r="Q1410" s="2">
        <v>0.76600000000000001</v>
      </c>
      <c r="R1410" s="2">
        <v>0.11700000000000001</v>
      </c>
      <c r="S1410" s="2">
        <v>0.77600000000000002</v>
      </c>
      <c r="T1410" s="2">
        <v>-8.4350000000000005</v>
      </c>
      <c r="U1410">
        <v>151933</v>
      </c>
      <c r="V1410">
        <f>YEAR(Spotify[[#This Row],[Date de sortie]])</f>
        <v>1963</v>
      </c>
      <c r="W1410" s="2" t="str">
        <f>IF(Spotify[[#This Row],[Popularité]]&gt;=70,"FORTE","FAIBLE")</f>
        <v>FAIBLE</v>
      </c>
    </row>
    <row r="1411" spans="1:23" x14ac:dyDescent="0.25">
      <c r="A1411">
        <v>1511</v>
      </c>
      <c r="B1411">
        <v>87</v>
      </c>
      <c r="C1411">
        <v>1</v>
      </c>
      <c r="D1411" s="1">
        <v>43840</v>
      </c>
      <c r="E1411" s="59" t="str" cm="1">
        <f t="array" ref="E141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11" t="s">
        <v>2384</v>
      </c>
      <c r="G1411" s="3">
        <v>7531094</v>
      </c>
      <c r="H1411" t="s">
        <v>454</v>
      </c>
      <c r="I1411" s="4">
        <v>28931149</v>
      </c>
      <c r="J1411" t="s">
        <v>19</v>
      </c>
      <c r="K1411" s="1">
        <v>43840</v>
      </c>
      <c r="L1411">
        <v>55</v>
      </c>
      <c r="M1411" s="2" t="str">
        <f>IF(Spotify[[#This Row],[Energie]]&gt;AVERAGE(Spotify[Energie]),"FORTE","FAIBLE")</f>
        <v>FAIBLE</v>
      </c>
      <c r="N1411" s="2">
        <v>0.69499999999999995</v>
      </c>
      <c r="O1411" s="2">
        <v>0.57299999999999995</v>
      </c>
      <c r="P1411" s="2">
        <v>0.16700000000000001</v>
      </c>
      <c r="Q1411" s="2">
        <v>0.13200000000000001</v>
      </c>
      <c r="R1411" s="2">
        <v>0.156</v>
      </c>
      <c r="S1411" s="2">
        <v>0.38</v>
      </c>
      <c r="T1411" s="2">
        <v>-8.8819999999999997</v>
      </c>
      <c r="U1411">
        <v>192172</v>
      </c>
      <c r="V1411">
        <f>YEAR(Spotify[[#This Row],[Date de sortie]])</f>
        <v>2020</v>
      </c>
      <c r="W1411" s="2" t="str">
        <f>IF(Spotify[[#This Row],[Popularité]]&gt;=70,"FORTE","FAIBLE")</f>
        <v>FAIBLE</v>
      </c>
    </row>
    <row r="1412" spans="1:23" x14ac:dyDescent="0.25">
      <c r="A1412">
        <v>1513</v>
      </c>
      <c r="B1412">
        <v>107</v>
      </c>
      <c r="C1412">
        <v>1</v>
      </c>
      <c r="D1412" s="1">
        <v>43840</v>
      </c>
      <c r="E1412" s="59" t="str" cm="1">
        <f t="array" ref="E141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12" t="s">
        <v>2386</v>
      </c>
      <c r="G1412" s="3">
        <v>6693229</v>
      </c>
      <c r="H1412" t="s">
        <v>454</v>
      </c>
      <c r="I1412" s="4">
        <v>28931149</v>
      </c>
      <c r="J1412" t="s">
        <v>19</v>
      </c>
      <c r="K1412" s="1">
        <v>43840</v>
      </c>
      <c r="L1412">
        <v>55</v>
      </c>
      <c r="M1412" s="2" t="str">
        <f>IF(Spotify[[#This Row],[Energie]]&gt;AVERAGE(Spotify[Energie]),"FORTE","FAIBLE")</f>
        <v>FAIBLE</v>
      </c>
      <c r="N1412" s="2">
        <v>0.873</v>
      </c>
      <c r="O1412" s="2">
        <v>0.51</v>
      </c>
      <c r="P1412" s="2">
        <v>6.6100000000000006E-2</v>
      </c>
      <c r="Q1412" s="2">
        <v>0.56499999999999995</v>
      </c>
      <c r="R1412" s="2">
        <v>7.3800000000000004E-2</v>
      </c>
      <c r="S1412" s="2">
        <v>0.871</v>
      </c>
      <c r="T1412" s="2">
        <v>-5.35</v>
      </c>
      <c r="U1412">
        <v>148776</v>
      </c>
      <c r="V1412">
        <f>YEAR(Spotify[[#This Row],[Date de sortie]])</f>
        <v>2020</v>
      </c>
      <c r="W1412" s="2" t="str">
        <f>IF(Spotify[[#This Row],[Popularité]]&gt;=70,"FORTE","FAIBLE")</f>
        <v>FAIBLE</v>
      </c>
    </row>
    <row r="1413" spans="1:23" x14ac:dyDescent="0.25">
      <c r="A1413">
        <v>1514</v>
      </c>
      <c r="B1413">
        <v>111</v>
      </c>
      <c r="C1413">
        <v>1</v>
      </c>
      <c r="D1413" s="1">
        <v>43840</v>
      </c>
      <c r="E1413" s="59" t="str" cm="1">
        <f t="array" ref="E141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13" t="s">
        <v>2387</v>
      </c>
      <c r="G1413" s="3">
        <v>6483001</v>
      </c>
      <c r="H1413" t="s">
        <v>454</v>
      </c>
      <c r="I1413" s="4">
        <v>28931149</v>
      </c>
      <c r="J1413" t="s">
        <v>19</v>
      </c>
      <c r="K1413" s="1">
        <v>43840</v>
      </c>
      <c r="L1413">
        <v>55</v>
      </c>
      <c r="M1413" s="2" t="str">
        <f>IF(Spotify[[#This Row],[Energie]]&gt;AVERAGE(Spotify[Energie]),"FORTE","FAIBLE")</f>
        <v>FAIBLE</v>
      </c>
      <c r="N1413" s="2">
        <v>0.72399999999999998</v>
      </c>
      <c r="O1413" s="2">
        <v>0.41499999999999998</v>
      </c>
      <c r="P1413" s="2">
        <v>5.1799999999999999E-2</v>
      </c>
      <c r="Q1413" s="2">
        <v>0.76400000000000001</v>
      </c>
      <c r="R1413" s="2">
        <v>0.10299999999999999</v>
      </c>
      <c r="S1413" s="2">
        <v>0.32800000000000001</v>
      </c>
      <c r="T1413" s="2">
        <v>-8.4079999999999995</v>
      </c>
      <c r="U1413">
        <v>186459</v>
      </c>
      <c r="V1413">
        <f>YEAR(Spotify[[#This Row],[Date de sortie]])</f>
        <v>2020</v>
      </c>
      <c r="W1413" s="2" t="str">
        <f>IF(Spotify[[#This Row],[Popularité]]&gt;=70,"FORTE","FAIBLE")</f>
        <v>FAIBLE</v>
      </c>
    </row>
    <row r="1414" spans="1:23" x14ac:dyDescent="0.25">
      <c r="A1414">
        <v>642</v>
      </c>
      <c r="B1414">
        <v>47</v>
      </c>
      <c r="C1414">
        <v>5</v>
      </c>
      <c r="D1414" s="1">
        <v>44183</v>
      </c>
      <c r="E1414" s="59" t="str" cm="1">
        <f t="array" ref="E141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14" t="s">
        <v>1142</v>
      </c>
      <c r="G1414" s="3">
        <v>6404964</v>
      </c>
      <c r="H1414" t="s">
        <v>1143</v>
      </c>
      <c r="I1414" s="4">
        <v>382997</v>
      </c>
      <c r="J1414" t="s">
        <v>1144</v>
      </c>
      <c r="K1414" s="1">
        <v>32391</v>
      </c>
      <c r="L1414">
        <v>55</v>
      </c>
      <c r="M1414" s="2" t="str">
        <f>IF(Spotify[[#This Row],[Energie]]&gt;AVERAGE(Spotify[Energie]),"FORTE","FAIBLE")</f>
        <v>FAIBLE</v>
      </c>
      <c r="N1414" s="2">
        <v>0.27100000000000002</v>
      </c>
      <c r="O1414" s="2">
        <v>0.55100000000000005</v>
      </c>
      <c r="P1414" s="2">
        <v>4.5699999999999998E-2</v>
      </c>
      <c r="Q1414" s="2">
        <v>0.58199999999999996</v>
      </c>
      <c r="R1414" s="2">
        <v>0.25600000000000001</v>
      </c>
      <c r="S1414" s="2">
        <v>0.42799999999999999</v>
      </c>
      <c r="T1414" s="2">
        <v>-7.48</v>
      </c>
      <c r="U1414">
        <v>272467</v>
      </c>
      <c r="V1414">
        <f>YEAR(Spotify[[#This Row],[Date de sortie]])</f>
        <v>1988</v>
      </c>
      <c r="W1414" s="2" t="str">
        <f>IF(Spotify[[#This Row],[Popularité]]&gt;=70,"FORTE","FAIBLE")</f>
        <v>FAIBLE</v>
      </c>
    </row>
    <row r="1415" spans="1:23" x14ac:dyDescent="0.25">
      <c r="A1415">
        <v>204</v>
      </c>
      <c r="B1415">
        <v>127</v>
      </c>
      <c r="C1415">
        <v>1</v>
      </c>
      <c r="D1415" s="1">
        <v>44393</v>
      </c>
      <c r="E1415" s="59" t="str" cm="1">
        <f t="array" ref="E141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15" t="s">
        <v>418</v>
      </c>
      <c r="G1415" s="3">
        <v>6238351</v>
      </c>
      <c r="H1415" t="s">
        <v>338</v>
      </c>
      <c r="I1415" s="4">
        <v>6837946</v>
      </c>
      <c r="J1415" t="s">
        <v>158</v>
      </c>
      <c r="K1415" s="1">
        <v>44408</v>
      </c>
      <c r="L1415">
        <v>55</v>
      </c>
      <c r="M1415" s="2" t="str">
        <f>IF(Spotify[[#This Row],[Energie]]&gt;AVERAGE(Spotify[Energie]),"FORTE","FAIBLE")</f>
        <v>FAIBLE</v>
      </c>
      <c r="N1415" s="2">
        <v>0.628</v>
      </c>
      <c r="O1415" s="2">
        <v>0.58099999999999996</v>
      </c>
      <c r="P1415" s="2">
        <v>0.188</v>
      </c>
      <c r="Q1415" s="2">
        <v>0.46</v>
      </c>
      <c r="R1415" s="2">
        <v>0.152</v>
      </c>
      <c r="S1415" s="2">
        <v>0.25900000000000001</v>
      </c>
      <c r="T1415" s="2">
        <v>-8.3770000000000007</v>
      </c>
      <c r="U1415">
        <v>120828</v>
      </c>
      <c r="V1415">
        <f>YEAR(Spotify[[#This Row],[Date de sortie]])</f>
        <v>2021</v>
      </c>
      <c r="W1415" s="2" t="str">
        <f>IF(Spotify[[#This Row],[Popularité]]&gt;=70,"FORTE","FAIBLE")</f>
        <v>FAIBLE</v>
      </c>
    </row>
    <row r="1416" spans="1:23" x14ac:dyDescent="0.25">
      <c r="A1416">
        <v>207</v>
      </c>
      <c r="B1416">
        <v>150</v>
      </c>
      <c r="C1416">
        <v>1</v>
      </c>
      <c r="D1416" s="1">
        <v>44393</v>
      </c>
      <c r="E1416" s="59" t="str" cm="1">
        <f t="array" ref="E141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16" t="s">
        <v>422</v>
      </c>
      <c r="G1416" s="3">
        <v>5822266</v>
      </c>
      <c r="H1416" t="s">
        <v>338</v>
      </c>
      <c r="I1416" s="4">
        <v>6837946</v>
      </c>
      <c r="J1416" t="s">
        <v>158</v>
      </c>
      <c r="K1416" s="1">
        <v>44408</v>
      </c>
      <c r="L1416">
        <v>55</v>
      </c>
      <c r="M1416" s="2" t="str">
        <f>IF(Spotify[[#This Row],[Energie]]&gt;AVERAGE(Spotify[Energie]),"FORTE","FAIBLE")</f>
        <v>FAIBLE</v>
      </c>
      <c r="N1416" s="2">
        <v>0.441</v>
      </c>
      <c r="O1416" s="2">
        <v>0.623</v>
      </c>
      <c r="P1416" s="2">
        <v>4.1399999999999999E-2</v>
      </c>
      <c r="Q1416" s="2">
        <v>0.13500000000000001</v>
      </c>
      <c r="R1416" s="2">
        <v>0.14000000000000001</v>
      </c>
      <c r="S1416" s="2">
        <v>0.28499999999999998</v>
      </c>
      <c r="T1416" s="2">
        <v>-7.3310000000000004</v>
      </c>
      <c r="U1416">
        <v>249231</v>
      </c>
      <c r="V1416">
        <f>YEAR(Spotify[[#This Row],[Date de sortie]])</f>
        <v>2021</v>
      </c>
      <c r="W1416" s="2" t="str">
        <f>IF(Spotify[[#This Row],[Popularité]]&gt;=70,"FORTE","FAIBLE")</f>
        <v>FAIBLE</v>
      </c>
    </row>
    <row r="1417" spans="1:23" x14ac:dyDescent="0.25">
      <c r="A1417">
        <v>1362</v>
      </c>
      <c r="B1417">
        <v>151</v>
      </c>
      <c r="C1417">
        <v>1</v>
      </c>
      <c r="D1417" s="1">
        <v>43889</v>
      </c>
      <c r="E1417" s="59" t="str" cm="1">
        <f t="array" ref="E141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417" t="s">
        <v>2183</v>
      </c>
      <c r="G1417" s="3">
        <v>5724739</v>
      </c>
      <c r="H1417" t="s">
        <v>1079</v>
      </c>
      <c r="I1417" s="4">
        <v>1674348</v>
      </c>
      <c r="J1417" t="s">
        <v>206</v>
      </c>
      <c r="K1417" s="1">
        <v>43885</v>
      </c>
      <c r="L1417">
        <v>55</v>
      </c>
      <c r="M1417" s="2" t="str">
        <f>IF(Spotify[[#This Row],[Energie]]&gt;AVERAGE(Spotify[Energie]),"FORTE","FAIBLE")</f>
        <v>FAIBLE</v>
      </c>
      <c r="N1417" s="2">
        <v>0.78900000000000003</v>
      </c>
      <c r="O1417" s="2">
        <v>0.50900000000000001</v>
      </c>
      <c r="P1417" s="2">
        <v>0.29099999999999998</v>
      </c>
      <c r="Q1417" s="2">
        <v>0.76800000000000002</v>
      </c>
      <c r="R1417" s="2">
        <v>0.27200000000000002</v>
      </c>
      <c r="S1417" s="2">
        <v>0.41799999999999998</v>
      </c>
      <c r="T1417" s="2">
        <v>-8.766</v>
      </c>
      <c r="U1417">
        <v>183793</v>
      </c>
      <c r="V1417">
        <f>YEAR(Spotify[[#This Row],[Date de sortie]])</f>
        <v>2020</v>
      </c>
      <c r="W1417" s="2" t="str">
        <f>IF(Spotify[[#This Row],[Popularité]]&gt;=70,"FORTE","FAIBLE")</f>
        <v>FAIBLE</v>
      </c>
    </row>
    <row r="1418" spans="1:23" x14ac:dyDescent="0.25">
      <c r="A1418">
        <v>752</v>
      </c>
      <c r="B1418">
        <v>174</v>
      </c>
      <c r="C1418">
        <v>1</v>
      </c>
      <c r="D1418" s="1">
        <v>44155</v>
      </c>
      <c r="E1418" s="59" t="str" cm="1">
        <f t="array" ref="E141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418" t="s">
        <v>1308</v>
      </c>
      <c r="G1418" s="3">
        <v>5263469</v>
      </c>
      <c r="H1418" t="s">
        <v>1296</v>
      </c>
      <c r="I1418" s="4">
        <v>4430628</v>
      </c>
      <c r="J1418" t="s">
        <v>438</v>
      </c>
      <c r="K1418" s="1">
        <v>44183</v>
      </c>
      <c r="L1418">
        <v>55</v>
      </c>
      <c r="M1418" s="2" t="str">
        <f>IF(Spotify[[#This Row],[Energie]]&gt;AVERAGE(Spotify[Energie]),"FORTE","FAIBLE")</f>
        <v>FORTE</v>
      </c>
      <c r="N1418" s="2">
        <v>0.84599999999999997</v>
      </c>
      <c r="O1418" s="2">
        <v>0.68100000000000005</v>
      </c>
      <c r="P1418" s="2">
        <v>0.17399999999999999</v>
      </c>
      <c r="Q1418" s="2">
        <v>4.6100000000000002E-2</v>
      </c>
      <c r="R1418" s="2">
        <v>0.112</v>
      </c>
      <c r="S1418" s="2">
        <v>0.80900000000000005</v>
      </c>
      <c r="T1418" s="2">
        <v>-7.0910000000000002</v>
      </c>
      <c r="U1418">
        <v>192965</v>
      </c>
      <c r="V1418">
        <f>YEAR(Spotify[[#This Row],[Date de sortie]])</f>
        <v>2020</v>
      </c>
      <c r="W1418" s="2" t="str">
        <f>IF(Spotify[[#This Row],[Popularité]]&gt;=70,"FORTE","FAIBLE")</f>
        <v>FAIBLE</v>
      </c>
    </row>
    <row r="1419" spans="1:23" x14ac:dyDescent="0.25">
      <c r="A1419">
        <v>1116</v>
      </c>
      <c r="B1419">
        <v>139</v>
      </c>
      <c r="C1419">
        <v>1</v>
      </c>
      <c r="D1419" s="1">
        <v>43987</v>
      </c>
      <c r="E1419" s="59" t="str" cm="1">
        <f t="array" ref="E141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19" t="s">
        <v>1852</v>
      </c>
      <c r="G1419" s="3">
        <v>5029858</v>
      </c>
      <c r="H1419" t="s">
        <v>1853</v>
      </c>
      <c r="I1419" s="4">
        <v>1101597</v>
      </c>
      <c r="J1419" t="s">
        <v>1709</v>
      </c>
      <c r="K1419" s="1">
        <v>43987</v>
      </c>
      <c r="L1419">
        <v>55</v>
      </c>
      <c r="M1419" s="2" t="str">
        <f>IF(Spotify[[#This Row],[Energie]]&gt;AVERAGE(Spotify[Energie]),"FORTE","FAIBLE")</f>
        <v>FORTE</v>
      </c>
      <c r="N1419" s="2">
        <v>0.76100000000000001</v>
      </c>
      <c r="O1419" s="2">
        <v>0.65700000000000003</v>
      </c>
      <c r="P1419" s="2">
        <v>0.13800000000000001</v>
      </c>
      <c r="Q1419" s="2">
        <v>0.114</v>
      </c>
      <c r="R1419" s="2">
        <v>0.35599999999999998</v>
      </c>
      <c r="S1419" s="2">
        <v>0.58899999999999997</v>
      </c>
      <c r="T1419" s="2">
        <v>-7.2460000000000004</v>
      </c>
      <c r="U1419">
        <v>182040</v>
      </c>
      <c r="V1419">
        <f>YEAR(Spotify[[#This Row],[Date de sortie]])</f>
        <v>2020</v>
      </c>
      <c r="W1419" s="2" t="str">
        <f>IF(Spotify[[#This Row],[Popularité]]&gt;=70,"FORTE","FAIBLE")</f>
        <v>FAIBLE</v>
      </c>
    </row>
    <row r="1420" spans="1:23" x14ac:dyDescent="0.25">
      <c r="A1420">
        <v>952</v>
      </c>
      <c r="B1420">
        <v>59</v>
      </c>
      <c r="C1420">
        <v>6</v>
      </c>
      <c r="D1420" s="1">
        <v>44029</v>
      </c>
      <c r="E1420" s="59" t="str" cm="1">
        <f t="array" ref="E142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420" t="s">
        <v>1623</v>
      </c>
      <c r="G1420" s="3">
        <v>4737306</v>
      </c>
      <c r="H1420" t="s">
        <v>850</v>
      </c>
      <c r="I1420" s="4">
        <v>2203386</v>
      </c>
      <c r="J1420" t="s">
        <v>1595</v>
      </c>
      <c r="K1420" s="1">
        <v>43924</v>
      </c>
      <c r="L1420">
        <v>55</v>
      </c>
      <c r="M1420" s="2" t="str">
        <f>IF(Spotify[[#This Row],[Energie]]&gt;AVERAGE(Spotify[Energie]),"FORTE","FAIBLE")</f>
        <v>FAIBLE</v>
      </c>
      <c r="N1420" s="2">
        <v>0.90400000000000003</v>
      </c>
      <c r="O1420" s="2">
        <v>0.26</v>
      </c>
      <c r="P1420" s="2">
        <v>0.10100000000000001</v>
      </c>
      <c r="Q1420" s="2">
        <v>0.27700000000000002</v>
      </c>
      <c r="R1420" s="2">
        <v>0.121</v>
      </c>
      <c r="S1420" s="2">
        <v>0.23100000000000001</v>
      </c>
      <c r="T1420" s="2">
        <v>-17.57</v>
      </c>
      <c r="U1420">
        <v>167147</v>
      </c>
      <c r="V1420">
        <f>YEAR(Spotify[[#This Row],[Date de sortie]])</f>
        <v>2020</v>
      </c>
      <c r="W1420" s="2" t="str">
        <f>IF(Spotify[[#This Row],[Popularité]]&gt;=70,"FORTE","FAIBLE")</f>
        <v>FAIBLE</v>
      </c>
    </row>
    <row r="1421" spans="1:23" x14ac:dyDescent="0.25">
      <c r="A1421">
        <v>629</v>
      </c>
      <c r="B1421">
        <v>11</v>
      </c>
      <c r="C1421">
        <v>6</v>
      </c>
      <c r="D1421" s="1">
        <v>44183</v>
      </c>
      <c r="E1421" s="59" t="str" cm="1">
        <f t="array" ref="E142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21" t="s">
        <v>1117</v>
      </c>
      <c r="G1421" s="3">
        <v>10884855</v>
      </c>
      <c r="H1421" t="s">
        <v>1118</v>
      </c>
      <c r="I1421" s="4">
        <v>1139096</v>
      </c>
      <c r="J1421" t="s">
        <v>1106</v>
      </c>
      <c r="K1421" s="1">
        <v>21551</v>
      </c>
      <c r="L1421">
        <v>54</v>
      </c>
      <c r="M1421" s="2" t="str">
        <f>IF(Spotify[[#This Row],[Energie]]&gt;AVERAGE(Spotify[Energie]),"FORTE","FAIBLE")</f>
        <v>FAIBLE</v>
      </c>
      <c r="N1421" s="2">
        <v>0.45100000000000001</v>
      </c>
      <c r="O1421" s="2">
        <v>0.24</v>
      </c>
      <c r="P1421" s="2">
        <v>3.5099999999999999E-2</v>
      </c>
      <c r="Q1421" s="2">
        <v>0.91200000000000003</v>
      </c>
      <c r="R1421" s="2">
        <v>0.17499999999999999</v>
      </c>
      <c r="S1421" s="2">
        <v>0.70099999999999996</v>
      </c>
      <c r="T1421" s="2">
        <v>-14.013999999999999</v>
      </c>
      <c r="U1421">
        <v>117147</v>
      </c>
      <c r="V1421">
        <f>YEAR(Spotify[[#This Row],[Date de sortie]])</f>
        <v>1959</v>
      </c>
      <c r="W1421" s="2" t="str">
        <f>IF(Spotify[[#This Row],[Popularité]]&gt;=70,"FORTE","FAIBLE")</f>
        <v>FAIBLE</v>
      </c>
    </row>
    <row r="1422" spans="1:23" x14ac:dyDescent="0.25">
      <c r="A1422">
        <v>1114</v>
      </c>
      <c r="B1422">
        <v>86</v>
      </c>
      <c r="C1422">
        <v>1</v>
      </c>
      <c r="D1422" s="1">
        <v>43987</v>
      </c>
      <c r="E1422" s="59" t="str" cm="1">
        <f t="array" ref="E142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422" t="s">
        <v>1850</v>
      </c>
      <c r="G1422" s="3">
        <v>6375562</v>
      </c>
      <c r="H1422" t="s">
        <v>1079</v>
      </c>
      <c r="I1422" s="4">
        <v>1674348</v>
      </c>
      <c r="J1422" t="s">
        <v>206</v>
      </c>
      <c r="K1422" s="1">
        <v>44043</v>
      </c>
      <c r="L1422">
        <v>54</v>
      </c>
      <c r="M1422" s="2" t="str">
        <f>IF(Spotify[[#This Row],[Energie]]&gt;AVERAGE(Spotify[Energie]),"FORTE","FAIBLE")</f>
        <v>FAIBLE</v>
      </c>
      <c r="N1422" s="2">
        <v>0.53400000000000003</v>
      </c>
      <c r="O1422" s="2">
        <v>0.56499999999999995</v>
      </c>
      <c r="P1422" s="2">
        <v>0.307</v>
      </c>
      <c r="Q1422" s="2">
        <v>6.2700000000000006E-2</v>
      </c>
      <c r="R1422" s="2">
        <v>0.112</v>
      </c>
      <c r="S1422" s="2">
        <v>0.52900000000000003</v>
      </c>
      <c r="T1422" s="2">
        <v>-7.5460000000000003</v>
      </c>
      <c r="U1422">
        <v>193360</v>
      </c>
      <c r="V1422">
        <f>YEAR(Spotify[[#This Row],[Date de sortie]])</f>
        <v>2020</v>
      </c>
      <c r="W1422" s="2" t="str">
        <f>IF(Spotify[[#This Row],[Popularité]]&gt;=70,"FORTE","FAIBLE")</f>
        <v>FAIBLE</v>
      </c>
    </row>
    <row r="1423" spans="1:23" x14ac:dyDescent="0.25">
      <c r="A1423">
        <v>1515</v>
      </c>
      <c r="B1423">
        <v>119</v>
      </c>
      <c r="C1423">
        <v>1</v>
      </c>
      <c r="D1423" s="1">
        <v>43840</v>
      </c>
      <c r="E1423" s="59" t="str" cm="1">
        <f t="array" ref="E142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23" t="s">
        <v>2388</v>
      </c>
      <c r="G1423" s="3">
        <v>6255954</v>
      </c>
      <c r="H1423" t="s">
        <v>454</v>
      </c>
      <c r="I1423" s="4">
        <v>28931149</v>
      </c>
      <c r="J1423" t="s">
        <v>19</v>
      </c>
      <c r="K1423" s="1">
        <v>43840</v>
      </c>
      <c r="L1423">
        <v>54</v>
      </c>
      <c r="M1423" s="2" t="str">
        <f>IF(Spotify[[#This Row],[Energie]]&gt;AVERAGE(Spotify[Energie]),"FORTE","FAIBLE")</f>
        <v>FAIBLE</v>
      </c>
      <c r="N1423" s="2">
        <v>0.69499999999999995</v>
      </c>
      <c r="O1423" s="2">
        <v>0.62</v>
      </c>
      <c r="P1423" s="2">
        <v>5.21E-2</v>
      </c>
      <c r="Q1423" s="2">
        <v>8.8099999999999998E-2</v>
      </c>
      <c r="R1423" s="2">
        <v>0.111</v>
      </c>
      <c r="S1423" s="2">
        <v>0.62</v>
      </c>
      <c r="T1423" s="2">
        <v>-8.0820000000000007</v>
      </c>
      <c r="U1423">
        <v>194900</v>
      </c>
      <c r="V1423">
        <f>YEAR(Spotify[[#This Row],[Date de sortie]])</f>
        <v>2020</v>
      </c>
      <c r="W1423" s="2" t="str">
        <f>IF(Spotify[[#This Row],[Popularité]]&gt;=70,"FORTE","FAIBLE")</f>
        <v>FAIBLE</v>
      </c>
    </row>
    <row r="1424" spans="1:23" x14ac:dyDescent="0.25">
      <c r="A1424">
        <v>205</v>
      </c>
      <c r="B1424">
        <v>129</v>
      </c>
      <c r="C1424">
        <v>1</v>
      </c>
      <c r="D1424" s="1">
        <v>44393</v>
      </c>
      <c r="E1424" s="59" t="str" cm="1">
        <f t="array" ref="E142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24" t="s">
        <v>419</v>
      </c>
      <c r="G1424" s="3">
        <v>6161664</v>
      </c>
      <c r="H1424" t="s">
        <v>338</v>
      </c>
      <c r="I1424" s="4">
        <v>6837946</v>
      </c>
      <c r="J1424" t="s">
        <v>158</v>
      </c>
      <c r="K1424" s="1">
        <v>44408</v>
      </c>
      <c r="L1424">
        <v>54</v>
      </c>
      <c r="M1424" s="2" t="str">
        <f>IF(Spotify[[#This Row],[Energie]]&gt;AVERAGE(Spotify[Energie]),"FORTE","FAIBLE")</f>
        <v>FAIBLE</v>
      </c>
      <c r="N1424" s="2">
        <v>0.91200000000000003</v>
      </c>
      <c r="O1424" s="2">
        <v>0.58899999999999997</v>
      </c>
      <c r="P1424" s="2">
        <v>0.2</v>
      </c>
      <c r="Q1424" s="2">
        <v>3.32E-2</v>
      </c>
      <c r="R1424" s="2">
        <v>7.9500000000000001E-2</v>
      </c>
      <c r="S1424" s="2">
        <v>0.48599999999999999</v>
      </c>
      <c r="T1424" s="2">
        <v>-7.476</v>
      </c>
      <c r="U1424">
        <v>123549</v>
      </c>
      <c r="V1424">
        <f>YEAR(Spotify[[#This Row],[Date de sortie]])</f>
        <v>2021</v>
      </c>
      <c r="W1424" s="2" t="str">
        <f>IF(Spotify[[#This Row],[Popularité]]&gt;=70,"FORTE","FAIBLE")</f>
        <v>FAIBLE</v>
      </c>
    </row>
    <row r="1425" spans="1:23" x14ac:dyDescent="0.25">
      <c r="A1425">
        <v>712</v>
      </c>
      <c r="B1425">
        <v>183</v>
      </c>
      <c r="C1425">
        <v>1</v>
      </c>
      <c r="D1425" s="1">
        <v>44176</v>
      </c>
      <c r="E1425" s="59" t="str" cm="1">
        <f t="array" ref="E142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425" t="s">
        <v>1254</v>
      </c>
      <c r="G1425" s="3">
        <v>6108393</v>
      </c>
      <c r="H1425" t="s">
        <v>1092</v>
      </c>
      <c r="I1425" s="4">
        <v>5002317</v>
      </c>
      <c r="J1425" t="s">
        <v>426</v>
      </c>
      <c r="K1425" s="1">
        <v>44176</v>
      </c>
      <c r="L1425">
        <v>54</v>
      </c>
      <c r="M1425" s="2" t="str">
        <f>IF(Spotify[[#This Row],[Energie]]&gt;AVERAGE(Spotify[Energie]),"FORTE","FAIBLE")</f>
        <v>FAIBLE</v>
      </c>
      <c r="N1425" s="2">
        <v>0.33100000000000002</v>
      </c>
      <c r="O1425" s="2">
        <v>0.51300000000000001</v>
      </c>
      <c r="P1425" s="2">
        <v>0.63200000000000001</v>
      </c>
      <c r="Q1425" s="2">
        <v>0.97199999999999998</v>
      </c>
      <c r="R1425" s="2">
        <v>0.88200000000000001</v>
      </c>
      <c r="S1425" s="2">
        <v>0.42</v>
      </c>
      <c r="T1425" s="2">
        <v>-15.391999999999999</v>
      </c>
      <c r="U1425">
        <v>37013</v>
      </c>
      <c r="V1425">
        <f>YEAR(Spotify[[#This Row],[Date de sortie]])</f>
        <v>2020</v>
      </c>
      <c r="W1425" s="2" t="str">
        <f>IF(Spotify[[#This Row],[Popularité]]&gt;=70,"FORTE","FAIBLE")</f>
        <v>FAIBLE</v>
      </c>
    </row>
    <row r="1426" spans="1:23" x14ac:dyDescent="0.25">
      <c r="A1426">
        <v>1304</v>
      </c>
      <c r="B1426">
        <v>126</v>
      </c>
      <c r="C1426">
        <v>2</v>
      </c>
      <c r="D1426" s="1">
        <v>43896</v>
      </c>
      <c r="E1426" s="59" t="str" cm="1">
        <f t="array" ref="E142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426" t="s">
        <v>2111</v>
      </c>
      <c r="G1426" s="3">
        <v>5895243</v>
      </c>
      <c r="H1426" t="s">
        <v>2112</v>
      </c>
      <c r="I1426" s="4">
        <v>4764552</v>
      </c>
      <c r="J1426" t="s">
        <v>930</v>
      </c>
      <c r="K1426" s="1">
        <v>43897</v>
      </c>
      <c r="L1426">
        <v>54</v>
      </c>
      <c r="M1426" s="2" t="str">
        <f>IF(Spotify[[#This Row],[Energie]]&gt;AVERAGE(Spotify[Energie]),"FORTE","FAIBLE")</f>
        <v>FAIBLE</v>
      </c>
      <c r="N1426" s="2">
        <v>0.48699999999999999</v>
      </c>
      <c r="O1426" s="2">
        <v>0.39800000000000002</v>
      </c>
      <c r="P1426" s="2">
        <v>6.9699999999999998E-2</v>
      </c>
      <c r="Q1426" s="2">
        <v>0.83499999999999996</v>
      </c>
      <c r="R1426" s="2">
        <v>0.12</v>
      </c>
      <c r="S1426" s="2">
        <v>0.90500000000000003</v>
      </c>
      <c r="T1426" s="2">
        <v>-9.9009999999999998</v>
      </c>
      <c r="U1426">
        <v>157766</v>
      </c>
      <c r="V1426">
        <f>YEAR(Spotify[[#This Row],[Date de sortie]])</f>
        <v>2020</v>
      </c>
      <c r="W1426" s="2" t="str">
        <f>IF(Spotify[[#This Row],[Popularité]]&gt;=70,"FORTE","FAIBLE")</f>
        <v>FAIBLE</v>
      </c>
    </row>
    <row r="1427" spans="1:23" x14ac:dyDescent="0.25">
      <c r="A1427">
        <v>1268</v>
      </c>
      <c r="B1427">
        <v>132</v>
      </c>
      <c r="C1427">
        <v>1</v>
      </c>
      <c r="D1427" s="1">
        <v>43917</v>
      </c>
      <c r="E1427" s="59" t="str" cm="1">
        <f t="array" ref="E142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427" t="s">
        <v>2062</v>
      </c>
      <c r="G1427" s="3">
        <v>5878493</v>
      </c>
      <c r="H1427" t="s">
        <v>2063</v>
      </c>
      <c r="I1427" s="4">
        <v>900975</v>
      </c>
      <c r="J1427" t="s">
        <v>2064</v>
      </c>
      <c r="K1427" s="1">
        <v>43917</v>
      </c>
      <c r="L1427">
        <v>54</v>
      </c>
      <c r="M1427" s="2" t="str">
        <f>IF(Spotify[[#This Row],[Energie]]&gt;AVERAGE(Spotify[Energie]),"FORTE","FAIBLE")</f>
        <v>FAIBLE</v>
      </c>
      <c r="N1427" s="2">
        <v>0.76100000000000001</v>
      </c>
      <c r="O1427" s="2">
        <v>0.55600000000000005</v>
      </c>
      <c r="P1427" s="2">
        <v>0.36399999999999999</v>
      </c>
      <c r="Q1427" s="2">
        <v>0.13800000000000001</v>
      </c>
      <c r="R1427" s="2">
        <v>9.7600000000000006E-2</v>
      </c>
      <c r="S1427" s="2">
        <v>0.52100000000000002</v>
      </c>
      <c r="T1427" s="2">
        <v>-6.9429999999999996</v>
      </c>
      <c r="U1427">
        <v>160357</v>
      </c>
      <c r="V1427">
        <f>YEAR(Spotify[[#This Row],[Date de sortie]])</f>
        <v>2020</v>
      </c>
      <c r="W1427" s="2" t="str">
        <f>IF(Spotify[[#This Row],[Popularité]]&gt;=70,"FORTE","FAIBLE")</f>
        <v>FAIBLE</v>
      </c>
    </row>
    <row r="1428" spans="1:23" x14ac:dyDescent="0.25">
      <c r="A1428">
        <v>1417</v>
      </c>
      <c r="B1428">
        <v>141</v>
      </c>
      <c r="C1428">
        <v>1</v>
      </c>
      <c r="D1428" s="1">
        <v>43875</v>
      </c>
      <c r="E1428" s="59" t="str" cm="1">
        <f t="array" ref="E142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28" t="s">
        <v>2258</v>
      </c>
      <c r="G1428" s="3">
        <v>5858768</v>
      </c>
      <c r="H1428" t="s">
        <v>35</v>
      </c>
      <c r="I1428" s="4">
        <v>48544923</v>
      </c>
      <c r="J1428" t="s">
        <v>36</v>
      </c>
      <c r="K1428" s="1">
        <v>43875</v>
      </c>
      <c r="L1428">
        <v>54</v>
      </c>
      <c r="M1428" s="2" t="str">
        <f>IF(Spotify[[#This Row],[Energie]]&gt;AVERAGE(Spotify[Energie]),"FORTE","FAIBLE")</f>
        <v>FAIBLE</v>
      </c>
      <c r="N1428" s="2">
        <v>0.77200000000000002</v>
      </c>
      <c r="O1428" s="2">
        <v>0.61599999999999999</v>
      </c>
      <c r="P1428" s="2">
        <v>0.10199999999999999</v>
      </c>
      <c r="Q1428" s="2">
        <v>3.3700000000000002E-3</v>
      </c>
      <c r="R1428" s="2">
        <v>0.104</v>
      </c>
      <c r="S1428" s="2">
        <v>0.27900000000000003</v>
      </c>
      <c r="T1428" s="2">
        <v>-4.673</v>
      </c>
      <c r="U1428">
        <v>178013</v>
      </c>
      <c r="V1428">
        <f>YEAR(Spotify[[#This Row],[Date de sortie]])</f>
        <v>2020</v>
      </c>
      <c r="W1428" s="2" t="str">
        <f>IF(Spotify[[#This Row],[Popularité]]&gt;=70,"FORTE","FAIBLE")</f>
        <v>FAIBLE</v>
      </c>
    </row>
    <row r="1429" spans="1:23" x14ac:dyDescent="0.25">
      <c r="A1429">
        <v>212</v>
      </c>
      <c r="B1429">
        <v>180</v>
      </c>
      <c r="C1429">
        <v>1</v>
      </c>
      <c r="D1429" s="1">
        <v>44393</v>
      </c>
      <c r="E1429" s="59" t="str" cm="1">
        <f t="array" ref="E142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29" t="s">
        <v>433</v>
      </c>
      <c r="G1429" s="3">
        <v>5335271</v>
      </c>
      <c r="H1429" t="s">
        <v>338</v>
      </c>
      <c r="I1429" s="4">
        <v>6837946</v>
      </c>
      <c r="J1429" t="s">
        <v>158</v>
      </c>
      <c r="K1429" s="1">
        <v>44408</v>
      </c>
      <c r="L1429">
        <v>54</v>
      </c>
      <c r="M1429" s="2" t="str">
        <f>IF(Spotify[[#This Row],[Energie]]&gt;AVERAGE(Spotify[Energie]),"FORTE","FAIBLE")</f>
        <v>FORTE</v>
      </c>
      <c r="N1429" s="2">
        <v>0.65400000000000003</v>
      </c>
      <c r="O1429" s="2">
        <v>0.72399999999999998</v>
      </c>
      <c r="P1429" s="2">
        <v>0.35499999999999998</v>
      </c>
      <c r="Q1429" s="2">
        <v>0.106</v>
      </c>
      <c r="R1429" s="2">
        <v>0.65500000000000003</v>
      </c>
      <c r="S1429" s="2">
        <v>0.71699999999999997</v>
      </c>
      <c r="T1429" s="2">
        <v>-6.59</v>
      </c>
      <c r="U1429">
        <v>150449</v>
      </c>
      <c r="V1429">
        <f>YEAR(Spotify[[#This Row],[Date de sortie]])</f>
        <v>2021</v>
      </c>
      <c r="W1429" s="2" t="str">
        <f>IF(Spotify[[#This Row],[Popularité]]&gt;=70,"FORTE","FAIBLE")</f>
        <v>FAIBLE</v>
      </c>
    </row>
    <row r="1430" spans="1:23" x14ac:dyDescent="0.25">
      <c r="A1430">
        <v>844</v>
      </c>
      <c r="B1430">
        <v>46</v>
      </c>
      <c r="C1430">
        <v>2</v>
      </c>
      <c r="D1430" s="1">
        <v>44106</v>
      </c>
      <c r="E1430" s="59" t="str" cm="1">
        <f t="array" ref="E143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30" t="s">
        <v>1458</v>
      </c>
      <c r="G1430" s="3">
        <v>5304382</v>
      </c>
      <c r="H1430" t="s">
        <v>917</v>
      </c>
      <c r="I1430" s="4">
        <v>23848461</v>
      </c>
      <c r="J1430" t="s">
        <v>33</v>
      </c>
      <c r="K1430" s="1">
        <v>44411</v>
      </c>
      <c r="L1430">
        <v>54</v>
      </c>
      <c r="M1430" s="2" t="str">
        <f>IF(Spotify[[#This Row],[Energie]]&gt;AVERAGE(Spotify[Energie]),"FORTE","FAIBLE")</f>
        <v>FAIBLE</v>
      </c>
      <c r="N1430" s="2">
        <v>0.53500000000000003</v>
      </c>
      <c r="O1430" s="2">
        <v>0.434</v>
      </c>
      <c r="P1430" s="2">
        <v>5.0500000000000003E-2</v>
      </c>
      <c r="Q1430" s="2">
        <v>0.40500000000000003</v>
      </c>
      <c r="R1430" s="2">
        <v>0.253</v>
      </c>
      <c r="S1430" s="2">
        <v>0.27100000000000002</v>
      </c>
      <c r="T1430" s="2">
        <v>-5.7679999999999998</v>
      </c>
      <c r="U1430">
        <v>229236</v>
      </c>
      <c r="V1430">
        <f>YEAR(Spotify[[#This Row],[Date de sortie]])</f>
        <v>2021</v>
      </c>
      <c r="W1430" s="2" t="str">
        <f>IF(Spotify[[#This Row],[Popularité]]&gt;=70,"FORTE","FAIBLE")</f>
        <v>FAIBLE</v>
      </c>
    </row>
    <row r="1431" spans="1:23" x14ac:dyDescent="0.25">
      <c r="A1431">
        <v>1274</v>
      </c>
      <c r="B1431">
        <v>161</v>
      </c>
      <c r="C1431">
        <v>1</v>
      </c>
      <c r="D1431" s="1">
        <v>43917</v>
      </c>
      <c r="E1431" s="59" t="str" cm="1">
        <f t="array" ref="E143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431" t="s">
        <v>2070</v>
      </c>
      <c r="G1431" s="3">
        <v>5119993</v>
      </c>
      <c r="H1431" t="s">
        <v>1982</v>
      </c>
      <c r="I1431" s="4">
        <v>1700759</v>
      </c>
      <c r="J1431" t="s">
        <v>1685</v>
      </c>
      <c r="K1431" s="1">
        <v>43917</v>
      </c>
      <c r="L1431">
        <v>54</v>
      </c>
      <c r="M1431" s="2" t="str">
        <f>IF(Spotify[[#This Row],[Energie]]&gt;AVERAGE(Spotify[Energie]),"FORTE","FAIBLE")</f>
        <v>FAIBLE</v>
      </c>
      <c r="N1431" s="2">
        <v>0.77400000000000002</v>
      </c>
      <c r="O1431" s="2">
        <v>0.58799999999999997</v>
      </c>
      <c r="P1431" s="2">
        <v>0.22500000000000001</v>
      </c>
      <c r="Q1431" s="2">
        <v>3.8600000000000002E-2</v>
      </c>
      <c r="R1431" s="2">
        <v>0.25800000000000001</v>
      </c>
      <c r="S1431" s="2">
        <v>0.39200000000000002</v>
      </c>
      <c r="T1431" s="2">
        <v>-8.5289999999999999</v>
      </c>
      <c r="U1431">
        <v>147353</v>
      </c>
      <c r="V1431">
        <f>YEAR(Spotify[[#This Row],[Date de sortie]])</f>
        <v>2020</v>
      </c>
      <c r="W1431" s="2" t="str">
        <f>IF(Spotify[[#This Row],[Popularité]]&gt;=70,"FORTE","FAIBLE")</f>
        <v>FAIBLE</v>
      </c>
    </row>
    <row r="1432" spans="1:23" x14ac:dyDescent="0.25">
      <c r="A1432">
        <v>1428</v>
      </c>
      <c r="B1432">
        <v>193</v>
      </c>
      <c r="C1432">
        <v>1</v>
      </c>
      <c r="D1432" s="1">
        <v>43875</v>
      </c>
      <c r="E1432" s="59" t="str" cm="1">
        <f t="array" ref="E143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32" t="s">
        <v>2272</v>
      </c>
      <c r="G1432" s="3">
        <v>5033764</v>
      </c>
      <c r="H1432" t="s">
        <v>35</v>
      </c>
      <c r="I1432" s="4">
        <v>48544923</v>
      </c>
      <c r="J1432" t="s">
        <v>36</v>
      </c>
      <c r="K1432" s="1">
        <v>43875</v>
      </c>
      <c r="L1432">
        <v>54</v>
      </c>
      <c r="M1432" s="2" t="str">
        <f>IF(Spotify[[#This Row],[Energie]]&gt;AVERAGE(Spotify[Energie]),"FORTE","FAIBLE")</f>
        <v>FAIBLE</v>
      </c>
      <c r="N1432" s="2">
        <v>0.375</v>
      </c>
      <c r="O1432" s="2">
        <v>0.30399999999999999</v>
      </c>
      <c r="P1432" s="2">
        <v>3.2500000000000001E-2</v>
      </c>
      <c r="Q1432" s="2">
        <v>0.68300000000000005</v>
      </c>
      <c r="R1432" s="2">
        <v>0.19600000000000001</v>
      </c>
      <c r="S1432" s="2">
        <v>0.29499999999999998</v>
      </c>
      <c r="T1432" s="2">
        <v>-9.8970000000000002</v>
      </c>
      <c r="U1432">
        <v>149653</v>
      </c>
      <c r="V1432">
        <f>YEAR(Spotify[[#This Row],[Date de sortie]])</f>
        <v>2020</v>
      </c>
      <c r="W1432" s="2" t="str">
        <f>IF(Spotify[[#This Row],[Popularité]]&gt;=70,"FORTE","FAIBLE")</f>
        <v>FAIBLE</v>
      </c>
    </row>
    <row r="1433" spans="1:23" x14ac:dyDescent="0.25">
      <c r="A1433">
        <v>630</v>
      </c>
      <c r="B1433">
        <v>19</v>
      </c>
      <c r="C1433">
        <v>6</v>
      </c>
      <c r="D1433" s="1">
        <v>44183</v>
      </c>
      <c r="E1433" s="59" t="str" cm="1">
        <f t="array" ref="E143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33" t="s">
        <v>1119</v>
      </c>
      <c r="G1433" s="3">
        <v>10787165</v>
      </c>
      <c r="H1433" t="s">
        <v>1120</v>
      </c>
      <c r="I1433" s="4">
        <v>4953667</v>
      </c>
      <c r="J1433" t="s">
        <v>1106</v>
      </c>
      <c r="K1433" s="1">
        <v>34646</v>
      </c>
      <c r="L1433">
        <v>53</v>
      </c>
      <c r="M1433" s="2" t="str">
        <f>IF(Spotify[[#This Row],[Energie]]&gt;AVERAGE(Spotify[Energie]),"FORTE","FAIBLE")</f>
        <v>FAIBLE</v>
      </c>
      <c r="N1433" s="2">
        <v>0.65200000000000002</v>
      </c>
      <c r="O1433" s="2">
        <v>0.25900000000000001</v>
      </c>
      <c r="P1433" s="2">
        <v>5.9499999999999997E-2</v>
      </c>
      <c r="Q1433" s="2">
        <v>0.90300000000000002</v>
      </c>
      <c r="R1433" s="2">
        <v>0.36199999999999999</v>
      </c>
      <c r="S1433" s="2">
        <v>0.83599999999999997</v>
      </c>
      <c r="T1433" s="2">
        <v>-13.336</v>
      </c>
      <c r="U1433">
        <v>155453</v>
      </c>
      <c r="V1433">
        <f>YEAR(Spotify[[#This Row],[Date de sortie]])</f>
        <v>1994</v>
      </c>
      <c r="W1433" s="2" t="str">
        <f>IF(Spotify[[#This Row],[Popularité]]&gt;=70,"FORTE","FAIBLE")</f>
        <v>FAIBLE</v>
      </c>
    </row>
    <row r="1434" spans="1:23" x14ac:dyDescent="0.25">
      <c r="A1434">
        <v>656</v>
      </c>
      <c r="B1434">
        <v>74</v>
      </c>
      <c r="C1434">
        <v>3</v>
      </c>
      <c r="D1434" s="1">
        <v>44183</v>
      </c>
      <c r="E1434" s="59" t="str" cm="1">
        <f t="array" ref="E143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34" t="s">
        <v>1171</v>
      </c>
      <c r="G1434" s="3">
        <v>10455065</v>
      </c>
      <c r="H1434" t="s">
        <v>325</v>
      </c>
      <c r="I1434" s="4">
        <v>31161671</v>
      </c>
      <c r="J1434" t="s">
        <v>326</v>
      </c>
      <c r="K1434" s="1">
        <v>42720</v>
      </c>
      <c r="L1434">
        <v>53</v>
      </c>
      <c r="M1434" s="2" t="str">
        <f>IF(Spotify[[#This Row],[Energie]]&gt;AVERAGE(Spotify[Energie]),"FORTE","FAIBLE")</f>
        <v>FAIBLE</v>
      </c>
      <c r="N1434" s="2">
        <v>0.29499999999999998</v>
      </c>
      <c r="O1434" s="2">
        <v>0.496</v>
      </c>
      <c r="P1434" s="2">
        <v>3.27E-2</v>
      </c>
      <c r="Q1434" s="2">
        <v>0.20699999999999999</v>
      </c>
      <c r="R1434" s="2">
        <v>0.85799999999999998</v>
      </c>
      <c r="S1434" s="2">
        <v>0.224</v>
      </c>
      <c r="T1434" s="2">
        <v>-9.4779999999999998</v>
      </c>
      <c r="U1434">
        <v>268521</v>
      </c>
      <c r="V1434">
        <f>YEAR(Spotify[[#This Row],[Date de sortie]])</f>
        <v>2016</v>
      </c>
      <c r="W1434" s="2" t="str">
        <f>IF(Spotify[[#This Row],[Popularité]]&gt;=70,"FORTE","FAIBLE")</f>
        <v>FAIBLE</v>
      </c>
    </row>
    <row r="1435" spans="1:23" x14ac:dyDescent="0.25">
      <c r="A1435">
        <v>636</v>
      </c>
      <c r="B1435">
        <v>24</v>
      </c>
      <c r="C1435">
        <v>5</v>
      </c>
      <c r="D1435" s="1">
        <v>44183</v>
      </c>
      <c r="E1435" s="59" t="str" cm="1">
        <f t="array" ref="E143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1435" t="s">
        <v>1130</v>
      </c>
      <c r="G1435" s="3">
        <v>9509781</v>
      </c>
      <c r="H1435" t="s">
        <v>1131</v>
      </c>
      <c r="I1435" s="4">
        <v>4313100</v>
      </c>
      <c r="J1435" t="s">
        <v>360</v>
      </c>
      <c r="K1435" s="1">
        <v>40456</v>
      </c>
      <c r="L1435">
        <v>53</v>
      </c>
      <c r="M1435" s="2" t="str">
        <f>IF(Spotify[[#This Row],[Energie]]&gt;AVERAGE(Spotify[Energie]),"FORTE","FAIBLE")</f>
        <v>FORTE</v>
      </c>
      <c r="N1435" s="2">
        <v>0.32100000000000001</v>
      </c>
      <c r="O1435" s="2">
        <v>0.64</v>
      </c>
      <c r="P1435" s="2">
        <v>3.2399999999999998E-2</v>
      </c>
      <c r="Q1435" s="2">
        <v>0.28000000000000003</v>
      </c>
      <c r="R1435" s="2">
        <v>0.71799999999999997</v>
      </c>
      <c r="S1435" s="2">
        <v>0.41399999999999998</v>
      </c>
      <c r="T1435" s="2">
        <v>-10.023</v>
      </c>
      <c r="U1435">
        <v>214333</v>
      </c>
      <c r="V1435">
        <f>YEAR(Spotify[[#This Row],[Date de sortie]])</f>
        <v>2010</v>
      </c>
      <c r="W1435" s="2" t="str">
        <f>IF(Spotify[[#This Row],[Popularité]]&gt;=70,"FORTE","FAIBLE")</f>
        <v>FAIBLE</v>
      </c>
    </row>
    <row r="1436" spans="1:23" x14ac:dyDescent="0.25">
      <c r="A1436">
        <v>638</v>
      </c>
      <c r="B1436">
        <v>32</v>
      </c>
      <c r="C1436">
        <v>5</v>
      </c>
      <c r="D1436" s="1">
        <v>44183</v>
      </c>
      <c r="E1436" s="59" t="str" cm="1">
        <f t="array" ref="E143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36" t="s">
        <v>1134</v>
      </c>
      <c r="G1436" s="3">
        <v>8478518</v>
      </c>
      <c r="H1436" t="s">
        <v>1135</v>
      </c>
      <c r="I1436" s="4">
        <v>1634288</v>
      </c>
      <c r="J1436" t="s">
        <v>1106</v>
      </c>
      <c r="K1436" s="1">
        <v>22647</v>
      </c>
      <c r="L1436">
        <v>53</v>
      </c>
      <c r="M1436" s="2" t="str">
        <f>IF(Spotify[[#This Row],[Energie]]&gt;AVERAGE(Spotify[Energie]),"FORTE","FAIBLE")</f>
        <v>FAIBLE</v>
      </c>
      <c r="N1436" s="2">
        <v>0.31900000000000001</v>
      </c>
      <c r="O1436" s="2">
        <v>0.21</v>
      </c>
      <c r="P1436" s="2">
        <v>3.4099999999999998E-2</v>
      </c>
      <c r="Q1436" s="2">
        <v>0.92</v>
      </c>
      <c r="R1436" s="2">
        <v>0.13800000000000001</v>
      </c>
      <c r="S1436" s="2">
        <v>0.20899999999999999</v>
      </c>
      <c r="T1436" s="2">
        <v>-15.231</v>
      </c>
      <c r="U1436">
        <v>192160</v>
      </c>
      <c r="V1436">
        <f>YEAR(Spotify[[#This Row],[Date de sortie]])</f>
        <v>1962</v>
      </c>
      <c r="W1436" s="2" t="str">
        <f>IF(Spotify[[#This Row],[Popularité]]&gt;=70,"FORTE","FAIBLE")</f>
        <v>FAIBLE</v>
      </c>
    </row>
    <row r="1437" spans="1:23" x14ac:dyDescent="0.25">
      <c r="A1437">
        <v>1338</v>
      </c>
      <c r="B1437">
        <v>140</v>
      </c>
      <c r="C1437">
        <v>1</v>
      </c>
      <c r="D1437" s="1">
        <v>43896</v>
      </c>
      <c r="E1437" s="59" t="str" cm="1">
        <f t="array" ref="E143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437" t="s">
        <v>2153</v>
      </c>
      <c r="G1437" s="3">
        <v>6224412</v>
      </c>
      <c r="H1437" t="s">
        <v>1780</v>
      </c>
      <c r="I1437" s="4">
        <v>11821805</v>
      </c>
      <c r="J1437" t="s">
        <v>235</v>
      </c>
      <c r="K1437" s="1">
        <v>43896</v>
      </c>
      <c r="L1437">
        <v>53</v>
      </c>
      <c r="M1437" s="2" t="str">
        <f>IF(Spotify[[#This Row],[Energie]]&gt;AVERAGE(Spotify[Energie]),"FORTE","FAIBLE")</f>
        <v>FORTE</v>
      </c>
      <c r="N1437" s="2">
        <v>0.61899999999999999</v>
      </c>
      <c r="O1437" s="2">
        <v>0.78400000000000003</v>
      </c>
      <c r="P1437" s="2">
        <v>0.123</v>
      </c>
      <c r="Q1437" s="2">
        <v>3.2599999999999997E-2</v>
      </c>
      <c r="R1437" s="2">
        <v>0.315</v>
      </c>
      <c r="S1437" s="2">
        <v>0.47099999999999997</v>
      </c>
      <c r="T1437" s="2">
        <v>-6.11</v>
      </c>
      <c r="U1437">
        <v>181161</v>
      </c>
      <c r="V1437">
        <f>YEAR(Spotify[[#This Row],[Date de sortie]])</f>
        <v>2020</v>
      </c>
      <c r="W1437" s="2" t="str">
        <f>IF(Spotify[[#This Row],[Popularité]]&gt;=70,"FORTE","FAIBLE")</f>
        <v>FAIBLE</v>
      </c>
    </row>
    <row r="1438" spans="1:23" x14ac:dyDescent="0.25">
      <c r="A1438">
        <v>1458</v>
      </c>
      <c r="B1438">
        <v>136</v>
      </c>
      <c r="C1438">
        <v>1</v>
      </c>
      <c r="D1438" s="1">
        <v>43861</v>
      </c>
      <c r="E1438" s="59" t="str" cm="1">
        <f t="array" ref="E143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438" t="s">
        <v>2316</v>
      </c>
      <c r="G1438" s="3">
        <v>5774770</v>
      </c>
      <c r="H1438" t="s">
        <v>2029</v>
      </c>
      <c r="I1438" s="4">
        <v>1045091</v>
      </c>
      <c r="J1438" t="s">
        <v>206</v>
      </c>
      <c r="K1438" s="1">
        <v>43859</v>
      </c>
      <c r="L1438">
        <v>53</v>
      </c>
      <c r="M1438" s="2" t="str">
        <f>IF(Spotify[[#This Row],[Energie]]&gt;AVERAGE(Spotify[Energie]),"FORTE","FAIBLE")</f>
        <v>FORTE</v>
      </c>
      <c r="N1438" s="2">
        <v>0.80100000000000005</v>
      </c>
      <c r="O1438" s="2">
        <v>0.73099999999999998</v>
      </c>
      <c r="P1438" s="2">
        <v>0.38300000000000001</v>
      </c>
      <c r="Q1438" s="2">
        <v>0.188</v>
      </c>
      <c r="R1438" s="2">
        <v>0.111</v>
      </c>
      <c r="S1438" s="2">
        <v>0.53700000000000003</v>
      </c>
      <c r="T1438" s="2">
        <v>-3.7229999999999999</v>
      </c>
      <c r="U1438">
        <v>138409</v>
      </c>
      <c r="V1438">
        <f>YEAR(Spotify[[#This Row],[Date de sortie]])</f>
        <v>2020</v>
      </c>
      <c r="W1438" s="2" t="str">
        <f>IF(Spotify[[#This Row],[Popularité]]&gt;=70,"FORTE","FAIBLE")</f>
        <v>FAIBLE</v>
      </c>
    </row>
    <row r="1439" spans="1:23" x14ac:dyDescent="0.25">
      <c r="A1439">
        <v>208</v>
      </c>
      <c r="B1439">
        <v>159</v>
      </c>
      <c r="C1439">
        <v>1</v>
      </c>
      <c r="D1439" s="1">
        <v>44393</v>
      </c>
      <c r="E1439" s="59" t="str" cm="1">
        <f t="array" ref="E143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39" t="s">
        <v>423</v>
      </c>
      <c r="G1439" s="3">
        <v>5702636</v>
      </c>
      <c r="H1439" t="s">
        <v>338</v>
      </c>
      <c r="I1439" s="4">
        <v>6837946</v>
      </c>
      <c r="J1439" t="s">
        <v>158</v>
      </c>
      <c r="K1439" s="1">
        <v>44408</v>
      </c>
      <c r="L1439">
        <v>53</v>
      </c>
      <c r="M1439" s="2" t="str">
        <f>IF(Spotify[[#This Row],[Energie]]&gt;AVERAGE(Spotify[Energie]),"FORTE","FAIBLE")</f>
        <v>FORTE</v>
      </c>
      <c r="N1439" s="2">
        <v>0.72299999999999998</v>
      </c>
      <c r="O1439" s="2">
        <v>0.66700000000000004</v>
      </c>
      <c r="P1439" s="2">
        <v>0.35099999999999998</v>
      </c>
      <c r="Q1439" s="2">
        <v>0.25600000000000001</v>
      </c>
      <c r="R1439" s="2">
        <v>0.26100000000000001</v>
      </c>
      <c r="S1439" s="2">
        <v>0.39600000000000002</v>
      </c>
      <c r="T1439" s="2">
        <v>-7.524</v>
      </c>
      <c r="U1439">
        <v>208112</v>
      </c>
      <c r="V1439">
        <f>YEAR(Spotify[[#This Row],[Date de sortie]])</f>
        <v>2021</v>
      </c>
      <c r="W1439" s="2" t="str">
        <f>IF(Spotify[[#This Row],[Popularité]]&gt;=70,"FORTE","FAIBLE")</f>
        <v>FAIBLE</v>
      </c>
    </row>
    <row r="1440" spans="1:23" x14ac:dyDescent="0.25">
      <c r="A1440">
        <v>1153</v>
      </c>
      <c r="B1440">
        <v>123</v>
      </c>
      <c r="C1440">
        <v>1</v>
      </c>
      <c r="D1440" s="1">
        <v>43973</v>
      </c>
      <c r="E1440" s="59" t="str" cm="1">
        <f t="array" ref="E144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440" t="s">
        <v>1902</v>
      </c>
      <c r="G1440" s="3">
        <v>5552890</v>
      </c>
      <c r="H1440" t="s">
        <v>1903</v>
      </c>
      <c r="I1440" s="4">
        <v>4093115</v>
      </c>
      <c r="J1440" t="s">
        <v>206</v>
      </c>
      <c r="K1440" s="1">
        <v>43972</v>
      </c>
      <c r="L1440">
        <v>53</v>
      </c>
      <c r="M1440" s="2" t="str">
        <f>IF(Spotify[[#This Row],[Energie]]&gt;AVERAGE(Spotify[Energie]),"FORTE","FAIBLE")</f>
        <v>FORTE</v>
      </c>
      <c r="N1440" s="2">
        <v>0.48499999999999999</v>
      </c>
      <c r="O1440" s="2">
        <v>0.79300000000000004</v>
      </c>
      <c r="P1440" s="2">
        <v>0.42599999999999999</v>
      </c>
      <c r="Q1440" s="2">
        <v>0.251</v>
      </c>
      <c r="R1440" s="2">
        <v>0.14599999999999999</v>
      </c>
      <c r="S1440" s="2">
        <v>0.371</v>
      </c>
      <c r="T1440" s="2">
        <v>-3.8359999999999999</v>
      </c>
      <c r="U1440">
        <v>160667</v>
      </c>
      <c r="V1440">
        <f>YEAR(Spotify[[#This Row],[Date de sortie]])</f>
        <v>2020</v>
      </c>
      <c r="W1440" s="2" t="str">
        <f>IF(Spotify[[#This Row],[Popularité]]&gt;=70,"FORTE","FAIBLE")</f>
        <v>FAIBLE</v>
      </c>
    </row>
    <row r="1441" spans="1:23" x14ac:dyDescent="0.25">
      <c r="A1441">
        <v>1327</v>
      </c>
      <c r="B1441">
        <v>198</v>
      </c>
      <c r="C1441">
        <v>1</v>
      </c>
      <c r="D1441" s="1">
        <v>43903</v>
      </c>
      <c r="E1441" s="59" t="str" cm="1">
        <f t="array" ref="E144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441" t="s">
        <v>2139</v>
      </c>
      <c r="G1441" s="3">
        <v>4752181</v>
      </c>
      <c r="H1441" t="s">
        <v>1982</v>
      </c>
      <c r="I1441" s="4">
        <v>1700759</v>
      </c>
      <c r="J1441" t="s">
        <v>1685</v>
      </c>
      <c r="K1441" s="1">
        <v>43903</v>
      </c>
      <c r="L1441">
        <v>53</v>
      </c>
      <c r="M1441" s="2" t="str">
        <f>IF(Spotify[[#This Row],[Energie]]&gt;AVERAGE(Spotify[Energie]),"FORTE","FAIBLE")</f>
        <v>FAIBLE</v>
      </c>
      <c r="N1441" s="2">
        <v>0.82599999999999996</v>
      </c>
      <c r="O1441" s="2">
        <v>0.36799999999999999</v>
      </c>
      <c r="P1441" s="2">
        <v>0.13300000000000001</v>
      </c>
      <c r="Q1441" s="2">
        <v>0.51600000000000001</v>
      </c>
      <c r="R1441" s="2">
        <v>9.1399999999999995E-2</v>
      </c>
      <c r="S1441" s="2">
        <v>0.158</v>
      </c>
      <c r="T1441" s="2">
        <v>-12.760999999999999</v>
      </c>
      <c r="U1441">
        <v>107446</v>
      </c>
      <c r="V1441">
        <f>YEAR(Spotify[[#This Row],[Date de sortie]])</f>
        <v>2020</v>
      </c>
      <c r="W1441" s="2" t="str">
        <f>IF(Spotify[[#This Row],[Popularité]]&gt;=70,"FORTE","FAIBLE")</f>
        <v>FAIBLE</v>
      </c>
    </row>
    <row r="1442" spans="1:23" x14ac:dyDescent="0.25">
      <c r="A1442">
        <v>689</v>
      </c>
      <c r="B1442">
        <v>181</v>
      </c>
      <c r="C1442">
        <v>1</v>
      </c>
      <c r="D1442" s="1">
        <v>44183</v>
      </c>
      <c r="E1442" s="59" t="str" cm="1">
        <f t="array" ref="E144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42" t="s">
        <v>1228</v>
      </c>
      <c r="G1442" s="3">
        <v>6657404</v>
      </c>
      <c r="H1442" t="s">
        <v>746</v>
      </c>
      <c r="I1442" s="4">
        <v>42227614</v>
      </c>
      <c r="J1442" t="s">
        <v>10</v>
      </c>
      <c r="K1442" s="1">
        <v>43805</v>
      </c>
      <c r="L1442">
        <v>52</v>
      </c>
      <c r="M1442" s="2" t="str">
        <f>IF(Spotify[[#This Row],[Energie]]&gt;AVERAGE(Spotify[Energie]),"FORTE","FAIBLE")</f>
        <v>FORTE</v>
      </c>
      <c r="N1442" s="2">
        <v>0.59799999999999998</v>
      </c>
      <c r="O1442" s="2">
        <v>0.68</v>
      </c>
      <c r="P1442" s="2">
        <v>3.3099999999999997E-2</v>
      </c>
      <c r="Q1442" s="2">
        <v>0.06</v>
      </c>
      <c r="R1442" s="2">
        <v>0.32400000000000001</v>
      </c>
      <c r="S1442" s="2">
        <v>0.437</v>
      </c>
      <c r="T1442" s="2">
        <v>-4.5049999999999999</v>
      </c>
      <c r="U1442">
        <v>228027</v>
      </c>
      <c r="V1442">
        <f>YEAR(Spotify[[#This Row],[Date de sortie]])</f>
        <v>2019</v>
      </c>
      <c r="W1442" s="2" t="str">
        <f>IF(Spotify[[#This Row],[Popularité]]&gt;=70,"FORTE","FAIBLE")</f>
        <v>FAIBLE</v>
      </c>
    </row>
    <row r="1443" spans="1:23" x14ac:dyDescent="0.25">
      <c r="A1443">
        <v>1520</v>
      </c>
      <c r="B1443">
        <v>166</v>
      </c>
      <c r="C1443">
        <v>1</v>
      </c>
      <c r="D1443" s="1">
        <v>43840</v>
      </c>
      <c r="E1443" s="59" t="str" cm="1">
        <f t="array" ref="E144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43" t="s">
        <v>2394</v>
      </c>
      <c r="G1443" s="3">
        <v>5291134</v>
      </c>
      <c r="H1443" t="s">
        <v>454</v>
      </c>
      <c r="I1443" s="4">
        <v>28931149</v>
      </c>
      <c r="J1443" t="s">
        <v>19</v>
      </c>
      <c r="K1443" s="1">
        <v>43840</v>
      </c>
      <c r="L1443">
        <v>52</v>
      </c>
      <c r="M1443" s="2" t="str">
        <f>IF(Spotify[[#This Row],[Energie]]&gt;AVERAGE(Spotify[Energie]),"FORTE","FAIBLE")</f>
        <v>FORTE</v>
      </c>
      <c r="N1443" s="2">
        <v>0.58299999999999996</v>
      </c>
      <c r="O1443" s="2">
        <v>0.77700000000000002</v>
      </c>
      <c r="P1443" s="2">
        <v>0.185</v>
      </c>
      <c r="Q1443" s="2">
        <v>0.109</v>
      </c>
      <c r="R1443" s="2">
        <v>0.108</v>
      </c>
      <c r="S1443" s="2">
        <v>0.31</v>
      </c>
      <c r="T1443" s="2">
        <v>-6.9909999999999997</v>
      </c>
      <c r="U1443">
        <v>263306</v>
      </c>
      <c r="V1443">
        <f>YEAR(Spotify[[#This Row],[Date de sortie]])</f>
        <v>2020</v>
      </c>
      <c r="W1443" s="2" t="str">
        <f>IF(Spotify[[#This Row],[Popularité]]&gt;=70,"FORTE","FAIBLE")</f>
        <v>FAIBLE</v>
      </c>
    </row>
    <row r="1444" spans="1:23" x14ac:dyDescent="0.25">
      <c r="A1444">
        <v>1371</v>
      </c>
      <c r="B1444">
        <v>184</v>
      </c>
      <c r="C1444">
        <v>1</v>
      </c>
      <c r="D1444" s="1">
        <v>43889</v>
      </c>
      <c r="E1444" s="59" t="str" cm="1">
        <f t="array" ref="E144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444" t="s">
        <v>2198</v>
      </c>
      <c r="G1444" s="3">
        <v>5192813</v>
      </c>
      <c r="H1444" t="s">
        <v>2199</v>
      </c>
      <c r="I1444" s="4">
        <v>4093115</v>
      </c>
      <c r="J1444" t="s">
        <v>206</v>
      </c>
      <c r="K1444" s="1">
        <v>43888</v>
      </c>
      <c r="L1444">
        <v>52</v>
      </c>
      <c r="M1444" s="2" t="str">
        <f>IF(Spotify[[#This Row],[Energie]]&gt;AVERAGE(Spotify[Energie]),"FORTE","FAIBLE")</f>
        <v>FORTE</v>
      </c>
      <c r="N1444" s="2">
        <v>0.70099999999999996</v>
      </c>
      <c r="O1444" s="2">
        <v>0.71399999999999997</v>
      </c>
      <c r="P1444" s="2">
        <v>0.52400000000000002</v>
      </c>
      <c r="Q1444" s="2">
        <v>0.28899999999999998</v>
      </c>
      <c r="R1444" s="2">
        <v>8.8300000000000003E-2</v>
      </c>
      <c r="S1444" s="2">
        <v>0.60399999999999998</v>
      </c>
      <c r="T1444" s="2">
        <v>-5.9059999999999997</v>
      </c>
      <c r="U1444">
        <v>173353</v>
      </c>
      <c r="V1444">
        <f>YEAR(Spotify[[#This Row],[Date de sortie]])</f>
        <v>2020</v>
      </c>
      <c r="W1444" s="2" t="str">
        <f>IF(Spotify[[#This Row],[Popularité]]&gt;=70,"FORTE","FAIBLE")</f>
        <v>FAIBLE</v>
      </c>
    </row>
    <row r="1445" spans="1:23" x14ac:dyDescent="0.25">
      <c r="A1445">
        <v>998</v>
      </c>
      <c r="B1445">
        <v>174</v>
      </c>
      <c r="C1445">
        <v>1</v>
      </c>
      <c r="D1445" s="1">
        <v>44036</v>
      </c>
      <c r="E1445" s="59" t="str" cm="1">
        <f t="array" ref="E144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445" t="s">
        <v>1683</v>
      </c>
      <c r="G1445" s="3">
        <v>4823401</v>
      </c>
      <c r="H1445" t="s">
        <v>1684</v>
      </c>
      <c r="I1445" s="4">
        <v>1700759</v>
      </c>
      <c r="J1445" t="s">
        <v>1685</v>
      </c>
      <c r="K1445" s="1">
        <v>44106</v>
      </c>
      <c r="L1445">
        <v>52</v>
      </c>
      <c r="M1445" s="2" t="str">
        <f>IF(Spotify[[#This Row],[Energie]]&gt;AVERAGE(Spotify[Energie]),"FORTE","FAIBLE")</f>
        <v>FAIBLE</v>
      </c>
      <c r="N1445" s="2">
        <v>0.82399999999999995</v>
      </c>
      <c r="O1445" s="2">
        <v>0.52800000000000002</v>
      </c>
      <c r="P1445" s="2">
        <v>0.17499999999999999</v>
      </c>
      <c r="Q1445" s="2">
        <v>0.14399999999999999</v>
      </c>
      <c r="R1445" s="2">
        <v>0.104</v>
      </c>
      <c r="S1445" s="2">
        <v>0.32</v>
      </c>
      <c r="T1445" s="2">
        <v>-9.2360000000000007</v>
      </c>
      <c r="U1445">
        <v>183839</v>
      </c>
      <c r="V1445">
        <f>YEAR(Spotify[[#This Row],[Date de sortie]])</f>
        <v>2020</v>
      </c>
      <c r="W1445" s="2" t="str">
        <f>IF(Spotify[[#This Row],[Popularité]]&gt;=70,"FORTE","FAIBLE")</f>
        <v>FAIBLE</v>
      </c>
    </row>
    <row r="1446" spans="1:23" x14ac:dyDescent="0.25">
      <c r="A1446">
        <v>633</v>
      </c>
      <c r="B1446">
        <v>17</v>
      </c>
      <c r="C1446">
        <v>6</v>
      </c>
      <c r="D1446" s="1">
        <v>44183</v>
      </c>
      <c r="E1446" s="59" t="str" cm="1">
        <f t="array" ref="E144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46" t="s">
        <v>1124</v>
      </c>
      <c r="G1446" s="3">
        <v>10476212</v>
      </c>
      <c r="H1446" t="s">
        <v>1125</v>
      </c>
      <c r="I1446" s="4">
        <v>4883</v>
      </c>
      <c r="J1446" t="s">
        <v>1126</v>
      </c>
      <c r="K1446" s="1">
        <v>37987</v>
      </c>
      <c r="L1446">
        <v>51</v>
      </c>
      <c r="M1446" s="2" t="str">
        <f>IF(Spotify[[#This Row],[Energie]]&gt;AVERAGE(Spotify[Energie]),"FORTE","FAIBLE")</f>
        <v>FORTE</v>
      </c>
      <c r="N1446" s="2">
        <v>0.59899999999999998</v>
      </c>
      <c r="O1446" s="2">
        <v>0.64200000000000002</v>
      </c>
      <c r="P1446" s="2">
        <v>3.6299999999999999E-2</v>
      </c>
      <c r="Q1446" s="2">
        <v>0.16400000000000001</v>
      </c>
      <c r="R1446" s="2">
        <v>9.9199999999999997E-2</v>
      </c>
      <c r="S1446" s="2">
        <v>0.34899999999999998</v>
      </c>
      <c r="T1446" s="2">
        <v>-6.9359999999999999</v>
      </c>
      <c r="U1446">
        <v>222533</v>
      </c>
      <c r="V1446">
        <f>YEAR(Spotify[[#This Row],[Date de sortie]])</f>
        <v>2004</v>
      </c>
      <c r="W1446" s="2" t="str">
        <f>IF(Spotify[[#This Row],[Popularité]]&gt;=70,"FORTE","FAIBLE")</f>
        <v>FAIBLE</v>
      </c>
    </row>
    <row r="1447" spans="1:23" x14ac:dyDescent="0.25">
      <c r="A1447">
        <v>634</v>
      </c>
      <c r="B1447">
        <v>23</v>
      </c>
      <c r="C1447">
        <v>4</v>
      </c>
      <c r="D1447" s="1">
        <v>44183</v>
      </c>
      <c r="E1447" s="59" t="str" cm="1">
        <f t="array" ref="E144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1447" t="s">
        <v>1127</v>
      </c>
      <c r="G1447" s="3">
        <v>9882989</v>
      </c>
      <c r="H1447" t="s">
        <v>1128</v>
      </c>
      <c r="I1447" s="4">
        <v>3609658</v>
      </c>
      <c r="J1447" t="s">
        <v>360</v>
      </c>
      <c r="K1447" s="1">
        <v>29357</v>
      </c>
      <c r="L1447">
        <v>51</v>
      </c>
      <c r="M1447" s="2" t="str">
        <f>IF(Spotify[[#This Row],[Energie]]&gt;AVERAGE(Spotify[Energie]),"FORTE","FAIBLE")</f>
        <v>FAIBLE</v>
      </c>
      <c r="N1447" s="2">
        <v>0.77400000000000002</v>
      </c>
      <c r="O1447" s="2">
        <v>0.51100000000000001</v>
      </c>
      <c r="P1447" s="2">
        <v>3.1899999999999998E-2</v>
      </c>
      <c r="Q1447" s="2">
        <v>0.32200000000000001</v>
      </c>
      <c r="R1447" s="2">
        <v>6.7199999999999996E-2</v>
      </c>
      <c r="S1447" s="2">
        <v>0.77100000000000002</v>
      </c>
      <c r="T1447" s="2">
        <v>-8.9139999999999997</v>
      </c>
      <c r="U1447">
        <v>227653</v>
      </c>
      <c r="V1447">
        <f>YEAR(Spotify[[#This Row],[Date de sortie]])</f>
        <v>1980</v>
      </c>
      <c r="W1447" s="2" t="str">
        <f>IF(Spotify[[#This Row],[Popularité]]&gt;=70,"FORTE","FAIBLE")</f>
        <v>FAIBLE</v>
      </c>
    </row>
    <row r="1448" spans="1:23" x14ac:dyDescent="0.25">
      <c r="A1448">
        <v>736</v>
      </c>
      <c r="B1448">
        <v>83</v>
      </c>
      <c r="C1448">
        <v>2</v>
      </c>
      <c r="D1448" s="1">
        <v>44162</v>
      </c>
      <c r="E1448" s="59" t="str" cm="1">
        <f t="array" ref="E144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1448" t="s">
        <v>1283</v>
      </c>
      <c r="G1448" s="3">
        <v>9624871</v>
      </c>
      <c r="H1448" t="s">
        <v>1128</v>
      </c>
      <c r="I1448" s="4">
        <v>3609658</v>
      </c>
      <c r="J1448" t="s">
        <v>360</v>
      </c>
      <c r="K1448" s="1">
        <v>29357</v>
      </c>
      <c r="L1448">
        <v>51</v>
      </c>
      <c r="M1448" s="2" t="str">
        <f>IF(Spotify[[#This Row],[Energie]]&gt;AVERAGE(Spotify[Energie]),"FORTE","FAIBLE")</f>
        <v>FAIBLE</v>
      </c>
      <c r="N1448" s="2">
        <v>0.77400000000000002</v>
      </c>
      <c r="O1448" s="2">
        <v>0.51100000000000001</v>
      </c>
      <c r="P1448" s="2">
        <v>3.1899999999999998E-2</v>
      </c>
      <c r="Q1448" s="2">
        <v>0.32200000000000001</v>
      </c>
      <c r="R1448" s="2">
        <v>6.7199999999999996E-2</v>
      </c>
      <c r="S1448" s="2">
        <v>0.77100000000000002</v>
      </c>
      <c r="T1448" s="2">
        <v>-8.9139999999999997</v>
      </c>
      <c r="U1448">
        <v>227653</v>
      </c>
      <c r="V1448">
        <f>YEAR(Spotify[[#This Row],[Date de sortie]])</f>
        <v>1980</v>
      </c>
      <c r="W1448" s="2" t="str">
        <f>IF(Spotify[[#This Row],[Popularité]]&gt;=70,"FORTE","FAIBLE")</f>
        <v>FAIBLE</v>
      </c>
    </row>
    <row r="1449" spans="1:23" x14ac:dyDescent="0.25">
      <c r="A1449">
        <v>671</v>
      </c>
      <c r="B1449">
        <v>127</v>
      </c>
      <c r="C1449">
        <v>1</v>
      </c>
      <c r="D1449" s="1">
        <v>44183</v>
      </c>
      <c r="E1449" s="59" t="str" cm="1">
        <f t="array" ref="E144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49" t="s">
        <v>1195</v>
      </c>
      <c r="G1449" s="3">
        <v>7993078</v>
      </c>
      <c r="H1449" t="s">
        <v>1196</v>
      </c>
      <c r="I1449" s="4">
        <v>1024868</v>
      </c>
      <c r="J1449" t="s">
        <v>1197</v>
      </c>
      <c r="K1449" s="1">
        <v>32874</v>
      </c>
      <c r="L1449">
        <v>51</v>
      </c>
      <c r="M1449" s="2" t="str">
        <f>IF(Spotify[[#This Row],[Energie]]&gt;AVERAGE(Spotify[Energie]),"FORTE","FAIBLE")</f>
        <v>FAIBLE</v>
      </c>
      <c r="N1449" s="2">
        <v>0.41799999999999998</v>
      </c>
      <c r="O1449" s="2">
        <v>0.106</v>
      </c>
      <c r="P1449" s="2">
        <v>4.48E-2</v>
      </c>
      <c r="Q1449" s="2">
        <v>0.99399999999999999</v>
      </c>
      <c r="R1449" s="2">
        <v>0.17899999999999999</v>
      </c>
      <c r="S1449" s="2">
        <v>0.8</v>
      </c>
      <c r="T1449" s="2">
        <v>-22.507000000000001</v>
      </c>
      <c r="U1449">
        <v>85267</v>
      </c>
      <c r="V1449">
        <f>YEAR(Spotify[[#This Row],[Date de sortie]])</f>
        <v>1990</v>
      </c>
      <c r="W1449" s="2" t="str">
        <f>IF(Spotify[[#This Row],[Popularité]]&gt;=70,"FORTE","FAIBLE")</f>
        <v>FAIBLE</v>
      </c>
    </row>
    <row r="1450" spans="1:23" x14ac:dyDescent="0.25">
      <c r="A1450">
        <v>679</v>
      </c>
      <c r="B1450">
        <v>150</v>
      </c>
      <c r="C1450">
        <v>1</v>
      </c>
      <c r="D1450" s="1">
        <v>44183</v>
      </c>
      <c r="E1450" s="59" t="str" cm="1">
        <f t="array" ref="E145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50" t="s">
        <v>1210</v>
      </c>
      <c r="G1450" s="3">
        <v>7299201</v>
      </c>
      <c r="H1450" t="s">
        <v>1211</v>
      </c>
      <c r="I1450" s="4">
        <v>8037861</v>
      </c>
      <c r="J1450" t="s">
        <v>19</v>
      </c>
      <c r="K1450" s="1">
        <v>44134</v>
      </c>
      <c r="L1450">
        <v>51</v>
      </c>
      <c r="M1450" s="2" t="str">
        <f>IF(Spotify[[#This Row],[Energie]]&gt;AVERAGE(Spotify[Energie]),"FORTE","FAIBLE")</f>
        <v>FORTE</v>
      </c>
      <c r="N1450" s="2">
        <v>0.61899999999999999</v>
      </c>
      <c r="O1450" s="2">
        <v>0.77100000000000002</v>
      </c>
      <c r="P1450" s="2">
        <v>6.0100000000000001E-2</v>
      </c>
      <c r="Q1450" s="2">
        <v>3.1800000000000002E-2</v>
      </c>
      <c r="R1450" s="2">
        <v>0.114</v>
      </c>
      <c r="S1450" s="2">
        <v>0.70399999999999996</v>
      </c>
      <c r="T1450" s="2">
        <v>-2.2040000000000002</v>
      </c>
      <c r="U1450">
        <v>154747</v>
      </c>
      <c r="V1450">
        <f>YEAR(Spotify[[#This Row],[Date de sortie]])</f>
        <v>2020</v>
      </c>
      <c r="W1450" s="2" t="str">
        <f>IF(Spotify[[#This Row],[Popularité]]&gt;=70,"FORTE","FAIBLE")</f>
        <v>FAIBLE</v>
      </c>
    </row>
    <row r="1451" spans="1:23" x14ac:dyDescent="0.25">
      <c r="A1451">
        <v>639</v>
      </c>
      <c r="B1451">
        <v>39</v>
      </c>
      <c r="C1451">
        <v>5</v>
      </c>
      <c r="D1451" s="1">
        <v>44183</v>
      </c>
      <c r="E1451" s="59" t="str" cm="1">
        <f t="array" ref="E145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51" t="s">
        <v>1136</v>
      </c>
      <c r="G1451" s="3">
        <v>7045348</v>
      </c>
      <c r="H1451" t="s">
        <v>1137</v>
      </c>
      <c r="I1451" s="4">
        <v>359973</v>
      </c>
      <c r="J1451" t="s">
        <v>1106</v>
      </c>
      <c r="K1451" s="1">
        <v>15342</v>
      </c>
      <c r="L1451">
        <v>51</v>
      </c>
      <c r="M1451" s="2" t="str">
        <f>IF(Spotify[[#This Row],[Energie]]&gt;AVERAGE(Spotify[Energie]),"FORTE","FAIBLE")</f>
        <v>FAIBLE</v>
      </c>
      <c r="N1451" s="2">
        <v>0.317</v>
      </c>
      <c r="O1451" s="2">
        <v>0.158</v>
      </c>
      <c r="P1451" s="2">
        <v>3.8100000000000002E-2</v>
      </c>
      <c r="Q1451" s="2">
        <v>0.67300000000000004</v>
      </c>
      <c r="R1451" s="2">
        <v>0.33800000000000002</v>
      </c>
      <c r="S1451" s="2">
        <v>0.247</v>
      </c>
      <c r="T1451" s="2">
        <v>-16.484999999999999</v>
      </c>
      <c r="U1451">
        <v>177480</v>
      </c>
      <c r="V1451">
        <f>YEAR(Spotify[[#This Row],[Date de sortie]])</f>
        <v>1942</v>
      </c>
      <c r="W1451" s="2" t="str">
        <f>IF(Spotify[[#This Row],[Popularité]]&gt;=70,"FORTE","FAIBLE")</f>
        <v>FAIBLE</v>
      </c>
    </row>
    <row r="1452" spans="1:23" x14ac:dyDescent="0.25">
      <c r="A1452">
        <v>1085</v>
      </c>
      <c r="B1452">
        <v>83</v>
      </c>
      <c r="C1452">
        <v>1</v>
      </c>
      <c r="D1452" s="1">
        <v>44001</v>
      </c>
      <c r="E1452" s="59" t="str" cm="1">
        <f t="array" ref="E145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52" t="s">
        <v>1803</v>
      </c>
      <c r="G1452" s="3">
        <v>6883487</v>
      </c>
      <c r="H1452" t="s">
        <v>1804</v>
      </c>
      <c r="I1452" s="4">
        <v>6298789</v>
      </c>
      <c r="J1452" t="s">
        <v>19</v>
      </c>
      <c r="K1452" s="1">
        <v>44001</v>
      </c>
      <c r="L1452">
        <v>51</v>
      </c>
      <c r="M1452" s="2" t="str">
        <f>IF(Spotify[[#This Row],[Energie]]&gt;AVERAGE(Spotify[Energie]),"FORTE","FAIBLE")</f>
        <v>FAIBLE</v>
      </c>
      <c r="N1452" s="2">
        <v>0.82099999999999995</v>
      </c>
      <c r="O1452" s="2">
        <v>0.61</v>
      </c>
      <c r="P1452" s="2">
        <v>9.5899999999999999E-2</v>
      </c>
      <c r="Q1452" s="2">
        <v>2.47E-2</v>
      </c>
      <c r="R1452" s="2">
        <v>0.185</v>
      </c>
      <c r="S1452" s="2">
        <v>0.47</v>
      </c>
      <c r="T1452" s="2">
        <v>-6.22</v>
      </c>
      <c r="U1452">
        <v>192936</v>
      </c>
      <c r="V1452">
        <f>YEAR(Spotify[[#This Row],[Date de sortie]])</f>
        <v>2020</v>
      </c>
      <c r="W1452" s="2" t="str">
        <f>IF(Spotify[[#This Row],[Popularité]]&gt;=70,"FORTE","FAIBLE")</f>
        <v>FAIBLE</v>
      </c>
    </row>
    <row r="1453" spans="1:23" x14ac:dyDescent="0.25">
      <c r="A1453">
        <v>1519</v>
      </c>
      <c r="B1453">
        <v>161</v>
      </c>
      <c r="C1453">
        <v>1</v>
      </c>
      <c r="D1453" s="1">
        <v>43840</v>
      </c>
      <c r="E1453" s="59" t="str" cm="1">
        <f t="array" ref="E145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53" t="s">
        <v>2393</v>
      </c>
      <c r="G1453" s="3">
        <v>5356671</v>
      </c>
      <c r="H1453" t="s">
        <v>454</v>
      </c>
      <c r="I1453" s="4">
        <v>28931149</v>
      </c>
      <c r="J1453" t="s">
        <v>19</v>
      </c>
      <c r="K1453" s="1">
        <v>43840</v>
      </c>
      <c r="L1453">
        <v>51</v>
      </c>
      <c r="M1453" s="2" t="str">
        <f>IF(Spotify[[#This Row],[Energie]]&gt;AVERAGE(Spotify[Energie]),"FORTE","FAIBLE")</f>
        <v>FAIBLE</v>
      </c>
      <c r="N1453" s="2">
        <v>0.82599999999999996</v>
      </c>
      <c r="O1453" s="2">
        <v>0.57099999999999995</v>
      </c>
      <c r="P1453" s="2">
        <v>4.2599999999999999E-2</v>
      </c>
      <c r="Q1453" s="2">
        <v>0.249</v>
      </c>
      <c r="R1453" s="2">
        <v>0.215</v>
      </c>
      <c r="S1453" s="2">
        <v>0.47499999999999998</v>
      </c>
      <c r="T1453" s="2">
        <v>-9.2629999999999999</v>
      </c>
      <c r="U1453">
        <v>189145</v>
      </c>
      <c r="V1453">
        <f>YEAR(Spotify[[#This Row],[Date de sortie]])</f>
        <v>2020</v>
      </c>
      <c r="W1453" s="2" t="str">
        <f>IF(Spotify[[#This Row],[Popularité]]&gt;=70,"FORTE","FAIBLE")</f>
        <v>FAIBLE</v>
      </c>
    </row>
    <row r="1454" spans="1:23" x14ac:dyDescent="0.25">
      <c r="A1454">
        <v>1529</v>
      </c>
      <c r="B1454">
        <v>195</v>
      </c>
      <c r="C1454">
        <v>1</v>
      </c>
      <c r="D1454" s="1">
        <v>43840</v>
      </c>
      <c r="E1454" s="59" t="str" cm="1">
        <f t="array" ref="E145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54" t="s">
        <v>2406</v>
      </c>
      <c r="G1454" s="3">
        <v>4874380</v>
      </c>
      <c r="H1454" t="s">
        <v>454</v>
      </c>
      <c r="I1454" s="4">
        <v>28931149</v>
      </c>
      <c r="J1454" t="s">
        <v>19</v>
      </c>
      <c r="K1454" s="1">
        <v>43840</v>
      </c>
      <c r="L1454">
        <v>51</v>
      </c>
      <c r="M1454" s="2" t="str">
        <f>IF(Spotify[[#This Row],[Energie]]&gt;AVERAGE(Spotify[Energie]),"FORTE","FAIBLE")</f>
        <v>FAIBLE</v>
      </c>
      <c r="N1454" s="2">
        <v>0.85499999999999998</v>
      </c>
      <c r="O1454" s="2">
        <v>0.29399999999999998</v>
      </c>
      <c r="P1454" s="2">
        <v>0.28599999999999998</v>
      </c>
      <c r="Q1454" s="2">
        <v>0.3</v>
      </c>
      <c r="R1454" s="2">
        <v>9.0999999999999998E-2</v>
      </c>
      <c r="S1454" s="2">
        <v>0.84199999999999997</v>
      </c>
      <c r="T1454" s="2">
        <v>-8.6760000000000002</v>
      </c>
      <c r="U1454">
        <v>182017</v>
      </c>
      <c r="V1454">
        <f>YEAR(Spotify[[#This Row],[Date de sortie]])</f>
        <v>2020</v>
      </c>
      <c r="W1454" s="2" t="str">
        <f>IF(Spotify[[#This Row],[Popularité]]&gt;=70,"FORTE","FAIBLE")</f>
        <v>FAIBLE</v>
      </c>
    </row>
    <row r="1455" spans="1:23" x14ac:dyDescent="0.25">
      <c r="A1455">
        <v>632</v>
      </c>
      <c r="B1455">
        <v>16</v>
      </c>
      <c r="C1455">
        <v>6</v>
      </c>
      <c r="D1455" s="1">
        <v>44183</v>
      </c>
      <c r="E1455" s="59" t="str" cm="1">
        <f t="array" ref="E145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55" t="s">
        <v>1122</v>
      </c>
      <c r="G1455" s="3">
        <v>10508459</v>
      </c>
      <c r="H1455" t="s">
        <v>1123</v>
      </c>
      <c r="I1455" s="4">
        <v>1251372</v>
      </c>
      <c r="J1455"/>
      <c r="K1455" s="1">
        <v>23012</v>
      </c>
      <c r="L1455">
        <v>50</v>
      </c>
      <c r="M1455" s="2" t="str">
        <f>IF(Spotify[[#This Row],[Energie]]&gt;AVERAGE(Spotify[Energie]),"FORTE","FAIBLE")</f>
        <v>FORTE</v>
      </c>
      <c r="N1455" s="2">
        <v>0.52900000000000003</v>
      </c>
      <c r="O1455" s="2">
        <v>0.77200000000000002</v>
      </c>
      <c r="P1455" s="2">
        <v>2.87E-2</v>
      </c>
      <c r="Q1455" s="2">
        <v>0.40300000000000002</v>
      </c>
      <c r="R1455" s="2">
        <v>0.316</v>
      </c>
      <c r="S1455" s="2">
        <v>0.85299999999999998</v>
      </c>
      <c r="T1455" s="2">
        <v>-7.0129999999999999</v>
      </c>
      <c r="U1455">
        <v>181267</v>
      </c>
      <c r="V1455">
        <f>YEAR(Spotify[[#This Row],[Date de sortie]])</f>
        <v>1963</v>
      </c>
      <c r="W1455" s="2" t="str">
        <f>IF(Spotify[[#This Row],[Popularité]]&gt;=70,"FORTE","FAIBLE")</f>
        <v>FAIBLE</v>
      </c>
    </row>
    <row r="1456" spans="1:23" x14ac:dyDescent="0.25">
      <c r="A1456">
        <v>1399</v>
      </c>
      <c r="B1456">
        <v>186</v>
      </c>
      <c r="C1456">
        <v>1</v>
      </c>
      <c r="D1456" s="1">
        <v>43882</v>
      </c>
      <c r="E1456" s="59" t="str" cm="1">
        <f t="array" ref="E145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456" t="s">
        <v>2237</v>
      </c>
      <c r="G1456" s="3">
        <v>4938864</v>
      </c>
      <c r="H1456" t="s">
        <v>1982</v>
      </c>
      <c r="I1456" s="4">
        <v>1700759</v>
      </c>
      <c r="J1456" t="s">
        <v>1685</v>
      </c>
      <c r="K1456" s="1">
        <v>43945</v>
      </c>
      <c r="L1456">
        <v>50</v>
      </c>
      <c r="M1456" s="2" t="str">
        <f>IF(Spotify[[#This Row],[Energie]]&gt;AVERAGE(Spotify[Energie]),"FORTE","FAIBLE")</f>
        <v>FORTE</v>
      </c>
      <c r="N1456" s="2">
        <v>0.54800000000000004</v>
      </c>
      <c r="O1456" s="2">
        <v>0.64800000000000002</v>
      </c>
      <c r="P1456" s="2">
        <v>0.29199999999999998</v>
      </c>
      <c r="Q1456" s="2">
        <v>8.4199999999999997E-2</v>
      </c>
      <c r="R1456" s="2">
        <v>0.123</v>
      </c>
      <c r="S1456" s="2">
        <v>0.23200000000000001</v>
      </c>
      <c r="T1456" s="2">
        <v>-4.7960000000000003</v>
      </c>
      <c r="U1456">
        <v>204319</v>
      </c>
      <c r="V1456">
        <f>YEAR(Spotify[[#This Row],[Date de sortie]])</f>
        <v>2020</v>
      </c>
      <c r="W1456" s="2" t="str">
        <f>IF(Spotify[[#This Row],[Popularité]]&gt;=70,"FORTE","FAIBLE")</f>
        <v>FAIBLE</v>
      </c>
    </row>
    <row r="1457" spans="1:23" x14ac:dyDescent="0.25">
      <c r="A1457">
        <v>627</v>
      </c>
      <c r="B1457">
        <v>9</v>
      </c>
      <c r="C1457">
        <v>7</v>
      </c>
      <c r="D1457" s="1">
        <v>44183</v>
      </c>
      <c r="E1457" s="59" t="str" cm="1">
        <f t="array" ref="E145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57" t="s">
        <v>1113</v>
      </c>
      <c r="G1457" s="3">
        <v>12266990</v>
      </c>
      <c r="H1457" t="s">
        <v>1114</v>
      </c>
      <c r="I1457" s="4">
        <v>7869617</v>
      </c>
      <c r="J1457" t="s">
        <v>19</v>
      </c>
      <c r="K1457" s="1">
        <v>41576</v>
      </c>
      <c r="L1457">
        <v>49</v>
      </c>
      <c r="M1457" s="2" t="str">
        <f>IF(Spotify[[#This Row],[Energie]]&gt;AVERAGE(Spotify[Energie]),"FORTE","FAIBLE")</f>
        <v>FORTE</v>
      </c>
      <c r="N1457" s="2">
        <v>0.50900000000000001</v>
      </c>
      <c r="O1457" s="2">
        <v>0.81200000000000006</v>
      </c>
      <c r="P1457" s="2">
        <v>5.3699999999999998E-2</v>
      </c>
      <c r="Q1457" s="2">
        <v>1.2800000000000001E-3</v>
      </c>
      <c r="R1457" s="2">
        <v>0.214</v>
      </c>
      <c r="S1457" s="2">
        <v>0.68899999999999995</v>
      </c>
      <c r="T1457" s="2">
        <v>-5.4390000000000001</v>
      </c>
      <c r="U1457">
        <v>229640</v>
      </c>
      <c r="V1457">
        <f>YEAR(Spotify[[#This Row],[Date de sortie]])</f>
        <v>2013</v>
      </c>
      <c r="W1457" s="2" t="str">
        <f>IF(Spotify[[#This Row],[Popularité]]&gt;=70,"FORTE","FAIBLE")</f>
        <v>FAIBLE</v>
      </c>
    </row>
    <row r="1458" spans="1:23" x14ac:dyDescent="0.25">
      <c r="A1458">
        <v>628</v>
      </c>
      <c r="B1458">
        <v>14</v>
      </c>
      <c r="C1458">
        <v>6</v>
      </c>
      <c r="D1458" s="1">
        <v>44183</v>
      </c>
      <c r="E1458" s="59" t="str" cm="1">
        <f t="array" ref="E145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58" t="s">
        <v>1115</v>
      </c>
      <c r="G1458" s="3">
        <v>11664490</v>
      </c>
      <c r="H1458" t="s">
        <v>1116</v>
      </c>
      <c r="I1458" s="4">
        <v>239129</v>
      </c>
      <c r="J1458" t="s">
        <v>88</v>
      </c>
      <c r="K1458" s="1">
        <v>37523</v>
      </c>
      <c r="L1458">
        <v>49</v>
      </c>
      <c r="M1458" s="2" t="str">
        <f>IF(Spotify[[#This Row],[Energie]]&gt;AVERAGE(Spotify[Energie]),"FORTE","FAIBLE")</f>
        <v>FORTE</v>
      </c>
      <c r="N1458" s="2">
        <v>0.51300000000000001</v>
      </c>
      <c r="O1458" s="2">
        <v>0.83099999999999996</v>
      </c>
      <c r="P1458" s="2">
        <v>3.8300000000000001E-2</v>
      </c>
      <c r="Q1458" s="2">
        <v>0.55000000000000004</v>
      </c>
      <c r="R1458" s="2">
        <v>0.33600000000000002</v>
      </c>
      <c r="S1458" s="2">
        <v>0.96299999999999997</v>
      </c>
      <c r="T1458" s="2">
        <v>-9.0039999999999996</v>
      </c>
      <c r="U1458">
        <v>182067</v>
      </c>
      <c r="V1458">
        <f>YEAR(Spotify[[#This Row],[Date de sortie]])</f>
        <v>2002</v>
      </c>
      <c r="W1458" s="2" t="str">
        <f>IF(Spotify[[#This Row],[Popularité]]&gt;=70,"FORTE","FAIBLE")</f>
        <v>FAIBLE</v>
      </c>
    </row>
    <row r="1459" spans="1:23" x14ac:dyDescent="0.25">
      <c r="A1459">
        <v>54</v>
      </c>
      <c r="B1459">
        <v>40</v>
      </c>
      <c r="C1459">
        <v>14</v>
      </c>
      <c r="D1459" s="1">
        <v>44365</v>
      </c>
      <c r="E1459" s="59" t="str" cm="1">
        <f t="array" ref="E145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59" t="s">
        <v>116</v>
      </c>
      <c r="G1459" s="3">
        <v>9600707</v>
      </c>
      <c r="H1459" t="s">
        <v>117</v>
      </c>
      <c r="I1459" s="4">
        <v>32178</v>
      </c>
      <c r="J1459" t="s">
        <v>118</v>
      </c>
      <c r="K1459" s="1">
        <v>44372</v>
      </c>
      <c r="L1459">
        <v>49</v>
      </c>
      <c r="M1459" s="2" t="str">
        <f>IF(Spotify[[#This Row],[Energie]]&gt;AVERAGE(Spotify[Energie]),"FORTE","FAIBLE")</f>
        <v>FORTE</v>
      </c>
      <c r="N1459" s="2">
        <v>0.83</v>
      </c>
      <c r="O1459" s="2">
        <v>0.83899999999999997</v>
      </c>
      <c r="P1459" s="2">
        <v>6.9900000000000004E-2</v>
      </c>
      <c r="Q1459" s="2">
        <v>2.0100000000000001E-3</v>
      </c>
      <c r="R1459" s="2">
        <v>3.5299999999999998E-2</v>
      </c>
      <c r="S1459" s="2">
        <v>0.59</v>
      </c>
      <c r="T1459" s="2">
        <v>-6.9850000000000003</v>
      </c>
      <c r="U1459">
        <v>345543</v>
      </c>
      <c r="V1459">
        <f>YEAR(Spotify[[#This Row],[Date de sortie]])</f>
        <v>2021</v>
      </c>
      <c r="W1459" s="2" t="str">
        <f>IF(Spotify[[#This Row],[Popularité]]&gt;=70,"FORTE","FAIBLE")</f>
        <v>FAIBLE</v>
      </c>
    </row>
    <row r="1460" spans="1:23" x14ac:dyDescent="0.25">
      <c r="A1460">
        <v>658</v>
      </c>
      <c r="B1460">
        <v>85</v>
      </c>
      <c r="C1460">
        <v>1</v>
      </c>
      <c r="D1460" s="1">
        <v>44183</v>
      </c>
      <c r="E1460" s="59" t="str" cm="1">
        <f t="array" ref="E146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60" t="s">
        <v>1173</v>
      </c>
      <c r="G1460" s="3">
        <v>9474711</v>
      </c>
      <c r="H1460" t="s">
        <v>896</v>
      </c>
      <c r="I1460" s="4">
        <v>20528724</v>
      </c>
      <c r="J1460" t="s">
        <v>897</v>
      </c>
      <c r="K1460" s="1">
        <v>43405</v>
      </c>
      <c r="L1460">
        <v>49</v>
      </c>
      <c r="M1460" s="2" t="str">
        <f>IF(Spotify[[#This Row],[Energie]]&gt;AVERAGE(Spotify[Energie]),"FORTE","FAIBLE")</f>
        <v>FORTE</v>
      </c>
      <c r="N1460" s="2">
        <v>0.54700000000000004</v>
      </c>
      <c r="O1460" s="2">
        <v>0.81399999999999995</v>
      </c>
      <c r="P1460" s="2">
        <v>0.12</v>
      </c>
      <c r="Q1460" s="2">
        <v>2.1499999999999998E-2</v>
      </c>
      <c r="R1460" s="2">
        <v>4.7500000000000001E-2</v>
      </c>
      <c r="S1460" s="2">
        <v>0.72399999999999998</v>
      </c>
      <c r="T1460" s="2">
        <v>-6.1909999999999998</v>
      </c>
      <c r="U1460">
        <v>205267</v>
      </c>
      <c r="V1460">
        <f>YEAR(Spotify[[#This Row],[Date de sortie]])</f>
        <v>2018</v>
      </c>
      <c r="W1460" s="2" t="str">
        <f>IF(Spotify[[#This Row],[Popularité]]&gt;=70,"FORTE","FAIBLE")</f>
        <v>FAIBLE</v>
      </c>
    </row>
    <row r="1461" spans="1:23" x14ac:dyDescent="0.25">
      <c r="A1461">
        <v>641</v>
      </c>
      <c r="B1461">
        <v>42</v>
      </c>
      <c r="C1461">
        <v>5</v>
      </c>
      <c r="D1461" s="1">
        <v>44183</v>
      </c>
      <c r="E1461" s="59" t="str" cm="1">
        <f t="array" ref="E146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61" t="s">
        <v>1140</v>
      </c>
      <c r="G1461" s="3">
        <v>6716353</v>
      </c>
      <c r="H1461" t="s">
        <v>1141</v>
      </c>
      <c r="I1461" s="4">
        <v>58479</v>
      </c>
      <c r="J1461" t="s">
        <v>1106</v>
      </c>
      <c r="K1461" s="1">
        <v>23743</v>
      </c>
      <c r="L1461">
        <v>49</v>
      </c>
      <c r="M1461" s="2" t="str">
        <f>IF(Spotify[[#This Row],[Energie]]&gt;AVERAGE(Spotify[Energie]),"FORTE","FAIBLE")</f>
        <v>FAIBLE</v>
      </c>
      <c r="N1461" s="2">
        <v>0.68300000000000005</v>
      </c>
      <c r="O1461" s="2">
        <v>0.375</v>
      </c>
      <c r="P1461" s="2">
        <v>3.0300000000000001E-2</v>
      </c>
      <c r="Q1461" s="2">
        <v>0.57899999999999996</v>
      </c>
      <c r="R1461" s="2">
        <v>7.5999999999999998E-2</v>
      </c>
      <c r="S1461" s="2">
        <v>0.88800000000000001</v>
      </c>
      <c r="T1461" s="2">
        <v>-13.055999999999999</v>
      </c>
      <c r="U1461">
        <v>135533</v>
      </c>
      <c r="V1461">
        <f>YEAR(Spotify[[#This Row],[Date de sortie]])</f>
        <v>1965</v>
      </c>
      <c r="W1461" s="2" t="str">
        <f>IF(Spotify[[#This Row],[Popularité]]&gt;=70,"FORTE","FAIBLE")</f>
        <v>FAIBLE</v>
      </c>
    </row>
    <row r="1462" spans="1:23" x14ac:dyDescent="0.25">
      <c r="A1462">
        <v>644</v>
      </c>
      <c r="B1462">
        <v>62</v>
      </c>
      <c r="C1462">
        <v>4</v>
      </c>
      <c r="D1462" s="1">
        <v>44183</v>
      </c>
      <c r="E1462" s="59" t="str" cm="1">
        <f t="array" ref="E146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1462" t="s">
        <v>1148</v>
      </c>
      <c r="G1462" s="3">
        <v>6007011</v>
      </c>
      <c r="H1462" t="s">
        <v>1149</v>
      </c>
      <c r="I1462" s="4">
        <v>5698788</v>
      </c>
      <c r="J1462" t="s">
        <v>1150</v>
      </c>
      <c r="K1462" s="1">
        <v>21108</v>
      </c>
      <c r="L1462">
        <v>49</v>
      </c>
      <c r="M1462" s="2" t="str">
        <f>IF(Spotify[[#This Row],[Energie]]&gt;AVERAGE(Spotify[Energie]),"FORTE","FAIBLE")</f>
        <v>FAIBLE</v>
      </c>
      <c r="N1462" s="2">
        <v>0.46500000000000002</v>
      </c>
      <c r="O1462" s="2">
        <v>0.27</v>
      </c>
      <c r="P1462" s="2">
        <v>4.2500000000000003E-2</v>
      </c>
      <c r="Q1462" s="2">
        <v>0.9</v>
      </c>
      <c r="R1462" s="2">
        <v>0.14499999999999999</v>
      </c>
      <c r="S1462" s="2">
        <v>0.57999999999999996</v>
      </c>
      <c r="T1462" s="2">
        <v>-16.661000000000001</v>
      </c>
      <c r="U1462">
        <v>129173</v>
      </c>
      <c r="V1462">
        <f>YEAR(Spotify[[#This Row],[Date de sortie]])</f>
        <v>1957</v>
      </c>
      <c r="W1462" s="2" t="str">
        <f>IF(Spotify[[#This Row],[Popularité]]&gt;=70,"FORTE","FAIBLE")</f>
        <v>FAIBLE</v>
      </c>
    </row>
    <row r="1463" spans="1:23" x14ac:dyDescent="0.25">
      <c r="A1463">
        <v>648</v>
      </c>
      <c r="B1463">
        <v>60</v>
      </c>
      <c r="C1463">
        <v>5</v>
      </c>
      <c r="D1463" s="1">
        <v>44183</v>
      </c>
      <c r="E1463" s="59" t="str" cm="1">
        <f t="array" ref="E146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63" t="s">
        <v>1157</v>
      </c>
      <c r="G1463" s="3">
        <v>5422082</v>
      </c>
      <c r="H1463" t="s">
        <v>1158</v>
      </c>
      <c r="I1463" s="4">
        <v>336373</v>
      </c>
      <c r="J1463" t="s">
        <v>1106</v>
      </c>
      <c r="K1463" s="1">
        <v>36392</v>
      </c>
      <c r="L1463">
        <v>49</v>
      </c>
      <c r="M1463" s="2" t="str">
        <f>IF(Spotify[[#This Row],[Energie]]&gt;AVERAGE(Spotify[Energie]),"FORTE","FAIBLE")</f>
        <v>FAIBLE</v>
      </c>
      <c r="N1463" s="2">
        <v>0.72399999999999998</v>
      </c>
      <c r="O1463" s="2">
        <v>0.27600000000000002</v>
      </c>
      <c r="P1463" s="2">
        <v>5.9900000000000002E-2</v>
      </c>
      <c r="Q1463" s="2">
        <v>0.76</v>
      </c>
      <c r="R1463" s="2">
        <v>0.11600000000000001</v>
      </c>
      <c r="S1463" s="2">
        <v>0.71799999999999997</v>
      </c>
      <c r="T1463" s="2">
        <v>-12.25</v>
      </c>
      <c r="U1463">
        <v>155933</v>
      </c>
      <c r="V1463">
        <f>YEAR(Spotify[[#This Row],[Date de sortie]])</f>
        <v>1999</v>
      </c>
      <c r="W1463" s="2" t="str">
        <f>IF(Spotify[[#This Row],[Popularité]]&gt;=70,"FORTE","FAIBLE")</f>
        <v>FAIBLE</v>
      </c>
    </row>
    <row r="1464" spans="1:23" x14ac:dyDescent="0.25">
      <c r="A1464">
        <v>1530</v>
      </c>
      <c r="B1464">
        <v>196</v>
      </c>
      <c r="C1464">
        <v>1</v>
      </c>
      <c r="D1464" s="1">
        <v>43840</v>
      </c>
      <c r="E1464" s="59" t="str" cm="1">
        <f t="array" ref="E146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64" t="s">
        <v>2407</v>
      </c>
      <c r="G1464" s="3">
        <v>4866777</v>
      </c>
      <c r="H1464" t="s">
        <v>454</v>
      </c>
      <c r="I1464" s="4">
        <v>28931149</v>
      </c>
      <c r="J1464" t="s">
        <v>19</v>
      </c>
      <c r="K1464" s="1">
        <v>43840</v>
      </c>
      <c r="L1464">
        <v>49</v>
      </c>
      <c r="M1464" s="2" t="str">
        <f>IF(Spotify[[#This Row],[Energie]]&gt;AVERAGE(Spotify[Energie]),"FORTE","FAIBLE")</f>
        <v>FAIBLE</v>
      </c>
      <c r="N1464" s="2">
        <v>0.69099999999999995</v>
      </c>
      <c r="O1464" s="2">
        <v>0.44600000000000001</v>
      </c>
      <c r="P1464" s="2">
        <v>4.7199999999999999E-2</v>
      </c>
      <c r="Q1464" s="2">
        <v>0.48399999999999999</v>
      </c>
      <c r="R1464" s="2">
        <v>0.183</v>
      </c>
      <c r="S1464" s="2">
        <v>0.53400000000000003</v>
      </c>
      <c r="T1464" s="2">
        <v>-10.304</v>
      </c>
      <c r="U1464">
        <v>212436</v>
      </c>
      <c r="V1464">
        <f>YEAR(Spotify[[#This Row],[Date de sortie]])</f>
        <v>2020</v>
      </c>
      <c r="W1464" s="2" t="str">
        <f>IF(Spotify[[#This Row],[Popularité]]&gt;=70,"FORTE","FAIBLE")</f>
        <v>FAIBLE</v>
      </c>
    </row>
    <row r="1465" spans="1:23" x14ac:dyDescent="0.25">
      <c r="A1465">
        <v>635</v>
      </c>
      <c r="B1465">
        <v>21</v>
      </c>
      <c r="C1465">
        <v>6</v>
      </c>
      <c r="D1465" s="1">
        <v>44183</v>
      </c>
      <c r="E1465" s="59" t="str" cm="1">
        <f t="array" ref="E146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65" t="s">
        <v>1129</v>
      </c>
      <c r="G1465" s="3">
        <v>9852792</v>
      </c>
      <c r="H1465" t="s">
        <v>1110</v>
      </c>
      <c r="I1465" s="4">
        <v>4702232</v>
      </c>
      <c r="J1465" t="s">
        <v>1106</v>
      </c>
      <c r="K1465" s="1">
        <v>41222</v>
      </c>
      <c r="L1465">
        <v>48</v>
      </c>
      <c r="M1465" s="2" t="str">
        <f>IF(Spotify[[#This Row],[Energie]]&gt;AVERAGE(Spotify[Energie]),"FORTE","FAIBLE")</f>
        <v>FAIBLE</v>
      </c>
      <c r="N1465" s="2">
        <v>0.64700000000000002</v>
      </c>
      <c r="O1465" s="2">
        <v>0.46500000000000002</v>
      </c>
      <c r="P1465" s="2">
        <v>4.2799999999999998E-2</v>
      </c>
      <c r="Q1465" s="2">
        <v>0.86499999999999999</v>
      </c>
      <c r="R1465" s="2">
        <v>8.8200000000000001E-2</v>
      </c>
      <c r="S1465" s="2">
        <v>0.69899999999999995</v>
      </c>
      <c r="T1465" s="2">
        <v>-8.3079999999999998</v>
      </c>
      <c r="U1465">
        <v>119787</v>
      </c>
      <c r="V1465">
        <f>YEAR(Spotify[[#This Row],[Date de sortie]])</f>
        <v>2012</v>
      </c>
      <c r="W1465" s="2" t="str">
        <f>IF(Spotify[[#This Row],[Popularité]]&gt;=70,"FORTE","FAIBLE")</f>
        <v>FAIBLE</v>
      </c>
    </row>
    <row r="1466" spans="1:23" x14ac:dyDescent="0.25">
      <c r="A1466">
        <v>1507</v>
      </c>
      <c r="B1466">
        <v>155</v>
      </c>
      <c r="C1466">
        <v>1</v>
      </c>
      <c r="D1466" s="1">
        <v>43847</v>
      </c>
      <c r="E1466" s="59" t="str" cm="1">
        <f t="array" ref="E146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466" t="s">
        <v>2377</v>
      </c>
      <c r="G1466" s="3">
        <v>6010373</v>
      </c>
      <c r="H1466" t="s">
        <v>2378</v>
      </c>
      <c r="I1466" s="4">
        <v>1700759</v>
      </c>
      <c r="J1466" t="s">
        <v>1685</v>
      </c>
      <c r="K1466" s="1">
        <v>43945</v>
      </c>
      <c r="L1466">
        <v>48</v>
      </c>
      <c r="M1466" s="2" t="str">
        <f>IF(Spotify[[#This Row],[Energie]]&gt;AVERAGE(Spotify[Energie]),"FORTE","FAIBLE")</f>
        <v>FAIBLE</v>
      </c>
      <c r="N1466" s="2">
        <v>0.79100000000000004</v>
      </c>
      <c r="O1466" s="2">
        <v>0.53500000000000003</v>
      </c>
      <c r="P1466" s="2">
        <v>0.311</v>
      </c>
      <c r="Q1466" s="2">
        <v>4.48E-2</v>
      </c>
      <c r="R1466" s="2">
        <v>0.129</v>
      </c>
      <c r="S1466" s="2">
        <v>0.443</v>
      </c>
      <c r="T1466" s="2">
        <v>-6.7530000000000001</v>
      </c>
      <c r="U1466">
        <v>173785</v>
      </c>
      <c r="V1466">
        <f>YEAR(Spotify[[#This Row],[Date de sortie]])</f>
        <v>2020</v>
      </c>
      <c r="W1466" s="2" t="str">
        <f>IF(Spotify[[#This Row],[Popularité]]&gt;=70,"FORTE","FAIBLE")</f>
        <v>FAIBLE</v>
      </c>
    </row>
    <row r="1467" spans="1:23" x14ac:dyDescent="0.25">
      <c r="A1467">
        <v>661</v>
      </c>
      <c r="B1467">
        <v>92</v>
      </c>
      <c r="C1467">
        <v>2</v>
      </c>
      <c r="D1467" s="1">
        <v>44183</v>
      </c>
      <c r="E1467" s="59" t="str" cm="1">
        <f t="array" ref="E146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67" t="s">
        <v>1178</v>
      </c>
      <c r="G1467" s="3">
        <v>9167304</v>
      </c>
      <c r="H1467" t="s">
        <v>1179</v>
      </c>
      <c r="I1467" s="4">
        <v>5436999</v>
      </c>
      <c r="J1467" t="s">
        <v>1180</v>
      </c>
      <c r="K1467" s="1">
        <v>43777</v>
      </c>
      <c r="L1467">
        <v>47</v>
      </c>
      <c r="M1467" s="2" t="str">
        <f>IF(Spotify[[#This Row],[Energie]]&gt;AVERAGE(Spotify[Energie]),"FORTE","FAIBLE")</f>
        <v>FAIBLE</v>
      </c>
      <c r="N1467" s="2">
        <v>0.72499999999999998</v>
      </c>
      <c r="O1467" s="2">
        <v>0.57099999999999995</v>
      </c>
      <c r="P1467" s="2">
        <v>0.10199999999999999</v>
      </c>
      <c r="Q1467" s="2">
        <v>1.83E-2</v>
      </c>
      <c r="R1467" s="2">
        <v>5.1900000000000002E-2</v>
      </c>
      <c r="S1467" s="2">
        <v>0.61</v>
      </c>
      <c r="T1467" s="2">
        <v>-6.0069999999999997</v>
      </c>
      <c r="U1467">
        <v>200880</v>
      </c>
      <c r="V1467">
        <f>YEAR(Spotify[[#This Row],[Date de sortie]])</f>
        <v>2019</v>
      </c>
      <c r="W1467" s="2" t="str">
        <f>IF(Spotify[[#This Row],[Popularité]]&gt;=70,"FORTE","FAIBLE")</f>
        <v>FAIBLE</v>
      </c>
    </row>
    <row r="1468" spans="1:23" x14ac:dyDescent="0.25">
      <c r="A1468">
        <v>667</v>
      </c>
      <c r="B1468">
        <v>119</v>
      </c>
      <c r="C1468">
        <v>1</v>
      </c>
      <c r="D1468" s="1">
        <v>44183</v>
      </c>
      <c r="E1468" s="59" t="str" cm="1">
        <f t="array" ref="E146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68" t="s">
        <v>1187</v>
      </c>
      <c r="G1468" s="3">
        <v>8160534</v>
      </c>
      <c r="H1468" t="s">
        <v>1188</v>
      </c>
      <c r="I1468" s="4">
        <v>353571</v>
      </c>
      <c r="J1468" t="s">
        <v>1189</v>
      </c>
      <c r="K1468" s="1">
        <v>41922</v>
      </c>
      <c r="L1468">
        <v>47</v>
      </c>
      <c r="M1468" s="2" t="str">
        <f>IF(Spotify[[#This Row],[Energie]]&gt;AVERAGE(Spotify[Energie]),"FORTE","FAIBLE")</f>
        <v>FAIBLE</v>
      </c>
      <c r="N1468" s="2">
        <v>0.55300000000000005</v>
      </c>
      <c r="O1468" s="2">
        <v>0.47599999999999998</v>
      </c>
      <c r="P1468" s="2">
        <v>6.4899999999999999E-2</v>
      </c>
      <c r="Q1468" s="2">
        <v>0.64700000000000002</v>
      </c>
      <c r="R1468" s="2">
        <v>0.28100000000000003</v>
      </c>
      <c r="S1468" s="2">
        <v>0.55800000000000005</v>
      </c>
      <c r="T1468" s="2">
        <v>-8.8689999999999998</v>
      </c>
      <c r="U1468">
        <v>166147</v>
      </c>
      <c r="V1468">
        <f>YEAR(Spotify[[#This Row],[Date de sortie]])</f>
        <v>2014</v>
      </c>
      <c r="W1468" s="2" t="str">
        <f>IF(Spotify[[#This Row],[Popularité]]&gt;=70,"FORTE","FAIBLE")</f>
        <v>FAIBLE</v>
      </c>
    </row>
    <row r="1469" spans="1:23" x14ac:dyDescent="0.25">
      <c r="A1469">
        <v>684</v>
      </c>
      <c r="B1469">
        <v>160</v>
      </c>
      <c r="C1469">
        <v>1</v>
      </c>
      <c r="D1469" s="1">
        <v>44183</v>
      </c>
      <c r="E1469" s="59" t="str" cm="1">
        <f t="array" ref="E146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69" t="s">
        <v>1217</v>
      </c>
      <c r="G1469" s="3">
        <v>7170169</v>
      </c>
      <c r="H1469" t="s">
        <v>1099</v>
      </c>
      <c r="I1469" s="4">
        <v>6931357</v>
      </c>
      <c r="J1469" t="s">
        <v>19</v>
      </c>
      <c r="K1469" s="1">
        <v>44169</v>
      </c>
      <c r="L1469">
        <v>47</v>
      </c>
      <c r="M1469" s="2" t="str">
        <f>IF(Spotify[[#This Row],[Energie]]&gt;AVERAGE(Spotify[Energie]),"FORTE","FAIBLE")</f>
        <v>FORTE</v>
      </c>
      <c r="N1469" s="2">
        <v>0.64800000000000002</v>
      </c>
      <c r="O1469" s="2">
        <v>0.93799999999999994</v>
      </c>
      <c r="P1469" s="2">
        <v>0.115</v>
      </c>
      <c r="Q1469" s="2">
        <v>3.39E-2</v>
      </c>
      <c r="R1469" s="2">
        <v>5.6399999999999999E-2</v>
      </c>
      <c r="S1469" s="2">
        <v>0.84899999999999998</v>
      </c>
      <c r="T1469" s="2">
        <v>-3.298</v>
      </c>
      <c r="U1469">
        <v>200467</v>
      </c>
      <c r="V1469">
        <f>YEAR(Spotify[[#This Row],[Date de sortie]])</f>
        <v>2020</v>
      </c>
      <c r="W1469" s="2" t="str">
        <f>IF(Spotify[[#This Row],[Popularité]]&gt;=70,"FORTE","FAIBLE")</f>
        <v>FAIBLE</v>
      </c>
    </row>
    <row r="1470" spans="1:23" x14ac:dyDescent="0.25">
      <c r="A1470">
        <v>643</v>
      </c>
      <c r="B1470">
        <v>38</v>
      </c>
      <c r="C1470">
        <v>5</v>
      </c>
      <c r="D1470" s="1">
        <v>44183</v>
      </c>
      <c r="E1470" s="59" t="str" cm="1">
        <f t="array" ref="E147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70" t="s">
        <v>1145</v>
      </c>
      <c r="G1470" s="3">
        <v>6052105</v>
      </c>
      <c r="H1470" t="s">
        <v>1146</v>
      </c>
      <c r="I1470" s="4">
        <v>99249</v>
      </c>
      <c r="J1470" t="s">
        <v>1147</v>
      </c>
      <c r="K1470" s="1">
        <v>33567</v>
      </c>
      <c r="L1470">
        <v>47</v>
      </c>
      <c r="M1470" s="2" t="str">
        <f>IF(Spotify[[#This Row],[Energie]]&gt;AVERAGE(Spotify[Energie]),"FORTE","FAIBLE")</f>
        <v>FORTE</v>
      </c>
      <c r="N1470" s="2">
        <v>0.53400000000000003</v>
      </c>
      <c r="O1470" s="2">
        <v>0.90400000000000003</v>
      </c>
      <c r="P1470" s="2">
        <v>3.6900000000000002E-2</v>
      </c>
      <c r="Q1470" s="2">
        <v>0.129</v>
      </c>
      <c r="R1470" s="2">
        <v>0.128</v>
      </c>
      <c r="S1470" s="2">
        <v>0.96</v>
      </c>
      <c r="T1470" s="2">
        <v>-3.3149999999999999</v>
      </c>
      <c r="U1470">
        <v>220160</v>
      </c>
      <c r="V1470">
        <f>YEAR(Spotify[[#This Row],[Date de sortie]])</f>
        <v>1991</v>
      </c>
      <c r="W1470" s="2" t="str">
        <f>IF(Spotify[[#This Row],[Popularité]]&gt;=70,"FORTE","FAIBLE")</f>
        <v>FAIBLE</v>
      </c>
    </row>
    <row r="1471" spans="1:23" x14ac:dyDescent="0.25">
      <c r="A1471">
        <v>1012</v>
      </c>
      <c r="B1471">
        <v>129</v>
      </c>
      <c r="C1471">
        <v>4</v>
      </c>
      <c r="D1471" s="1">
        <v>44015</v>
      </c>
      <c r="E1471" s="59" t="str" cm="1">
        <f t="array" ref="E147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71" t="s">
        <v>1702</v>
      </c>
      <c r="G1471" s="3">
        <v>5228433</v>
      </c>
      <c r="H1471" t="s">
        <v>1703</v>
      </c>
      <c r="I1471" s="4">
        <v>632097</v>
      </c>
      <c r="J1471" t="s">
        <v>761</v>
      </c>
      <c r="K1471" s="1">
        <v>44008</v>
      </c>
      <c r="L1471">
        <v>47</v>
      </c>
      <c r="M1471" s="2" t="str">
        <f>IF(Spotify[[#This Row],[Energie]]&gt;AVERAGE(Spotify[Energie]),"FORTE","FAIBLE")</f>
        <v>FAIBLE</v>
      </c>
      <c r="N1471" s="2">
        <v>0.57499999999999996</v>
      </c>
      <c r="O1471" s="2">
        <v>0.54300000000000004</v>
      </c>
      <c r="P1471" s="2">
        <v>5.2900000000000003E-2</v>
      </c>
      <c r="Q1471" s="2">
        <v>0.10199999999999999</v>
      </c>
      <c r="R1471" s="2">
        <v>0.17599999999999999</v>
      </c>
      <c r="S1471" s="2">
        <v>0.28299999999999997</v>
      </c>
      <c r="T1471" s="2">
        <v>-5.0620000000000003</v>
      </c>
      <c r="U1471">
        <v>186480</v>
      </c>
      <c r="V1471">
        <f>YEAR(Spotify[[#This Row],[Date de sortie]])</f>
        <v>2020</v>
      </c>
      <c r="W1471" s="2" t="str">
        <f>IF(Spotify[[#This Row],[Popularité]]&gt;=70,"FORTE","FAIBLE")</f>
        <v>FAIBLE</v>
      </c>
    </row>
    <row r="1472" spans="1:23" x14ac:dyDescent="0.25">
      <c r="A1472">
        <v>657</v>
      </c>
      <c r="B1472">
        <v>83</v>
      </c>
      <c r="C1472">
        <v>3</v>
      </c>
      <c r="D1472" s="1">
        <v>44183</v>
      </c>
      <c r="E1472" s="59" t="str" cm="1">
        <f t="array" ref="E147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72" t="s">
        <v>1172</v>
      </c>
      <c r="G1472" s="3">
        <v>9548924</v>
      </c>
      <c r="H1472" t="s">
        <v>1041</v>
      </c>
      <c r="I1472" s="4">
        <v>17097317</v>
      </c>
      <c r="J1472" t="s">
        <v>19</v>
      </c>
      <c r="K1472" s="1">
        <v>41978</v>
      </c>
      <c r="L1472">
        <v>46</v>
      </c>
      <c r="M1472" s="2" t="str">
        <f>IF(Spotify[[#This Row],[Energie]]&gt;AVERAGE(Spotify[Energie]),"FORTE","FAIBLE")</f>
        <v>FAIBLE</v>
      </c>
      <c r="N1472" s="2">
        <v>0.438</v>
      </c>
      <c r="O1472" s="2">
        <v>0.17799999999999999</v>
      </c>
      <c r="P1472" s="2">
        <v>4.1399999999999999E-2</v>
      </c>
      <c r="Q1472" s="2">
        <v>0.95699999999999996</v>
      </c>
      <c r="R1472" s="2">
        <v>0.316</v>
      </c>
      <c r="S1472" s="2">
        <v>0.34399999999999997</v>
      </c>
      <c r="T1472" s="2">
        <v>-9.4019999999999992</v>
      </c>
      <c r="U1472">
        <v>170964</v>
      </c>
      <c r="V1472">
        <f>YEAR(Spotify[[#This Row],[Date de sortie]])</f>
        <v>2014</v>
      </c>
      <c r="W1472" s="2" t="str">
        <f>IF(Spotify[[#This Row],[Popularité]]&gt;=70,"FORTE","FAIBLE")</f>
        <v>FAIBLE</v>
      </c>
    </row>
    <row r="1473" spans="1:23" x14ac:dyDescent="0.25">
      <c r="A1473">
        <v>662</v>
      </c>
      <c r="B1473">
        <v>102</v>
      </c>
      <c r="C1473">
        <v>1</v>
      </c>
      <c r="D1473" s="1">
        <v>44183</v>
      </c>
      <c r="E1473" s="59" t="str" cm="1">
        <f t="array" ref="E147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73" t="s">
        <v>1181</v>
      </c>
      <c r="G1473" s="3">
        <v>8813922</v>
      </c>
      <c r="H1473" t="s">
        <v>592</v>
      </c>
      <c r="I1473" s="4">
        <v>3916979</v>
      </c>
      <c r="J1473" t="s">
        <v>19</v>
      </c>
      <c r="K1473" s="1">
        <v>44119</v>
      </c>
      <c r="L1473">
        <v>45</v>
      </c>
      <c r="M1473" s="2" t="str">
        <f>IF(Spotify[[#This Row],[Energie]]&gt;AVERAGE(Spotify[Energie]),"FORTE","FAIBLE")</f>
        <v>FAIBLE</v>
      </c>
      <c r="N1473" s="2">
        <v>0.65400000000000003</v>
      </c>
      <c r="O1473" s="2">
        <v>0.59599999999999997</v>
      </c>
      <c r="P1473" s="2">
        <v>4.58E-2</v>
      </c>
      <c r="Q1473" s="2">
        <v>0.42399999999999999</v>
      </c>
      <c r="R1473" s="2">
        <v>0.11</v>
      </c>
      <c r="S1473" s="2">
        <v>0.38200000000000001</v>
      </c>
      <c r="T1473" s="2">
        <v>-4.68</v>
      </c>
      <c r="U1473">
        <v>169245</v>
      </c>
      <c r="V1473">
        <f>YEAR(Spotify[[#This Row],[Date de sortie]])</f>
        <v>2020</v>
      </c>
      <c r="W1473" s="2" t="str">
        <f>IF(Spotify[[#This Row],[Popularité]]&gt;=70,"FORTE","FAIBLE")</f>
        <v>FAIBLE</v>
      </c>
    </row>
    <row r="1474" spans="1:23" x14ac:dyDescent="0.25">
      <c r="A1474">
        <v>680</v>
      </c>
      <c r="B1474">
        <v>152</v>
      </c>
      <c r="C1474">
        <v>1</v>
      </c>
      <c r="D1474" s="1">
        <v>44183</v>
      </c>
      <c r="E1474" s="59" t="str" cm="1">
        <f t="array" ref="E147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74" t="s">
        <v>1212</v>
      </c>
      <c r="G1474" s="3">
        <v>7281773</v>
      </c>
      <c r="H1474" t="s">
        <v>1213</v>
      </c>
      <c r="I1474" s="4">
        <v>10606572</v>
      </c>
      <c r="J1474" t="s">
        <v>19</v>
      </c>
      <c r="K1474" s="1">
        <v>42013</v>
      </c>
      <c r="L1474">
        <v>45</v>
      </c>
      <c r="M1474" s="2" t="str">
        <f>IF(Spotify[[#This Row],[Energie]]&gt;AVERAGE(Spotify[Energie]),"FORTE","FAIBLE")</f>
        <v>FAIBLE</v>
      </c>
      <c r="N1474" s="2">
        <v>0.54200000000000004</v>
      </c>
      <c r="O1474" s="2">
        <v>0.37</v>
      </c>
      <c r="P1474" s="2">
        <v>2.5700000000000001E-2</v>
      </c>
      <c r="Q1474" s="2">
        <v>0.318</v>
      </c>
      <c r="R1474" s="2">
        <v>0.108</v>
      </c>
      <c r="S1474" s="2">
        <v>0.28899999999999998</v>
      </c>
      <c r="T1474" s="2">
        <v>-7.7789999999999999</v>
      </c>
      <c r="U1474">
        <v>219653</v>
      </c>
      <c r="V1474">
        <f>YEAR(Spotify[[#This Row],[Date de sortie]])</f>
        <v>2015</v>
      </c>
      <c r="W1474" s="2" t="str">
        <f>IF(Spotify[[#This Row],[Popularité]]&gt;=70,"FORTE","FAIBLE")</f>
        <v>FAIBLE</v>
      </c>
    </row>
    <row r="1475" spans="1:23" x14ac:dyDescent="0.25">
      <c r="A1475">
        <v>649</v>
      </c>
      <c r="B1475">
        <v>69</v>
      </c>
      <c r="C1475">
        <v>6</v>
      </c>
      <c r="D1475" s="1">
        <v>44183</v>
      </c>
      <c r="E1475" s="59" t="str" cm="1">
        <f t="array" ref="E147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75" t="s">
        <v>1159</v>
      </c>
      <c r="G1475" s="3">
        <v>5394054</v>
      </c>
      <c r="H1475" t="s">
        <v>1160</v>
      </c>
      <c r="I1475" s="4">
        <v>1251372</v>
      </c>
      <c r="J1475"/>
      <c r="K1475" s="1">
        <v>23012</v>
      </c>
      <c r="L1475">
        <v>45</v>
      </c>
      <c r="M1475" s="2" t="str">
        <f>IF(Spotify[[#This Row],[Energie]]&gt;AVERAGE(Spotify[Energie]),"FORTE","FAIBLE")</f>
        <v>FORTE</v>
      </c>
      <c r="N1475" s="2">
        <v>0.32500000000000001</v>
      </c>
      <c r="O1475" s="2">
        <v>0.75900000000000001</v>
      </c>
      <c r="P1475" s="2">
        <v>5.2999999999999999E-2</v>
      </c>
      <c r="Q1475" s="2">
        <v>0.39500000000000002</v>
      </c>
      <c r="R1475" s="2">
        <v>7.7299999999999994E-2</v>
      </c>
      <c r="S1475" s="2">
        <v>0.36</v>
      </c>
      <c r="T1475" s="2">
        <v>-7.1459999999999999</v>
      </c>
      <c r="U1475">
        <v>166453</v>
      </c>
      <c r="V1475">
        <f>YEAR(Spotify[[#This Row],[Date de sortie]])</f>
        <v>1963</v>
      </c>
      <c r="W1475" s="2" t="str">
        <f>IF(Spotify[[#This Row],[Popularité]]&gt;=70,"FORTE","FAIBLE")</f>
        <v>FAIBLE</v>
      </c>
    </row>
    <row r="1476" spans="1:23" x14ac:dyDescent="0.25">
      <c r="A1476">
        <v>660</v>
      </c>
      <c r="B1476">
        <v>89</v>
      </c>
      <c r="C1476">
        <v>3</v>
      </c>
      <c r="D1476" s="1">
        <v>44183</v>
      </c>
      <c r="E1476" s="59" t="str" cm="1">
        <f t="array" ref="E147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COUNTRY</v>
      </c>
      <c r="F1476" t="s">
        <v>1176</v>
      </c>
      <c r="G1476" s="3">
        <v>9270017</v>
      </c>
      <c r="H1476" t="s">
        <v>1177</v>
      </c>
      <c r="I1476" s="4">
        <v>1298537</v>
      </c>
      <c r="J1476" t="s">
        <v>382</v>
      </c>
      <c r="K1476" s="1">
        <v>42671</v>
      </c>
      <c r="L1476">
        <v>44</v>
      </c>
      <c r="M1476" s="2" t="str">
        <f>IF(Spotify[[#This Row],[Energie]]&gt;AVERAGE(Spotify[Energie]),"FORTE","FAIBLE")</f>
        <v>FAIBLE</v>
      </c>
      <c r="N1476" s="2">
        <v>0.58299999999999996</v>
      </c>
      <c r="O1476" s="2">
        <v>0.57199999999999995</v>
      </c>
      <c r="P1476" s="2">
        <v>3.6600000000000001E-2</v>
      </c>
      <c r="Q1476" s="2">
        <v>0.73799999999999999</v>
      </c>
      <c r="R1476" s="2">
        <v>0.26600000000000001</v>
      </c>
      <c r="S1476" s="2">
        <v>0.68400000000000005</v>
      </c>
      <c r="T1476" s="2">
        <v>-4.7759999999999998</v>
      </c>
      <c r="U1476">
        <v>173560</v>
      </c>
      <c r="V1476">
        <f>YEAR(Spotify[[#This Row],[Date de sortie]])</f>
        <v>2016</v>
      </c>
      <c r="W1476" s="2" t="str">
        <f>IF(Spotify[[#This Row],[Popularité]]&gt;=70,"FORTE","FAIBLE")</f>
        <v>FAIBLE</v>
      </c>
    </row>
    <row r="1477" spans="1:23" x14ac:dyDescent="0.25">
      <c r="A1477">
        <v>663</v>
      </c>
      <c r="B1477">
        <v>104</v>
      </c>
      <c r="C1477">
        <v>1</v>
      </c>
      <c r="D1477" s="1">
        <v>44183</v>
      </c>
      <c r="E1477" s="59" t="str" cm="1">
        <f t="array" ref="E147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77" t="s">
        <v>1182</v>
      </c>
      <c r="G1477" s="3">
        <v>8696354</v>
      </c>
      <c r="H1477" t="s">
        <v>1183</v>
      </c>
      <c r="I1477" s="4">
        <v>4805333</v>
      </c>
      <c r="J1477" t="s">
        <v>19</v>
      </c>
      <c r="K1477" s="1">
        <v>43014</v>
      </c>
      <c r="L1477">
        <v>44</v>
      </c>
      <c r="M1477" s="2" t="str">
        <f>IF(Spotify[[#This Row],[Energie]]&gt;AVERAGE(Spotify[Energie]),"FORTE","FAIBLE")</f>
        <v>FORTE</v>
      </c>
      <c r="N1477" s="2">
        <v>0.63500000000000001</v>
      </c>
      <c r="O1477" s="2">
        <v>0.87</v>
      </c>
      <c r="P1477" s="2">
        <v>0.04</v>
      </c>
      <c r="Q1477" s="2">
        <v>1.5599999999999999E-2</v>
      </c>
      <c r="R1477" s="2">
        <v>0.11799999999999999</v>
      </c>
      <c r="S1477" s="2">
        <v>0.91200000000000003</v>
      </c>
      <c r="T1477" s="2">
        <v>-4.2910000000000004</v>
      </c>
      <c r="U1477">
        <v>156773</v>
      </c>
      <c r="V1477">
        <f>YEAR(Spotify[[#This Row],[Date de sortie]])</f>
        <v>2017</v>
      </c>
      <c r="W1477" s="2" t="str">
        <f>IF(Spotify[[#This Row],[Popularité]]&gt;=70,"FORTE","FAIBLE")</f>
        <v>FAIBLE</v>
      </c>
    </row>
    <row r="1478" spans="1:23" x14ac:dyDescent="0.25">
      <c r="A1478">
        <v>666</v>
      </c>
      <c r="B1478">
        <v>117</v>
      </c>
      <c r="C1478">
        <v>1</v>
      </c>
      <c r="D1478" s="1">
        <v>44183</v>
      </c>
      <c r="E1478" s="59" t="str" cm="1">
        <f t="array" ref="E147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78" t="s">
        <v>1186</v>
      </c>
      <c r="G1478" s="3">
        <v>8177832</v>
      </c>
      <c r="H1478" t="s">
        <v>1110</v>
      </c>
      <c r="I1478" s="4">
        <v>4702232</v>
      </c>
      <c r="J1478" t="s">
        <v>1106</v>
      </c>
      <c r="K1478" s="1">
        <v>41222</v>
      </c>
      <c r="L1478">
        <v>44</v>
      </c>
      <c r="M1478" s="2" t="str">
        <f>IF(Spotify[[#This Row],[Energie]]&gt;AVERAGE(Spotify[Energie]),"FORTE","FAIBLE")</f>
        <v>FAIBLE</v>
      </c>
      <c r="N1478" s="2">
        <v>0.59399999999999997</v>
      </c>
      <c r="O1478" s="2">
        <v>0.38900000000000001</v>
      </c>
      <c r="P1478" s="2">
        <v>5.1700000000000003E-2</v>
      </c>
      <c r="Q1478" s="2">
        <v>0.78500000000000003</v>
      </c>
      <c r="R1478" s="2">
        <v>3.1300000000000001E-2</v>
      </c>
      <c r="S1478" s="2">
        <v>0.39600000000000002</v>
      </c>
      <c r="T1478" s="2">
        <v>-7.109</v>
      </c>
      <c r="U1478">
        <v>171093</v>
      </c>
      <c r="V1478">
        <f>YEAR(Spotify[[#This Row],[Date de sortie]])</f>
        <v>2012</v>
      </c>
      <c r="W1478" s="2" t="str">
        <f>IF(Spotify[[#This Row],[Popularité]]&gt;=70,"FORTE","FAIBLE")</f>
        <v>FAIBLE</v>
      </c>
    </row>
    <row r="1479" spans="1:23" x14ac:dyDescent="0.25">
      <c r="A1479">
        <v>669</v>
      </c>
      <c r="B1479">
        <v>123</v>
      </c>
      <c r="C1479">
        <v>1</v>
      </c>
      <c r="D1479" s="1">
        <v>44183</v>
      </c>
      <c r="E1479" s="59" t="str" cm="1">
        <f t="array" ref="E147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79" t="s">
        <v>1191</v>
      </c>
      <c r="G1479" s="3">
        <v>8064361</v>
      </c>
      <c r="H1479" t="s">
        <v>1154</v>
      </c>
      <c r="I1479" s="4">
        <v>1151360</v>
      </c>
      <c r="J1479" t="s">
        <v>1192</v>
      </c>
      <c r="K1479" s="1">
        <v>25856</v>
      </c>
      <c r="L1479">
        <v>44</v>
      </c>
      <c r="M1479" s="2" t="str">
        <f>IF(Spotify[[#This Row],[Energie]]&gt;AVERAGE(Spotify[Energie]),"FORTE","FAIBLE")</f>
        <v>FORTE</v>
      </c>
      <c r="N1479" s="2">
        <v>0.58299999999999996</v>
      </c>
      <c r="O1479" s="2">
        <v>0.71199999999999997</v>
      </c>
      <c r="P1479" s="2">
        <v>5.3800000000000001E-2</v>
      </c>
      <c r="Q1479" s="2">
        <v>0.26300000000000001</v>
      </c>
      <c r="R1479" s="2">
        <v>0.81699999999999995</v>
      </c>
      <c r="S1479" s="2">
        <v>0.61399999999999999</v>
      </c>
      <c r="T1479" s="2">
        <v>-8.2219999999999995</v>
      </c>
      <c r="U1479">
        <v>181267</v>
      </c>
      <c r="V1479">
        <f>YEAR(Spotify[[#This Row],[Date de sortie]])</f>
        <v>1970</v>
      </c>
      <c r="W1479" s="2" t="str">
        <f>IF(Spotify[[#This Row],[Popularité]]&gt;=70,"FORTE","FAIBLE")</f>
        <v>FAIBLE</v>
      </c>
    </row>
    <row r="1480" spans="1:23" x14ac:dyDescent="0.25">
      <c r="A1480">
        <v>675</v>
      </c>
      <c r="B1480">
        <v>144</v>
      </c>
      <c r="C1480">
        <v>1</v>
      </c>
      <c r="D1480" s="1">
        <v>44183</v>
      </c>
      <c r="E1480" s="59" t="str" cm="1">
        <f t="array" ref="E148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80" t="s">
        <v>1202</v>
      </c>
      <c r="G1480" s="3">
        <v>7367482</v>
      </c>
      <c r="H1480" t="s">
        <v>1118</v>
      </c>
      <c r="I1480" s="4">
        <v>1139096</v>
      </c>
      <c r="J1480" t="s">
        <v>1106</v>
      </c>
      <c r="K1480" s="1">
        <v>21551</v>
      </c>
      <c r="L1480">
        <v>44</v>
      </c>
      <c r="M1480" s="2" t="str">
        <f>IF(Spotify[[#This Row],[Energie]]&gt;AVERAGE(Spotify[Energie]),"FORTE","FAIBLE")</f>
        <v>FAIBLE</v>
      </c>
      <c r="N1480" s="2">
        <v>0.46899999999999997</v>
      </c>
      <c r="O1480" s="2">
        <v>0.19600000000000001</v>
      </c>
      <c r="P1480" s="2">
        <v>5.7099999999999998E-2</v>
      </c>
      <c r="Q1480" s="2">
        <v>0.88200000000000001</v>
      </c>
      <c r="R1480" s="2">
        <v>5.1299999999999998E-2</v>
      </c>
      <c r="S1480" s="2">
        <v>0.53700000000000003</v>
      </c>
      <c r="T1480" s="2">
        <v>-16.093</v>
      </c>
      <c r="U1480">
        <v>143733</v>
      </c>
      <c r="V1480">
        <f>YEAR(Spotify[[#This Row],[Date de sortie]])</f>
        <v>1959</v>
      </c>
      <c r="W1480" s="2" t="str">
        <f>IF(Spotify[[#This Row],[Popularité]]&gt;=70,"FORTE","FAIBLE")</f>
        <v>FAIBLE</v>
      </c>
    </row>
    <row r="1481" spans="1:23" x14ac:dyDescent="0.25">
      <c r="A1481">
        <v>676</v>
      </c>
      <c r="B1481">
        <v>145</v>
      </c>
      <c r="C1481">
        <v>1</v>
      </c>
      <c r="D1481" s="1">
        <v>44183</v>
      </c>
      <c r="E1481" s="59" t="str" cm="1">
        <f t="array" ref="E148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1481" t="s">
        <v>1203</v>
      </c>
      <c r="G1481" s="3">
        <v>7363913</v>
      </c>
      <c r="H1481" t="s">
        <v>1204</v>
      </c>
      <c r="I1481" s="4">
        <v>4224071</v>
      </c>
      <c r="J1481" t="s">
        <v>303</v>
      </c>
      <c r="K1481" s="1">
        <v>29587</v>
      </c>
      <c r="L1481">
        <v>44</v>
      </c>
      <c r="M1481" s="2" t="str">
        <f>IF(Spotify[[#This Row],[Energie]]&gt;AVERAGE(Spotify[Energie]),"FORTE","FAIBLE")</f>
        <v>FORTE</v>
      </c>
      <c r="N1481" s="2">
        <v>0.35699999999999998</v>
      </c>
      <c r="O1481" s="2">
        <v>0.66800000000000004</v>
      </c>
      <c r="P1481" s="2">
        <v>4.7899999999999998E-2</v>
      </c>
      <c r="Q1481" s="2">
        <v>0.36199999999999999</v>
      </c>
      <c r="R1481" s="2">
        <v>0.72699999999999998</v>
      </c>
      <c r="S1481" s="2">
        <v>0.40699999999999997</v>
      </c>
      <c r="T1481" s="2">
        <v>-8.4440000000000008</v>
      </c>
      <c r="U1481">
        <v>267600</v>
      </c>
      <c r="V1481">
        <f>YEAR(Spotify[[#This Row],[Date de sortie]])</f>
        <v>1981</v>
      </c>
      <c r="W1481" s="2" t="str">
        <f>IF(Spotify[[#This Row],[Popularité]]&gt;=70,"FORTE","FAIBLE")</f>
        <v>FAIBLE</v>
      </c>
    </row>
    <row r="1482" spans="1:23" x14ac:dyDescent="0.25">
      <c r="A1482">
        <v>685</v>
      </c>
      <c r="B1482">
        <v>161</v>
      </c>
      <c r="C1482">
        <v>1</v>
      </c>
      <c r="D1482" s="1">
        <v>44183</v>
      </c>
      <c r="E1482" s="59" t="str" cm="1">
        <f t="array" ref="E148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82" t="s">
        <v>1218</v>
      </c>
      <c r="G1482" s="3">
        <v>7149158</v>
      </c>
      <c r="H1482" t="s">
        <v>1219</v>
      </c>
      <c r="I1482" s="4">
        <v>359973</v>
      </c>
      <c r="J1482" t="s">
        <v>1106</v>
      </c>
      <c r="K1482" s="1">
        <v>38718</v>
      </c>
      <c r="L1482">
        <v>44</v>
      </c>
      <c r="M1482" s="2" t="str">
        <f>IF(Spotify[[#This Row],[Energie]]&gt;AVERAGE(Spotify[Energie]),"FORTE","FAIBLE")</f>
        <v>FAIBLE</v>
      </c>
      <c r="N1482" s="2">
        <v>0.56599999999999995</v>
      </c>
      <c r="O1482" s="2">
        <v>0.246</v>
      </c>
      <c r="P1482" s="2">
        <v>2.76E-2</v>
      </c>
      <c r="Q1482" s="2">
        <v>0.81299999999999994</v>
      </c>
      <c r="R1482" s="2">
        <v>0.19500000000000001</v>
      </c>
      <c r="S1482" s="2">
        <v>0.41199999999999998</v>
      </c>
      <c r="T1482" s="2">
        <v>-15.499000000000001</v>
      </c>
      <c r="U1482">
        <v>165667</v>
      </c>
      <c r="V1482">
        <f>YEAR(Spotify[[#This Row],[Date de sortie]])</f>
        <v>2006</v>
      </c>
      <c r="W1482" s="2" t="str">
        <f>IF(Spotify[[#This Row],[Popularité]]&gt;=70,"FORTE","FAIBLE")</f>
        <v>FAIBLE</v>
      </c>
    </row>
    <row r="1483" spans="1:23" x14ac:dyDescent="0.25">
      <c r="A1483">
        <v>693</v>
      </c>
      <c r="B1483">
        <v>192</v>
      </c>
      <c r="C1483">
        <v>1</v>
      </c>
      <c r="D1483" s="1">
        <v>44183</v>
      </c>
      <c r="E1483" s="59" t="str" cm="1">
        <f t="array" ref="E148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1483" t="s">
        <v>1234</v>
      </c>
      <c r="G1483" s="3">
        <v>6400108</v>
      </c>
      <c r="H1483" t="s">
        <v>1235</v>
      </c>
      <c r="I1483" s="4">
        <v>6896776</v>
      </c>
      <c r="J1483" t="s">
        <v>360</v>
      </c>
      <c r="K1483" s="1">
        <v>34335</v>
      </c>
      <c r="L1483">
        <v>44</v>
      </c>
      <c r="M1483" s="2" t="str">
        <f>IF(Spotify[[#This Row],[Energie]]&gt;AVERAGE(Spotify[Energie]),"FORTE","FAIBLE")</f>
        <v>FAIBLE</v>
      </c>
      <c r="N1483" s="2">
        <v>0.61199999999999999</v>
      </c>
      <c r="O1483" s="2">
        <v>0.28899999999999998</v>
      </c>
      <c r="P1483" s="2">
        <v>4.2099999999999999E-2</v>
      </c>
      <c r="Q1483" s="2">
        <v>0.59899999999999998</v>
      </c>
      <c r="R1483" s="2">
        <v>5.6099999999999997E-2</v>
      </c>
      <c r="S1483" s="2">
        <v>0.46600000000000003</v>
      </c>
      <c r="T1483" s="2">
        <v>-11.568</v>
      </c>
      <c r="U1483">
        <v>177440</v>
      </c>
      <c r="V1483">
        <f>YEAR(Spotify[[#This Row],[Date de sortie]])</f>
        <v>1994</v>
      </c>
      <c r="W1483" s="2" t="str">
        <f>IF(Spotify[[#This Row],[Popularité]]&gt;=70,"FORTE","FAIBLE")</f>
        <v>FAIBLE</v>
      </c>
    </row>
    <row r="1484" spans="1:23" x14ac:dyDescent="0.25">
      <c r="A1484">
        <v>654</v>
      </c>
      <c r="B1484">
        <v>71</v>
      </c>
      <c r="C1484">
        <v>3</v>
      </c>
      <c r="D1484" s="1">
        <v>44183</v>
      </c>
      <c r="E1484" s="59" t="str" cm="1">
        <f t="array" ref="E148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1484" t="s">
        <v>1168</v>
      </c>
      <c r="G1484" s="3">
        <v>10522305</v>
      </c>
      <c r="H1484" t="s">
        <v>1169</v>
      </c>
      <c r="I1484" s="4">
        <v>1549216</v>
      </c>
      <c r="J1484" t="s">
        <v>360</v>
      </c>
      <c r="K1484" s="1">
        <v>30621</v>
      </c>
      <c r="L1484">
        <v>43</v>
      </c>
      <c r="M1484" s="2" t="str">
        <f>IF(Spotify[[#This Row],[Energie]]&gt;AVERAGE(Spotify[Energie]),"FORTE","FAIBLE")</f>
        <v>FORTE</v>
      </c>
      <c r="N1484" s="2">
        <v>0.66600000000000004</v>
      </c>
      <c r="O1484" s="2">
        <v>0.84099999999999997</v>
      </c>
      <c r="P1484" s="2">
        <v>3.1199999999999999E-2</v>
      </c>
      <c r="Q1484" s="2">
        <v>0.61299999999999999</v>
      </c>
      <c r="R1484" s="2">
        <v>0.113</v>
      </c>
      <c r="S1484" s="2">
        <v>0.84</v>
      </c>
      <c r="T1484" s="2">
        <v>-3.5920000000000001</v>
      </c>
      <c r="U1484">
        <v>126360</v>
      </c>
      <c r="V1484">
        <f>YEAR(Spotify[[#This Row],[Date de sortie]])</f>
        <v>1983</v>
      </c>
      <c r="W1484" s="2" t="str">
        <f>IF(Spotify[[#This Row],[Popularité]]&gt;=70,"FORTE","FAIBLE")</f>
        <v>FAIBLE</v>
      </c>
    </row>
    <row r="1485" spans="1:23" x14ac:dyDescent="0.25">
      <c r="A1485">
        <v>659</v>
      </c>
      <c r="B1485">
        <v>86</v>
      </c>
      <c r="C1485">
        <v>2</v>
      </c>
      <c r="D1485" s="1">
        <v>44183</v>
      </c>
      <c r="E1485" s="59" t="str" cm="1">
        <f t="array" ref="E148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85" t="s">
        <v>1174</v>
      </c>
      <c r="G1485" s="3">
        <v>9457199</v>
      </c>
      <c r="H1485" t="s">
        <v>1175</v>
      </c>
      <c r="I1485" s="4">
        <v>9470311</v>
      </c>
      <c r="J1485" t="s">
        <v>19</v>
      </c>
      <c r="K1485" s="1">
        <v>36844</v>
      </c>
      <c r="L1485">
        <v>43</v>
      </c>
      <c r="M1485" s="2" t="str">
        <f>IF(Spotify[[#This Row],[Energie]]&gt;AVERAGE(Spotify[Energie]),"FORTE","FAIBLE")</f>
        <v>FORTE</v>
      </c>
      <c r="N1485" s="2">
        <v>0.66900000000000004</v>
      </c>
      <c r="O1485" s="2">
        <v>0.84299999999999997</v>
      </c>
      <c r="P1485" s="2">
        <v>2.6800000000000001E-2</v>
      </c>
      <c r="Q1485" s="2">
        <v>0.16900000000000001</v>
      </c>
      <c r="R1485" s="2">
        <v>0.19500000000000001</v>
      </c>
      <c r="S1485" s="2">
        <v>0.70199999999999996</v>
      </c>
      <c r="T1485" s="2">
        <v>-3.766</v>
      </c>
      <c r="U1485">
        <v>255400</v>
      </c>
      <c r="V1485">
        <f>YEAR(Spotify[[#This Row],[Date de sortie]])</f>
        <v>2000</v>
      </c>
      <c r="W1485" s="2" t="str">
        <f>IF(Spotify[[#This Row],[Popularité]]&gt;=70,"FORTE","FAIBLE")</f>
        <v>FAIBLE</v>
      </c>
    </row>
    <row r="1486" spans="1:23" x14ac:dyDescent="0.25">
      <c r="A1486">
        <v>650</v>
      </c>
      <c r="B1486">
        <v>66</v>
      </c>
      <c r="C1486">
        <v>4</v>
      </c>
      <c r="D1486" s="1">
        <v>44183</v>
      </c>
      <c r="E1486" s="59" t="str" cm="1">
        <f t="array" ref="E148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ROCK</v>
      </c>
      <c r="F1486" t="s">
        <v>1161</v>
      </c>
      <c r="G1486" s="3">
        <v>5353591</v>
      </c>
      <c r="H1486" t="s">
        <v>1162</v>
      </c>
      <c r="I1486" s="4">
        <v>7504724</v>
      </c>
      <c r="J1486" t="s">
        <v>1163</v>
      </c>
      <c r="K1486" s="1">
        <v>26942</v>
      </c>
      <c r="L1486">
        <v>43</v>
      </c>
      <c r="M1486" s="2" t="str">
        <f>IF(Spotify[[#This Row],[Energie]]&gt;AVERAGE(Spotify[Energie]),"FORTE","FAIBLE")</f>
        <v>FORTE</v>
      </c>
      <c r="N1486" s="2">
        <v>0.52600000000000002</v>
      </c>
      <c r="O1486" s="2">
        <v>0.92500000000000004</v>
      </c>
      <c r="P1486" s="2">
        <v>3.6299999999999999E-2</v>
      </c>
      <c r="Q1486" s="2">
        <v>0.10199999999999999</v>
      </c>
      <c r="R1486" s="2">
        <v>0.30499999999999999</v>
      </c>
      <c r="S1486" s="2">
        <v>0.81899999999999995</v>
      </c>
      <c r="T1486" s="2">
        <v>-5.5839999999999996</v>
      </c>
      <c r="U1486">
        <v>272394</v>
      </c>
      <c r="V1486">
        <f>YEAR(Spotify[[#This Row],[Date de sortie]])</f>
        <v>1973</v>
      </c>
      <c r="W1486" s="2" t="str">
        <f>IF(Spotify[[#This Row],[Popularité]]&gt;=70,"FORTE","FAIBLE")</f>
        <v>FAIBLE</v>
      </c>
    </row>
    <row r="1487" spans="1:23" x14ac:dyDescent="0.25">
      <c r="A1487">
        <v>674</v>
      </c>
      <c r="B1487">
        <v>140</v>
      </c>
      <c r="C1487">
        <v>1</v>
      </c>
      <c r="D1487" s="1">
        <v>44183</v>
      </c>
      <c r="E1487" s="59" t="str" cm="1">
        <f t="array" ref="E148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87" t="s">
        <v>1201</v>
      </c>
      <c r="G1487" s="3">
        <v>7536851</v>
      </c>
      <c r="H1487" t="s">
        <v>771</v>
      </c>
      <c r="I1487" s="4">
        <v>33893352</v>
      </c>
      <c r="J1487" t="s">
        <v>36</v>
      </c>
      <c r="K1487" s="1">
        <v>44172</v>
      </c>
      <c r="L1487">
        <v>42</v>
      </c>
      <c r="M1487" s="2" t="str">
        <f>IF(Spotify[[#This Row],[Energie]]&gt;AVERAGE(Spotify[Energie]),"FORTE","FAIBLE")</f>
        <v>FAIBLE</v>
      </c>
      <c r="N1487" s="2">
        <v>0.34100000000000003</v>
      </c>
      <c r="O1487" s="2">
        <v>0.18099999999999999</v>
      </c>
      <c r="P1487" s="2">
        <v>3.6600000000000001E-2</v>
      </c>
      <c r="Q1487" s="2">
        <v>0.88800000000000001</v>
      </c>
      <c r="R1487" s="2">
        <v>0.13700000000000001</v>
      </c>
      <c r="S1487" s="2">
        <v>0.21199999999999999</v>
      </c>
      <c r="T1487" s="2">
        <v>-12.073</v>
      </c>
      <c r="U1487">
        <v>196254</v>
      </c>
      <c r="V1487">
        <f>YEAR(Spotify[[#This Row],[Date de sortie]])</f>
        <v>2020</v>
      </c>
      <c r="W1487" s="2" t="str">
        <f>IF(Spotify[[#This Row],[Popularité]]&gt;=70,"FORTE","FAIBLE")</f>
        <v>FAIBLE</v>
      </c>
    </row>
    <row r="1488" spans="1:23" x14ac:dyDescent="0.25">
      <c r="A1488">
        <v>677</v>
      </c>
      <c r="B1488">
        <v>147</v>
      </c>
      <c r="C1488">
        <v>1</v>
      </c>
      <c r="D1488" s="1">
        <v>44183</v>
      </c>
      <c r="E1488" s="59" t="str" cm="1">
        <f t="array" ref="E148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88" t="s">
        <v>1205</v>
      </c>
      <c r="G1488" s="3">
        <v>7350024</v>
      </c>
      <c r="H1488" t="s">
        <v>1206</v>
      </c>
      <c r="I1488" s="4">
        <v>2877234</v>
      </c>
      <c r="J1488" t="s">
        <v>1207</v>
      </c>
      <c r="K1488" s="1">
        <v>41610</v>
      </c>
      <c r="L1488">
        <v>42</v>
      </c>
      <c r="M1488" s="2" t="str">
        <f>IF(Spotify[[#This Row],[Energie]]&gt;AVERAGE(Spotify[Energie]),"FORTE","FAIBLE")</f>
        <v>FORTE</v>
      </c>
      <c r="N1488" s="2">
        <v>0.63800000000000001</v>
      </c>
      <c r="O1488" s="2">
        <v>0.81299999999999994</v>
      </c>
      <c r="P1488" s="2">
        <v>3.6200000000000003E-2</v>
      </c>
      <c r="Q1488" s="2">
        <v>0.46400000000000002</v>
      </c>
      <c r="R1488" s="2">
        <v>0.34399999999999997</v>
      </c>
      <c r="S1488" s="2">
        <v>0.754</v>
      </c>
      <c r="T1488" s="2">
        <v>-3.8490000000000002</v>
      </c>
      <c r="U1488">
        <v>239587</v>
      </c>
      <c r="V1488">
        <f>YEAR(Spotify[[#This Row],[Date de sortie]])</f>
        <v>2013</v>
      </c>
      <c r="W1488" s="2" t="str">
        <f>IF(Spotify[[#This Row],[Popularité]]&gt;=70,"FORTE","FAIBLE")</f>
        <v>FAIBLE</v>
      </c>
    </row>
    <row r="1489" spans="1:23" x14ac:dyDescent="0.25">
      <c r="A1489">
        <v>687</v>
      </c>
      <c r="B1489">
        <v>175</v>
      </c>
      <c r="C1489">
        <v>1</v>
      </c>
      <c r="D1489" s="1">
        <v>44183</v>
      </c>
      <c r="E1489" s="59" t="str" cm="1">
        <f t="array" ref="E148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89" t="s">
        <v>1223</v>
      </c>
      <c r="G1489" s="3">
        <v>6809438</v>
      </c>
      <c r="H1489" t="s">
        <v>1224</v>
      </c>
      <c r="I1489" s="4">
        <v>424935</v>
      </c>
      <c r="J1489" t="s">
        <v>1225</v>
      </c>
      <c r="K1489" s="1">
        <v>32966</v>
      </c>
      <c r="L1489">
        <v>42</v>
      </c>
      <c r="M1489" s="2" t="str">
        <f>IF(Spotify[[#This Row],[Energie]]&gt;AVERAGE(Spotify[Energie]),"FORTE","FAIBLE")</f>
        <v>FORTE</v>
      </c>
      <c r="N1489" s="2">
        <v>0.63400000000000001</v>
      </c>
      <c r="O1489" s="2">
        <v>0.64500000000000002</v>
      </c>
      <c r="P1489" s="2">
        <v>3.7600000000000001E-2</v>
      </c>
      <c r="Q1489" s="2">
        <v>0.29199999999999998</v>
      </c>
      <c r="R1489" s="2">
        <v>0.246</v>
      </c>
      <c r="S1489" s="2">
        <v>0.67700000000000005</v>
      </c>
      <c r="T1489" s="2">
        <v>-9.1999999999999993</v>
      </c>
      <c r="U1489">
        <v>231173</v>
      </c>
      <c r="V1489">
        <f>YEAR(Spotify[[#This Row],[Date de sortie]])</f>
        <v>1990</v>
      </c>
      <c r="W1489" s="2" t="str">
        <f>IF(Spotify[[#This Row],[Popularité]]&gt;=70,"FORTE","FAIBLE")</f>
        <v>FAIBLE</v>
      </c>
    </row>
    <row r="1490" spans="1:23" x14ac:dyDescent="0.25">
      <c r="A1490">
        <v>647</v>
      </c>
      <c r="B1490">
        <v>52</v>
      </c>
      <c r="C1490">
        <v>5</v>
      </c>
      <c r="D1490" s="1">
        <v>44183</v>
      </c>
      <c r="E1490" s="59" t="str" cm="1">
        <f t="array" ref="E149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90" t="s">
        <v>1155</v>
      </c>
      <c r="G1490" s="3">
        <v>5687085</v>
      </c>
      <c r="H1490" t="s">
        <v>1156</v>
      </c>
      <c r="I1490" s="4">
        <v>1324920</v>
      </c>
      <c r="J1490" t="s">
        <v>897</v>
      </c>
      <c r="K1490" s="1">
        <v>40512</v>
      </c>
      <c r="L1490">
        <v>42</v>
      </c>
      <c r="M1490" s="2" t="str">
        <f>IF(Spotify[[#This Row],[Energie]]&gt;AVERAGE(Spotify[Energie]),"FORTE","FAIBLE")</f>
        <v>FAIBLE</v>
      </c>
      <c r="N1490" s="2">
        <v>0.68500000000000005</v>
      </c>
      <c r="O1490" s="2">
        <v>0.39100000000000001</v>
      </c>
      <c r="P1490" s="2">
        <v>4.3499999999999997E-2</v>
      </c>
      <c r="Q1490" s="2">
        <v>0.74399999999999999</v>
      </c>
      <c r="R1490" s="2">
        <v>0.14199999999999999</v>
      </c>
      <c r="S1490" s="2">
        <v>0.443</v>
      </c>
      <c r="T1490" s="2">
        <v>-7.1829999999999998</v>
      </c>
      <c r="U1490">
        <v>202547</v>
      </c>
      <c r="V1490">
        <f>YEAR(Spotify[[#This Row],[Date de sortie]])</f>
        <v>2010</v>
      </c>
      <c r="W1490" s="2" t="str">
        <f>IF(Spotify[[#This Row],[Popularité]]&gt;=70,"FORTE","FAIBLE")</f>
        <v>FAIBLE</v>
      </c>
    </row>
    <row r="1491" spans="1:23" x14ac:dyDescent="0.25">
      <c r="A1491">
        <v>670</v>
      </c>
      <c r="B1491">
        <v>126</v>
      </c>
      <c r="C1491">
        <v>1</v>
      </c>
      <c r="D1491" s="1">
        <v>44183</v>
      </c>
      <c r="E1491" s="59" t="str" cm="1">
        <f t="array" ref="E149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91" t="s">
        <v>1193</v>
      </c>
      <c r="G1491" s="3">
        <v>8022773</v>
      </c>
      <c r="H1491" t="s">
        <v>1194</v>
      </c>
      <c r="I1491" s="4">
        <v>127251</v>
      </c>
      <c r="J1491" t="s">
        <v>1106</v>
      </c>
      <c r="K1491" s="1">
        <v>37257</v>
      </c>
      <c r="L1491">
        <v>41</v>
      </c>
      <c r="M1491" s="2" t="str">
        <f>IF(Spotify[[#This Row],[Energie]]&gt;AVERAGE(Spotify[Energie]),"FORTE","FAIBLE")</f>
        <v>FAIBLE</v>
      </c>
      <c r="N1491" s="2">
        <v>0.7</v>
      </c>
      <c r="O1491" s="2">
        <v>0.13900000000000001</v>
      </c>
      <c r="P1491" s="2">
        <v>6.0699999999999997E-2</v>
      </c>
      <c r="Q1491" s="2">
        <v>0.90200000000000002</v>
      </c>
      <c r="R1491" s="2">
        <v>0.185</v>
      </c>
      <c r="S1491" s="2">
        <v>0.49</v>
      </c>
      <c r="T1491" s="2">
        <v>-12.346</v>
      </c>
      <c r="U1491">
        <v>206067</v>
      </c>
      <c r="V1491">
        <f>YEAR(Spotify[[#This Row],[Date de sortie]])</f>
        <v>2002</v>
      </c>
      <c r="W1491" s="2" t="str">
        <f>IF(Spotify[[#This Row],[Popularité]]&gt;=70,"FORTE","FAIBLE")</f>
        <v>FAIBLE</v>
      </c>
    </row>
    <row r="1492" spans="1:23" x14ac:dyDescent="0.25">
      <c r="A1492">
        <v>681</v>
      </c>
      <c r="B1492">
        <v>156</v>
      </c>
      <c r="C1492">
        <v>1</v>
      </c>
      <c r="D1492" s="1">
        <v>44183</v>
      </c>
      <c r="E1492" s="59" t="str" cm="1">
        <f t="array" ref="E149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92" t="s">
        <v>1214</v>
      </c>
      <c r="G1492" s="3">
        <v>7227612</v>
      </c>
      <c r="H1492" t="s">
        <v>1118</v>
      </c>
      <c r="I1492" s="4">
        <v>1139096</v>
      </c>
      <c r="J1492" t="s">
        <v>1106</v>
      </c>
      <c r="K1492" s="1">
        <v>21551</v>
      </c>
      <c r="L1492">
        <v>41</v>
      </c>
      <c r="M1492" s="2" t="str">
        <f>IF(Spotify[[#This Row],[Energie]]&gt;AVERAGE(Spotify[Energie]),"FORTE","FAIBLE")</f>
        <v>FAIBLE</v>
      </c>
      <c r="N1492" s="2">
        <v>0.47799999999999998</v>
      </c>
      <c r="O1492" s="2">
        <v>0.20100000000000001</v>
      </c>
      <c r="P1492" s="2">
        <v>3.32E-2</v>
      </c>
      <c r="Q1492" s="2">
        <v>0.91900000000000004</v>
      </c>
      <c r="R1492" s="2">
        <v>8.5400000000000004E-2</v>
      </c>
      <c r="S1492" s="2">
        <v>0.85699999999999998</v>
      </c>
      <c r="T1492" s="2">
        <v>-16.768000000000001</v>
      </c>
      <c r="U1492">
        <v>135760</v>
      </c>
      <c r="V1492">
        <f>YEAR(Spotify[[#This Row],[Date de sortie]])</f>
        <v>1959</v>
      </c>
      <c r="W1492" s="2" t="str">
        <f>IF(Spotify[[#This Row],[Popularité]]&gt;=70,"FORTE","FAIBLE")</f>
        <v>FAIBLE</v>
      </c>
    </row>
    <row r="1493" spans="1:23" x14ac:dyDescent="0.25">
      <c r="A1493">
        <v>690</v>
      </c>
      <c r="B1493">
        <v>182</v>
      </c>
      <c r="C1493">
        <v>1</v>
      </c>
      <c r="D1493" s="1">
        <v>44183</v>
      </c>
      <c r="E1493" s="59" t="str" cm="1">
        <f t="array" ref="E149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93" t="s">
        <v>1229</v>
      </c>
      <c r="G1493" s="3">
        <v>6652130</v>
      </c>
      <c r="H1493" t="s">
        <v>1230</v>
      </c>
      <c r="I1493" s="4">
        <v>18936929</v>
      </c>
      <c r="J1493" t="s">
        <v>19</v>
      </c>
      <c r="K1493" s="1">
        <v>43419</v>
      </c>
      <c r="L1493">
        <v>41</v>
      </c>
      <c r="M1493" s="2" t="str">
        <f>IF(Spotify[[#This Row],[Energie]]&gt;AVERAGE(Spotify[Energie]),"FORTE","FAIBLE")</f>
        <v>FAIBLE</v>
      </c>
      <c r="N1493" s="2">
        <v>0.77400000000000002</v>
      </c>
      <c r="O1493" s="2">
        <v>0.60799999999999998</v>
      </c>
      <c r="P1493" s="2">
        <v>0.128</v>
      </c>
      <c r="Q1493" s="2">
        <v>0.128</v>
      </c>
      <c r="R1493" s="2">
        <v>8.9499999999999996E-2</v>
      </c>
      <c r="S1493" s="2">
        <v>0.56000000000000005</v>
      </c>
      <c r="T1493" s="2">
        <v>-6.2640000000000002</v>
      </c>
      <c r="U1493">
        <v>182521</v>
      </c>
      <c r="V1493">
        <f>YEAR(Spotify[[#This Row],[Date de sortie]])</f>
        <v>2018</v>
      </c>
      <c r="W1493" s="2" t="str">
        <f>IF(Spotify[[#This Row],[Popularité]]&gt;=70,"FORTE","FAIBLE")</f>
        <v>FAIBLE</v>
      </c>
    </row>
    <row r="1494" spans="1:23" x14ac:dyDescent="0.25">
      <c r="A1494">
        <v>691</v>
      </c>
      <c r="B1494">
        <v>184</v>
      </c>
      <c r="C1494">
        <v>1</v>
      </c>
      <c r="D1494" s="1">
        <v>44183</v>
      </c>
      <c r="E1494" s="59" t="str" cm="1">
        <f t="array" ref="E149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94" t="s">
        <v>1231</v>
      </c>
      <c r="G1494" s="3">
        <v>6635128</v>
      </c>
      <c r="H1494" t="s">
        <v>1232</v>
      </c>
      <c r="I1494" s="4">
        <v>1564750</v>
      </c>
      <c r="J1494" t="s">
        <v>1180</v>
      </c>
      <c r="K1494" s="1">
        <v>36098</v>
      </c>
      <c r="L1494">
        <v>41</v>
      </c>
      <c r="M1494" s="2" t="str">
        <f>IF(Spotify[[#This Row],[Energie]]&gt;AVERAGE(Spotify[Energie]),"FORTE","FAIBLE")</f>
        <v>FORTE</v>
      </c>
      <c r="N1494" s="2">
        <v>0.64300000000000002</v>
      </c>
      <c r="O1494" s="2">
        <v>0.93899999999999995</v>
      </c>
      <c r="P1494" s="2">
        <v>4.6300000000000001E-2</v>
      </c>
      <c r="Q1494" s="2">
        <v>0.104</v>
      </c>
      <c r="R1494" s="2">
        <v>0.88100000000000001</v>
      </c>
      <c r="S1494" s="2">
        <v>0.75600000000000001</v>
      </c>
      <c r="T1494" s="2">
        <v>-3.9670000000000001</v>
      </c>
      <c r="U1494">
        <v>255307</v>
      </c>
      <c r="V1494">
        <f>YEAR(Spotify[[#This Row],[Date de sortie]])</f>
        <v>1998</v>
      </c>
      <c r="W1494" s="2" t="str">
        <f>IF(Spotify[[#This Row],[Popularité]]&gt;=70,"FORTE","FAIBLE")</f>
        <v>FAIBLE</v>
      </c>
    </row>
    <row r="1495" spans="1:23" x14ac:dyDescent="0.25">
      <c r="A1495">
        <v>694</v>
      </c>
      <c r="B1495">
        <v>197</v>
      </c>
      <c r="C1495">
        <v>1</v>
      </c>
      <c r="D1495" s="1">
        <v>44183</v>
      </c>
      <c r="E1495" s="59" t="str" cm="1">
        <f t="array" ref="E149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495" t="s">
        <v>1236</v>
      </c>
      <c r="G1495" s="3">
        <v>6278993</v>
      </c>
      <c r="H1495" t="s">
        <v>1213</v>
      </c>
      <c r="I1495" s="4">
        <v>10606572</v>
      </c>
      <c r="J1495" t="s">
        <v>19</v>
      </c>
      <c r="K1495" s="1">
        <v>44134</v>
      </c>
      <c r="L1495">
        <v>41</v>
      </c>
      <c r="M1495" s="2" t="str">
        <f>IF(Spotify[[#This Row],[Energie]]&gt;AVERAGE(Spotify[Energie]),"FORTE","FAIBLE")</f>
        <v>FAIBLE</v>
      </c>
      <c r="N1495" s="2">
        <v>0.48499999999999999</v>
      </c>
      <c r="O1495" s="2">
        <v>0.44400000000000001</v>
      </c>
      <c r="P1495" s="2">
        <v>0.19500000000000001</v>
      </c>
      <c r="Q1495" s="2">
        <v>0.373</v>
      </c>
      <c r="R1495" s="2">
        <v>9.69E-2</v>
      </c>
      <c r="S1495" s="2">
        <v>0.77700000000000002</v>
      </c>
      <c r="T1495" s="2">
        <v>-6.2320000000000002</v>
      </c>
      <c r="U1495">
        <v>161013</v>
      </c>
      <c r="V1495">
        <f>YEAR(Spotify[[#This Row],[Date de sortie]])</f>
        <v>2020</v>
      </c>
      <c r="W1495" s="2" t="str">
        <f>IF(Spotify[[#This Row],[Popularité]]&gt;=70,"FORTE","FAIBLE")</f>
        <v>FAIBLE</v>
      </c>
    </row>
    <row r="1496" spans="1:23" x14ac:dyDescent="0.25">
      <c r="A1496">
        <v>1249</v>
      </c>
      <c r="B1496">
        <v>105</v>
      </c>
      <c r="C1496">
        <v>9</v>
      </c>
      <c r="D1496" s="1">
        <v>43889</v>
      </c>
      <c r="E1496" s="59" t="str" cm="1">
        <f t="array" ref="E149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RAP</v>
      </c>
      <c r="F1496" t="s">
        <v>2037</v>
      </c>
      <c r="G1496" s="3">
        <v>4244510</v>
      </c>
      <c r="H1496" t="s">
        <v>2038</v>
      </c>
      <c r="I1496" s="4">
        <v>4849204</v>
      </c>
      <c r="J1496" t="s">
        <v>79</v>
      </c>
      <c r="K1496" s="1">
        <v>43966</v>
      </c>
      <c r="L1496">
        <v>41</v>
      </c>
      <c r="M1496" s="2" t="str">
        <f>IF(Spotify[[#This Row],[Energie]]&gt;AVERAGE(Spotify[Energie]),"FORTE","FAIBLE")</f>
        <v>FORTE</v>
      </c>
      <c r="N1496" s="2">
        <v>0.92200000000000004</v>
      </c>
      <c r="O1496" s="2">
        <v>0.81299999999999994</v>
      </c>
      <c r="P1496" s="2">
        <v>0.251</v>
      </c>
      <c r="Q1496" s="2">
        <v>1.9800000000000002E-2</v>
      </c>
      <c r="R1496" s="2">
        <v>5.3900000000000003E-2</v>
      </c>
      <c r="S1496" s="2">
        <v>0.72399999999999998</v>
      </c>
      <c r="T1496" s="2">
        <v>-3.2679999999999998</v>
      </c>
      <c r="U1496">
        <v>165726</v>
      </c>
      <c r="V1496">
        <f>YEAR(Spotify[[#This Row],[Date de sortie]])</f>
        <v>2020</v>
      </c>
      <c r="W1496" s="2" t="str">
        <f>IF(Spotify[[#This Row],[Popularité]]&gt;=70,"FORTE","FAIBLE")</f>
        <v>FAIBLE</v>
      </c>
    </row>
    <row r="1497" spans="1:23" x14ac:dyDescent="0.25">
      <c r="A1497">
        <v>682</v>
      </c>
      <c r="B1497">
        <v>157</v>
      </c>
      <c r="C1497">
        <v>1</v>
      </c>
      <c r="D1497" s="1">
        <v>44183</v>
      </c>
      <c r="E1497" s="59" t="str" cm="1">
        <f t="array" ref="E149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97" t="s">
        <v>1215</v>
      </c>
      <c r="G1497" s="3">
        <v>7225080</v>
      </c>
      <c r="H1497" t="s">
        <v>1120</v>
      </c>
      <c r="I1497" s="4">
        <v>4953667</v>
      </c>
      <c r="J1497" t="s">
        <v>1106</v>
      </c>
      <c r="K1497" s="1">
        <v>21064</v>
      </c>
      <c r="L1497">
        <v>38</v>
      </c>
      <c r="M1497" s="2" t="str">
        <f>IF(Spotify[[#This Row],[Energie]]&gt;AVERAGE(Spotify[Energie]),"FORTE","FAIBLE")</f>
        <v>FAIBLE</v>
      </c>
      <c r="N1497" s="2">
        <v>0.60699999999999998</v>
      </c>
      <c r="O1497" s="2">
        <v>0.10299999999999999</v>
      </c>
      <c r="P1497" s="2">
        <v>4.0399999999999998E-2</v>
      </c>
      <c r="Q1497" s="2">
        <v>0.80400000000000005</v>
      </c>
      <c r="R1497" s="2">
        <v>7.5999999999999998E-2</v>
      </c>
      <c r="S1497" s="2">
        <v>0.34100000000000003</v>
      </c>
      <c r="T1497" s="2">
        <v>-14.404999999999999</v>
      </c>
      <c r="U1497">
        <v>136427</v>
      </c>
      <c r="V1497">
        <f>YEAR(Spotify[[#This Row],[Date de sortie]])</f>
        <v>1957</v>
      </c>
      <c r="W1497" s="2" t="str">
        <f>IF(Spotify[[#This Row],[Popularité]]&gt;=70,"FORTE","FAIBLE")</f>
        <v>FAIBLE</v>
      </c>
    </row>
    <row r="1498" spans="1:23" x14ac:dyDescent="0.25">
      <c r="A1498">
        <v>683</v>
      </c>
      <c r="B1498">
        <v>159</v>
      </c>
      <c r="C1498">
        <v>1</v>
      </c>
      <c r="D1498" s="1">
        <v>44183</v>
      </c>
      <c r="E1498" s="59" t="str" cm="1">
        <f t="array" ref="E149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498" t="s">
        <v>1216</v>
      </c>
      <c r="G1498" s="3">
        <v>7182262</v>
      </c>
      <c r="H1498" t="s">
        <v>1120</v>
      </c>
      <c r="I1498" s="4">
        <v>4953667</v>
      </c>
      <c r="J1498" t="s">
        <v>1106</v>
      </c>
      <c r="K1498" s="1">
        <v>21064</v>
      </c>
      <c r="L1498">
        <v>36</v>
      </c>
      <c r="M1498" s="2" t="str">
        <f>IF(Spotify[[#This Row],[Energie]]&gt;AVERAGE(Spotify[Energie]),"FORTE","FAIBLE")</f>
        <v>FAIBLE</v>
      </c>
      <c r="N1498" s="2">
        <v>0.51200000000000001</v>
      </c>
      <c r="O1498" s="2">
        <v>0.33900000000000002</v>
      </c>
      <c r="P1498" s="2">
        <v>4.9799999999999997E-2</v>
      </c>
      <c r="Q1498" s="2">
        <v>0.72699999999999998</v>
      </c>
      <c r="R1498" s="2">
        <v>9.7699999999999995E-2</v>
      </c>
      <c r="S1498" s="2">
        <v>0.95099999999999996</v>
      </c>
      <c r="T1498" s="2">
        <v>-13.119</v>
      </c>
      <c r="U1498">
        <v>120693</v>
      </c>
      <c r="V1498">
        <f>YEAR(Spotify[[#This Row],[Date de sortie]])</f>
        <v>1957</v>
      </c>
      <c r="W1498" s="2" t="str">
        <f>IF(Spotify[[#This Row],[Popularité]]&gt;=70,"FORTE","FAIBLE")</f>
        <v>FAIBLE</v>
      </c>
    </row>
    <row r="1499" spans="1:23" x14ac:dyDescent="0.25">
      <c r="A1499">
        <v>1292</v>
      </c>
      <c r="B1499">
        <v>183</v>
      </c>
      <c r="C1499">
        <v>1</v>
      </c>
      <c r="D1499" s="1">
        <v>43910</v>
      </c>
      <c r="E1499" s="59" t="str" cm="1">
        <f t="array" ref="E149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HIP HOP</v>
      </c>
      <c r="F1499" t="s">
        <v>2093</v>
      </c>
      <c r="G1499" s="3">
        <v>4701388</v>
      </c>
      <c r="H1499" t="s">
        <v>2094</v>
      </c>
      <c r="I1499" s="4">
        <v>861082</v>
      </c>
      <c r="J1499" t="s">
        <v>2064</v>
      </c>
      <c r="K1499" s="1">
        <v>43973</v>
      </c>
      <c r="L1499">
        <v>34</v>
      </c>
      <c r="M1499" s="2" t="str">
        <f>IF(Spotify[[#This Row],[Energie]]&gt;AVERAGE(Spotify[Energie]),"FORTE","FAIBLE")</f>
        <v>FORTE</v>
      </c>
      <c r="N1499" s="2">
        <v>0.72599999999999998</v>
      </c>
      <c r="O1499" s="2">
        <v>0.64600000000000002</v>
      </c>
      <c r="P1499" s="2">
        <v>9.7699999999999995E-2</v>
      </c>
      <c r="Q1499" s="2">
        <v>4.9500000000000002E-2</v>
      </c>
      <c r="R1499" s="2">
        <v>0.112</v>
      </c>
      <c r="S1499" s="2">
        <v>0.57999999999999996</v>
      </c>
      <c r="T1499" s="2">
        <v>-6.9</v>
      </c>
      <c r="U1499">
        <v>163253</v>
      </c>
      <c r="V1499">
        <f>YEAR(Spotify[[#This Row],[Date de sortie]])</f>
        <v>2020</v>
      </c>
      <c r="W1499" s="2" t="str">
        <f>IF(Spotify[[#This Row],[Popularité]]&gt;=70,"FORTE","FAIBLE")</f>
        <v>FAIBLE</v>
      </c>
    </row>
    <row r="1500" spans="1:23" x14ac:dyDescent="0.25">
      <c r="A1500">
        <v>688</v>
      </c>
      <c r="B1500">
        <v>180</v>
      </c>
      <c r="C1500">
        <v>1</v>
      </c>
      <c r="D1500" s="1">
        <v>44183</v>
      </c>
      <c r="E1500" s="59" t="str" cm="1">
        <f t="array" ref="E150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00" t="s">
        <v>1226</v>
      </c>
      <c r="G1500" s="3">
        <v>6680928</v>
      </c>
      <c r="H1500" t="s">
        <v>1227</v>
      </c>
      <c r="I1500" s="4">
        <v>659472</v>
      </c>
      <c r="J1500" t="s">
        <v>1106</v>
      </c>
      <c r="K1500" s="1">
        <v>41982</v>
      </c>
      <c r="L1500">
        <v>29</v>
      </c>
      <c r="M1500" s="2" t="str">
        <f>IF(Spotify[[#This Row],[Energie]]&gt;AVERAGE(Spotify[Energie]),"FORTE","FAIBLE")</f>
        <v>FAIBLE</v>
      </c>
      <c r="N1500" s="2">
        <v>0.60399999999999998</v>
      </c>
      <c r="O1500" s="2">
        <v>0.497</v>
      </c>
      <c r="P1500" s="2">
        <v>3.1899999999999998E-2</v>
      </c>
      <c r="Q1500" s="2">
        <v>0.72699999999999998</v>
      </c>
      <c r="R1500" s="2">
        <v>0.10199999999999999</v>
      </c>
      <c r="S1500" s="2">
        <v>0.72</v>
      </c>
      <c r="T1500" s="2">
        <v>-6.6760000000000002</v>
      </c>
      <c r="U1500">
        <v>149307</v>
      </c>
      <c r="V1500">
        <f>YEAR(Spotify[[#This Row],[Date de sortie]])</f>
        <v>2014</v>
      </c>
      <c r="W1500" s="2" t="str">
        <f>IF(Spotify[[#This Row],[Popularité]]&gt;=70,"FORTE","FAIBLE")</f>
        <v>FAIBLE</v>
      </c>
    </row>
    <row r="1501" spans="1:23" x14ac:dyDescent="0.25">
      <c r="A1501">
        <v>1398</v>
      </c>
      <c r="B1501">
        <v>121</v>
      </c>
      <c r="C1501">
        <v>8</v>
      </c>
      <c r="D1501" s="1">
        <v>43826</v>
      </c>
      <c r="E1501" s="59" t="str" cm="1">
        <f t="array" ref="E150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POP</v>
      </c>
      <c r="F1501" t="s">
        <v>2235</v>
      </c>
      <c r="G1501" s="3">
        <v>4950254</v>
      </c>
      <c r="H1501" t="s">
        <v>2236</v>
      </c>
      <c r="I1501" s="4">
        <v>6223652</v>
      </c>
      <c r="J1501" t="s">
        <v>19</v>
      </c>
      <c r="K1501" s="1">
        <v>43812</v>
      </c>
      <c r="L1501">
        <v>29</v>
      </c>
      <c r="M1501" s="2" t="str">
        <f>IF(Spotify[[#This Row],[Energie]]&gt;AVERAGE(Spotify[Energie]),"FORTE","FAIBLE")</f>
        <v>FORTE</v>
      </c>
      <c r="N1501" s="2">
        <v>0.873</v>
      </c>
      <c r="O1501" s="2">
        <v>0.65600000000000003</v>
      </c>
      <c r="P1501" s="2">
        <v>6.8000000000000005E-2</v>
      </c>
      <c r="Q1501" s="2">
        <v>4.7699999999999999E-3</v>
      </c>
      <c r="R1501" s="2">
        <v>7.2599999999999998E-2</v>
      </c>
      <c r="S1501" s="2">
        <v>0.54600000000000004</v>
      </c>
      <c r="T1501" s="2">
        <v>-6.0430000000000001</v>
      </c>
      <c r="U1501">
        <v>206811</v>
      </c>
      <c r="V1501">
        <f>YEAR(Spotify[[#This Row],[Date de sortie]])</f>
        <v>2019</v>
      </c>
      <c r="W1501" s="2" t="str">
        <f>IF(Spotify[[#This Row],[Popularité]]&gt;=70,"FORTE","FAIBLE")</f>
        <v>FAIBLE</v>
      </c>
    </row>
    <row r="1502" spans="1:23" x14ac:dyDescent="0.25">
      <c r="A1502">
        <v>1421</v>
      </c>
      <c r="B1502">
        <v>80</v>
      </c>
      <c r="C1502">
        <v>4</v>
      </c>
      <c r="D1502" s="1">
        <v>43854</v>
      </c>
      <c r="E1502" s="59" t="str" cm="1">
        <f t="array" ref="E150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02" t="s">
        <v>2262</v>
      </c>
      <c r="G1502" s="3">
        <v>5421905</v>
      </c>
      <c r="H1502" t="s">
        <v>2263</v>
      </c>
      <c r="I1502" s="4">
        <v>1251372</v>
      </c>
      <c r="J1502"/>
      <c r="K1502" s="1">
        <v>44418</v>
      </c>
      <c r="L1502">
        <v>15</v>
      </c>
      <c r="M1502" s="2" t="str">
        <f>IF(Spotify[[#This Row],[Energie]]&gt;AVERAGE(Spotify[Energie]),"FORTE","FAIBLE")</f>
        <v>FAIBLE</v>
      </c>
      <c r="N1502" s="2">
        <v>0.53</v>
      </c>
      <c r="O1502" s="2">
        <v>0.61199999999999999</v>
      </c>
      <c r="P1502" s="2">
        <v>5.1799999999999999E-2</v>
      </c>
      <c r="Q1502" s="2">
        <v>0.253</v>
      </c>
      <c r="R1502" s="2">
        <v>0.246</v>
      </c>
      <c r="S1502" s="2">
        <v>0.433</v>
      </c>
      <c r="T1502" s="2">
        <v>-8.7940000000000005</v>
      </c>
      <c r="U1502">
        <v>193847</v>
      </c>
      <c r="V1502">
        <f>YEAR(Spotify[[#This Row],[Date de sortie]])</f>
        <v>2021</v>
      </c>
      <c r="W1502" s="2" t="str">
        <f>IF(Spotify[[#This Row],[Popularité]]&gt;=70,"FORTE","FAIBLE")</f>
        <v>FAIBLE</v>
      </c>
    </row>
    <row r="1503" spans="1:23" x14ac:dyDescent="0.25">
      <c r="A1503">
        <v>1452</v>
      </c>
      <c r="B1503">
        <v>105</v>
      </c>
      <c r="C1503">
        <v>7</v>
      </c>
      <c r="D1503" s="1">
        <v>43826</v>
      </c>
      <c r="E1503" s="59" t="str" cm="1">
        <f t="array" ref="E150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03" t="s">
        <v>2308</v>
      </c>
      <c r="G1503" s="3">
        <v>4861378</v>
      </c>
      <c r="H1503" t="s">
        <v>2309</v>
      </c>
      <c r="I1503" s="4">
        <v>1251372</v>
      </c>
      <c r="J1503"/>
      <c r="K1503" s="1">
        <v>44420</v>
      </c>
      <c r="L1503">
        <v>3</v>
      </c>
      <c r="M1503" s="2" t="str">
        <f>IF(Spotify[[#This Row],[Energie]]&gt;AVERAGE(Spotify[Energie]),"FORTE","FAIBLE")</f>
        <v>FORTE</v>
      </c>
      <c r="N1503" s="2">
        <v>0.73699999999999999</v>
      </c>
      <c r="O1503" s="2">
        <v>0.86</v>
      </c>
      <c r="P1503" s="2">
        <v>5.9400000000000001E-2</v>
      </c>
      <c r="Q1503" s="2">
        <v>0.11</v>
      </c>
      <c r="R1503" s="2">
        <v>5.74E-2</v>
      </c>
      <c r="S1503" s="2">
        <v>0.65600000000000003</v>
      </c>
      <c r="T1503" s="2">
        <v>-2.6520000000000001</v>
      </c>
      <c r="U1503">
        <v>193227</v>
      </c>
      <c r="V1503">
        <f>YEAR(Spotify[[#This Row],[Date de sortie]])</f>
        <v>2021</v>
      </c>
      <c r="W1503" s="2" t="str">
        <f>IF(Spotify[[#This Row],[Popularité]]&gt;=70,"FORTE","FAIBLE")</f>
        <v>FAIBLE</v>
      </c>
    </row>
    <row r="1504" spans="1:23" x14ac:dyDescent="0.25">
      <c r="A1504">
        <v>96</v>
      </c>
      <c r="B1504">
        <v>96</v>
      </c>
      <c r="C1504">
        <v>4</v>
      </c>
      <c r="D1504" s="1">
        <v>44400</v>
      </c>
      <c r="E1504" s="59" t="str" cm="1">
        <f t="array" ref="E150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04" t="s">
        <v>209</v>
      </c>
      <c r="G1504" s="3">
        <v>6984262</v>
      </c>
      <c r="H1504" t="s">
        <v>210</v>
      </c>
      <c r="I1504" s="4">
        <v>1250353</v>
      </c>
      <c r="J1504"/>
      <c r="K1504" s="1">
        <v>44420</v>
      </c>
      <c r="L1504">
        <v>2</v>
      </c>
      <c r="M1504" s="2" t="str">
        <f>IF(Spotify[[#This Row],[Energie]]&gt;AVERAGE(Spotify[Energie]),"FORTE","FAIBLE")</f>
        <v>FORTE</v>
      </c>
      <c r="N1504" s="2">
        <v>0.91500000000000004</v>
      </c>
      <c r="O1504" s="2">
        <v>0.72</v>
      </c>
      <c r="P1504" s="2">
        <v>4.5900000000000003E-2</v>
      </c>
      <c r="Q1504" s="2">
        <v>2.5000000000000001E-2</v>
      </c>
      <c r="R1504" s="2">
        <v>9.4200000000000006E-2</v>
      </c>
      <c r="S1504" s="2">
        <v>0.63100000000000001</v>
      </c>
      <c r="T1504" s="2">
        <v>-3.1259999999999999</v>
      </c>
      <c r="U1504">
        <v>131067</v>
      </c>
      <c r="V1504">
        <f>YEAR(Spotify[[#This Row],[Date de sortie]])</f>
        <v>2021</v>
      </c>
      <c r="W1504" s="2" t="str">
        <f>IF(Spotify[[#This Row],[Popularité]]&gt;=70,"FORTE","FAIBLE")</f>
        <v>FAIBLE</v>
      </c>
    </row>
    <row r="1505" spans="1:23" x14ac:dyDescent="0.25">
      <c r="A1505">
        <v>1401</v>
      </c>
      <c r="B1505">
        <v>148</v>
      </c>
      <c r="C1505">
        <v>6</v>
      </c>
      <c r="D1505" s="1">
        <v>43854</v>
      </c>
      <c r="E1505" s="59" t="str" cm="1">
        <f t="array" ref="E150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05" t="s">
        <v>2240</v>
      </c>
      <c r="G1505" s="3">
        <v>4863910</v>
      </c>
      <c r="H1505" t="s">
        <v>114</v>
      </c>
      <c r="I1505" s="4">
        <v>1251372</v>
      </c>
      <c r="J1505"/>
      <c r="K1505" s="1">
        <v>44421</v>
      </c>
      <c r="L1505">
        <v>2</v>
      </c>
      <c r="M1505" s="2" t="str">
        <f>IF(Spotify[[#This Row],[Energie]]&gt;AVERAGE(Spotify[Energie]),"FORTE","FAIBLE")</f>
        <v>FAIBLE</v>
      </c>
      <c r="N1505" s="2">
        <v>0.42</v>
      </c>
      <c r="O1505" s="2">
        <v>0.13100000000000001</v>
      </c>
      <c r="P1505" s="2">
        <v>3.8199999999999998E-2</v>
      </c>
      <c r="Q1505" s="2">
        <v>0.95299999999999996</v>
      </c>
      <c r="R1505" s="2">
        <v>0.109</v>
      </c>
      <c r="S1505" s="2">
        <v>0.12</v>
      </c>
      <c r="T1505" s="2">
        <v>-18.434999999999999</v>
      </c>
      <c r="U1505">
        <v>291796</v>
      </c>
      <c r="V1505">
        <f>YEAR(Spotify[[#This Row],[Date de sortie]])</f>
        <v>2021</v>
      </c>
      <c r="W1505" s="2" t="str">
        <f>IF(Spotify[[#This Row],[Popularité]]&gt;=70,"FORTE","FAIBLE")</f>
        <v>FAIBLE</v>
      </c>
    </row>
    <row r="1506" spans="1:23" x14ac:dyDescent="0.25">
      <c r="A1506">
        <v>1380</v>
      </c>
      <c r="B1506">
        <v>91</v>
      </c>
      <c r="C1506">
        <v>10</v>
      </c>
      <c r="D1506" s="1">
        <v>43854</v>
      </c>
      <c r="E1506" s="59" t="str" cm="1">
        <f t="array" ref="E150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06" t="s">
        <v>2211</v>
      </c>
      <c r="G1506" s="3">
        <v>5020303</v>
      </c>
      <c r="H1506" t="s">
        <v>114</v>
      </c>
      <c r="I1506" s="4">
        <v>1251372</v>
      </c>
      <c r="J1506"/>
      <c r="K1506" s="1">
        <v>44421</v>
      </c>
      <c r="L1506">
        <v>1</v>
      </c>
      <c r="M1506" s="2" t="str">
        <f>IF(Spotify[[#This Row],[Energie]]&gt;AVERAGE(Spotify[Energie]),"FORTE","FAIBLE")</f>
        <v>FAIBLE</v>
      </c>
      <c r="N1506" s="2">
        <v>0.88700000000000001</v>
      </c>
      <c r="O1506" s="2">
        <v>0.38800000000000001</v>
      </c>
      <c r="P1506" s="2">
        <v>0.34899999999999998</v>
      </c>
      <c r="Q1506" s="2">
        <v>0.73899999999999999</v>
      </c>
      <c r="R1506" s="2">
        <v>0.106</v>
      </c>
      <c r="S1506" s="2">
        <v>0.20499999999999999</v>
      </c>
      <c r="T1506" s="2">
        <v>-14.505000000000001</v>
      </c>
      <c r="U1506">
        <v>193143</v>
      </c>
      <c r="V1506">
        <f>YEAR(Spotify[[#This Row],[Date de sortie]])</f>
        <v>2021</v>
      </c>
      <c r="W1506" s="2" t="str">
        <f>IF(Spotify[[#This Row],[Popularité]]&gt;=70,"FORTE","FAIBLE")</f>
        <v>FAIBLE</v>
      </c>
    </row>
    <row r="1507" spans="1:23" x14ac:dyDescent="0.25">
      <c r="A1507">
        <v>590</v>
      </c>
      <c r="B1507">
        <v>108</v>
      </c>
      <c r="C1507">
        <v>4</v>
      </c>
      <c r="D1507" s="1">
        <v>44190</v>
      </c>
      <c r="E1507" s="59" t="str" cm="1">
        <f t="array" ref="E150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07" t="s">
        <v>1053</v>
      </c>
      <c r="G1507" s="3">
        <v>4983557</v>
      </c>
      <c r="H1507" t="s">
        <v>1054</v>
      </c>
      <c r="I1507" s="4">
        <v>1251372</v>
      </c>
      <c r="J1507"/>
      <c r="K1507" s="1">
        <v>44419</v>
      </c>
      <c r="L1507">
        <v>1</v>
      </c>
      <c r="M1507" s="2" t="str">
        <f>IF(Spotify[[#This Row],[Energie]]&gt;AVERAGE(Spotify[Energie]),"FORTE","FAIBLE")</f>
        <v>FORTE</v>
      </c>
      <c r="N1507" s="2">
        <v>0.65500000000000003</v>
      </c>
      <c r="O1507" s="2">
        <v>0.72599999999999998</v>
      </c>
      <c r="P1507" s="2">
        <v>7.9600000000000004E-2</v>
      </c>
      <c r="Q1507" s="2">
        <v>0.33400000000000002</v>
      </c>
      <c r="R1507" s="2">
        <v>0.23200000000000001</v>
      </c>
      <c r="S1507" s="2">
        <v>0.76600000000000001</v>
      </c>
      <c r="T1507" s="2">
        <v>-7.6280000000000001</v>
      </c>
      <c r="U1507">
        <v>150260</v>
      </c>
      <c r="V1507">
        <f>YEAR(Spotify[[#This Row],[Date de sortie]])</f>
        <v>2021</v>
      </c>
      <c r="W1507" s="2" t="str">
        <f>IF(Spotify[[#This Row],[Popularité]]&gt;=70,"FORTE","FAIBLE")</f>
        <v>FAIBLE</v>
      </c>
    </row>
    <row r="1508" spans="1:23" x14ac:dyDescent="0.25">
      <c r="A1508">
        <v>1064</v>
      </c>
      <c r="B1508">
        <v>70</v>
      </c>
      <c r="C1508">
        <v>14</v>
      </c>
      <c r="D1508" s="1">
        <v>43945</v>
      </c>
      <c r="E1508" s="59" t="str" cm="1">
        <f t="array" ref="E150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08" t="s">
        <v>1776</v>
      </c>
      <c r="G1508" s="3">
        <v>4874960</v>
      </c>
      <c r="H1508" t="s">
        <v>592</v>
      </c>
      <c r="I1508" s="4">
        <v>1251372</v>
      </c>
      <c r="J1508"/>
      <c r="K1508" s="1">
        <v>44421</v>
      </c>
      <c r="L1508">
        <v>1</v>
      </c>
      <c r="M1508" s="2" t="str">
        <f>IF(Spotify[[#This Row],[Energie]]&gt;AVERAGE(Spotify[Energie]),"FORTE","FAIBLE")</f>
        <v>FORTE</v>
      </c>
      <c r="N1508" s="2">
        <v>0.69299999999999995</v>
      </c>
      <c r="O1508" s="2">
        <v>0.83499999999999996</v>
      </c>
      <c r="P1508" s="2">
        <v>6.2399999999999997E-2</v>
      </c>
      <c r="Q1508" s="2">
        <v>0.13100000000000001</v>
      </c>
      <c r="R1508" s="2">
        <v>7.2999999999999995E-2</v>
      </c>
      <c r="S1508" s="2">
        <v>0.74399999999999999</v>
      </c>
      <c r="T1508" s="2">
        <v>-3.242</v>
      </c>
      <c r="U1508">
        <v>180283</v>
      </c>
      <c r="V1508">
        <f>YEAR(Spotify[[#This Row],[Date de sortie]])</f>
        <v>2021</v>
      </c>
      <c r="W1508" s="2" t="str">
        <f>IF(Spotify[[#This Row],[Popularité]]&gt;=70,"FORTE","FAIBLE")</f>
        <v>FAIBLE</v>
      </c>
    </row>
    <row r="1509" spans="1:23" x14ac:dyDescent="0.25">
      <c r="A1509">
        <v>992</v>
      </c>
      <c r="B1509">
        <v>101</v>
      </c>
      <c r="C1509">
        <v>22</v>
      </c>
      <c r="D1509" s="1">
        <v>43875</v>
      </c>
      <c r="E1509" s="59" t="str" cm="1">
        <f t="array" ref="E150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09" t="s">
        <v>1675</v>
      </c>
      <c r="G1509" s="3">
        <v>4476954</v>
      </c>
      <c r="H1509" t="s">
        <v>114</v>
      </c>
      <c r="I1509" s="4">
        <v>1251372</v>
      </c>
      <c r="J1509"/>
      <c r="K1509" s="1">
        <v>44421</v>
      </c>
      <c r="L1509">
        <v>1</v>
      </c>
      <c r="M1509" s="2" t="str">
        <f>IF(Spotify[[#This Row],[Energie]]&gt;AVERAGE(Spotify[Energie]),"FORTE","FAIBLE")</f>
        <v>FAIBLE</v>
      </c>
      <c r="N1509" s="2">
        <v>0.35799999999999998</v>
      </c>
      <c r="O1509" s="2">
        <v>0.372</v>
      </c>
      <c r="P1509" s="2">
        <v>4.6399999999999997E-2</v>
      </c>
      <c r="Q1509" s="2">
        <v>0.81</v>
      </c>
      <c r="R1509" s="2">
        <v>8.77E-2</v>
      </c>
      <c r="S1509" s="2">
        <v>0.16</v>
      </c>
      <c r="T1509" s="2">
        <v>-7.6639999999999997</v>
      </c>
      <c r="U1509">
        <v>200387</v>
      </c>
      <c r="V1509">
        <f>YEAR(Spotify[[#This Row],[Date de sortie]])</f>
        <v>2021</v>
      </c>
      <c r="W1509" s="2" t="str">
        <f>IF(Spotify[[#This Row],[Popularité]]&gt;=70,"FORTE","FAIBLE")</f>
        <v>FAIBLE</v>
      </c>
    </row>
    <row r="1510" spans="1:23" x14ac:dyDescent="0.25">
      <c r="A1510">
        <v>1215</v>
      </c>
      <c r="B1510">
        <v>32</v>
      </c>
      <c r="C1510">
        <v>3</v>
      </c>
      <c r="D1510" s="1">
        <v>43938</v>
      </c>
      <c r="E1510" s="59" t="str" cm="1">
        <f t="array" ref="E151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10" t="s">
        <v>1987</v>
      </c>
      <c r="G1510" s="3">
        <v>4420187</v>
      </c>
      <c r="H1510" t="s">
        <v>1139</v>
      </c>
      <c r="I1510" s="4">
        <v>1251372</v>
      </c>
      <c r="J1510"/>
      <c r="K1510" s="1">
        <v>44421</v>
      </c>
      <c r="L1510">
        <v>1</v>
      </c>
      <c r="M1510" s="2" t="str">
        <f>IF(Spotify[[#This Row],[Energie]]&gt;AVERAGE(Spotify[Energie]),"FORTE","FAIBLE")</f>
        <v>FAIBLE</v>
      </c>
      <c r="N1510" s="2">
        <v>0.877</v>
      </c>
      <c r="O1510" s="2">
        <v>0.49199999999999999</v>
      </c>
      <c r="P1510" s="2">
        <v>0.153</v>
      </c>
      <c r="Q1510" s="2">
        <v>1.3599999999999999E-2</v>
      </c>
      <c r="R1510" s="2">
        <v>6.7799999999999999E-2</v>
      </c>
      <c r="S1510" s="2">
        <v>0.4</v>
      </c>
      <c r="T1510" s="2">
        <v>-8.11</v>
      </c>
      <c r="U1510">
        <v>166799</v>
      </c>
      <c r="V1510">
        <f>YEAR(Spotify[[#This Row],[Date de sortie]])</f>
        <v>2021</v>
      </c>
      <c r="W1510" s="2" t="str">
        <f>IF(Spotify[[#This Row],[Popularité]]&gt;=70,"FORTE","FAIBLE")</f>
        <v>FAIBLE</v>
      </c>
    </row>
    <row r="1511" spans="1:23" x14ac:dyDescent="0.25">
      <c r="A1511">
        <v>66</v>
      </c>
      <c r="B1511">
        <v>2</v>
      </c>
      <c r="C1511">
        <v>83</v>
      </c>
      <c r="D1511" s="1">
        <v>43917</v>
      </c>
      <c r="E1511" s="59" t="str" cm="1">
        <f t="array" ref="E151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11" t="s">
        <v>143</v>
      </c>
      <c r="G1511" s="3">
        <v>8821971</v>
      </c>
      <c r="H1511" t="s">
        <v>28</v>
      </c>
      <c r="I1511" s="4">
        <v>1250353</v>
      </c>
      <c r="J1511"/>
      <c r="K1511" s="1">
        <v>44421</v>
      </c>
      <c r="L1511">
        <v>0</v>
      </c>
      <c r="M1511" s="2" t="str">
        <f>IF(Spotify[[#This Row],[Energie]]&gt;AVERAGE(Spotify[Energie]),"FORTE","FAIBLE")</f>
        <v>FORTE</v>
      </c>
      <c r="N1511" s="2">
        <v>0.79300000000000004</v>
      </c>
      <c r="O1511" s="2">
        <v>0.79300000000000004</v>
      </c>
      <c r="P1511" s="2">
        <v>8.3000000000000004E-2</v>
      </c>
      <c r="Q1511" s="2">
        <v>1.23E-2</v>
      </c>
      <c r="R1511" s="2">
        <v>9.5100000000000004E-2</v>
      </c>
      <c r="S1511" s="2">
        <v>0.67900000000000005</v>
      </c>
      <c r="T1511" s="2">
        <v>-4.5209999999999999</v>
      </c>
      <c r="U1511">
        <v>183290</v>
      </c>
      <c r="V1511">
        <f>YEAR(Spotify[[#This Row],[Date de sortie]])</f>
        <v>2021</v>
      </c>
      <c r="W1511" s="2" t="str">
        <f>IF(Spotify[[#This Row],[Popularité]]&gt;=70,"FORTE","FAIBLE")</f>
        <v>FAIBLE</v>
      </c>
    </row>
    <row r="1512" spans="1:23" x14ac:dyDescent="0.25">
      <c r="A1512">
        <v>665</v>
      </c>
      <c r="B1512">
        <v>111</v>
      </c>
      <c r="C1512">
        <v>1</v>
      </c>
      <c r="D1512" s="1">
        <v>44183</v>
      </c>
      <c r="E1512" s="59" t="str" cm="1">
        <f t="array" ref="E151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12" t="s">
        <v>1185</v>
      </c>
      <c r="G1512" s="3">
        <v>8387899</v>
      </c>
      <c r="H1512" t="s">
        <v>1135</v>
      </c>
      <c r="I1512" s="4">
        <v>1251372</v>
      </c>
      <c r="J1512"/>
      <c r="K1512" s="1">
        <v>44414</v>
      </c>
      <c r="L1512">
        <v>0</v>
      </c>
      <c r="M1512" s="2" t="str">
        <f>IF(Spotify[[#This Row],[Energie]]&gt;AVERAGE(Spotify[Energie]),"FORTE","FAIBLE")</f>
        <v>FAIBLE</v>
      </c>
      <c r="N1512" s="2">
        <v>0.59</v>
      </c>
      <c r="O1512" s="2">
        <v>0.30499999999999999</v>
      </c>
      <c r="P1512" s="2">
        <v>3.2000000000000001E-2</v>
      </c>
      <c r="Q1512" s="2">
        <v>0.89400000000000002</v>
      </c>
      <c r="R1512" s="2">
        <v>0.14000000000000001</v>
      </c>
      <c r="S1512" s="2">
        <v>0.54500000000000004</v>
      </c>
      <c r="T1512" s="2">
        <v>-12.955</v>
      </c>
      <c r="U1512">
        <v>86760</v>
      </c>
      <c r="V1512">
        <f>YEAR(Spotify[[#This Row],[Date de sortie]])</f>
        <v>2021</v>
      </c>
      <c r="W1512" s="2" t="str">
        <f>IF(Spotify[[#This Row],[Popularité]]&gt;=70,"FORTE","FAIBLE")</f>
        <v>FAIBLE</v>
      </c>
    </row>
    <row r="1513" spans="1:23" x14ac:dyDescent="0.25">
      <c r="A1513">
        <v>673</v>
      </c>
      <c r="B1513">
        <v>133</v>
      </c>
      <c r="C1513">
        <v>1</v>
      </c>
      <c r="D1513" s="1">
        <v>44183</v>
      </c>
      <c r="E1513" s="59" t="str" cm="1">
        <f t="array" ref="E151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13" t="s">
        <v>1199</v>
      </c>
      <c r="G1513" s="3">
        <v>7792643</v>
      </c>
      <c r="H1513" t="s">
        <v>1200</v>
      </c>
      <c r="I1513" s="4">
        <v>1251372</v>
      </c>
      <c r="J1513"/>
      <c r="K1513" s="1">
        <v>44414</v>
      </c>
      <c r="L1513">
        <v>0</v>
      </c>
      <c r="M1513" s="2" t="str">
        <f>IF(Spotify[[#This Row],[Energie]]&gt;AVERAGE(Spotify[Energie]),"FORTE","FAIBLE")</f>
        <v>FORTE</v>
      </c>
      <c r="N1513" s="2">
        <v>0.54500000000000004</v>
      </c>
      <c r="O1513" s="2">
        <v>0.7</v>
      </c>
      <c r="P1513" s="2">
        <v>3.2300000000000002E-2</v>
      </c>
      <c r="Q1513" s="2">
        <v>9.8199999999999996E-2</v>
      </c>
      <c r="R1513" s="2">
        <v>0.1</v>
      </c>
      <c r="S1513" s="2">
        <v>0.79900000000000004</v>
      </c>
      <c r="T1513" s="2">
        <v>-6.9610000000000003</v>
      </c>
      <c r="U1513">
        <v>148147</v>
      </c>
      <c r="V1513">
        <f>YEAR(Spotify[[#This Row],[Date de sortie]])</f>
        <v>2021</v>
      </c>
      <c r="W1513" s="2" t="str">
        <f>IF(Spotify[[#This Row],[Popularité]]&gt;=70,"FORTE","FAIBLE")</f>
        <v>FAIBLE</v>
      </c>
    </row>
    <row r="1514" spans="1:23" x14ac:dyDescent="0.25">
      <c r="A1514">
        <v>84</v>
      </c>
      <c r="B1514">
        <v>76</v>
      </c>
      <c r="C1514">
        <v>3</v>
      </c>
      <c r="D1514" s="1">
        <v>43917</v>
      </c>
      <c r="E1514" s="59" t="str" cm="1">
        <f t="array" ref="E151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14" t="s">
        <v>183</v>
      </c>
      <c r="G1514" s="3">
        <v>7465445</v>
      </c>
      <c r="H1514" t="s">
        <v>28</v>
      </c>
      <c r="I1514" s="4">
        <v>1250353</v>
      </c>
      <c r="J1514"/>
      <c r="K1514" s="1">
        <v>44421</v>
      </c>
      <c r="L1514">
        <v>0</v>
      </c>
      <c r="M1514" s="2" t="str">
        <f>IF(Spotify[[#This Row],[Energie]]&gt;AVERAGE(Spotify[Energie]),"FORTE","FAIBLE")</f>
        <v>FORTE</v>
      </c>
      <c r="N1514" s="2">
        <v>0.65900000000000003</v>
      </c>
      <c r="O1514" s="2">
        <v>0.66700000000000004</v>
      </c>
      <c r="P1514" s="2">
        <v>3.39E-2</v>
      </c>
      <c r="Q1514" s="2">
        <v>1.73E-3</v>
      </c>
      <c r="R1514" s="2">
        <v>0.1</v>
      </c>
      <c r="S1514" s="2">
        <v>0.46800000000000003</v>
      </c>
      <c r="T1514" s="2">
        <v>-4.6680000000000001</v>
      </c>
      <c r="U1514">
        <v>258004</v>
      </c>
      <c r="V1514">
        <f>YEAR(Spotify[[#This Row],[Date de sortie]])</f>
        <v>2021</v>
      </c>
      <c r="W1514" s="2" t="str">
        <f>IF(Spotify[[#This Row],[Popularité]]&gt;=70,"FORTE","FAIBLE")</f>
        <v>FAIBLE</v>
      </c>
    </row>
    <row r="1515" spans="1:23" x14ac:dyDescent="0.25">
      <c r="A1515">
        <v>678</v>
      </c>
      <c r="B1515">
        <v>149</v>
      </c>
      <c r="C1515">
        <v>1</v>
      </c>
      <c r="D1515" s="1">
        <v>44183</v>
      </c>
      <c r="E1515" s="59" t="str" cm="1">
        <f t="array" ref="E151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15" t="s">
        <v>1208</v>
      </c>
      <c r="G1515" s="3">
        <v>7301381</v>
      </c>
      <c r="H1515" t="s">
        <v>1209</v>
      </c>
      <c r="I1515" s="4">
        <v>1251372</v>
      </c>
      <c r="J1515"/>
      <c r="K1515" s="1">
        <v>44414</v>
      </c>
      <c r="L1515">
        <v>0</v>
      </c>
      <c r="M1515" s="2" t="str">
        <f>IF(Spotify[[#This Row],[Energie]]&gt;AVERAGE(Spotify[Energie]),"FORTE","FAIBLE")</f>
        <v>FAIBLE</v>
      </c>
      <c r="N1515" s="2">
        <v>0.60199999999999998</v>
      </c>
      <c r="O1515" s="2">
        <v>0.55300000000000005</v>
      </c>
      <c r="P1515" s="2">
        <v>3.2800000000000003E-2</v>
      </c>
      <c r="Q1515" s="2">
        <v>0.108</v>
      </c>
      <c r="R1515" s="2">
        <v>5.1200000000000002E-2</v>
      </c>
      <c r="S1515" s="2">
        <v>0.97099999999999997</v>
      </c>
      <c r="T1515" s="2">
        <v>-9.3360000000000003</v>
      </c>
      <c r="U1515">
        <v>118840</v>
      </c>
      <c r="V1515">
        <f>YEAR(Spotify[[#This Row],[Date de sortie]])</f>
        <v>2021</v>
      </c>
      <c r="W1515" s="2" t="str">
        <f>IF(Spotify[[#This Row],[Popularité]]&gt;=70,"FORTE","FAIBLE")</f>
        <v>FAIBLE</v>
      </c>
    </row>
    <row r="1516" spans="1:23" x14ac:dyDescent="0.25">
      <c r="A1516">
        <v>119</v>
      </c>
      <c r="B1516">
        <v>5</v>
      </c>
      <c r="C1516">
        <v>21</v>
      </c>
      <c r="D1516" s="1">
        <v>44274</v>
      </c>
      <c r="E1516" s="59" t="str" cm="1">
        <f t="array" ref="E151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16" t="s">
        <v>257</v>
      </c>
      <c r="G1516" s="3">
        <v>6300416</v>
      </c>
      <c r="H1516" t="s">
        <v>35</v>
      </c>
      <c r="I1516" s="4">
        <v>1250353</v>
      </c>
      <c r="J1516"/>
      <c r="K1516" s="1">
        <v>44421</v>
      </c>
      <c r="L1516">
        <v>0</v>
      </c>
      <c r="M1516" s="2" t="str">
        <f>IF(Spotify[[#This Row],[Energie]]&gt;AVERAGE(Spotify[Energie]),"FORTE","FAIBLE")</f>
        <v>FORTE</v>
      </c>
      <c r="N1516" s="2">
        <v>0.65800000000000003</v>
      </c>
      <c r="O1516" s="2">
        <v>0.63400000000000001</v>
      </c>
      <c r="P1516" s="2">
        <v>4.1300000000000003E-2</v>
      </c>
      <c r="Q1516" s="2">
        <v>1.06E-2</v>
      </c>
      <c r="R1516" s="2">
        <v>0.13200000000000001</v>
      </c>
      <c r="S1516" s="2">
        <v>0.28999999999999998</v>
      </c>
      <c r="T1516" s="2">
        <v>-5.7969999999999997</v>
      </c>
      <c r="U1516">
        <v>170813</v>
      </c>
      <c r="V1516">
        <f>YEAR(Spotify[[#This Row],[Date de sortie]])</f>
        <v>2021</v>
      </c>
      <c r="W1516" s="2" t="str">
        <f>IF(Spotify[[#This Row],[Popularité]]&gt;=70,"FORTE","FAIBLE")</f>
        <v>FAIBLE</v>
      </c>
    </row>
    <row r="1517" spans="1:23" x14ac:dyDescent="0.25">
      <c r="A1517">
        <v>1456</v>
      </c>
      <c r="B1517">
        <v>128</v>
      </c>
      <c r="C1517">
        <v>1</v>
      </c>
      <c r="D1517" s="1">
        <v>43861</v>
      </c>
      <c r="E1517" s="59" t="str" cm="1">
        <f t="array" ref="E151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17" t="s">
        <v>2314</v>
      </c>
      <c r="G1517" s="3">
        <v>5922748</v>
      </c>
      <c r="H1517" t="s">
        <v>1810</v>
      </c>
      <c r="I1517" s="4">
        <v>1251372</v>
      </c>
      <c r="J1517"/>
      <c r="K1517" s="1">
        <v>44421</v>
      </c>
      <c r="L1517">
        <v>0</v>
      </c>
      <c r="M1517" s="2" t="str">
        <f>IF(Spotify[[#This Row],[Energie]]&gt;AVERAGE(Spotify[Energie]),"FORTE","FAIBLE")</f>
        <v>FORTE</v>
      </c>
      <c r="N1517" s="2">
        <v>0.67900000000000005</v>
      </c>
      <c r="O1517" s="2">
        <v>0.67900000000000005</v>
      </c>
      <c r="P1517" s="2">
        <v>0.16700000000000001</v>
      </c>
      <c r="Q1517" s="2">
        <v>0.443</v>
      </c>
      <c r="R1517" s="2">
        <v>0.153</v>
      </c>
      <c r="S1517" s="2">
        <v>0.245</v>
      </c>
      <c r="T1517" s="2">
        <v>-6.7469999999999999</v>
      </c>
      <c r="U1517">
        <v>148676</v>
      </c>
      <c r="V1517">
        <f>YEAR(Spotify[[#This Row],[Date de sortie]])</f>
        <v>2021</v>
      </c>
      <c r="W1517" s="2" t="str">
        <f>IF(Spotify[[#This Row],[Popularité]]&gt;=70,"FORTE","FAIBLE")</f>
        <v>FAIBLE</v>
      </c>
    </row>
    <row r="1518" spans="1:23" x14ac:dyDescent="0.25">
      <c r="A1518">
        <v>645</v>
      </c>
      <c r="B1518">
        <v>65</v>
      </c>
      <c r="C1518">
        <v>4</v>
      </c>
      <c r="D1518" s="1">
        <v>44183</v>
      </c>
      <c r="E1518" s="59" t="str" cm="1">
        <f t="array" ref="E151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18" t="s">
        <v>1151</v>
      </c>
      <c r="G1518" s="3">
        <v>5802508</v>
      </c>
      <c r="H1518" t="s">
        <v>1152</v>
      </c>
      <c r="I1518" s="4">
        <v>1251372</v>
      </c>
      <c r="J1518"/>
      <c r="K1518" s="1">
        <v>44414</v>
      </c>
      <c r="L1518">
        <v>0</v>
      </c>
      <c r="M1518" s="2" t="str">
        <f>IF(Spotify[[#This Row],[Energie]]&gt;AVERAGE(Spotify[Energie]),"FORTE","FAIBLE")</f>
        <v>FORTE</v>
      </c>
      <c r="N1518" s="2">
        <v>0.64700000000000002</v>
      </c>
      <c r="O1518" s="2">
        <v>0.876</v>
      </c>
      <c r="P1518" s="2">
        <v>0.185</v>
      </c>
      <c r="Q1518" s="2">
        <v>0.88100000000000001</v>
      </c>
      <c r="R1518" s="2">
        <v>0.26</v>
      </c>
      <c r="S1518" s="2">
        <v>0.94899999999999995</v>
      </c>
      <c r="T1518" s="2">
        <v>-5.6619999999999999</v>
      </c>
      <c r="U1518">
        <v>162897</v>
      </c>
      <c r="V1518">
        <f>YEAR(Spotify[[#This Row],[Date de sortie]])</f>
        <v>2021</v>
      </c>
      <c r="W1518" s="2" t="str">
        <f>IF(Spotify[[#This Row],[Popularité]]&gt;=70,"FORTE","FAIBLE")</f>
        <v>FAIBLE</v>
      </c>
    </row>
    <row r="1519" spans="1:23" x14ac:dyDescent="0.25">
      <c r="A1519">
        <v>646</v>
      </c>
      <c r="B1519">
        <v>59</v>
      </c>
      <c r="C1519">
        <v>4</v>
      </c>
      <c r="D1519" s="1">
        <v>44183</v>
      </c>
      <c r="E1519" s="59" t="str" cm="1">
        <f t="array" ref="E151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19" t="s">
        <v>1153</v>
      </c>
      <c r="G1519" s="3">
        <v>5801639</v>
      </c>
      <c r="H1519" t="s">
        <v>1154</v>
      </c>
      <c r="I1519" s="4">
        <v>1251372</v>
      </c>
      <c r="J1519"/>
      <c r="K1519" s="1">
        <v>44414</v>
      </c>
      <c r="L1519">
        <v>0</v>
      </c>
      <c r="M1519" s="2" t="str">
        <f>IF(Spotify[[#This Row],[Energie]]&gt;AVERAGE(Spotify[Energie]),"FORTE","FAIBLE")</f>
        <v>FORTE</v>
      </c>
      <c r="N1519" s="2">
        <v>0.69099999999999995</v>
      </c>
      <c r="O1519" s="2">
        <v>0.77600000000000002</v>
      </c>
      <c r="P1519" s="2">
        <v>3.4099999999999998E-2</v>
      </c>
      <c r="Q1519" s="2">
        <v>0.45800000000000002</v>
      </c>
      <c r="R1519" s="2">
        <v>0.33</v>
      </c>
      <c r="S1519" s="2">
        <v>0.96099999999999997</v>
      </c>
      <c r="T1519" s="2">
        <v>-4.1769999999999996</v>
      </c>
      <c r="U1519">
        <v>144080</v>
      </c>
      <c r="V1519">
        <f>YEAR(Spotify[[#This Row],[Date de sortie]])</f>
        <v>2021</v>
      </c>
      <c r="W1519" s="2" t="str">
        <f>IF(Spotify[[#This Row],[Popularité]]&gt;=70,"FORTE","FAIBLE")</f>
        <v>FAIBLE</v>
      </c>
    </row>
    <row r="1520" spans="1:23" x14ac:dyDescent="0.25">
      <c r="A1520">
        <v>157</v>
      </c>
      <c r="B1520">
        <v>68</v>
      </c>
      <c r="C1520">
        <v>6</v>
      </c>
      <c r="D1520" s="1">
        <v>44379</v>
      </c>
      <c r="E1520" s="59" t="str" cm="1">
        <f t="array" ref="E152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20" t="s">
        <v>335</v>
      </c>
      <c r="G1520" s="3">
        <v>5576844</v>
      </c>
      <c r="H1520" t="s">
        <v>336</v>
      </c>
      <c r="I1520" s="4">
        <v>1250353</v>
      </c>
      <c r="J1520"/>
      <c r="K1520" s="1">
        <v>44421</v>
      </c>
      <c r="L1520">
        <v>0</v>
      </c>
      <c r="M1520" s="2" t="str">
        <f>IF(Spotify[[#This Row],[Energie]]&gt;AVERAGE(Spotify[Energie]),"FORTE","FAIBLE")</f>
        <v>FORTE</v>
      </c>
      <c r="N1520" s="2">
        <v>0.80800000000000005</v>
      </c>
      <c r="O1520" s="2">
        <v>0.66</v>
      </c>
      <c r="P1520" s="2">
        <v>3.95E-2</v>
      </c>
      <c r="Q1520" s="2">
        <v>3.5799999999999998E-2</v>
      </c>
      <c r="R1520" s="2">
        <v>0.13800000000000001</v>
      </c>
      <c r="S1520" s="2">
        <v>0.80400000000000005</v>
      </c>
      <c r="T1520" s="2">
        <v>-6.2370000000000001</v>
      </c>
      <c r="U1520">
        <v>235556</v>
      </c>
      <c r="V1520">
        <f>YEAR(Spotify[[#This Row],[Date de sortie]])</f>
        <v>2021</v>
      </c>
      <c r="W1520" s="2" t="str">
        <f>IF(Spotify[[#This Row],[Popularité]]&gt;=70,"FORTE","FAIBLE")</f>
        <v>FAIBLE</v>
      </c>
    </row>
    <row r="1521" spans="1:23" x14ac:dyDescent="0.25">
      <c r="A1521">
        <v>534</v>
      </c>
      <c r="B1521">
        <v>12</v>
      </c>
      <c r="C1521">
        <v>21</v>
      </c>
      <c r="D1521" s="1">
        <v>44106</v>
      </c>
      <c r="E1521" s="59" t="str" cm="1">
        <f t="array" ref="E152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21" t="s">
        <v>966</v>
      </c>
      <c r="G1521" s="3">
        <v>5535339</v>
      </c>
      <c r="H1521" t="s">
        <v>771</v>
      </c>
      <c r="I1521" s="4">
        <v>1251372</v>
      </c>
      <c r="J1521"/>
      <c r="K1521" s="1">
        <v>44421</v>
      </c>
      <c r="L1521">
        <v>0</v>
      </c>
      <c r="M1521" s="2" t="str">
        <f>IF(Spotify[[#This Row],[Energie]]&gt;AVERAGE(Spotify[Energie]),"FORTE","FAIBLE")</f>
        <v>FORTE</v>
      </c>
      <c r="N1521" s="2">
        <v>0.33300000000000002</v>
      </c>
      <c r="O1521" s="2">
        <v>0.63700000000000001</v>
      </c>
      <c r="P1521" s="2">
        <v>5.8099999999999999E-2</v>
      </c>
      <c r="Q1521" s="2">
        <v>0.13100000000000001</v>
      </c>
      <c r="R1521" s="2">
        <v>0.14899999999999999</v>
      </c>
      <c r="S1521" s="2">
        <v>0.13200000000000001</v>
      </c>
      <c r="T1521" s="2">
        <v>-4.9039999999999999</v>
      </c>
      <c r="U1521">
        <v>172693</v>
      </c>
      <c r="V1521">
        <f>YEAR(Spotify[[#This Row],[Date de sortie]])</f>
        <v>2021</v>
      </c>
      <c r="W1521" s="2" t="str">
        <f>IF(Spotify[[#This Row],[Popularité]]&gt;=70,"FORTE","FAIBLE")</f>
        <v>FAIBLE</v>
      </c>
    </row>
    <row r="1522" spans="1:23" x14ac:dyDescent="0.25">
      <c r="A1522">
        <v>506</v>
      </c>
      <c r="B1522">
        <v>158</v>
      </c>
      <c r="C1522">
        <v>1</v>
      </c>
      <c r="D1522" s="1">
        <v>44260</v>
      </c>
      <c r="E1522" s="59" t="str" cm="1">
        <f t="array" ref="E152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22" t="s">
        <v>920</v>
      </c>
      <c r="G1522" s="3">
        <v>5510906</v>
      </c>
      <c r="H1522" t="s">
        <v>921</v>
      </c>
      <c r="I1522" s="4">
        <v>1251372</v>
      </c>
      <c r="J1522"/>
      <c r="K1522" s="1">
        <v>44421</v>
      </c>
      <c r="L1522">
        <v>0</v>
      </c>
      <c r="M1522" s="2" t="str">
        <f>IF(Spotify[[#This Row],[Energie]]&gt;AVERAGE(Spotify[Energie]),"FORTE","FAIBLE")</f>
        <v>FORTE</v>
      </c>
      <c r="N1522" s="2">
        <v>0.61499999999999999</v>
      </c>
      <c r="O1522" s="2">
        <v>0.83399999999999996</v>
      </c>
      <c r="P1522" s="2">
        <v>6.6699999999999995E-2</v>
      </c>
      <c r="Q1522" s="2">
        <v>0.105</v>
      </c>
      <c r="R1522" s="2">
        <v>0.157</v>
      </c>
      <c r="S1522" s="2">
        <v>0.34100000000000003</v>
      </c>
      <c r="T1522" s="2">
        <v>-5.4710000000000001</v>
      </c>
      <c r="U1522">
        <v>211411</v>
      </c>
      <c r="V1522">
        <f>YEAR(Spotify[[#This Row],[Date de sortie]])</f>
        <v>2021</v>
      </c>
      <c r="W1522" s="2" t="str">
        <f>IF(Spotify[[#This Row],[Popularité]]&gt;=70,"FORTE","FAIBLE")</f>
        <v>FAIBLE</v>
      </c>
    </row>
    <row r="1523" spans="1:23" x14ac:dyDescent="0.25">
      <c r="A1523">
        <v>400</v>
      </c>
      <c r="B1523">
        <v>42</v>
      </c>
      <c r="C1523">
        <v>60</v>
      </c>
      <c r="D1523" s="1">
        <v>43861</v>
      </c>
      <c r="E1523" s="59" t="str" cm="1">
        <f t="array" ref="E152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23" t="s">
        <v>747</v>
      </c>
      <c r="G1523" s="3">
        <v>5467596</v>
      </c>
      <c r="H1523" t="s">
        <v>114</v>
      </c>
      <c r="I1523" s="4">
        <v>1250353</v>
      </c>
      <c r="J1523"/>
      <c r="K1523" s="1">
        <v>44421</v>
      </c>
      <c r="L1523">
        <v>0</v>
      </c>
      <c r="M1523" s="2" t="str">
        <f>IF(Spotify[[#This Row],[Energie]]&gt;AVERAGE(Spotify[Energie]),"FORTE","FAIBLE")</f>
        <v>FAIBLE</v>
      </c>
      <c r="N1523" s="2">
        <v>0.48399999999999999</v>
      </c>
      <c r="O1523" s="2">
        <v>0.10299999999999999</v>
      </c>
      <c r="P1523" s="2">
        <v>6.2700000000000006E-2</v>
      </c>
      <c r="Q1523" s="2">
        <v>0.97899999999999998</v>
      </c>
      <c r="R1523" s="2">
        <v>8.9499999999999996E-2</v>
      </c>
      <c r="S1523" s="2">
        <v>0.19400000000000001</v>
      </c>
      <c r="T1523" s="2">
        <v>-14.074999999999999</v>
      </c>
      <c r="U1523">
        <v>199931</v>
      </c>
      <c r="V1523">
        <f>YEAR(Spotify[[#This Row],[Date de sortie]])</f>
        <v>2021</v>
      </c>
      <c r="W1523" s="2" t="str">
        <f>IF(Spotify[[#This Row],[Popularité]]&gt;=70,"FORTE","FAIBLE")</f>
        <v>FAIBLE</v>
      </c>
    </row>
    <row r="1524" spans="1:23" x14ac:dyDescent="0.25">
      <c r="A1524">
        <v>378</v>
      </c>
      <c r="B1524">
        <v>10</v>
      </c>
      <c r="C1524">
        <v>69</v>
      </c>
      <c r="D1524" s="1">
        <v>43826</v>
      </c>
      <c r="E1524" s="59" t="str" cm="1">
        <f t="array" ref="E152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24" t="s">
        <v>709</v>
      </c>
      <c r="G1524" s="3">
        <v>5448680</v>
      </c>
      <c r="H1524" t="s">
        <v>114</v>
      </c>
      <c r="I1524" s="4">
        <v>1250353</v>
      </c>
      <c r="J1524"/>
      <c r="K1524" s="1">
        <v>44421</v>
      </c>
      <c r="L1524">
        <v>0</v>
      </c>
      <c r="M1524" s="2" t="str">
        <f>IF(Spotify[[#This Row],[Energie]]&gt;AVERAGE(Spotify[Energie]),"FORTE","FAIBLE")</f>
        <v>FAIBLE</v>
      </c>
      <c r="N1524" s="2">
        <v>0.70399999999999996</v>
      </c>
      <c r="O1524" s="2">
        <v>0.22500000000000001</v>
      </c>
      <c r="P1524" s="2">
        <v>9.9400000000000002E-2</v>
      </c>
      <c r="Q1524" s="2">
        <v>0.90100000000000002</v>
      </c>
      <c r="R1524" s="2">
        <v>0.106</v>
      </c>
      <c r="S1524" s="2">
        <v>0.24299999999999999</v>
      </c>
      <c r="T1524" s="2">
        <v>-14.454000000000001</v>
      </c>
      <c r="U1524">
        <v>245426</v>
      </c>
      <c r="V1524">
        <f>YEAR(Spotify[[#This Row],[Date de sortie]])</f>
        <v>2021</v>
      </c>
      <c r="W1524" s="2" t="str">
        <f>IF(Spotify[[#This Row],[Popularité]]&gt;=70,"FORTE","FAIBLE")</f>
        <v>FAIBLE</v>
      </c>
    </row>
    <row r="1525" spans="1:23" x14ac:dyDescent="0.25">
      <c r="A1525">
        <v>165</v>
      </c>
      <c r="B1525">
        <v>13</v>
      </c>
      <c r="C1525">
        <v>83</v>
      </c>
      <c r="D1525" s="1">
        <v>43854</v>
      </c>
      <c r="E1525" s="59" t="str" cm="1">
        <f t="array" ref="E152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25" t="s">
        <v>349</v>
      </c>
      <c r="G1525" s="3">
        <v>5436286</v>
      </c>
      <c r="H1525" t="s">
        <v>114</v>
      </c>
      <c r="I1525" s="4">
        <v>1250353</v>
      </c>
      <c r="J1525"/>
      <c r="K1525" s="1">
        <v>44421</v>
      </c>
      <c r="L1525">
        <v>0</v>
      </c>
      <c r="M1525" s="2" t="str">
        <f>IF(Spotify[[#This Row],[Energie]]&gt;AVERAGE(Spotify[Energie]),"FORTE","FAIBLE")</f>
        <v>FAIBLE</v>
      </c>
      <c r="N1525" s="2">
        <v>0.70099999999999996</v>
      </c>
      <c r="O1525" s="2">
        <v>0.42499999999999999</v>
      </c>
      <c r="P1525" s="2">
        <v>0.375</v>
      </c>
      <c r="Q1525" s="2">
        <v>0.32800000000000001</v>
      </c>
      <c r="R1525" s="2">
        <v>0.1</v>
      </c>
      <c r="S1525" s="2">
        <v>0.56200000000000006</v>
      </c>
      <c r="T1525" s="2">
        <v>-10.965</v>
      </c>
      <c r="U1525">
        <v>194088</v>
      </c>
      <c r="V1525">
        <f>YEAR(Spotify[[#This Row],[Date de sortie]])</f>
        <v>2021</v>
      </c>
      <c r="W1525" s="2" t="str">
        <f>IF(Spotify[[#This Row],[Popularité]]&gt;=70,"FORTE","FAIBLE")</f>
        <v>FAIBLE</v>
      </c>
    </row>
    <row r="1526" spans="1:23" x14ac:dyDescent="0.25">
      <c r="A1526">
        <v>543</v>
      </c>
      <c r="B1526">
        <v>14</v>
      </c>
      <c r="C1526">
        <v>32</v>
      </c>
      <c r="D1526" s="1">
        <v>44071</v>
      </c>
      <c r="E1526" s="59" t="str" cm="1">
        <f t="array" ref="E152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26" t="s">
        <v>979</v>
      </c>
      <c r="G1526" s="3">
        <v>5344862</v>
      </c>
      <c r="H1526" t="s">
        <v>624</v>
      </c>
      <c r="I1526" s="4">
        <v>1251372</v>
      </c>
      <c r="J1526"/>
      <c r="K1526" s="1">
        <v>44420</v>
      </c>
      <c r="L1526">
        <v>0</v>
      </c>
      <c r="M1526" s="2" t="str">
        <f>IF(Spotify[[#This Row],[Energie]]&gt;AVERAGE(Spotify[Energie]),"FORTE","FAIBLE")</f>
        <v>FORTE</v>
      </c>
      <c r="N1526" s="2">
        <v>0.71499999999999997</v>
      </c>
      <c r="O1526" s="2">
        <v>0.70599999999999996</v>
      </c>
      <c r="P1526" s="2">
        <v>0.19500000000000001</v>
      </c>
      <c r="Q1526" s="2">
        <v>0.496</v>
      </c>
      <c r="R1526" s="2">
        <v>0.106</v>
      </c>
      <c r="S1526" s="2">
        <v>0.52200000000000002</v>
      </c>
      <c r="T1526" s="2">
        <v>-4.423</v>
      </c>
      <c r="U1526">
        <v>189840</v>
      </c>
      <c r="V1526">
        <f>YEAR(Spotify[[#This Row],[Date de sortie]])</f>
        <v>2021</v>
      </c>
      <c r="W1526" s="2" t="str">
        <f>IF(Spotify[[#This Row],[Popularité]]&gt;=70,"FORTE","FAIBLE")</f>
        <v>FAIBLE</v>
      </c>
    </row>
    <row r="1527" spans="1:23" x14ac:dyDescent="0.25">
      <c r="A1527">
        <v>309</v>
      </c>
      <c r="B1527">
        <v>2</v>
      </c>
      <c r="C1527">
        <v>31</v>
      </c>
      <c r="D1527" s="1">
        <v>44148</v>
      </c>
      <c r="E1527" s="59" t="str" cm="1">
        <f t="array" ref="E152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27" t="s">
        <v>598</v>
      </c>
      <c r="G1527" s="3">
        <v>5265630</v>
      </c>
      <c r="H1527" t="s">
        <v>114</v>
      </c>
      <c r="I1527" s="4">
        <v>1250353</v>
      </c>
      <c r="J1527"/>
      <c r="K1527" s="1">
        <v>44421</v>
      </c>
      <c r="L1527">
        <v>0</v>
      </c>
      <c r="M1527" s="2" t="str">
        <f>IF(Spotify[[#This Row],[Energie]]&gt;AVERAGE(Spotify[Energie]),"FORTE","FAIBLE")</f>
        <v>FAIBLE</v>
      </c>
      <c r="N1527" s="2">
        <v>0.88900000000000001</v>
      </c>
      <c r="O1527" s="2">
        <v>0.34</v>
      </c>
      <c r="P1527" s="2">
        <v>6.9699999999999998E-2</v>
      </c>
      <c r="Q1527" s="2">
        <v>0.218</v>
      </c>
      <c r="R1527" s="2">
        <v>5.5E-2</v>
      </c>
      <c r="S1527" s="2">
        <v>0.71599999999999997</v>
      </c>
      <c r="T1527" s="2">
        <v>-7.7729999999999997</v>
      </c>
      <c r="U1527">
        <v>174321</v>
      </c>
      <c r="V1527">
        <f>YEAR(Spotify[[#This Row],[Date de sortie]])</f>
        <v>2021</v>
      </c>
      <c r="W1527" s="2" t="str">
        <f>IF(Spotify[[#This Row],[Popularité]]&gt;=70,"FORTE","FAIBLE")</f>
        <v>FAIBLE</v>
      </c>
    </row>
    <row r="1528" spans="1:23" x14ac:dyDescent="0.25">
      <c r="A1528">
        <v>443</v>
      </c>
      <c r="B1528">
        <v>40</v>
      </c>
      <c r="C1528">
        <v>25</v>
      </c>
      <c r="D1528" s="1">
        <v>44197</v>
      </c>
      <c r="E1528" s="59" t="str" cm="1">
        <f t="array" ref="E152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28" t="s">
        <v>810</v>
      </c>
      <c r="G1528" s="3">
        <v>5217052</v>
      </c>
      <c r="H1528" t="s">
        <v>811</v>
      </c>
      <c r="I1528" s="4">
        <v>1250353</v>
      </c>
      <c r="J1528"/>
      <c r="K1528" s="1">
        <v>44417</v>
      </c>
      <c r="L1528">
        <v>0</v>
      </c>
      <c r="M1528" s="2" t="str">
        <f>IF(Spotify[[#This Row],[Energie]]&gt;AVERAGE(Spotify[Energie]),"FORTE","FAIBLE")</f>
        <v>FORTE</v>
      </c>
      <c r="N1528" s="2">
        <v>0.57399999999999995</v>
      </c>
      <c r="O1528" s="2">
        <v>0.89100000000000001</v>
      </c>
      <c r="P1528" s="2">
        <v>0.157</v>
      </c>
      <c r="Q1528" s="2">
        <v>8.4699999999999998E-2</v>
      </c>
      <c r="R1528" s="2">
        <v>0.16</v>
      </c>
      <c r="S1528" s="2">
        <v>0.70699999999999996</v>
      </c>
      <c r="T1528" s="2">
        <v>-3.665</v>
      </c>
      <c r="U1528">
        <v>183240</v>
      </c>
      <c r="V1528">
        <f>YEAR(Spotify[[#This Row],[Date de sortie]])</f>
        <v>2021</v>
      </c>
      <c r="W1528" s="2" t="str">
        <f>IF(Spotify[[#This Row],[Popularité]]&gt;=70,"FORTE","FAIBLE")</f>
        <v>FAIBLE</v>
      </c>
    </row>
    <row r="1529" spans="1:23" x14ac:dyDescent="0.25">
      <c r="A1529">
        <v>372</v>
      </c>
      <c r="B1529">
        <v>110</v>
      </c>
      <c r="C1529">
        <v>10</v>
      </c>
      <c r="D1529" s="1">
        <v>44281</v>
      </c>
      <c r="E1529" s="59" t="str" cm="1">
        <f t="array" ref="E152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29" t="s">
        <v>700</v>
      </c>
      <c r="G1529" s="3">
        <v>5215973</v>
      </c>
      <c r="H1529" t="s">
        <v>701</v>
      </c>
      <c r="I1529" s="4">
        <v>1250353</v>
      </c>
      <c r="J1529"/>
      <c r="K1529" s="1">
        <v>44417</v>
      </c>
      <c r="L1529">
        <v>0</v>
      </c>
      <c r="M1529" s="2" t="str">
        <f>IF(Spotify[[#This Row],[Energie]]&gt;AVERAGE(Spotify[Energie]),"FORTE","FAIBLE")</f>
        <v>FORTE</v>
      </c>
      <c r="N1529" s="2">
        <v>0.77300000000000002</v>
      </c>
      <c r="O1529" s="2">
        <v>0.8</v>
      </c>
      <c r="P1529" s="2">
        <v>9.8699999999999996E-2</v>
      </c>
      <c r="Q1529" s="2">
        <v>6.13E-2</v>
      </c>
      <c r="R1529" s="2">
        <v>3.27E-2</v>
      </c>
      <c r="S1529" s="2">
        <v>0.84199999999999997</v>
      </c>
      <c r="T1529" s="2">
        <v>-3.17</v>
      </c>
      <c r="U1529">
        <v>184507</v>
      </c>
      <c r="V1529">
        <f>YEAR(Spotify[[#This Row],[Date de sortie]])</f>
        <v>2021</v>
      </c>
      <c r="W1529" s="2" t="str">
        <f>IF(Spotify[[#This Row],[Popularité]]&gt;=70,"FORTE","FAIBLE")</f>
        <v>FAIBLE</v>
      </c>
    </row>
    <row r="1530" spans="1:23" x14ac:dyDescent="0.25">
      <c r="A1530">
        <v>216</v>
      </c>
      <c r="B1530">
        <v>15</v>
      </c>
      <c r="C1530">
        <v>7</v>
      </c>
      <c r="D1530" s="1">
        <v>44351</v>
      </c>
      <c r="E1530" s="59" t="str" cm="1">
        <f t="array" ref="E153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30" t="s">
        <v>441</v>
      </c>
      <c r="G1530" s="3">
        <v>5203319</v>
      </c>
      <c r="H1530" t="s">
        <v>114</v>
      </c>
      <c r="I1530" s="4">
        <v>1250353</v>
      </c>
      <c r="J1530"/>
      <c r="K1530" s="1">
        <v>44420</v>
      </c>
      <c r="L1530">
        <v>0</v>
      </c>
      <c r="M1530" s="2" t="str">
        <f>IF(Spotify[[#This Row],[Energie]]&gt;AVERAGE(Spotify[Energie]),"FORTE","FAIBLE")</f>
        <v>FAIBLE</v>
      </c>
      <c r="N1530" s="2">
        <v>0.67100000000000004</v>
      </c>
      <c r="O1530" s="2">
        <v>0.33600000000000002</v>
      </c>
      <c r="P1530" s="2">
        <v>0.24099999999999999</v>
      </c>
      <c r="Q1530" s="2">
        <v>0.70499999999999996</v>
      </c>
      <c r="R1530" s="2">
        <v>5.7700000000000001E-2</v>
      </c>
      <c r="S1530" s="2">
        <v>0.51800000000000002</v>
      </c>
      <c r="T1530" s="2">
        <v>-8.4939999999999998</v>
      </c>
      <c r="U1530">
        <v>212496</v>
      </c>
      <c r="V1530">
        <f>YEAR(Spotify[[#This Row],[Date de sortie]])</f>
        <v>2021</v>
      </c>
      <c r="W1530" s="2" t="str">
        <f>IF(Spotify[[#This Row],[Popularité]]&gt;=70,"FORTE","FAIBLE")</f>
        <v>FAIBLE</v>
      </c>
    </row>
    <row r="1531" spans="1:23" x14ac:dyDescent="0.25">
      <c r="A1531">
        <v>326</v>
      </c>
      <c r="B1531">
        <v>3</v>
      </c>
      <c r="C1531">
        <v>33</v>
      </c>
      <c r="D1531" s="1">
        <v>44190</v>
      </c>
      <c r="E1531" s="59" t="str" cm="1">
        <f t="array" ref="E153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31" t="s">
        <v>623</v>
      </c>
      <c r="G1531" s="3">
        <v>5201714</v>
      </c>
      <c r="H1531" t="s">
        <v>624</v>
      </c>
      <c r="I1531" s="4">
        <v>1250353</v>
      </c>
      <c r="J1531"/>
      <c r="K1531" s="1">
        <v>44421</v>
      </c>
      <c r="L1531">
        <v>0</v>
      </c>
      <c r="M1531" s="2" t="str">
        <f>IF(Spotify[[#This Row],[Energie]]&gt;AVERAGE(Spotify[Energie]),"FORTE","FAIBLE")</f>
        <v>FORTE</v>
      </c>
      <c r="N1531" s="2">
        <v>0.86299999999999999</v>
      </c>
      <c r="O1531" s="2">
        <v>0.66600000000000004</v>
      </c>
      <c r="P1531" s="2">
        <v>0.152</v>
      </c>
      <c r="Q1531" s="2">
        <v>0.21199999999999999</v>
      </c>
      <c r="R1531" s="2">
        <v>0.10299999999999999</v>
      </c>
      <c r="S1531" s="2">
        <v>0.83799999999999997</v>
      </c>
      <c r="T1531" s="2">
        <v>-4.1580000000000004</v>
      </c>
      <c r="U1531">
        <v>178947</v>
      </c>
      <c r="V1531">
        <f>YEAR(Spotify[[#This Row],[Date de sortie]])</f>
        <v>2021</v>
      </c>
      <c r="W1531" s="2" t="str">
        <f>IF(Spotify[[#This Row],[Popularité]]&gt;=70,"FORTE","FAIBLE")</f>
        <v>FAIBLE</v>
      </c>
    </row>
    <row r="1532" spans="1:23" x14ac:dyDescent="0.25">
      <c r="A1532">
        <v>312</v>
      </c>
      <c r="B1532">
        <v>39</v>
      </c>
      <c r="C1532">
        <v>6</v>
      </c>
      <c r="D1532" s="1">
        <v>44323</v>
      </c>
      <c r="E1532" s="59" t="str" cm="1">
        <f t="array" ref="E153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32" t="s">
        <v>603</v>
      </c>
      <c r="G1532" s="3">
        <v>5142982</v>
      </c>
      <c r="H1532" t="s">
        <v>325</v>
      </c>
      <c r="I1532" s="4">
        <v>1250353</v>
      </c>
      <c r="J1532"/>
      <c r="K1532" s="1">
        <v>44421</v>
      </c>
      <c r="L1532">
        <v>0</v>
      </c>
      <c r="M1532" s="2" t="str">
        <f>IF(Spotify[[#This Row],[Energie]]&gt;AVERAGE(Spotify[Energie]),"FORTE","FAIBLE")</f>
        <v>FORTE</v>
      </c>
      <c r="N1532" s="2">
        <v>0.50700000000000001</v>
      </c>
      <c r="O1532" s="2">
        <v>0.82799999999999996</v>
      </c>
      <c r="P1532" s="2">
        <v>4.4900000000000002E-2</v>
      </c>
      <c r="Q1532" s="2">
        <v>7.11E-3</v>
      </c>
      <c r="R1532" s="2">
        <v>0.26100000000000001</v>
      </c>
      <c r="S1532" s="2">
        <v>0.48899999999999999</v>
      </c>
      <c r="T1532" s="2">
        <v>-6.0229999999999997</v>
      </c>
      <c r="U1532">
        <v>211295</v>
      </c>
      <c r="V1532">
        <f>YEAR(Spotify[[#This Row],[Date de sortie]])</f>
        <v>2021</v>
      </c>
      <c r="W1532" s="2" t="str">
        <f>IF(Spotify[[#This Row],[Popularité]]&gt;=70,"FORTE","FAIBLE")</f>
        <v>FAIBLE</v>
      </c>
    </row>
    <row r="1533" spans="1:23" x14ac:dyDescent="0.25">
      <c r="A1533">
        <v>286</v>
      </c>
      <c r="B1533">
        <v>6</v>
      </c>
      <c r="C1533">
        <v>26</v>
      </c>
      <c r="D1533" s="1">
        <v>44197</v>
      </c>
      <c r="E1533" s="59" t="str" cm="1">
        <f t="array" ref="E153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33" t="s">
        <v>564</v>
      </c>
      <c r="G1533" s="3">
        <v>5079587</v>
      </c>
      <c r="H1533" t="s">
        <v>35</v>
      </c>
      <c r="I1533" s="4">
        <v>1250353</v>
      </c>
      <c r="J1533"/>
      <c r="K1533" s="1">
        <v>44421</v>
      </c>
      <c r="L1533">
        <v>0</v>
      </c>
      <c r="M1533" s="2" t="str">
        <f>IF(Spotify[[#This Row],[Energie]]&gt;AVERAGE(Spotify[Energie]),"FORTE","FAIBLE")</f>
        <v>FAIBLE</v>
      </c>
      <c r="N1533" s="2">
        <v>0.68600000000000005</v>
      </c>
      <c r="O1533" s="2">
        <v>0.53800000000000003</v>
      </c>
      <c r="P1533" s="2">
        <v>3.4500000000000003E-2</v>
      </c>
      <c r="Q1533" s="2">
        <v>0.18099999999999999</v>
      </c>
      <c r="R1533" s="2">
        <v>0.113</v>
      </c>
      <c r="S1533" s="2">
        <v>0.58399999999999996</v>
      </c>
      <c r="T1533" s="2">
        <v>-8.0259999999999998</v>
      </c>
      <c r="U1533">
        <v>190779</v>
      </c>
      <c r="V1533">
        <f>YEAR(Spotify[[#This Row],[Date de sortie]])</f>
        <v>2021</v>
      </c>
      <c r="W1533" s="2" t="str">
        <f>IF(Spotify[[#This Row],[Popularité]]&gt;=70,"FORTE","FAIBLE")</f>
        <v>FAIBLE</v>
      </c>
    </row>
    <row r="1534" spans="1:23" x14ac:dyDescent="0.25">
      <c r="A1534">
        <v>1481</v>
      </c>
      <c r="B1534">
        <v>56</v>
      </c>
      <c r="C1534">
        <v>5</v>
      </c>
      <c r="D1534" s="1">
        <v>43840</v>
      </c>
      <c r="E1534" s="59" t="str" cm="1">
        <f t="array" ref="E153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34" t="s">
        <v>2349</v>
      </c>
      <c r="G1534" s="3">
        <v>5066377</v>
      </c>
      <c r="H1534" t="s">
        <v>454</v>
      </c>
      <c r="I1534" s="4">
        <v>1251372</v>
      </c>
      <c r="J1534"/>
      <c r="K1534" s="1">
        <v>44421</v>
      </c>
      <c r="L1534">
        <v>0</v>
      </c>
      <c r="M1534" s="2" t="str">
        <f>IF(Spotify[[#This Row],[Energie]]&gt;AVERAGE(Spotify[Energie]),"FORTE","FAIBLE")</f>
        <v>FAIBLE</v>
      </c>
      <c r="N1534" s="2">
        <v>0.753</v>
      </c>
      <c r="O1534" s="2">
        <v>0.56399999999999995</v>
      </c>
      <c r="P1534" s="2">
        <v>0.251</v>
      </c>
      <c r="Q1534" s="2">
        <v>0.114</v>
      </c>
      <c r="R1534" s="2">
        <v>0.35899999999999999</v>
      </c>
      <c r="S1534" s="2">
        <v>0.55000000000000004</v>
      </c>
      <c r="T1534" s="2">
        <v>-7.9080000000000004</v>
      </c>
      <c r="U1534">
        <v>162596</v>
      </c>
      <c r="V1534">
        <f>YEAR(Spotify[[#This Row],[Date de sortie]])</f>
        <v>2021</v>
      </c>
      <c r="W1534" s="2" t="str">
        <f>IF(Spotify[[#This Row],[Popularité]]&gt;=70,"FORTE","FAIBLE")</f>
        <v>FAIBLE</v>
      </c>
    </row>
    <row r="1535" spans="1:23" x14ac:dyDescent="0.25">
      <c r="A1535">
        <v>1429</v>
      </c>
      <c r="B1535">
        <v>167</v>
      </c>
      <c r="C1535">
        <v>4</v>
      </c>
      <c r="D1535" s="1">
        <v>43854</v>
      </c>
      <c r="E1535" s="59" t="str" cm="1">
        <f t="array" ref="E153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35" t="s">
        <v>2273</v>
      </c>
      <c r="G1535" s="3">
        <v>4988054</v>
      </c>
      <c r="H1535" t="s">
        <v>114</v>
      </c>
      <c r="I1535" s="4">
        <v>1251372</v>
      </c>
      <c r="J1535"/>
      <c r="K1535" s="1">
        <v>44421</v>
      </c>
      <c r="L1535">
        <v>0</v>
      </c>
      <c r="M1535" s="2" t="str">
        <f>IF(Spotify[[#This Row],[Energie]]&gt;AVERAGE(Spotify[Energie]),"FORTE","FAIBLE")</f>
        <v>FAIBLE</v>
      </c>
      <c r="N1535" s="2">
        <v>0.68300000000000005</v>
      </c>
      <c r="O1535" s="2">
        <v>0.53400000000000003</v>
      </c>
      <c r="P1535" s="2">
        <v>0.189</v>
      </c>
      <c r="Q1535" s="2">
        <v>0.51900000000000002</v>
      </c>
      <c r="R1535" s="2">
        <v>0.14799999999999999</v>
      </c>
      <c r="S1535" s="2">
        <v>0.28399999999999997</v>
      </c>
      <c r="T1535" s="2">
        <v>-10.348000000000001</v>
      </c>
      <c r="U1535">
        <v>180567</v>
      </c>
      <c r="V1535">
        <f>YEAR(Spotify[[#This Row],[Date de sortie]])</f>
        <v>2021</v>
      </c>
      <c r="W1535" s="2" t="str">
        <f>IF(Spotify[[#This Row],[Popularité]]&gt;=70,"FORTE","FAIBLE")</f>
        <v>FAIBLE</v>
      </c>
    </row>
    <row r="1536" spans="1:23" x14ac:dyDescent="0.25">
      <c r="A1536">
        <v>822</v>
      </c>
      <c r="B1536">
        <v>56</v>
      </c>
      <c r="C1536">
        <v>7</v>
      </c>
      <c r="D1536" s="1">
        <v>44085</v>
      </c>
      <c r="E1536" s="59" t="str" cm="1">
        <f t="array" ref="E153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36" t="s">
        <v>1419</v>
      </c>
      <c r="G1536" s="3">
        <v>4980744</v>
      </c>
      <c r="H1536" t="s">
        <v>1420</v>
      </c>
      <c r="I1536" s="4">
        <v>1251372</v>
      </c>
      <c r="J1536"/>
      <c r="K1536" s="1">
        <v>44421</v>
      </c>
      <c r="L1536">
        <v>0</v>
      </c>
      <c r="M1536" s="2" t="str">
        <f>IF(Spotify[[#This Row],[Energie]]&gt;AVERAGE(Spotify[Energie]),"FORTE","FAIBLE")</f>
        <v>FORTE</v>
      </c>
      <c r="N1536" s="2">
        <v>0.74299999999999999</v>
      </c>
      <c r="O1536" s="2">
        <v>0.83699999999999997</v>
      </c>
      <c r="P1536" s="2">
        <v>6.4899999999999999E-2</v>
      </c>
      <c r="Q1536" s="2">
        <v>1.72E-2</v>
      </c>
      <c r="R1536" s="2">
        <v>7.4300000000000005E-2</v>
      </c>
      <c r="S1536" s="2">
        <v>0.26300000000000001</v>
      </c>
      <c r="T1536" s="2">
        <v>-5.0250000000000004</v>
      </c>
      <c r="U1536">
        <v>159863</v>
      </c>
      <c r="V1536">
        <f>YEAR(Spotify[[#This Row],[Date de sortie]])</f>
        <v>2021</v>
      </c>
      <c r="W1536" s="2" t="str">
        <f>IF(Spotify[[#This Row],[Popularité]]&gt;=70,"FORTE","FAIBLE")</f>
        <v>FAIBLE</v>
      </c>
    </row>
    <row r="1537" spans="1:23" x14ac:dyDescent="0.25">
      <c r="A1537">
        <v>427</v>
      </c>
      <c r="B1537">
        <v>18</v>
      </c>
      <c r="C1537">
        <v>18</v>
      </c>
      <c r="D1537" s="1">
        <v>44197</v>
      </c>
      <c r="E1537" s="59" t="str" cm="1">
        <f t="array" ref="E153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37" t="s">
        <v>791</v>
      </c>
      <c r="G1537" s="3">
        <v>4965330</v>
      </c>
      <c r="H1537" t="s">
        <v>12</v>
      </c>
      <c r="I1537" s="4">
        <v>1250353</v>
      </c>
      <c r="J1537"/>
      <c r="K1537" s="1">
        <v>44421</v>
      </c>
      <c r="L1537">
        <v>0</v>
      </c>
      <c r="M1537" s="2" t="str">
        <f>IF(Spotify[[#This Row],[Energie]]&gt;AVERAGE(Spotify[Energie]),"FORTE","FAIBLE")</f>
        <v>FAIBLE</v>
      </c>
      <c r="N1537" s="2">
        <v>0.64100000000000001</v>
      </c>
      <c r="O1537" s="2">
        <v>0.32400000000000001</v>
      </c>
      <c r="P1537" s="2">
        <v>2.9899999999999999E-2</v>
      </c>
      <c r="Q1537" s="2">
        <v>0.69799999999999995</v>
      </c>
      <c r="R1537" s="2">
        <v>0.32800000000000001</v>
      </c>
      <c r="S1537" s="2">
        <v>0.27300000000000002</v>
      </c>
      <c r="T1537" s="2">
        <v>-5.851</v>
      </c>
      <c r="U1537">
        <v>185487</v>
      </c>
      <c r="V1537">
        <f>YEAR(Spotify[[#This Row],[Date de sortie]])</f>
        <v>2021</v>
      </c>
      <c r="W1537" s="2" t="str">
        <f>IF(Spotify[[#This Row],[Popularité]]&gt;=70,"FORTE","FAIBLE")</f>
        <v>FAIBLE</v>
      </c>
    </row>
    <row r="1538" spans="1:23" x14ac:dyDescent="0.25">
      <c r="A1538">
        <v>418</v>
      </c>
      <c r="B1538">
        <v>73</v>
      </c>
      <c r="C1538">
        <v>11</v>
      </c>
      <c r="D1538" s="1">
        <v>44246</v>
      </c>
      <c r="E1538" s="59" t="str" cm="1">
        <f t="array" ref="E153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38" t="s">
        <v>779</v>
      </c>
      <c r="G1538" s="3">
        <v>4940701</v>
      </c>
      <c r="H1538" t="s">
        <v>780</v>
      </c>
      <c r="I1538" s="4">
        <v>1250353</v>
      </c>
      <c r="J1538"/>
      <c r="K1538" s="1">
        <v>44420</v>
      </c>
      <c r="L1538">
        <v>0</v>
      </c>
      <c r="M1538" s="2" t="str">
        <f>IF(Spotify[[#This Row],[Energie]]&gt;AVERAGE(Spotify[Energie]),"FORTE","FAIBLE")</f>
        <v>FORTE</v>
      </c>
      <c r="N1538" s="2">
        <v>0.77200000000000002</v>
      </c>
      <c r="O1538" s="2">
        <v>0.75800000000000001</v>
      </c>
      <c r="P1538" s="2">
        <v>4.82E-2</v>
      </c>
      <c r="Q1538" s="2">
        <v>4.3299999999999998E-2</v>
      </c>
      <c r="R1538" s="2">
        <v>0.29499999999999998</v>
      </c>
      <c r="S1538" s="2">
        <v>0.65400000000000003</v>
      </c>
      <c r="T1538" s="2">
        <v>-3.891</v>
      </c>
      <c r="U1538">
        <v>265240</v>
      </c>
      <c r="V1538">
        <f>YEAR(Spotify[[#This Row],[Date de sortie]])</f>
        <v>2021</v>
      </c>
      <c r="W1538" s="2" t="str">
        <f>IF(Spotify[[#This Row],[Popularité]]&gt;=70,"FORTE","FAIBLE")</f>
        <v>FAIBLE</v>
      </c>
    </row>
    <row r="1539" spans="1:23" x14ac:dyDescent="0.25">
      <c r="A1539">
        <v>1400</v>
      </c>
      <c r="B1539">
        <v>86</v>
      </c>
      <c r="C1539">
        <v>9</v>
      </c>
      <c r="D1539" s="1">
        <v>43826</v>
      </c>
      <c r="E1539" s="59" t="str" cm="1">
        <f t="array" ref="E153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39" t="s">
        <v>2238</v>
      </c>
      <c r="G1539" s="3">
        <v>4897374</v>
      </c>
      <c r="H1539" t="s">
        <v>2239</v>
      </c>
      <c r="I1539" s="4">
        <v>1251372</v>
      </c>
      <c r="J1539"/>
      <c r="K1539" s="1">
        <v>44417</v>
      </c>
      <c r="L1539">
        <v>0</v>
      </c>
      <c r="M1539" s="2" t="str">
        <f>IF(Spotify[[#This Row],[Energie]]&gt;AVERAGE(Spotify[Energie]),"FORTE","FAIBLE")</f>
        <v>FORTE</v>
      </c>
      <c r="N1539" s="2">
        <v>0.73799999999999999</v>
      </c>
      <c r="O1539" s="2">
        <v>0.748</v>
      </c>
      <c r="P1539" s="2">
        <v>4.53E-2</v>
      </c>
      <c r="Q1539" s="2">
        <v>0.182</v>
      </c>
      <c r="R1539" s="2">
        <v>0.109</v>
      </c>
      <c r="S1539" s="2">
        <v>0.89600000000000002</v>
      </c>
      <c r="T1539" s="2">
        <v>-4.9020000000000001</v>
      </c>
      <c r="U1539">
        <v>217253</v>
      </c>
      <c r="V1539">
        <f>YEAR(Spotify[[#This Row],[Date de sortie]])</f>
        <v>2021</v>
      </c>
      <c r="W1539" s="2" t="str">
        <f>IF(Spotify[[#This Row],[Popularité]]&gt;=70,"FORTE","FAIBLE")</f>
        <v>FAIBLE</v>
      </c>
    </row>
    <row r="1540" spans="1:23" x14ac:dyDescent="0.25">
      <c r="A1540">
        <v>1324</v>
      </c>
      <c r="B1540">
        <v>192</v>
      </c>
      <c r="C1540">
        <v>1</v>
      </c>
      <c r="D1540" s="1">
        <v>43903</v>
      </c>
      <c r="E1540" s="59" t="str" cm="1">
        <f t="array" ref="E154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40" t="s">
        <v>2136</v>
      </c>
      <c r="G1540" s="3">
        <v>4787180</v>
      </c>
      <c r="H1540" t="s">
        <v>175</v>
      </c>
      <c r="I1540" s="4">
        <v>1251372</v>
      </c>
      <c r="J1540"/>
      <c r="K1540" s="1">
        <v>44421</v>
      </c>
      <c r="L1540">
        <v>0</v>
      </c>
      <c r="M1540" s="2" t="str">
        <f>IF(Spotify[[#This Row],[Energie]]&gt;AVERAGE(Spotify[Energie]),"FORTE","FAIBLE")</f>
        <v>FAIBLE</v>
      </c>
      <c r="N1540" s="2">
        <v>0.75600000000000001</v>
      </c>
      <c r="O1540" s="2">
        <v>0.55300000000000005</v>
      </c>
      <c r="P1540" s="2">
        <v>3.4299999999999997E-2</v>
      </c>
      <c r="Q1540" s="2">
        <v>0.40400000000000003</v>
      </c>
      <c r="R1540" s="2">
        <v>0.158</v>
      </c>
      <c r="S1540" s="2">
        <v>0.59699999999999998</v>
      </c>
      <c r="T1540" s="2">
        <v>-4.24</v>
      </c>
      <c r="U1540">
        <v>221467</v>
      </c>
      <c r="V1540">
        <f>YEAR(Spotify[[#This Row],[Date de sortie]])</f>
        <v>2021</v>
      </c>
      <c r="W1540" s="2" t="str">
        <f>IF(Spotify[[#This Row],[Popularité]]&gt;=70,"FORTE","FAIBLE")</f>
        <v>FAIBLE</v>
      </c>
    </row>
    <row r="1541" spans="1:23" x14ac:dyDescent="0.25">
      <c r="A1541">
        <v>804</v>
      </c>
      <c r="B1541">
        <v>14</v>
      </c>
      <c r="C1541">
        <v>37</v>
      </c>
      <c r="D1541" s="1">
        <v>43910</v>
      </c>
      <c r="E1541" s="59" t="str" cm="1">
        <f t="array" ref="E154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41" t="s">
        <v>1393</v>
      </c>
      <c r="G1541" s="3">
        <v>4773792</v>
      </c>
      <c r="H1541" t="s">
        <v>852</v>
      </c>
      <c r="I1541" s="4">
        <v>1251372</v>
      </c>
      <c r="J1541"/>
      <c r="K1541" s="1">
        <v>44417</v>
      </c>
      <c r="L1541">
        <v>0</v>
      </c>
      <c r="M1541" s="2" t="str">
        <f>IF(Spotify[[#This Row],[Energie]]&gt;AVERAGE(Spotify[Energie]),"FORTE","FAIBLE")</f>
        <v>FAIBLE</v>
      </c>
      <c r="N1541" s="2">
        <v>0.65200000000000002</v>
      </c>
      <c r="O1541" s="2">
        <v>0.59499999999999997</v>
      </c>
      <c r="P1541" s="2">
        <v>0.11700000000000001</v>
      </c>
      <c r="Q1541" s="2">
        <v>0.15</v>
      </c>
      <c r="R1541" s="2">
        <v>8.3599999999999994E-2</v>
      </c>
      <c r="S1541" s="2">
        <v>0.42099999999999999</v>
      </c>
      <c r="T1541" s="2">
        <v>-4.04</v>
      </c>
      <c r="U1541">
        <v>151147</v>
      </c>
      <c r="V1541">
        <f>YEAR(Spotify[[#This Row],[Date de sortie]])</f>
        <v>2021</v>
      </c>
      <c r="W1541" s="2" t="str">
        <f>IF(Spotify[[#This Row],[Popularité]]&gt;=70,"FORTE","FAIBLE")</f>
        <v>FAIBLE</v>
      </c>
    </row>
    <row r="1542" spans="1:23" x14ac:dyDescent="0.25">
      <c r="A1542">
        <v>941</v>
      </c>
      <c r="B1542">
        <v>56</v>
      </c>
      <c r="C1542">
        <v>21</v>
      </c>
      <c r="D1542" s="1">
        <v>43945</v>
      </c>
      <c r="E1542" s="59" t="str" cm="1">
        <f t="array" ref="E154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42" t="s">
        <v>1606</v>
      </c>
      <c r="G1542" s="3">
        <v>4702117</v>
      </c>
      <c r="H1542" t="s">
        <v>1607</v>
      </c>
      <c r="I1542" s="4">
        <v>1251372</v>
      </c>
      <c r="J1542"/>
      <c r="K1542" s="1">
        <v>44417</v>
      </c>
      <c r="L1542">
        <v>0</v>
      </c>
      <c r="M1542" s="2" t="str">
        <f>IF(Spotify[[#This Row],[Energie]]&gt;AVERAGE(Spotify[Energie]),"FORTE","FAIBLE")</f>
        <v>FAIBLE</v>
      </c>
      <c r="N1542" s="2">
        <v>0.84299999999999997</v>
      </c>
      <c r="O1542" s="2">
        <v>0.54900000000000004</v>
      </c>
      <c r="P1542" s="2">
        <v>0.16400000000000001</v>
      </c>
      <c r="Q1542" s="2">
        <v>9.4799999999999995E-2</v>
      </c>
      <c r="R1542" s="2">
        <v>0.155</v>
      </c>
      <c r="S1542" s="2">
        <v>0.54200000000000004</v>
      </c>
      <c r="T1542" s="2">
        <v>-8.0180000000000007</v>
      </c>
      <c r="U1542">
        <v>233000</v>
      </c>
      <c r="V1542">
        <f>YEAR(Spotify[[#This Row],[Date de sortie]])</f>
        <v>2021</v>
      </c>
      <c r="W1542" s="2" t="str">
        <f>IF(Spotify[[#This Row],[Popularité]]&gt;=70,"FORTE","FAIBLE")</f>
        <v>FAIBLE</v>
      </c>
    </row>
    <row r="1543" spans="1:23" x14ac:dyDescent="0.25">
      <c r="A1543">
        <v>1093</v>
      </c>
      <c r="B1543">
        <v>13</v>
      </c>
      <c r="C1543">
        <v>14</v>
      </c>
      <c r="D1543" s="1">
        <v>43889</v>
      </c>
      <c r="E1543" s="59" t="str" cm="1">
        <f t="array" ref="E154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43" t="s">
        <v>1816</v>
      </c>
      <c r="G1543" s="3">
        <v>4609858</v>
      </c>
      <c r="H1543" t="s">
        <v>607</v>
      </c>
      <c r="I1543" s="4">
        <v>1251372</v>
      </c>
      <c r="J1543"/>
      <c r="K1543" s="1">
        <v>44416</v>
      </c>
      <c r="L1543">
        <v>0</v>
      </c>
      <c r="M1543" s="2" t="str">
        <f>IF(Spotify[[#This Row],[Energie]]&gt;AVERAGE(Spotify[Energie]),"FORTE","FAIBLE")</f>
        <v>FORTE</v>
      </c>
      <c r="N1543" s="2">
        <v>0.68</v>
      </c>
      <c r="O1543" s="2">
        <v>0.82499999999999996</v>
      </c>
      <c r="P1543" s="2">
        <v>7.0199999999999999E-2</v>
      </c>
      <c r="Q1543" s="2">
        <v>1.73E-3</v>
      </c>
      <c r="R1543" s="2">
        <v>0.27</v>
      </c>
      <c r="S1543" s="2">
        <v>0.78400000000000003</v>
      </c>
      <c r="T1543" s="2">
        <v>-4.2960000000000003</v>
      </c>
      <c r="U1543">
        <v>193533</v>
      </c>
      <c r="V1543">
        <f>YEAR(Spotify[[#This Row],[Date de sortie]])</f>
        <v>2021</v>
      </c>
      <c r="W1543" s="2" t="str">
        <f>IF(Spotify[[#This Row],[Popularité]]&gt;=70,"FORTE","FAIBLE")</f>
        <v>FAIBLE</v>
      </c>
    </row>
    <row r="1544" spans="1:23" x14ac:dyDescent="0.25">
      <c r="A1544">
        <v>1166</v>
      </c>
      <c r="B1544">
        <v>74</v>
      </c>
      <c r="C1544">
        <v>22</v>
      </c>
      <c r="D1544" s="1">
        <v>43868</v>
      </c>
      <c r="E1544" s="59" t="str" cm="1">
        <f t="array" ref="E154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44" t="s">
        <v>1920</v>
      </c>
      <c r="G1544" s="3">
        <v>4473968</v>
      </c>
      <c r="H1544" t="s">
        <v>175</v>
      </c>
      <c r="I1544" s="4">
        <v>1251372</v>
      </c>
      <c r="J1544"/>
      <c r="K1544" s="1">
        <v>44421</v>
      </c>
      <c r="L1544">
        <v>0</v>
      </c>
      <c r="M1544" s="2" t="str">
        <f>IF(Spotify[[#This Row],[Energie]]&gt;AVERAGE(Spotify[Energie]),"FORTE","FAIBLE")</f>
        <v>FAIBLE</v>
      </c>
      <c r="N1544" s="2">
        <v>0.74199999999999999</v>
      </c>
      <c r="O1544" s="2">
        <v>0.46400000000000002</v>
      </c>
      <c r="P1544" s="2">
        <v>3.1800000000000002E-2</v>
      </c>
      <c r="Q1544" s="2">
        <v>0.42499999999999999</v>
      </c>
      <c r="R1544" s="2">
        <v>0.28399999999999997</v>
      </c>
      <c r="S1544" s="2">
        <v>0.28100000000000003</v>
      </c>
      <c r="T1544" s="2">
        <v>-5.6239999999999997</v>
      </c>
      <c r="U1544">
        <v>200742</v>
      </c>
      <c r="V1544">
        <f>YEAR(Spotify[[#This Row],[Date de sortie]])</f>
        <v>2021</v>
      </c>
      <c r="W1544" s="2" t="str">
        <f>IF(Spotify[[#This Row],[Popularité]]&gt;=70,"FORTE","FAIBLE")</f>
        <v>FAIBLE</v>
      </c>
    </row>
    <row r="1545" spans="1:23" x14ac:dyDescent="0.25">
      <c r="A1545">
        <v>1257</v>
      </c>
      <c r="B1545">
        <v>191</v>
      </c>
      <c r="C1545">
        <v>2</v>
      </c>
      <c r="D1545" s="1">
        <v>43924</v>
      </c>
      <c r="E1545" s="59" t="str" cm="1">
        <f t="array" ref="E154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45" t="s">
        <v>2049</v>
      </c>
      <c r="G1545" s="3">
        <v>4452819</v>
      </c>
      <c r="H1545" t="s">
        <v>406</v>
      </c>
      <c r="I1545" s="4">
        <v>1251372</v>
      </c>
      <c r="J1545"/>
      <c r="K1545" s="1">
        <v>44419</v>
      </c>
      <c r="L1545">
        <v>0</v>
      </c>
      <c r="M1545" s="2" t="str">
        <f>IF(Spotify[[#This Row],[Energie]]&gt;AVERAGE(Spotify[Energie]),"FORTE","FAIBLE")</f>
        <v>FORTE</v>
      </c>
      <c r="N1545" s="2">
        <v>0.81200000000000006</v>
      </c>
      <c r="O1545" s="2">
        <v>0.68899999999999995</v>
      </c>
      <c r="P1545" s="2">
        <v>6.1899999999999997E-2</v>
      </c>
      <c r="Q1545" s="2">
        <v>0.18099999999999999</v>
      </c>
      <c r="R1545" s="2">
        <v>7.8399999999999997E-2</v>
      </c>
      <c r="S1545" s="2">
        <v>0.66300000000000003</v>
      </c>
      <c r="T1545" s="2">
        <v>-5.1130000000000004</v>
      </c>
      <c r="U1545">
        <v>129782</v>
      </c>
      <c r="V1545">
        <f>YEAR(Spotify[[#This Row],[Date de sortie]])</f>
        <v>2021</v>
      </c>
      <c r="W1545" s="2" t="str">
        <f>IF(Spotify[[#This Row],[Popularité]]&gt;=70,"FORTE","FAIBLE")</f>
        <v>FAIBLE</v>
      </c>
    </row>
    <row r="1546" spans="1:23" x14ac:dyDescent="0.25">
      <c r="A1546">
        <v>1076</v>
      </c>
      <c r="B1546">
        <v>189</v>
      </c>
      <c r="C1546">
        <v>1</v>
      </c>
      <c r="D1546" s="1">
        <v>44008</v>
      </c>
      <c r="E1546" s="59" t="str" cm="1">
        <f t="array" ref="E154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46" t="s">
        <v>1791</v>
      </c>
      <c r="G1546" s="3">
        <v>4374448</v>
      </c>
      <c r="H1546" t="s">
        <v>1792</v>
      </c>
      <c r="I1546" s="4">
        <v>1251372</v>
      </c>
      <c r="J1546"/>
      <c r="K1546" s="1">
        <v>44418</v>
      </c>
      <c r="L1546">
        <v>0</v>
      </c>
      <c r="M1546" s="2" t="str">
        <f>IF(Spotify[[#This Row],[Energie]]&gt;AVERAGE(Spotify[Energie]),"FORTE","FAIBLE")</f>
        <v>FAIBLE</v>
      </c>
      <c r="N1546" s="2">
        <v>0.92900000000000005</v>
      </c>
      <c r="O1546" s="2">
        <v>0.625</v>
      </c>
      <c r="P1546" s="2">
        <v>0.14000000000000001</v>
      </c>
      <c r="Q1546" s="2">
        <v>0.28899999999999998</v>
      </c>
      <c r="R1546" s="2">
        <v>0.38600000000000001</v>
      </c>
      <c r="S1546" s="2">
        <v>0.57799999999999996</v>
      </c>
      <c r="T1546" s="2">
        <v>-5.7279999999999998</v>
      </c>
      <c r="U1546">
        <v>156493</v>
      </c>
      <c r="V1546">
        <f>YEAR(Spotify[[#This Row],[Date de sortie]])</f>
        <v>2021</v>
      </c>
      <c r="W1546" s="2" t="str">
        <f>IF(Spotify[[#This Row],[Popularité]]&gt;=70,"FORTE","FAIBLE")</f>
        <v>FAIBLE</v>
      </c>
    </row>
    <row r="1547" spans="1:23" x14ac:dyDescent="0.25">
      <c r="A1547">
        <v>36</v>
      </c>
      <c r="B1547">
        <v>36</v>
      </c>
      <c r="C1547">
        <v>1</v>
      </c>
      <c r="D1547" s="1">
        <v>44400</v>
      </c>
      <c r="E1547" s="59" t="str" cm="1">
        <f t="array" ref="E154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47" t="s">
        <v>75</v>
      </c>
      <c r="G1547" s="3">
        <v>11869336</v>
      </c>
      <c r="H1547" t="s">
        <v>6</v>
      </c>
      <c r="I1547" s="4"/>
      <c r="J1547" t="s">
        <v>76</v>
      </c>
      <c r="K1547" s="1"/>
      <c r="M1547" s="2" t="str">
        <f>IF(Spotify[[#This Row],[Energie]]&gt;AVERAGE(Spotify[Energie]),"FORTE","FAIBLE")</f>
        <v>FAIBLE</v>
      </c>
      <c r="N1547" s="2"/>
      <c r="O1547" s="2"/>
      <c r="P1547" s="2"/>
      <c r="U1547"/>
      <c r="V1547">
        <f>YEAR(Spotify[[#This Row],[Date de sortie]])</f>
        <v>1900</v>
      </c>
      <c r="W1547" s="2" t="str">
        <f>IF(Spotify[[#This Row],[Popularité]]&gt;=70,"FORTE","FAIBLE")</f>
        <v>FAIBLE</v>
      </c>
    </row>
    <row r="1548" spans="1:23" x14ac:dyDescent="0.25">
      <c r="A1548">
        <v>655</v>
      </c>
      <c r="B1548">
        <v>73</v>
      </c>
      <c r="C1548">
        <v>1</v>
      </c>
      <c r="D1548" s="1">
        <v>44183</v>
      </c>
      <c r="E1548" s="59" t="str" cm="1">
        <f t="array" ref="E1548">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48" t="s">
        <v>1170</v>
      </c>
      <c r="G1548" s="3">
        <v>10509961</v>
      </c>
      <c r="H1548" t="s">
        <v>302</v>
      </c>
      <c r="I1548" s="4"/>
      <c r="J1548" t="s">
        <v>76</v>
      </c>
      <c r="K1548" s="1"/>
      <c r="M1548" s="2" t="str">
        <f>IF(Spotify[[#This Row],[Energie]]&gt;AVERAGE(Spotify[Energie]),"FORTE","FAIBLE")</f>
        <v>FAIBLE</v>
      </c>
      <c r="N1548" s="2"/>
      <c r="O1548" s="2"/>
      <c r="P1548" s="2"/>
      <c r="U1548"/>
      <c r="V1548">
        <f>YEAR(Spotify[[#This Row],[Date de sortie]])</f>
        <v>1900</v>
      </c>
      <c r="W1548" s="2" t="str">
        <f>IF(Spotify[[#This Row],[Popularité]]&gt;=70,"FORTE","FAIBLE")</f>
        <v>FAIBLE</v>
      </c>
    </row>
    <row r="1549" spans="1:23" x14ac:dyDescent="0.25">
      <c r="A1549">
        <v>637</v>
      </c>
      <c r="B1549">
        <v>22</v>
      </c>
      <c r="C1549">
        <v>6</v>
      </c>
      <c r="D1549" s="1">
        <v>44183</v>
      </c>
      <c r="E1549" s="59" t="str" cm="1">
        <f t="array" ref="E1549">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49" t="s">
        <v>1132</v>
      </c>
      <c r="G1549" s="3">
        <v>8804531</v>
      </c>
      <c r="H1549" t="s">
        <v>1133</v>
      </c>
      <c r="I1549" s="4"/>
      <c r="J1549" t="s">
        <v>76</v>
      </c>
      <c r="K1549" s="1"/>
      <c r="M1549" s="2" t="str">
        <f>IF(Spotify[[#This Row],[Energie]]&gt;AVERAGE(Spotify[Energie]),"FORTE","FAIBLE")</f>
        <v>FAIBLE</v>
      </c>
      <c r="N1549" s="2"/>
      <c r="O1549" s="2"/>
      <c r="P1549" s="2"/>
      <c r="U1549"/>
      <c r="V1549">
        <f>YEAR(Spotify[[#This Row],[Date de sortie]])</f>
        <v>1900</v>
      </c>
      <c r="W1549" s="2" t="str">
        <f>IF(Spotify[[#This Row],[Popularité]]&gt;=70,"FORTE","FAIBLE")</f>
        <v>FAIBLE</v>
      </c>
    </row>
    <row r="1550" spans="1:23" x14ac:dyDescent="0.25">
      <c r="A1550">
        <v>465</v>
      </c>
      <c r="B1550">
        <v>118</v>
      </c>
      <c r="C1550">
        <v>1</v>
      </c>
      <c r="D1550" s="1">
        <v>44281</v>
      </c>
      <c r="E1550" s="59" t="str" cm="1">
        <f t="array" ref="E1550">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50" t="s">
        <v>849</v>
      </c>
      <c r="G1550" s="3">
        <v>6292362</v>
      </c>
      <c r="H1550" t="s">
        <v>850</v>
      </c>
      <c r="I1550" s="4"/>
      <c r="J1550" t="s">
        <v>76</v>
      </c>
      <c r="K1550" s="1"/>
      <c r="M1550" s="2" t="str">
        <f>IF(Spotify[[#This Row],[Energie]]&gt;AVERAGE(Spotify[Energie]),"FORTE","FAIBLE")</f>
        <v>FAIBLE</v>
      </c>
      <c r="N1550" s="2"/>
      <c r="O1550" s="2"/>
      <c r="P1550" s="2"/>
      <c r="U1550"/>
      <c r="V1550">
        <f>YEAR(Spotify[[#This Row],[Date de sortie]])</f>
        <v>1900</v>
      </c>
      <c r="W1550" s="2" t="str">
        <f>IF(Spotify[[#This Row],[Popularité]]&gt;=70,"FORTE","FAIBLE")</f>
        <v>FAIBLE</v>
      </c>
    </row>
    <row r="1551" spans="1:23" x14ac:dyDescent="0.25">
      <c r="A1551">
        <v>531</v>
      </c>
      <c r="B1551">
        <v>20</v>
      </c>
      <c r="C1551">
        <v>5</v>
      </c>
      <c r="D1551" s="1">
        <v>44211</v>
      </c>
      <c r="E1551" s="59" t="str" cm="1">
        <f t="array" ref="E1551">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51" t="s">
        <v>961</v>
      </c>
      <c r="G1551" s="3">
        <v>6162453</v>
      </c>
      <c r="H1551" t="s">
        <v>202</v>
      </c>
      <c r="I1551" s="4"/>
      <c r="J1551" t="s">
        <v>76</v>
      </c>
      <c r="K1551" s="1"/>
      <c r="M1551" s="2" t="str">
        <f>IF(Spotify[[#This Row],[Energie]]&gt;AVERAGE(Spotify[Energie]),"FORTE","FAIBLE")</f>
        <v>FAIBLE</v>
      </c>
      <c r="N1551" s="2"/>
      <c r="O1551" s="2"/>
      <c r="P1551" s="2"/>
      <c r="U1551"/>
      <c r="V1551">
        <f>YEAR(Spotify[[#This Row],[Date de sortie]])</f>
        <v>1900</v>
      </c>
      <c r="W1551" s="2" t="str">
        <f>IF(Spotify[[#This Row],[Popularité]]&gt;=70,"FORTE","FAIBLE")</f>
        <v>FAIBLE</v>
      </c>
    </row>
    <row r="1552" spans="1:23" x14ac:dyDescent="0.25">
      <c r="A1552">
        <v>1141</v>
      </c>
      <c r="B1552">
        <v>131</v>
      </c>
      <c r="C1552">
        <v>1</v>
      </c>
      <c r="D1552" s="1">
        <v>43980</v>
      </c>
      <c r="E1552" s="59" t="str" cm="1">
        <f t="array" ref="E1552">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52" t="s">
        <v>1884</v>
      </c>
      <c r="G1552" s="3">
        <v>5494500</v>
      </c>
      <c r="H1552" t="s">
        <v>1885</v>
      </c>
      <c r="I1552" s="4"/>
      <c r="J1552" t="s">
        <v>76</v>
      </c>
      <c r="K1552" s="1"/>
      <c r="M1552" s="2" t="str">
        <f>IF(Spotify[[#This Row],[Energie]]&gt;AVERAGE(Spotify[Energie]),"FORTE","FAIBLE")</f>
        <v>FAIBLE</v>
      </c>
      <c r="N1552" s="2"/>
      <c r="O1552" s="2"/>
      <c r="P1552" s="2"/>
      <c r="U1552"/>
      <c r="V1552">
        <f>YEAR(Spotify[[#This Row],[Date de sortie]])</f>
        <v>1900</v>
      </c>
      <c r="W1552" s="2" t="str">
        <f>IF(Spotify[[#This Row],[Popularité]]&gt;=70,"FORTE","FAIBLE")</f>
        <v>FAIBLE</v>
      </c>
    </row>
    <row r="1553" spans="1:23" x14ac:dyDescent="0.25">
      <c r="A1553">
        <v>164</v>
      </c>
      <c r="B1553">
        <v>5</v>
      </c>
      <c r="C1553">
        <v>39</v>
      </c>
      <c r="D1553" s="1">
        <v>44134</v>
      </c>
      <c r="E1553" s="59" t="str" cm="1">
        <f t="array" ref="E1553">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53" t="s">
        <v>348</v>
      </c>
      <c r="G1553" s="3">
        <v>5453159</v>
      </c>
      <c r="H1553" t="s">
        <v>202</v>
      </c>
      <c r="I1553" s="4"/>
      <c r="J1553" t="s">
        <v>76</v>
      </c>
      <c r="K1553" s="1"/>
      <c r="M1553" s="2" t="str">
        <f>IF(Spotify[[#This Row],[Energie]]&gt;AVERAGE(Spotify[Energie]),"FORTE","FAIBLE")</f>
        <v>FAIBLE</v>
      </c>
      <c r="N1553" s="2"/>
      <c r="O1553" s="2"/>
      <c r="P1553" s="2"/>
      <c r="U1553"/>
      <c r="V1553">
        <f>YEAR(Spotify[[#This Row],[Date de sortie]])</f>
        <v>1900</v>
      </c>
      <c r="W1553" s="2" t="str">
        <f>IF(Spotify[[#This Row],[Popularité]]&gt;=70,"FORTE","FAIBLE")</f>
        <v>FAIBLE</v>
      </c>
    </row>
    <row r="1554" spans="1:23" x14ac:dyDescent="0.25">
      <c r="A1554">
        <v>751</v>
      </c>
      <c r="B1554">
        <v>19</v>
      </c>
      <c r="C1554">
        <v>20</v>
      </c>
      <c r="D1554" s="1">
        <v>44043</v>
      </c>
      <c r="E1554" s="59" t="str" cm="1">
        <f t="array" ref="E1554">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54" t="s">
        <v>1306</v>
      </c>
      <c r="G1554" s="3">
        <v>5358940</v>
      </c>
      <c r="H1554" t="s">
        <v>1307</v>
      </c>
      <c r="I1554" s="4"/>
      <c r="J1554" t="s">
        <v>76</v>
      </c>
      <c r="K1554" s="1"/>
      <c r="M1554" s="2" t="str">
        <f>IF(Spotify[[#This Row],[Energie]]&gt;AVERAGE(Spotify[Energie]),"FORTE","FAIBLE")</f>
        <v>FAIBLE</v>
      </c>
      <c r="N1554" s="2"/>
      <c r="O1554" s="2"/>
      <c r="P1554" s="2"/>
      <c r="U1554"/>
      <c r="V1554">
        <f>YEAR(Spotify[[#This Row],[Date de sortie]])</f>
        <v>1900</v>
      </c>
      <c r="W1554" s="2" t="str">
        <f>IF(Spotify[[#This Row],[Popularité]]&gt;=70,"FORTE","FAIBLE")</f>
        <v>FAIBLE</v>
      </c>
    </row>
    <row r="1555" spans="1:23" x14ac:dyDescent="0.25">
      <c r="A1555">
        <v>877</v>
      </c>
      <c r="B1555">
        <v>164</v>
      </c>
      <c r="C1555">
        <v>4</v>
      </c>
      <c r="D1555" s="1">
        <v>44092</v>
      </c>
      <c r="E1555" s="59" t="str" cm="1">
        <f t="array" ref="E1555">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55" t="s">
        <v>1502</v>
      </c>
      <c r="G1555" s="3">
        <v>4964708</v>
      </c>
      <c r="H1555" t="s">
        <v>1503</v>
      </c>
      <c r="I1555" s="4"/>
      <c r="J1555" t="s">
        <v>76</v>
      </c>
      <c r="K1555" s="1"/>
      <c r="M1555" s="2" t="str">
        <f>IF(Spotify[[#This Row],[Energie]]&gt;AVERAGE(Spotify[Energie]),"FORTE","FAIBLE")</f>
        <v>FAIBLE</v>
      </c>
      <c r="N1555" s="2"/>
      <c r="O1555" s="2"/>
      <c r="P1555" s="2"/>
      <c r="U1555"/>
      <c r="V1555">
        <f>YEAR(Spotify[[#This Row],[Date de sortie]])</f>
        <v>1900</v>
      </c>
      <c r="W1555" s="2" t="str">
        <f>IF(Spotify[[#This Row],[Popularité]]&gt;=70,"FORTE","FAIBLE")</f>
        <v>FAIBLE</v>
      </c>
    </row>
    <row r="1556" spans="1:23" x14ac:dyDescent="0.25">
      <c r="A1556">
        <v>1539</v>
      </c>
      <c r="B1556">
        <v>176</v>
      </c>
      <c r="C1556">
        <v>1</v>
      </c>
      <c r="D1556" s="1">
        <v>43833</v>
      </c>
      <c r="E1556" s="59" t="str" cm="1">
        <f t="array" ref="E1556">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56" t="s">
        <v>2420</v>
      </c>
      <c r="G1556" s="3">
        <v>4856458</v>
      </c>
      <c r="H1556" t="s">
        <v>1786</v>
      </c>
      <c r="I1556" s="4"/>
      <c r="J1556" t="s">
        <v>76</v>
      </c>
      <c r="K1556" s="1"/>
      <c r="M1556" s="2" t="str">
        <f>IF(Spotify[[#This Row],[Energie]]&gt;AVERAGE(Spotify[Energie]),"FORTE","FAIBLE")</f>
        <v>FAIBLE</v>
      </c>
      <c r="N1556" s="2"/>
      <c r="O1556" s="2"/>
      <c r="P1556" s="2"/>
      <c r="U1556"/>
      <c r="V1556">
        <f>YEAR(Spotify[[#This Row],[Date de sortie]])</f>
        <v>1900</v>
      </c>
      <c r="W1556" s="2" t="str">
        <f>IF(Spotify[[#This Row],[Popularité]]&gt;=70,"FORTE","FAIBLE")</f>
        <v>FAIBLE</v>
      </c>
    </row>
    <row r="1557" spans="1:23" x14ac:dyDescent="0.25">
      <c r="A1557">
        <v>785</v>
      </c>
      <c r="B1557">
        <v>76</v>
      </c>
      <c r="C1557">
        <v>14</v>
      </c>
      <c r="D1557" s="1">
        <v>44078</v>
      </c>
      <c r="E1557" s="59" t="str" cm="1">
        <f t="array" ref="E1557">IFERROR(_xlfn.IFS(ISNUMBER(SEARCH("*rock*",Spotify[[#This Row],[Genre principal]]))=TRUE,"ROCK",ISNUMBER(SEARCH("*hip hop*",Spotify[[#This Row],[Genre principal]]))=TRUE,"HIP HOP", ISNUMBER(SEARCH("*pop*",Spotify[[#This Row],[Genre principal]]))=TRUE,"POP",ISNUMBER(SEARCH("*rap*",Spotify[[#This Row],[Genre principal]]))=TRUE,"RAP",ISNUMBER(SEARCH("*country*",Spotify[[#This Row],[Genre principal]]))=TRUE,"COUNTRY"),"AUTRE")</f>
        <v>AUTRE</v>
      </c>
      <c r="F1557" t="s">
        <v>1367</v>
      </c>
      <c r="G1557" s="3">
        <v>4739241</v>
      </c>
      <c r="H1557" t="s">
        <v>1368</v>
      </c>
      <c r="I1557" s="4"/>
      <c r="J1557" t="s">
        <v>76</v>
      </c>
      <c r="K1557" s="1"/>
      <c r="M1557" s="2" t="str">
        <f>IF(Spotify[[#This Row],[Energie]]&gt;AVERAGE(Spotify[Energie]),"FORTE","FAIBLE")</f>
        <v>FAIBLE</v>
      </c>
      <c r="N1557" s="2"/>
      <c r="O1557" s="2"/>
      <c r="P1557" s="2"/>
      <c r="U1557"/>
      <c r="V1557">
        <f>YEAR(Spotify[[#This Row],[Date de sortie]])</f>
        <v>1900</v>
      </c>
      <c r="W1557" s="2" t="str">
        <f>IF(Spotify[[#This Row],[Popularité]]&gt;=70,"FORTE","FAIBLE")</f>
        <v>FAIBLE</v>
      </c>
    </row>
  </sheetData>
  <conditionalFormatting sqref="E1">
    <cfRule type="dataBar" priority="1">
      <dataBar>
        <cfvo type="min"/>
        <cfvo type="max"/>
        <color rgb="FF63C384"/>
      </dataBar>
      <extLst>
        <ext xmlns:x14="http://schemas.microsoft.com/office/spreadsheetml/2009/9/main" uri="{B025F937-C7B1-47D3-B67F-A62EFF666E3E}">
          <x14:id>{D9F7DDA7-6C7D-402D-A821-2FEFA52251E0}</x14:id>
        </ext>
      </extLst>
    </cfRule>
  </conditionalFormatting>
  <conditionalFormatting sqref="H1558:H1048576 G1:G1557">
    <cfRule type="dataBar" priority="14">
      <dataBar>
        <cfvo type="min"/>
        <cfvo type="max"/>
        <color rgb="FF63C384"/>
      </dataBar>
      <extLst>
        <ext xmlns:x14="http://schemas.microsoft.com/office/spreadsheetml/2009/9/main" uri="{B025F937-C7B1-47D3-B67F-A62EFF666E3E}">
          <x14:id>{59C8D213-5365-494B-8E75-97590CECBBE7}</x14:id>
        </ext>
      </extLst>
    </cfRule>
  </conditionalFormatting>
  <conditionalFormatting sqref="I1:I1557 K1558:K1048576">
    <cfRule type="dataBar" priority="13">
      <dataBar>
        <cfvo type="min"/>
        <cfvo type="max"/>
        <color rgb="FFFFB628"/>
      </dataBar>
      <extLst>
        <ext xmlns:x14="http://schemas.microsoft.com/office/spreadsheetml/2009/9/main" uri="{B025F937-C7B1-47D3-B67F-A62EFF666E3E}">
          <x14:id>{E8829F32-33ED-4945-AD13-FF021E2F23DC}</x14:id>
        </ext>
      </extLst>
    </cfRule>
  </conditionalFormatting>
  <conditionalFormatting sqref="N1:S1557 Q1558:V1048576">
    <cfRule type="iconSet" priority="10">
      <iconSet>
        <cfvo type="percent" val="0"/>
        <cfvo type="num" val="0.6"/>
        <cfvo type="num" val="0.8"/>
      </iconSet>
    </cfRule>
  </conditionalFormatting>
  <conditionalFormatting sqref="P1558:P1048576 L1:M1557">
    <cfRule type="colorScale" priority="11">
      <colorScale>
        <cfvo type="num" val="70"/>
        <cfvo type="num" val="90"/>
        <cfvo type="num" val="100"/>
        <color rgb="FFFF7128"/>
        <color rgb="FFFFEB84"/>
        <color rgb="FF00B050"/>
      </colorScale>
    </cfRule>
  </conditionalFormatting>
  <conditionalFormatting sqref="AE1">
    <cfRule type="dataBar" priority="9">
      <dataBar>
        <cfvo type="min"/>
        <cfvo type="max"/>
        <color rgb="FF63C384"/>
      </dataBar>
      <extLst>
        <ext xmlns:x14="http://schemas.microsoft.com/office/spreadsheetml/2009/9/main" uri="{B025F937-C7B1-47D3-B67F-A62EFF666E3E}">
          <x14:id>{F1D2AB4C-BC3A-4CDA-AE68-838CFF853390}</x14:id>
        </ext>
      </extLst>
    </cfRule>
  </conditionalFormatting>
  <conditionalFormatting sqref="AE4">
    <cfRule type="dataBar" priority="5">
      <dataBar>
        <cfvo type="min"/>
        <cfvo type="max"/>
        <color rgb="FF63C384"/>
      </dataBar>
      <extLst>
        <ext xmlns:x14="http://schemas.microsoft.com/office/spreadsheetml/2009/9/main" uri="{B025F937-C7B1-47D3-B67F-A62EFF666E3E}">
          <x14:id>{6EE7DDCF-B9E6-408E-82C0-C2B38FD4F089}</x14:id>
        </ext>
      </extLst>
    </cfRule>
  </conditionalFormatting>
  <conditionalFormatting sqref="AG1">
    <cfRule type="dataBar" priority="8">
      <dataBar>
        <cfvo type="min"/>
        <cfvo type="max"/>
        <color rgb="FFFFB628"/>
      </dataBar>
      <extLst>
        <ext xmlns:x14="http://schemas.microsoft.com/office/spreadsheetml/2009/9/main" uri="{B025F937-C7B1-47D3-B67F-A62EFF666E3E}">
          <x14:id>{6600D42F-FA3E-45AF-87BC-CE0866B4944B}</x14:id>
        </ext>
      </extLst>
    </cfRule>
  </conditionalFormatting>
  <conditionalFormatting sqref="AG4">
    <cfRule type="dataBar" priority="4">
      <dataBar>
        <cfvo type="min"/>
        <cfvo type="max"/>
        <color rgb="FFFFB628"/>
      </dataBar>
      <extLst>
        <ext xmlns:x14="http://schemas.microsoft.com/office/spreadsheetml/2009/9/main" uri="{B025F937-C7B1-47D3-B67F-A62EFF666E3E}">
          <x14:id>{C68B2AFF-CE44-4DB7-A6F1-01D33E132ABE}</x14:id>
        </ext>
      </extLst>
    </cfRule>
  </conditionalFormatting>
  <conditionalFormatting sqref="AJ1">
    <cfRule type="colorScale" priority="7">
      <colorScale>
        <cfvo type="num" val="70"/>
        <cfvo type="num" val="90"/>
        <cfvo type="num" val="100"/>
        <color rgb="FFFF7128"/>
        <color rgb="FFFFEB84"/>
        <color rgb="FF00B050"/>
      </colorScale>
    </cfRule>
  </conditionalFormatting>
  <conditionalFormatting sqref="AJ4">
    <cfRule type="colorScale" priority="3">
      <colorScale>
        <cfvo type="num" val="70"/>
        <cfvo type="num" val="90"/>
        <cfvo type="num" val="100"/>
        <color rgb="FFFF7128"/>
        <color rgb="FFFFEB84"/>
        <color rgb="FF00B050"/>
      </colorScale>
    </cfRule>
  </conditionalFormatting>
  <conditionalFormatting sqref="AK1:AP1">
    <cfRule type="iconSet" priority="6">
      <iconSet>
        <cfvo type="percent" val="0"/>
        <cfvo type="num" val="0.6"/>
        <cfvo type="num" val="0.8"/>
      </iconSet>
    </cfRule>
  </conditionalFormatting>
  <conditionalFormatting sqref="AK4:AP4">
    <cfRule type="iconSet" priority="2">
      <iconSet>
        <cfvo type="percent" val="0"/>
        <cfvo type="num" val="0.6"/>
        <cfvo type="num" val="0.8"/>
      </iconSe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D9F7DDA7-6C7D-402D-A821-2FEFA52251E0}">
            <x14:dataBar minLength="0" maxLength="100" gradient="0">
              <x14:cfvo type="autoMin"/>
              <x14:cfvo type="autoMax"/>
              <x14:negativeFillColor rgb="FFFF0000"/>
              <x14:axisColor rgb="FF000000"/>
            </x14:dataBar>
          </x14:cfRule>
          <xm:sqref>E1</xm:sqref>
        </x14:conditionalFormatting>
        <x14:conditionalFormatting xmlns:xm="http://schemas.microsoft.com/office/excel/2006/main">
          <x14:cfRule type="dataBar" id="{59C8D213-5365-494B-8E75-97590CECBBE7}">
            <x14:dataBar minLength="0" maxLength="100" gradient="0">
              <x14:cfvo type="autoMin"/>
              <x14:cfvo type="autoMax"/>
              <x14:negativeFillColor rgb="FFFF0000"/>
              <x14:axisColor rgb="FF000000"/>
            </x14:dataBar>
          </x14:cfRule>
          <xm:sqref>H1558:H1048576 G1:G1557</xm:sqref>
        </x14:conditionalFormatting>
        <x14:conditionalFormatting xmlns:xm="http://schemas.microsoft.com/office/excel/2006/main">
          <x14:cfRule type="dataBar" id="{E8829F32-33ED-4945-AD13-FF021E2F23DC}">
            <x14:dataBar minLength="0" maxLength="100" gradient="0">
              <x14:cfvo type="autoMin"/>
              <x14:cfvo type="autoMax"/>
              <x14:negativeFillColor rgb="FFFF0000"/>
              <x14:axisColor rgb="FF000000"/>
            </x14:dataBar>
          </x14:cfRule>
          <xm:sqref>I1:I1557 K1558:K1048576</xm:sqref>
        </x14:conditionalFormatting>
        <x14:conditionalFormatting xmlns:xm="http://schemas.microsoft.com/office/excel/2006/main">
          <x14:cfRule type="dataBar" id="{F1D2AB4C-BC3A-4CDA-AE68-838CFF853390}">
            <x14:dataBar minLength="0" maxLength="100" gradient="0">
              <x14:cfvo type="autoMin"/>
              <x14:cfvo type="autoMax"/>
              <x14:negativeFillColor rgb="FFFF0000"/>
              <x14:axisColor rgb="FF000000"/>
            </x14:dataBar>
          </x14:cfRule>
          <xm:sqref>AE1</xm:sqref>
        </x14:conditionalFormatting>
        <x14:conditionalFormatting xmlns:xm="http://schemas.microsoft.com/office/excel/2006/main">
          <x14:cfRule type="dataBar" id="{6EE7DDCF-B9E6-408E-82C0-C2B38FD4F089}">
            <x14:dataBar minLength="0" maxLength="100" gradient="0">
              <x14:cfvo type="autoMin"/>
              <x14:cfvo type="autoMax"/>
              <x14:negativeFillColor rgb="FFFF0000"/>
              <x14:axisColor rgb="FF000000"/>
            </x14:dataBar>
          </x14:cfRule>
          <xm:sqref>AE4</xm:sqref>
        </x14:conditionalFormatting>
        <x14:conditionalFormatting xmlns:xm="http://schemas.microsoft.com/office/excel/2006/main">
          <x14:cfRule type="dataBar" id="{6600D42F-FA3E-45AF-87BC-CE0866B4944B}">
            <x14:dataBar minLength="0" maxLength="100" gradient="0">
              <x14:cfvo type="autoMin"/>
              <x14:cfvo type="autoMax"/>
              <x14:negativeFillColor rgb="FFFF0000"/>
              <x14:axisColor rgb="FF000000"/>
            </x14:dataBar>
          </x14:cfRule>
          <xm:sqref>AG1</xm:sqref>
        </x14:conditionalFormatting>
        <x14:conditionalFormatting xmlns:xm="http://schemas.microsoft.com/office/excel/2006/main">
          <x14:cfRule type="dataBar" id="{C68B2AFF-CE44-4DB7-A6F1-01D33E132ABE}">
            <x14:dataBar minLength="0" maxLength="100" gradient="0">
              <x14:cfvo type="autoMin"/>
              <x14:cfvo type="autoMax"/>
              <x14:negativeFillColor rgb="FFFF0000"/>
              <x14:axisColor rgb="FF000000"/>
            </x14:dataBar>
          </x14:cfRule>
          <xm:sqref>AG4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CA4BD-BD13-459F-A4E7-02FA6125F29B}">
  <dimension ref="A1:L1557"/>
  <sheetViews>
    <sheetView workbookViewId="0">
      <selection sqref="A1:L1048576"/>
    </sheetView>
  </sheetViews>
  <sheetFormatPr baseColWidth="10" defaultRowHeight="15" x14ac:dyDescent="0.25"/>
  <cols>
    <col min="1" max="1" width="34" customWidth="1"/>
    <col min="2" max="2" width="33.85546875" customWidth="1"/>
    <col min="3" max="3" width="13.42578125" style="3" bestFit="1" customWidth="1"/>
    <col min="4" max="4" width="15.5703125" style="4" customWidth="1"/>
    <col min="5" max="5" width="11.5703125" customWidth="1"/>
    <col min="6" max="6" width="13.140625" style="2" customWidth="1"/>
    <col min="7" max="7" width="11.5703125" style="2"/>
    <col min="8" max="8" width="13.140625" style="2" customWidth="1"/>
    <col min="9" max="9" width="13.5703125" style="2" customWidth="1"/>
    <col min="10" max="10" width="12" style="2" customWidth="1"/>
    <col min="11" max="11" width="11.5703125" style="2"/>
    <col min="12" max="12" width="10.85546875" style="2" customWidth="1"/>
  </cols>
  <sheetData>
    <row r="1" spans="1:12" x14ac:dyDescent="0.25">
      <c r="A1" t="s">
        <v>2445</v>
      </c>
      <c r="B1" t="s">
        <v>2446</v>
      </c>
      <c r="C1" s="3" t="s">
        <v>2449</v>
      </c>
      <c r="D1" s="4" t="s">
        <v>2451</v>
      </c>
      <c r="E1" t="s">
        <v>2454</v>
      </c>
      <c r="F1" s="2" t="s">
        <v>2455</v>
      </c>
      <c r="G1" s="2" t="s">
        <v>2456</v>
      </c>
      <c r="H1" s="2" t="s">
        <v>2457</v>
      </c>
      <c r="I1" s="2" t="s">
        <v>2458</v>
      </c>
      <c r="J1" s="2" t="s">
        <v>2459</v>
      </c>
      <c r="K1" s="2" t="s">
        <v>1</v>
      </c>
      <c r="L1" s="2" t="s">
        <v>2460</v>
      </c>
    </row>
    <row r="2" spans="1:12" x14ac:dyDescent="0.25">
      <c r="A2">
        <v>1</v>
      </c>
      <c r="B2">
        <v>8</v>
      </c>
      <c r="C2" s="3">
        <v>48633449</v>
      </c>
      <c r="D2" s="4">
        <v>3377762</v>
      </c>
      <c r="E2">
        <v>100</v>
      </c>
      <c r="F2" s="2">
        <v>0.71399999999999997</v>
      </c>
      <c r="G2" s="2">
        <v>0.8</v>
      </c>
      <c r="H2" s="2">
        <v>5.04E-2</v>
      </c>
      <c r="I2" s="2">
        <v>0.127</v>
      </c>
      <c r="J2" s="2">
        <v>0.35899999999999999</v>
      </c>
      <c r="K2" s="2">
        <v>0.58899999999999997</v>
      </c>
      <c r="L2" s="2">
        <v>-4.8079999999999998</v>
      </c>
    </row>
    <row r="3" spans="1:12" x14ac:dyDescent="0.25">
      <c r="A3">
        <v>2</v>
      </c>
      <c r="B3">
        <v>3</v>
      </c>
      <c r="C3" s="3">
        <v>47248719</v>
      </c>
      <c r="D3" s="4">
        <v>2230022</v>
      </c>
      <c r="E3">
        <v>99</v>
      </c>
      <c r="F3" s="2">
        <v>0.59099999999999997</v>
      </c>
      <c r="G3" s="2">
        <v>0.76400000000000001</v>
      </c>
      <c r="H3" s="2">
        <v>4.8300000000000003E-2</v>
      </c>
      <c r="I3" s="2">
        <v>3.8300000000000001E-2</v>
      </c>
      <c r="J3" s="2">
        <v>0.10299999999999999</v>
      </c>
      <c r="K3" s="2">
        <v>0.47799999999999998</v>
      </c>
      <c r="L3" s="2">
        <v>-5.484</v>
      </c>
    </row>
    <row r="4" spans="1:12" x14ac:dyDescent="0.25">
      <c r="A4">
        <v>1</v>
      </c>
      <c r="B4">
        <v>11</v>
      </c>
      <c r="C4" s="3">
        <v>40162559</v>
      </c>
      <c r="D4" s="4">
        <v>6266514</v>
      </c>
      <c r="E4">
        <v>99</v>
      </c>
      <c r="F4" s="2">
        <v>0.56299999999999994</v>
      </c>
      <c r="G4" s="2">
        <v>0.66400000000000003</v>
      </c>
      <c r="H4" s="2">
        <v>0.154</v>
      </c>
      <c r="I4" s="2">
        <v>0.33500000000000002</v>
      </c>
      <c r="J4" s="2">
        <v>8.4900000000000003E-2</v>
      </c>
      <c r="K4" s="2">
        <v>0.68799999999999994</v>
      </c>
      <c r="L4" s="2">
        <v>-5.0439999999999996</v>
      </c>
    </row>
    <row r="5" spans="1:12" x14ac:dyDescent="0.25">
      <c r="A5">
        <v>3</v>
      </c>
      <c r="B5">
        <v>5</v>
      </c>
      <c r="C5" s="3">
        <v>37799456</v>
      </c>
      <c r="D5" s="4">
        <v>83293380</v>
      </c>
      <c r="E5">
        <v>98</v>
      </c>
      <c r="F5" s="2">
        <v>0.80800000000000005</v>
      </c>
      <c r="G5" s="2">
        <v>0.89700000000000002</v>
      </c>
      <c r="H5" s="2">
        <v>3.4799999999999998E-2</v>
      </c>
      <c r="I5" s="2">
        <v>4.6899999999999997E-2</v>
      </c>
      <c r="J5" s="2">
        <v>0.36399999999999999</v>
      </c>
      <c r="K5" s="2">
        <v>0.59099999999999997</v>
      </c>
      <c r="L5" s="2">
        <v>-3.7120000000000002</v>
      </c>
    </row>
    <row r="6" spans="1:12" x14ac:dyDescent="0.25">
      <c r="A6">
        <v>1</v>
      </c>
      <c r="B6">
        <v>18</v>
      </c>
      <c r="C6" s="3">
        <v>30071134</v>
      </c>
      <c r="D6" s="4">
        <v>5473565</v>
      </c>
      <c r="E6">
        <v>97</v>
      </c>
      <c r="F6" s="2">
        <v>0.61</v>
      </c>
      <c r="G6" s="2">
        <v>0.50800000000000001</v>
      </c>
      <c r="H6" s="2">
        <v>0.152</v>
      </c>
      <c r="I6" s="2">
        <v>0.29699999999999999</v>
      </c>
      <c r="J6" s="2">
        <v>0.38400000000000001</v>
      </c>
      <c r="K6" s="2">
        <v>0.75800000000000001</v>
      </c>
      <c r="L6" s="2">
        <v>-6.6820000000000004</v>
      </c>
    </row>
    <row r="7" spans="1:12" x14ac:dyDescent="0.25">
      <c r="A7">
        <v>5</v>
      </c>
      <c r="B7">
        <v>1</v>
      </c>
      <c r="C7" s="3">
        <v>33948454</v>
      </c>
      <c r="D7" s="4">
        <v>5473565</v>
      </c>
      <c r="E7">
        <v>96</v>
      </c>
      <c r="F7" s="2">
        <v>0.73599999999999999</v>
      </c>
      <c r="G7" s="2">
        <v>0.70399999999999996</v>
      </c>
      <c r="H7" s="2">
        <v>6.1499999999999999E-2</v>
      </c>
      <c r="I7" s="2">
        <v>2.0299999999999999E-2</v>
      </c>
      <c r="J7" s="2">
        <v>5.0099999999999999E-2</v>
      </c>
      <c r="K7" s="2">
        <v>0.89400000000000002</v>
      </c>
      <c r="L7" s="2">
        <v>-7.4089999999999998</v>
      </c>
    </row>
    <row r="8" spans="1:12" x14ac:dyDescent="0.25">
      <c r="A8">
        <v>3</v>
      </c>
      <c r="B8">
        <v>8</v>
      </c>
      <c r="C8" s="3">
        <v>25030128</v>
      </c>
      <c r="D8" s="4">
        <v>36142273</v>
      </c>
      <c r="E8">
        <v>96</v>
      </c>
      <c r="F8" s="2">
        <v>0.64400000000000002</v>
      </c>
      <c r="G8" s="2">
        <v>0.64800000000000002</v>
      </c>
      <c r="H8" s="2">
        <v>0.11799999999999999</v>
      </c>
      <c r="I8" s="2">
        <v>0.27600000000000002</v>
      </c>
      <c r="J8" s="2">
        <v>0.13500000000000001</v>
      </c>
      <c r="K8" s="2">
        <v>0.44</v>
      </c>
      <c r="L8" s="2">
        <v>-4.601</v>
      </c>
    </row>
    <row r="9" spans="1:12" x14ac:dyDescent="0.25">
      <c r="A9">
        <v>2</v>
      </c>
      <c r="B9">
        <v>10</v>
      </c>
      <c r="C9" s="3">
        <v>26951613</v>
      </c>
      <c r="D9" s="4">
        <v>6080597</v>
      </c>
      <c r="E9">
        <v>95</v>
      </c>
      <c r="F9" s="2">
        <v>0.78</v>
      </c>
      <c r="G9" s="2">
        <v>0.71799999999999997</v>
      </c>
      <c r="H9" s="2">
        <v>5.0599999999999999E-2</v>
      </c>
      <c r="I9" s="2">
        <v>0.31</v>
      </c>
      <c r="J9" s="2">
        <v>9.3200000000000005E-2</v>
      </c>
      <c r="K9" s="2">
        <v>0.34200000000000003</v>
      </c>
      <c r="L9" s="2">
        <v>-3.605</v>
      </c>
    </row>
    <row r="10" spans="1:12" x14ac:dyDescent="0.25">
      <c r="A10">
        <v>8</v>
      </c>
      <c r="B10">
        <v>10</v>
      </c>
      <c r="C10" s="3">
        <v>24551591</v>
      </c>
      <c r="D10" s="4">
        <v>3377762</v>
      </c>
      <c r="E10">
        <v>95</v>
      </c>
      <c r="F10" s="2">
        <v>0.75</v>
      </c>
      <c r="G10" s="2">
        <v>0.60799999999999998</v>
      </c>
      <c r="H10" s="2">
        <v>3.8699999999999998E-2</v>
      </c>
      <c r="I10" s="2">
        <v>1.65E-3</v>
      </c>
      <c r="J10" s="2">
        <v>0.17799999999999999</v>
      </c>
      <c r="K10" s="2">
        <v>0.95799999999999996</v>
      </c>
      <c r="L10" s="2">
        <v>-4.008</v>
      </c>
    </row>
    <row r="11" spans="1:12" x14ac:dyDescent="0.25">
      <c r="A11">
        <v>9</v>
      </c>
      <c r="B11">
        <v>9</v>
      </c>
      <c r="C11" s="3">
        <v>22405111</v>
      </c>
      <c r="D11" s="4">
        <v>29051363</v>
      </c>
      <c r="E11">
        <v>95</v>
      </c>
      <c r="F11" s="2">
        <v>0.89100000000000001</v>
      </c>
      <c r="G11" s="2">
        <v>0.81899999999999995</v>
      </c>
      <c r="H11" s="2">
        <v>0.106</v>
      </c>
      <c r="I11" s="2">
        <v>2.6100000000000002E-2</v>
      </c>
      <c r="J11" s="2">
        <v>0.17299999999999999</v>
      </c>
      <c r="K11" s="2">
        <v>0.76800000000000002</v>
      </c>
      <c r="L11" s="2">
        <v>-3.964</v>
      </c>
    </row>
    <row r="12" spans="1:12" x14ac:dyDescent="0.25">
      <c r="A12">
        <v>5</v>
      </c>
      <c r="B12">
        <v>3</v>
      </c>
      <c r="C12" s="3">
        <v>22062812</v>
      </c>
      <c r="D12" s="4">
        <v>37106176</v>
      </c>
      <c r="E12">
        <v>95</v>
      </c>
      <c r="F12" s="2">
        <v>0.70199999999999996</v>
      </c>
      <c r="G12" s="2">
        <v>0.74099999999999999</v>
      </c>
      <c r="H12" s="2">
        <v>4.2700000000000002E-2</v>
      </c>
      <c r="I12" s="2">
        <v>5.4400000000000004E-3</v>
      </c>
      <c r="J12" s="2">
        <v>0.33700000000000002</v>
      </c>
      <c r="K12" s="2">
        <v>0.64600000000000002</v>
      </c>
      <c r="L12" s="2">
        <v>-5.33</v>
      </c>
    </row>
    <row r="13" spans="1:12" x14ac:dyDescent="0.25">
      <c r="A13">
        <v>2</v>
      </c>
      <c r="B13">
        <v>10</v>
      </c>
      <c r="C13" s="3">
        <v>19985713</v>
      </c>
      <c r="D13" s="4">
        <v>37106176</v>
      </c>
      <c r="E13">
        <v>95</v>
      </c>
      <c r="F13" s="2">
        <v>0.75900000000000001</v>
      </c>
      <c r="G13" s="2">
        <v>0.45900000000000002</v>
      </c>
      <c r="H13" s="2">
        <v>9.4799999999999995E-2</v>
      </c>
      <c r="I13" s="2">
        <v>3.2299999999999998E-3</v>
      </c>
      <c r="J13" s="2">
        <v>9.06E-2</v>
      </c>
      <c r="K13" s="2">
        <v>0.69499999999999995</v>
      </c>
      <c r="L13" s="2">
        <v>-5.1870000000000003</v>
      </c>
    </row>
    <row r="14" spans="1:12" x14ac:dyDescent="0.25">
      <c r="A14">
        <v>3</v>
      </c>
      <c r="B14">
        <v>16</v>
      </c>
      <c r="C14" s="3">
        <v>29356736</v>
      </c>
      <c r="D14" s="4">
        <v>8640063</v>
      </c>
      <c r="E14">
        <v>94</v>
      </c>
      <c r="F14" s="2">
        <v>0.76200000000000001</v>
      </c>
      <c r="G14" s="2">
        <v>0.70099999999999996</v>
      </c>
      <c r="H14" s="2">
        <v>2.86E-2</v>
      </c>
      <c r="I14" s="2">
        <v>0.23499999999999999</v>
      </c>
      <c r="J14" s="2">
        <v>0.123</v>
      </c>
      <c r="K14" s="2">
        <v>0.74199999999999999</v>
      </c>
      <c r="L14" s="2">
        <v>-3.5409999999999999</v>
      </c>
    </row>
    <row r="15" spans="1:12" x14ac:dyDescent="0.25">
      <c r="A15">
        <v>1</v>
      </c>
      <c r="B15">
        <v>19</v>
      </c>
      <c r="C15" s="3">
        <v>20294457</v>
      </c>
      <c r="D15" s="4">
        <v>48504126</v>
      </c>
      <c r="E15">
        <v>94</v>
      </c>
      <c r="F15" s="2">
        <v>0.67700000000000005</v>
      </c>
      <c r="G15" s="2">
        <v>0.69599999999999995</v>
      </c>
      <c r="H15" s="2">
        <v>0.11899999999999999</v>
      </c>
      <c r="I15" s="2">
        <v>0.32100000000000001</v>
      </c>
      <c r="J15" s="2">
        <v>0.42</v>
      </c>
      <c r="K15" s="2">
        <v>0.46400000000000002</v>
      </c>
      <c r="L15" s="2">
        <v>-6.181</v>
      </c>
    </row>
    <row r="16" spans="1:12" x14ac:dyDescent="0.25">
      <c r="A16">
        <v>7</v>
      </c>
      <c r="B16">
        <v>10</v>
      </c>
      <c r="C16" s="3">
        <v>19480679</v>
      </c>
      <c r="D16" s="4">
        <v>6266514</v>
      </c>
      <c r="E16">
        <v>94</v>
      </c>
      <c r="F16" s="2">
        <v>0.38</v>
      </c>
      <c r="G16" s="2">
        <v>0.33900000000000002</v>
      </c>
      <c r="H16" s="2">
        <v>3.3799999999999997E-2</v>
      </c>
      <c r="I16" s="2">
        <v>0.69099999999999995</v>
      </c>
      <c r="J16" s="2">
        <v>0.12</v>
      </c>
      <c r="K16" s="2">
        <v>8.4900000000000003E-2</v>
      </c>
      <c r="L16" s="2">
        <v>-7.8849999999999998</v>
      </c>
    </row>
    <row r="17" spans="1:12" x14ac:dyDescent="0.25">
      <c r="A17">
        <v>5</v>
      </c>
      <c r="B17">
        <v>14</v>
      </c>
      <c r="C17" s="3">
        <v>18053141</v>
      </c>
      <c r="D17" s="4">
        <v>35305637</v>
      </c>
      <c r="E17">
        <v>94</v>
      </c>
      <c r="F17" s="2">
        <v>0.65</v>
      </c>
      <c r="G17" s="2">
        <v>0.82499999999999996</v>
      </c>
      <c r="H17" s="2">
        <v>3.2500000000000001E-2</v>
      </c>
      <c r="I17" s="2">
        <v>2.1499999999999998E-2</v>
      </c>
      <c r="J17" s="2">
        <v>9.3600000000000003E-2</v>
      </c>
      <c r="K17" s="2">
        <v>0.59299999999999997</v>
      </c>
      <c r="L17" s="2">
        <v>-4.6449999999999996</v>
      </c>
    </row>
    <row r="18" spans="1:12" x14ac:dyDescent="0.25">
      <c r="A18">
        <v>2</v>
      </c>
      <c r="B18">
        <v>34</v>
      </c>
      <c r="C18" s="3">
        <v>8843110</v>
      </c>
      <c r="D18" s="4">
        <v>35305637</v>
      </c>
      <c r="E18">
        <v>94</v>
      </c>
      <c r="F18" s="2">
        <v>0.65</v>
      </c>
      <c r="G18" s="2">
        <v>0.82499999999999996</v>
      </c>
      <c r="H18" s="2">
        <v>3.2500000000000001E-2</v>
      </c>
      <c r="I18" s="2">
        <v>2.1499999999999998E-2</v>
      </c>
      <c r="J18" s="2">
        <v>9.3600000000000003E-2</v>
      </c>
      <c r="K18" s="2">
        <v>0.59299999999999997</v>
      </c>
      <c r="L18" s="2">
        <v>-4.6449999999999996</v>
      </c>
    </row>
    <row r="19" spans="1:12" x14ac:dyDescent="0.25">
      <c r="A19">
        <v>3</v>
      </c>
      <c r="B19">
        <v>17</v>
      </c>
      <c r="C19" s="3">
        <v>18571755</v>
      </c>
      <c r="D19" s="4">
        <v>6266514</v>
      </c>
      <c r="E19">
        <v>93</v>
      </c>
      <c r="F19" s="2">
        <v>0.442</v>
      </c>
      <c r="G19" s="2">
        <v>0.61199999999999999</v>
      </c>
      <c r="H19" s="2">
        <v>0.112</v>
      </c>
      <c r="I19" s="2">
        <v>0.58399999999999996</v>
      </c>
      <c r="J19" s="2">
        <v>0.37</v>
      </c>
      <c r="K19" s="2">
        <v>0.17799999999999999</v>
      </c>
      <c r="L19" s="2">
        <v>-7.2220000000000004</v>
      </c>
    </row>
    <row r="20" spans="1:12" x14ac:dyDescent="0.25">
      <c r="A20">
        <v>14</v>
      </c>
      <c r="B20">
        <v>5</v>
      </c>
      <c r="C20" s="3">
        <v>17617965</v>
      </c>
      <c r="D20" s="4">
        <v>2123734</v>
      </c>
      <c r="E20">
        <v>93</v>
      </c>
      <c r="F20" s="2">
        <v>0.74299999999999999</v>
      </c>
      <c r="G20" s="2">
        <v>0.65500000000000003</v>
      </c>
      <c r="H20" s="2">
        <v>0.159</v>
      </c>
      <c r="I20" s="2">
        <v>0.114</v>
      </c>
      <c r="J20" s="2">
        <v>7.6399999999999996E-2</v>
      </c>
      <c r="K20" s="2">
        <v>0.78500000000000003</v>
      </c>
      <c r="L20" s="2">
        <v>-5.0149999999999997</v>
      </c>
    </row>
    <row r="21" spans="1:12" x14ac:dyDescent="0.25">
      <c r="A21">
        <v>1</v>
      </c>
      <c r="B21">
        <v>29</v>
      </c>
      <c r="C21" s="3">
        <v>15684978</v>
      </c>
      <c r="D21" s="4">
        <v>6266514</v>
      </c>
      <c r="E21">
        <v>92</v>
      </c>
      <c r="F21" s="2">
        <v>0.56100000000000005</v>
      </c>
      <c r="G21" s="2">
        <v>0.43099999999999999</v>
      </c>
      <c r="H21" s="2">
        <v>5.7799999999999997E-2</v>
      </c>
      <c r="I21" s="2">
        <v>0.76800000000000002</v>
      </c>
      <c r="J21" s="2">
        <v>0.106</v>
      </c>
      <c r="K21" s="2">
        <v>0.13700000000000001</v>
      </c>
      <c r="L21" s="2">
        <v>-8.81</v>
      </c>
    </row>
    <row r="22" spans="1:12" x14ac:dyDescent="0.25">
      <c r="A22">
        <v>1</v>
      </c>
      <c r="B22">
        <v>83</v>
      </c>
      <c r="C22" s="3">
        <v>15011809</v>
      </c>
      <c r="D22" s="4">
        <v>35305637</v>
      </c>
      <c r="E22">
        <v>92</v>
      </c>
      <c r="F22" s="2">
        <v>0.51400000000000001</v>
      </c>
      <c r="G22" s="2">
        <v>0.73</v>
      </c>
      <c r="H22" s="2">
        <v>5.9799999999999999E-2</v>
      </c>
      <c r="I22" s="2">
        <v>1.4599999999999999E-3</v>
      </c>
      <c r="J22" s="2">
        <v>8.9700000000000002E-2</v>
      </c>
      <c r="K22" s="2">
        <v>0.33400000000000002</v>
      </c>
      <c r="L22" s="2">
        <v>-5.9340000000000002</v>
      </c>
    </row>
    <row r="23" spans="1:12" x14ac:dyDescent="0.25">
      <c r="A23">
        <v>12</v>
      </c>
      <c r="B23">
        <v>10</v>
      </c>
      <c r="C23" s="3">
        <v>14849078</v>
      </c>
      <c r="D23" s="4">
        <v>6266514</v>
      </c>
      <c r="E23">
        <v>92</v>
      </c>
      <c r="F23" s="2">
        <v>0.39500000000000002</v>
      </c>
      <c r="G23" s="2">
        <v>0.443</v>
      </c>
      <c r="H23" s="2">
        <v>0.13300000000000001</v>
      </c>
      <c r="I23" s="2">
        <v>0.76500000000000001</v>
      </c>
      <c r="J23" s="2">
        <v>8.3900000000000002E-2</v>
      </c>
      <c r="K23" s="2">
        <v>0.33800000000000002</v>
      </c>
      <c r="L23" s="2">
        <v>-9.7200000000000006</v>
      </c>
    </row>
    <row r="24" spans="1:12" x14ac:dyDescent="0.25">
      <c r="A24">
        <v>27</v>
      </c>
      <c r="B24">
        <v>3</v>
      </c>
      <c r="C24" s="3">
        <v>14809458</v>
      </c>
      <c r="D24" s="4">
        <v>10502148</v>
      </c>
      <c r="E24">
        <v>92</v>
      </c>
      <c r="F24" s="2">
        <v>0.76200000000000001</v>
      </c>
      <c r="G24" s="2">
        <v>0.76600000000000001</v>
      </c>
      <c r="H24" s="2">
        <v>3.4299999999999997E-2</v>
      </c>
      <c r="I24" s="2">
        <v>7.7600000000000004E-3</v>
      </c>
      <c r="J24" s="2">
        <v>0.128</v>
      </c>
      <c r="K24" s="2">
        <v>0.442</v>
      </c>
      <c r="L24" s="2">
        <v>-3.9550000000000001</v>
      </c>
    </row>
    <row r="25" spans="1:12" x14ac:dyDescent="0.25">
      <c r="A25">
        <v>15</v>
      </c>
      <c r="B25">
        <v>23</v>
      </c>
      <c r="C25" s="3">
        <v>14273637</v>
      </c>
      <c r="D25" s="4">
        <v>83689</v>
      </c>
      <c r="E25">
        <v>92</v>
      </c>
      <c r="F25" s="2">
        <v>0.82399999999999995</v>
      </c>
      <c r="G25" s="2">
        <v>0.86199999999999999</v>
      </c>
      <c r="H25" s="2">
        <v>0.126</v>
      </c>
      <c r="I25" s="2">
        <v>7.6E-3</v>
      </c>
      <c r="J25" s="2">
        <v>0.30299999999999999</v>
      </c>
      <c r="K25" s="2">
        <v>0.80100000000000005</v>
      </c>
      <c r="L25" s="2">
        <v>-3.4239999999999999</v>
      </c>
    </row>
    <row r="26" spans="1:12" x14ac:dyDescent="0.25">
      <c r="A26">
        <v>5</v>
      </c>
      <c r="B26">
        <v>21</v>
      </c>
      <c r="C26" s="3">
        <v>13963568</v>
      </c>
      <c r="D26" s="4">
        <v>32574754</v>
      </c>
      <c r="E26">
        <v>92</v>
      </c>
      <c r="F26" s="2">
        <v>0.58599999999999997</v>
      </c>
      <c r="G26" s="2">
        <v>0.61599999999999999</v>
      </c>
      <c r="H26" s="2">
        <v>3.2399999999999998E-2</v>
      </c>
      <c r="I26" s="2">
        <v>0.182</v>
      </c>
      <c r="J26" s="2">
        <v>9.2700000000000005E-2</v>
      </c>
      <c r="K26" s="2">
        <v>0.71899999999999997</v>
      </c>
      <c r="L26" s="2">
        <v>-7.9640000000000004</v>
      </c>
    </row>
    <row r="27" spans="1:12" x14ac:dyDescent="0.25">
      <c r="A27">
        <v>19</v>
      </c>
      <c r="B27">
        <v>3</v>
      </c>
      <c r="C27" s="3">
        <v>16606925</v>
      </c>
      <c r="D27" s="4">
        <v>151486</v>
      </c>
      <c r="E27">
        <v>91</v>
      </c>
      <c r="F27" s="2">
        <v>0.65900000000000003</v>
      </c>
      <c r="G27" s="2">
        <v>0.68799999999999994</v>
      </c>
      <c r="H27" s="2">
        <v>6.7299999999999999E-2</v>
      </c>
      <c r="I27" s="2">
        <v>0.20699999999999999</v>
      </c>
      <c r="J27" s="2">
        <v>0.113</v>
      </c>
      <c r="K27" s="2">
        <v>0.63200000000000001</v>
      </c>
      <c r="L27" s="2">
        <v>-4.649</v>
      </c>
    </row>
    <row r="28" spans="1:12" x14ac:dyDescent="0.25">
      <c r="A28">
        <v>11</v>
      </c>
      <c r="B28">
        <v>10</v>
      </c>
      <c r="C28" s="3">
        <v>12818935</v>
      </c>
      <c r="D28" s="4">
        <v>6266514</v>
      </c>
      <c r="E28">
        <v>91</v>
      </c>
      <c r="F28" s="2">
        <v>0.36899999999999999</v>
      </c>
      <c r="G28" s="2">
        <v>0.27200000000000002</v>
      </c>
      <c r="H28" s="2">
        <v>3.6400000000000002E-2</v>
      </c>
      <c r="I28" s="2">
        <v>0.86599999999999999</v>
      </c>
      <c r="J28" s="2">
        <v>0.14699999999999999</v>
      </c>
      <c r="K28" s="2">
        <v>0.218</v>
      </c>
      <c r="L28" s="2">
        <v>-10.497</v>
      </c>
    </row>
    <row r="29" spans="1:12" x14ac:dyDescent="0.25">
      <c r="A29">
        <v>10</v>
      </c>
      <c r="B29">
        <v>15</v>
      </c>
      <c r="C29" s="3">
        <v>12572307</v>
      </c>
      <c r="D29" s="4">
        <v>16216789</v>
      </c>
      <c r="E29">
        <v>91</v>
      </c>
      <c r="F29" s="2">
        <v>0.71499999999999997</v>
      </c>
      <c r="G29" s="2">
        <v>0.622</v>
      </c>
      <c r="H29" s="2">
        <v>4.5999999999999999E-2</v>
      </c>
      <c r="I29" s="2">
        <v>0.16300000000000001</v>
      </c>
      <c r="J29" s="2">
        <v>9.4799999999999995E-2</v>
      </c>
      <c r="K29" s="2">
        <v>0.80800000000000005</v>
      </c>
      <c r="L29" s="2">
        <v>-5.1020000000000003</v>
      </c>
    </row>
    <row r="30" spans="1:12" x14ac:dyDescent="0.25">
      <c r="A30">
        <v>20</v>
      </c>
      <c r="B30">
        <v>7</v>
      </c>
      <c r="C30" s="3">
        <v>16908917</v>
      </c>
      <c r="D30" s="4">
        <v>8640063</v>
      </c>
      <c r="E30">
        <v>90</v>
      </c>
      <c r="F30" s="2">
        <v>0.66400000000000003</v>
      </c>
      <c r="G30" s="2">
        <v>0.60899999999999999</v>
      </c>
      <c r="H30" s="2">
        <v>7.0699999999999999E-2</v>
      </c>
      <c r="I30" s="2">
        <v>0.30399999999999999</v>
      </c>
      <c r="J30" s="2">
        <v>9.2600000000000002E-2</v>
      </c>
      <c r="K30" s="2">
        <v>0.19400000000000001</v>
      </c>
      <c r="L30" s="2">
        <v>-6.5090000000000003</v>
      </c>
    </row>
    <row r="31" spans="1:12" x14ac:dyDescent="0.25">
      <c r="A31">
        <v>22</v>
      </c>
      <c r="B31">
        <v>5</v>
      </c>
      <c r="C31" s="3">
        <v>16126897</v>
      </c>
      <c r="D31" s="4">
        <v>8640063</v>
      </c>
      <c r="E31">
        <v>90</v>
      </c>
      <c r="F31" s="2">
        <v>0.85499999999999998</v>
      </c>
      <c r="G31" s="2">
        <v>0.48799999999999999</v>
      </c>
      <c r="H31" s="2">
        <v>0.20799999999999999</v>
      </c>
      <c r="I31" s="2">
        <v>0.50600000000000001</v>
      </c>
      <c r="J31" s="2">
        <v>0.34699999999999998</v>
      </c>
      <c r="K31" s="2">
        <v>0.61899999999999999</v>
      </c>
      <c r="L31" s="2">
        <v>-4.601</v>
      </c>
    </row>
    <row r="32" spans="1:12" x14ac:dyDescent="0.25">
      <c r="A32">
        <v>18</v>
      </c>
      <c r="B32">
        <v>3</v>
      </c>
      <c r="C32" s="3">
        <v>14329162</v>
      </c>
      <c r="D32" s="4">
        <v>33651775</v>
      </c>
      <c r="E32">
        <v>90</v>
      </c>
      <c r="F32" s="2">
        <v>0.79700000000000004</v>
      </c>
      <c r="G32" s="2">
        <v>0.63100000000000001</v>
      </c>
      <c r="H32" s="2">
        <v>7.8600000000000003E-2</v>
      </c>
      <c r="I32" s="2">
        <v>9.0399999999999994E-2</v>
      </c>
      <c r="J32" s="2">
        <v>9.98E-2</v>
      </c>
      <c r="K32" s="2">
        <v>0.28799999999999998</v>
      </c>
      <c r="L32" s="2">
        <v>-3.8180000000000001</v>
      </c>
    </row>
    <row r="33" spans="1:12" x14ac:dyDescent="0.25">
      <c r="A33">
        <v>4</v>
      </c>
      <c r="B33">
        <v>83</v>
      </c>
      <c r="C33" s="3">
        <v>11996689</v>
      </c>
      <c r="D33" s="4">
        <v>16112621</v>
      </c>
      <c r="E33">
        <v>90</v>
      </c>
      <c r="F33" s="2">
        <v>0.54800000000000004</v>
      </c>
      <c r="G33" s="2">
        <v>0.81599999999999995</v>
      </c>
      <c r="H33" s="2">
        <v>4.65E-2</v>
      </c>
      <c r="I33" s="2">
        <v>0.122</v>
      </c>
      <c r="J33" s="2">
        <v>0.33500000000000002</v>
      </c>
      <c r="K33" s="2">
        <v>0.55700000000000005</v>
      </c>
      <c r="L33" s="2">
        <v>-4.2089999999999996</v>
      </c>
    </row>
    <row r="34" spans="1:12" x14ac:dyDescent="0.25">
      <c r="A34">
        <v>41</v>
      </c>
      <c r="B34">
        <v>13</v>
      </c>
      <c r="C34" s="3">
        <v>11477024</v>
      </c>
      <c r="D34" s="4">
        <v>2936204</v>
      </c>
      <c r="E34">
        <v>90</v>
      </c>
      <c r="F34" s="2">
        <v>0.85</v>
      </c>
      <c r="G34" s="2">
        <v>0.54100000000000004</v>
      </c>
      <c r="H34" s="2">
        <v>6.7400000000000002E-2</v>
      </c>
      <c r="I34" s="2">
        <v>0.161</v>
      </c>
      <c r="J34" s="2">
        <v>0.28599999999999998</v>
      </c>
      <c r="K34" s="2">
        <v>0.91600000000000004</v>
      </c>
      <c r="L34" s="2">
        <v>-4.5220000000000002</v>
      </c>
    </row>
    <row r="35" spans="1:12" x14ac:dyDescent="0.25">
      <c r="A35">
        <v>17</v>
      </c>
      <c r="B35">
        <v>10</v>
      </c>
      <c r="C35" s="3">
        <v>11287301</v>
      </c>
      <c r="D35" s="4">
        <v>6266514</v>
      </c>
      <c r="E35">
        <v>90</v>
      </c>
      <c r="F35" s="2">
        <v>0.69499999999999995</v>
      </c>
      <c r="G35" s="2">
        <v>0.57499999999999996</v>
      </c>
      <c r="H35" s="2">
        <v>0.11600000000000001</v>
      </c>
      <c r="I35" s="2">
        <v>0.19800000000000001</v>
      </c>
      <c r="J35" s="2">
        <v>6.1400000000000003E-2</v>
      </c>
      <c r="K35" s="2">
        <v>0.69899999999999995</v>
      </c>
      <c r="L35" s="2">
        <v>-6.3339999999999996</v>
      </c>
    </row>
    <row r="36" spans="1:12" x14ac:dyDescent="0.25">
      <c r="A36">
        <v>9</v>
      </c>
      <c r="B36">
        <v>39</v>
      </c>
      <c r="C36" s="3">
        <v>10739770</v>
      </c>
      <c r="D36" s="4">
        <v>5785065</v>
      </c>
      <c r="E36">
        <v>90</v>
      </c>
      <c r="F36" s="2">
        <v>0.79800000000000004</v>
      </c>
      <c r="G36" s="2">
        <v>0.62</v>
      </c>
      <c r="H36" s="2">
        <v>0.23200000000000001</v>
      </c>
      <c r="I36" s="2">
        <v>0.41399999999999998</v>
      </c>
      <c r="J36" s="2">
        <v>0.112</v>
      </c>
      <c r="K36" s="2">
        <v>0.23499999999999999</v>
      </c>
      <c r="L36" s="2">
        <v>-7.0789999999999997</v>
      </c>
    </row>
    <row r="37" spans="1:12" x14ac:dyDescent="0.25">
      <c r="A37">
        <v>4</v>
      </c>
      <c r="B37">
        <v>43</v>
      </c>
      <c r="C37" s="3">
        <v>23518010</v>
      </c>
      <c r="D37" s="4">
        <v>27142474</v>
      </c>
      <c r="E37">
        <v>89</v>
      </c>
      <c r="F37" s="2">
        <v>0.70199999999999996</v>
      </c>
      <c r="G37" s="2">
        <v>0.82499999999999996</v>
      </c>
      <c r="H37" s="2">
        <v>6.0100000000000001E-2</v>
      </c>
      <c r="I37" s="2">
        <v>8.8299999999999993E-3</v>
      </c>
      <c r="J37" s="2">
        <v>6.7400000000000002E-2</v>
      </c>
      <c r="K37" s="2">
        <v>0.91500000000000004</v>
      </c>
      <c r="L37" s="2">
        <v>-3.7869999999999999</v>
      </c>
    </row>
    <row r="38" spans="1:12" x14ac:dyDescent="0.25">
      <c r="A38">
        <v>3</v>
      </c>
      <c r="B38">
        <v>28</v>
      </c>
      <c r="C38" s="3">
        <v>14174752</v>
      </c>
      <c r="D38" s="4">
        <v>365975</v>
      </c>
      <c r="E38">
        <v>89</v>
      </c>
      <c r="F38" s="2">
        <v>0.77800000000000002</v>
      </c>
      <c r="G38" s="2">
        <v>0.69499999999999995</v>
      </c>
      <c r="H38" s="2">
        <v>9.1300000000000006E-2</v>
      </c>
      <c r="I38" s="2">
        <v>0.17499999999999999</v>
      </c>
      <c r="J38" s="2">
        <v>0.15</v>
      </c>
      <c r="K38" s="2">
        <v>0.47199999999999998</v>
      </c>
      <c r="L38" s="2">
        <v>-6.8650000000000002</v>
      </c>
    </row>
    <row r="39" spans="1:12" x14ac:dyDescent="0.25">
      <c r="A39">
        <v>3</v>
      </c>
      <c r="B39">
        <v>16</v>
      </c>
      <c r="C39" s="3">
        <v>11683383</v>
      </c>
      <c r="D39" s="4">
        <v>4840346</v>
      </c>
      <c r="E39">
        <v>89</v>
      </c>
      <c r="F39" s="2">
        <v>0.78900000000000003</v>
      </c>
      <c r="G39" s="2">
        <v>0.53600000000000003</v>
      </c>
      <c r="H39" s="2">
        <v>0.24199999999999999</v>
      </c>
      <c r="I39" s="2">
        <v>0.41</v>
      </c>
      <c r="J39" s="2">
        <v>0.129</v>
      </c>
      <c r="K39" s="2">
        <v>0.437</v>
      </c>
      <c r="L39" s="2">
        <v>-6.8620000000000001</v>
      </c>
    </row>
    <row r="40" spans="1:12" x14ac:dyDescent="0.25">
      <c r="A40">
        <v>15</v>
      </c>
      <c r="B40">
        <v>5</v>
      </c>
      <c r="C40" s="3">
        <v>11629418</v>
      </c>
      <c r="D40" s="4">
        <v>8640063</v>
      </c>
      <c r="E40">
        <v>89</v>
      </c>
      <c r="F40" s="2">
        <v>0.82799999999999996</v>
      </c>
      <c r="G40" s="2">
        <v>0.621</v>
      </c>
      <c r="H40" s="2">
        <v>5.6500000000000002E-2</v>
      </c>
      <c r="I40" s="2">
        <v>1.6400000000000001E-2</v>
      </c>
      <c r="J40" s="2">
        <v>8.4500000000000006E-2</v>
      </c>
      <c r="K40" s="2">
        <v>0.436</v>
      </c>
      <c r="L40" s="2">
        <v>-6.4139999999999997</v>
      </c>
    </row>
    <row r="41" spans="1:12" x14ac:dyDescent="0.25">
      <c r="A41">
        <v>39</v>
      </c>
      <c r="B41">
        <v>3</v>
      </c>
      <c r="C41" s="3">
        <v>11553846</v>
      </c>
      <c r="D41" s="4">
        <v>8758283</v>
      </c>
      <c r="E41">
        <v>89</v>
      </c>
      <c r="F41" s="2">
        <v>0.81599999999999995</v>
      </c>
      <c r="G41" s="2">
        <v>0.71</v>
      </c>
      <c r="H41" s="2">
        <v>3.9800000000000002E-2</v>
      </c>
      <c r="I41" s="2">
        <v>0.16500000000000001</v>
      </c>
      <c r="J41" s="2">
        <v>0.29199999999999998</v>
      </c>
      <c r="K41" s="2">
        <v>0.78400000000000003</v>
      </c>
      <c r="L41" s="2">
        <v>-3.7280000000000002</v>
      </c>
    </row>
    <row r="42" spans="1:12" x14ac:dyDescent="0.25">
      <c r="A42">
        <v>33</v>
      </c>
      <c r="B42">
        <v>6</v>
      </c>
      <c r="C42" s="3">
        <v>11283626</v>
      </c>
      <c r="D42" s="4">
        <v>29051363</v>
      </c>
      <c r="E42">
        <v>89</v>
      </c>
      <c r="F42" s="2">
        <v>0.81299999999999994</v>
      </c>
      <c r="G42" s="2">
        <v>0.80900000000000005</v>
      </c>
      <c r="H42" s="2">
        <v>8.4599999999999995E-2</v>
      </c>
      <c r="I42" s="2">
        <v>0.10199999999999999</v>
      </c>
      <c r="J42" s="2">
        <v>0.377</v>
      </c>
      <c r="K42" s="2">
        <v>0.64600000000000002</v>
      </c>
      <c r="L42" s="2">
        <v>-5.3819999999999997</v>
      </c>
    </row>
    <row r="43" spans="1:12" x14ac:dyDescent="0.25">
      <c r="A43">
        <v>2</v>
      </c>
      <c r="B43">
        <v>49</v>
      </c>
      <c r="C43" s="3">
        <v>11196819</v>
      </c>
      <c r="D43" s="4">
        <v>37106176</v>
      </c>
      <c r="E43">
        <v>89</v>
      </c>
      <c r="F43" s="2">
        <v>0.746</v>
      </c>
      <c r="G43" s="2">
        <v>0.76500000000000001</v>
      </c>
      <c r="H43" s="2">
        <v>9.9299999999999999E-2</v>
      </c>
      <c r="I43" s="2">
        <v>1.12E-2</v>
      </c>
      <c r="J43" s="2">
        <v>9.3600000000000003E-2</v>
      </c>
      <c r="K43" s="2">
        <v>0.73699999999999999</v>
      </c>
      <c r="L43" s="2">
        <v>-4.41</v>
      </c>
    </row>
    <row r="44" spans="1:12" x14ac:dyDescent="0.25">
      <c r="A44">
        <v>46</v>
      </c>
      <c r="B44">
        <v>10</v>
      </c>
      <c r="C44" s="3">
        <v>10315460</v>
      </c>
      <c r="D44" s="4">
        <v>3120157</v>
      </c>
      <c r="E44">
        <v>89</v>
      </c>
      <c r="F44" s="2">
        <v>0.59499999999999997</v>
      </c>
      <c r="G44" s="2">
        <v>0.78400000000000003</v>
      </c>
      <c r="H44" s="2">
        <v>0.10199999999999999</v>
      </c>
      <c r="I44" s="2">
        <v>0.216</v>
      </c>
      <c r="J44" s="2">
        <v>6.08E-2</v>
      </c>
      <c r="K44" s="2">
        <v>0.47899999999999998</v>
      </c>
      <c r="L44" s="2">
        <v>-4.8780000000000001</v>
      </c>
    </row>
    <row r="45" spans="1:12" x14ac:dyDescent="0.25">
      <c r="A45">
        <v>1</v>
      </c>
      <c r="B45">
        <v>51</v>
      </c>
      <c r="C45" s="3">
        <v>10222056</v>
      </c>
      <c r="D45" s="4">
        <v>1274433</v>
      </c>
      <c r="E45">
        <v>89</v>
      </c>
      <c r="F45" s="2">
        <v>0.70099999999999996</v>
      </c>
      <c r="G45" s="2">
        <v>0.71599999999999997</v>
      </c>
      <c r="H45" s="2">
        <v>3.61E-2</v>
      </c>
      <c r="I45" s="2">
        <v>0.17399999999999999</v>
      </c>
      <c r="J45" s="2">
        <v>0.32400000000000001</v>
      </c>
      <c r="K45" s="2">
        <v>0.73199999999999998</v>
      </c>
      <c r="L45" s="2">
        <v>-3.6709999999999998</v>
      </c>
    </row>
    <row r="46" spans="1:12" x14ac:dyDescent="0.25">
      <c r="A46">
        <v>48</v>
      </c>
      <c r="B46">
        <v>3</v>
      </c>
      <c r="C46" s="3">
        <v>10215216</v>
      </c>
      <c r="D46" s="4">
        <v>375865</v>
      </c>
      <c r="E46">
        <v>89</v>
      </c>
      <c r="F46" s="2">
        <v>0.72899999999999998</v>
      </c>
      <c r="G46" s="2">
        <v>0.51300000000000001</v>
      </c>
      <c r="H46" s="2">
        <v>4.5499999999999999E-2</v>
      </c>
      <c r="I46" s="2">
        <v>0.49399999999999999</v>
      </c>
      <c r="J46" s="2">
        <v>0.13700000000000001</v>
      </c>
      <c r="K46" s="2">
        <v>0.78900000000000003</v>
      </c>
      <c r="L46" s="2">
        <v>-6.3449999999999998</v>
      </c>
    </row>
    <row r="47" spans="1:12" x14ac:dyDescent="0.25">
      <c r="A47">
        <v>29</v>
      </c>
      <c r="B47">
        <v>6</v>
      </c>
      <c r="C47" s="3">
        <v>10032746</v>
      </c>
      <c r="D47" s="4">
        <v>6929075</v>
      </c>
      <c r="E47">
        <v>89</v>
      </c>
      <c r="F47" s="2">
        <v>0.83899999999999997</v>
      </c>
      <c r="G47" s="2">
        <v>0.71099999999999997</v>
      </c>
      <c r="H47" s="2">
        <v>4.7300000000000002E-2</v>
      </c>
      <c r="I47" s="2">
        <v>0.39800000000000002</v>
      </c>
      <c r="J47" s="2">
        <v>0.11799999999999999</v>
      </c>
      <c r="K47" s="2">
        <v>0.57299999999999995</v>
      </c>
      <c r="L47" s="2">
        <v>-4.7329999999999997</v>
      </c>
    </row>
    <row r="48" spans="1:12" x14ac:dyDescent="0.25">
      <c r="A48">
        <v>20</v>
      </c>
      <c r="B48">
        <v>11</v>
      </c>
      <c r="C48" s="3">
        <v>9841998</v>
      </c>
      <c r="D48" s="4">
        <v>389076</v>
      </c>
      <c r="E48">
        <v>89</v>
      </c>
      <c r="F48" s="2">
        <v>0.85499999999999998</v>
      </c>
      <c r="G48" s="2">
        <v>0.46300000000000002</v>
      </c>
      <c r="H48" s="2">
        <v>3.6700000000000003E-2</v>
      </c>
      <c r="I48" s="2">
        <v>0.217</v>
      </c>
      <c r="J48" s="2">
        <v>0.34699999999999998</v>
      </c>
      <c r="K48" s="2">
        <v>0.86599999999999999</v>
      </c>
      <c r="L48" s="2">
        <v>-7.4539999999999997</v>
      </c>
    </row>
    <row r="49" spans="1:12" x14ac:dyDescent="0.25">
      <c r="A49">
        <v>52</v>
      </c>
      <c r="B49">
        <v>9</v>
      </c>
      <c r="C49" s="3">
        <v>9428494</v>
      </c>
      <c r="D49" s="4">
        <v>31541310</v>
      </c>
      <c r="E49">
        <v>89</v>
      </c>
      <c r="F49" s="2">
        <v>0.72099999999999997</v>
      </c>
      <c r="G49" s="2">
        <v>0.73799999999999999</v>
      </c>
      <c r="H49" s="2">
        <v>4.0300000000000002E-2</v>
      </c>
      <c r="I49" s="2">
        <v>2.2599999999999999E-3</v>
      </c>
      <c r="J49" s="2">
        <v>0.11799999999999999</v>
      </c>
      <c r="K49" s="2">
        <v>0.63700000000000001</v>
      </c>
      <c r="L49" s="2">
        <v>-4.7699999999999996</v>
      </c>
    </row>
    <row r="50" spans="1:12" x14ac:dyDescent="0.25">
      <c r="A50">
        <v>56</v>
      </c>
      <c r="B50">
        <v>13</v>
      </c>
      <c r="C50" s="3">
        <v>9319465</v>
      </c>
      <c r="D50" s="4">
        <v>495226</v>
      </c>
      <c r="E50">
        <v>89</v>
      </c>
      <c r="F50" s="2">
        <v>0.34499999999999997</v>
      </c>
      <c r="G50" s="2">
        <v>0.94099999999999995</v>
      </c>
      <c r="H50" s="2">
        <v>4.6600000000000003E-2</v>
      </c>
      <c r="I50" s="2">
        <v>3.8399999999999998E-5</v>
      </c>
      <c r="J50" s="2">
        <v>5.11E-2</v>
      </c>
      <c r="K50" s="2">
        <v>0.40699999999999997</v>
      </c>
      <c r="L50" s="2">
        <v>-9.9179999999999993</v>
      </c>
    </row>
    <row r="51" spans="1:12" x14ac:dyDescent="0.25">
      <c r="A51">
        <v>9</v>
      </c>
      <c r="B51">
        <v>10</v>
      </c>
      <c r="C51" s="3">
        <v>8881356</v>
      </c>
      <c r="D51" s="4">
        <v>6266514</v>
      </c>
      <c r="E51">
        <v>89</v>
      </c>
      <c r="F51" s="2">
        <v>0.67200000000000004</v>
      </c>
      <c r="G51" s="2">
        <v>0.52600000000000002</v>
      </c>
      <c r="H51" s="2">
        <v>5.9900000000000002E-2</v>
      </c>
      <c r="I51" s="2">
        <v>3.1099999999999999E-2</v>
      </c>
      <c r="J51" s="2">
        <v>0.28000000000000003</v>
      </c>
      <c r="K51" s="2">
        <v>0.28000000000000003</v>
      </c>
      <c r="L51" s="2">
        <v>-6.4459999999999997</v>
      </c>
    </row>
    <row r="52" spans="1:12" x14ac:dyDescent="0.25">
      <c r="A52">
        <v>59</v>
      </c>
      <c r="B52">
        <v>6</v>
      </c>
      <c r="C52" s="3">
        <v>6893939</v>
      </c>
      <c r="D52" s="4">
        <v>29051363</v>
      </c>
      <c r="E52">
        <v>89</v>
      </c>
      <c r="F52" s="2">
        <v>0.81299999999999994</v>
      </c>
      <c r="G52" s="2">
        <v>0.80900000000000005</v>
      </c>
      <c r="H52" s="2">
        <v>8.4599999999999995E-2</v>
      </c>
      <c r="I52" s="2">
        <v>0.10199999999999999</v>
      </c>
      <c r="J52" s="2">
        <v>0.377</v>
      </c>
      <c r="K52" s="2">
        <v>0.64600000000000002</v>
      </c>
      <c r="L52" s="2">
        <v>-5.3819999999999997</v>
      </c>
    </row>
    <row r="53" spans="1:12" x14ac:dyDescent="0.25">
      <c r="A53">
        <v>52</v>
      </c>
      <c r="B53">
        <v>19</v>
      </c>
      <c r="C53" s="3">
        <v>6799831</v>
      </c>
      <c r="D53" s="4">
        <v>27142474</v>
      </c>
      <c r="E53">
        <v>89</v>
      </c>
      <c r="F53" s="2">
        <v>0.70199999999999996</v>
      </c>
      <c r="G53" s="2">
        <v>0.82499999999999996</v>
      </c>
      <c r="H53" s="2">
        <v>6.0100000000000001E-2</v>
      </c>
      <c r="I53" s="2">
        <v>8.8299999999999993E-3</v>
      </c>
      <c r="J53" s="2">
        <v>6.7400000000000002E-2</v>
      </c>
      <c r="K53" s="2">
        <v>0.91500000000000004</v>
      </c>
      <c r="L53" s="2">
        <v>-3.7869999999999999</v>
      </c>
    </row>
    <row r="54" spans="1:12" x14ac:dyDescent="0.25">
      <c r="A54">
        <v>28</v>
      </c>
      <c r="B54">
        <v>23</v>
      </c>
      <c r="C54" s="3">
        <v>6111108</v>
      </c>
      <c r="D54" s="4">
        <v>8758283</v>
      </c>
      <c r="E54">
        <v>89</v>
      </c>
      <c r="F54" s="2">
        <v>0.81599999999999995</v>
      </c>
      <c r="G54" s="2">
        <v>0.71</v>
      </c>
      <c r="H54" s="2">
        <v>3.9800000000000002E-2</v>
      </c>
      <c r="I54" s="2">
        <v>0.16500000000000001</v>
      </c>
      <c r="J54" s="2">
        <v>0.29199999999999998</v>
      </c>
      <c r="K54" s="2">
        <v>0.78400000000000003</v>
      </c>
      <c r="L54" s="2">
        <v>-3.7280000000000002</v>
      </c>
    </row>
    <row r="55" spans="1:12" x14ac:dyDescent="0.25">
      <c r="A55">
        <v>32</v>
      </c>
      <c r="B55">
        <v>1</v>
      </c>
      <c r="C55" s="3">
        <v>13205250</v>
      </c>
      <c r="D55" s="4">
        <v>22683756</v>
      </c>
      <c r="E55">
        <v>88</v>
      </c>
      <c r="F55" s="2">
        <v>0.66600000000000004</v>
      </c>
      <c r="G55" s="2">
        <v>0.79600000000000004</v>
      </c>
      <c r="H55" s="2">
        <v>0.10299999999999999</v>
      </c>
      <c r="I55" s="2">
        <v>4.9200000000000001E-2</v>
      </c>
      <c r="J55" s="2">
        <v>4.4200000000000003E-2</v>
      </c>
      <c r="K55" s="2">
        <v>0.61</v>
      </c>
      <c r="L55" s="2">
        <v>-6.9669999999999996</v>
      </c>
    </row>
    <row r="56" spans="1:12" x14ac:dyDescent="0.25">
      <c r="A56">
        <v>19</v>
      </c>
      <c r="B56">
        <v>4</v>
      </c>
      <c r="C56" s="3">
        <v>9799701</v>
      </c>
      <c r="D56" s="4">
        <v>3126961</v>
      </c>
      <c r="E56">
        <v>88</v>
      </c>
      <c r="F56" s="2">
        <v>0.627</v>
      </c>
      <c r="G56" s="2">
        <v>0.84899999999999998</v>
      </c>
      <c r="H56" s="2">
        <v>0.153</v>
      </c>
      <c r="I56" s="2">
        <v>9.1300000000000006E-2</v>
      </c>
      <c r="J56" s="2">
        <v>0.14499999999999999</v>
      </c>
      <c r="K56" s="2">
        <v>0.81799999999999995</v>
      </c>
      <c r="L56" s="2">
        <v>-3.1669999999999998</v>
      </c>
    </row>
    <row r="57" spans="1:12" x14ac:dyDescent="0.25">
      <c r="A57">
        <v>52</v>
      </c>
      <c r="B57">
        <v>4</v>
      </c>
      <c r="C57" s="3">
        <v>9781153</v>
      </c>
      <c r="D57" s="4">
        <v>45362</v>
      </c>
      <c r="E57">
        <v>88</v>
      </c>
      <c r="F57" s="2">
        <v>0.75</v>
      </c>
      <c r="G57" s="2">
        <v>0.52200000000000002</v>
      </c>
      <c r="H57" s="2">
        <v>2.93E-2</v>
      </c>
      <c r="I57" s="2">
        <v>0.28199999999999997</v>
      </c>
      <c r="J57" s="2">
        <v>7.4300000000000005E-2</v>
      </c>
      <c r="K57" s="2">
        <v>0.60099999999999998</v>
      </c>
      <c r="L57" s="2">
        <v>-7.0179999999999998</v>
      </c>
    </row>
    <row r="58" spans="1:12" x14ac:dyDescent="0.25">
      <c r="A58">
        <v>34</v>
      </c>
      <c r="B58">
        <v>21</v>
      </c>
      <c r="C58" s="3">
        <v>9048966</v>
      </c>
      <c r="D58" s="4">
        <v>32262679</v>
      </c>
      <c r="E58">
        <v>88</v>
      </c>
      <c r="F58" s="2">
        <v>0.71299999999999997</v>
      </c>
      <c r="G58" s="2">
        <v>0.67600000000000005</v>
      </c>
      <c r="H58" s="2">
        <v>2.7E-2</v>
      </c>
      <c r="I58" s="2">
        <v>3.7699999999999997E-2</v>
      </c>
      <c r="J58" s="2">
        <v>0.154</v>
      </c>
      <c r="K58" s="2">
        <v>0.72099999999999997</v>
      </c>
      <c r="L58" s="2">
        <v>-5.4829999999999997</v>
      </c>
    </row>
    <row r="59" spans="1:12" x14ac:dyDescent="0.25">
      <c r="A59">
        <v>31</v>
      </c>
      <c r="B59">
        <v>15</v>
      </c>
      <c r="C59" s="3">
        <v>9017356</v>
      </c>
      <c r="D59" s="4">
        <v>12169108</v>
      </c>
      <c r="E59">
        <v>88</v>
      </c>
      <c r="F59" s="2">
        <v>0.68200000000000005</v>
      </c>
      <c r="G59" s="2">
        <v>0.72</v>
      </c>
      <c r="H59" s="2">
        <v>3.8100000000000002E-2</v>
      </c>
      <c r="I59" s="2">
        <v>0.32600000000000001</v>
      </c>
      <c r="J59" s="2">
        <v>0.14799999999999999</v>
      </c>
      <c r="K59" s="2">
        <v>0.67300000000000004</v>
      </c>
      <c r="L59" s="2">
        <v>-8.173</v>
      </c>
    </row>
    <row r="60" spans="1:12" x14ac:dyDescent="0.25">
      <c r="A60">
        <v>46</v>
      </c>
      <c r="B60">
        <v>7</v>
      </c>
      <c r="C60" s="3">
        <v>8977336</v>
      </c>
      <c r="D60" s="4">
        <v>4787261</v>
      </c>
      <c r="E60">
        <v>88</v>
      </c>
      <c r="F60" s="2">
        <v>0.95</v>
      </c>
      <c r="G60" s="2">
        <v>0.69299999999999995</v>
      </c>
      <c r="H60" s="2">
        <v>8.9800000000000005E-2</v>
      </c>
      <c r="I60" s="2">
        <v>1.3299999999999999E-2</v>
      </c>
      <c r="J60" s="2">
        <v>0.17299999999999999</v>
      </c>
      <c r="K60" s="2">
        <v>0.89100000000000001</v>
      </c>
      <c r="L60" s="2">
        <v>-3.4239999999999999</v>
      </c>
    </row>
    <row r="61" spans="1:12" x14ac:dyDescent="0.25">
      <c r="A61">
        <v>26</v>
      </c>
      <c r="B61">
        <v>26</v>
      </c>
      <c r="C61" s="3">
        <v>8935418</v>
      </c>
      <c r="D61" s="4">
        <v>291777</v>
      </c>
      <c r="E61">
        <v>88</v>
      </c>
      <c r="F61" s="2">
        <v>0.66900000000000004</v>
      </c>
      <c r="G61" s="2">
        <v>0.78400000000000003</v>
      </c>
      <c r="H61" s="2">
        <v>0.112</v>
      </c>
      <c r="I61" s="2">
        <v>0.19400000000000001</v>
      </c>
      <c r="J61" s="2">
        <v>0.115</v>
      </c>
      <c r="K61" s="2">
        <v>0.51700000000000002</v>
      </c>
      <c r="L61" s="2">
        <v>-5.6029999999999998</v>
      </c>
    </row>
    <row r="62" spans="1:12" x14ac:dyDescent="0.25">
      <c r="A62">
        <v>2</v>
      </c>
      <c r="B62">
        <v>23</v>
      </c>
      <c r="C62" s="3">
        <v>7912399</v>
      </c>
      <c r="D62" s="4">
        <v>1999954</v>
      </c>
      <c r="E62">
        <v>88</v>
      </c>
      <c r="F62" s="2">
        <v>0.65300000000000002</v>
      </c>
      <c r="G62" s="2">
        <v>0.52400000000000002</v>
      </c>
      <c r="H62" s="2">
        <v>5.0200000000000002E-2</v>
      </c>
      <c r="I62" s="2">
        <v>0.112</v>
      </c>
      <c r="J62" s="2">
        <v>0.20300000000000001</v>
      </c>
      <c r="K62" s="2">
        <v>0.55300000000000005</v>
      </c>
      <c r="L62" s="2">
        <v>-9.016</v>
      </c>
    </row>
    <row r="63" spans="1:12" x14ac:dyDescent="0.25">
      <c r="A63">
        <v>7</v>
      </c>
      <c r="B63">
        <v>24</v>
      </c>
      <c r="C63" s="3">
        <v>7717211</v>
      </c>
      <c r="D63" s="4">
        <v>31488</v>
      </c>
      <c r="E63">
        <v>88</v>
      </c>
      <c r="F63" s="2">
        <v>0.84899999999999998</v>
      </c>
      <c r="G63" s="2">
        <v>0.70099999999999996</v>
      </c>
      <c r="H63" s="2">
        <v>0.06</v>
      </c>
      <c r="I63" s="2">
        <v>0.40699999999999997</v>
      </c>
      <c r="J63" s="2">
        <v>0.112</v>
      </c>
      <c r="K63" s="2">
        <v>0.505</v>
      </c>
      <c r="L63" s="2">
        <v>-4.407</v>
      </c>
    </row>
    <row r="64" spans="1:12" x14ac:dyDescent="0.25">
      <c r="A64">
        <v>31</v>
      </c>
      <c r="B64">
        <v>12</v>
      </c>
      <c r="C64" s="3">
        <v>9086979</v>
      </c>
      <c r="D64" s="4">
        <v>6080597</v>
      </c>
      <c r="E64">
        <v>87</v>
      </c>
      <c r="F64" s="2">
        <v>0.54</v>
      </c>
      <c r="G64" s="2">
        <v>0.45500000000000002</v>
      </c>
      <c r="H64" s="2">
        <v>0.224</v>
      </c>
      <c r="I64" s="2">
        <v>0.67500000000000004</v>
      </c>
      <c r="J64" s="2">
        <v>0.12</v>
      </c>
      <c r="K64" s="2">
        <v>0.432</v>
      </c>
      <c r="L64" s="2">
        <v>-5.9880000000000004</v>
      </c>
    </row>
    <row r="65" spans="1:12" x14ac:dyDescent="0.25">
      <c r="A65">
        <v>8</v>
      </c>
      <c r="B65">
        <v>24</v>
      </c>
      <c r="C65" s="3">
        <v>8832945</v>
      </c>
      <c r="D65" s="4">
        <v>1398563</v>
      </c>
      <c r="E65">
        <v>87</v>
      </c>
      <c r="F65" s="2">
        <v>0.44900000000000001</v>
      </c>
      <c r="G65" s="2">
        <v>0.46500000000000002</v>
      </c>
      <c r="H65" s="2">
        <v>7.9100000000000004E-2</v>
      </c>
      <c r="I65" s="2">
        <v>0.52400000000000002</v>
      </c>
      <c r="J65" s="2">
        <v>0.30299999999999999</v>
      </c>
      <c r="K65" s="2">
        <v>0.54300000000000004</v>
      </c>
      <c r="L65" s="2">
        <v>-8.9640000000000004</v>
      </c>
    </row>
    <row r="66" spans="1:12" x14ac:dyDescent="0.25">
      <c r="A66">
        <v>33</v>
      </c>
      <c r="B66">
        <v>7</v>
      </c>
      <c r="C66" s="3">
        <v>8564775</v>
      </c>
      <c r="D66" s="4">
        <v>116817</v>
      </c>
      <c r="E66">
        <v>87</v>
      </c>
      <c r="F66" s="2">
        <v>0.70799999999999996</v>
      </c>
      <c r="G66" s="2">
        <v>0.78200000000000003</v>
      </c>
      <c r="H66" s="2">
        <v>6.7400000000000002E-2</v>
      </c>
      <c r="I66" s="2">
        <v>7.7200000000000003E-3</v>
      </c>
      <c r="J66" s="2">
        <v>0.107</v>
      </c>
      <c r="K66" s="2">
        <v>0.48399999999999999</v>
      </c>
      <c r="L66" s="2">
        <v>-4.6870000000000003</v>
      </c>
    </row>
    <row r="67" spans="1:12" x14ac:dyDescent="0.25">
      <c r="A67">
        <v>35</v>
      </c>
      <c r="B67">
        <v>48</v>
      </c>
      <c r="C67" s="3">
        <v>8564017</v>
      </c>
      <c r="D67" s="4">
        <v>6662605</v>
      </c>
      <c r="E67">
        <v>87</v>
      </c>
      <c r="F67" s="2">
        <v>0.61199999999999999</v>
      </c>
      <c r="G67" s="2">
        <v>0.80700000000000005</v>
      </c>
      <c r="H67" s="2">
        <v>3.3599999999999998E-2</v>
      </c>
      <c r="I67" s="2">
        <v>4.9500000000000002E-2</v>
      </c>
      <c r="J67" s="2">
        <v>0.10100000000000001</v>
      </c>
      <c r="K67" s="2">
        <v>0.39800000000000002</v>
      </c>
      <c r="L67" s="2">
        <v>-2.81</v>
      </c>
    </row>
    <row r="68" spans="1:12" x14ac:dyDescent="0.25">
      <c r="A68">
        <v>69</v>
      </c>
      <c r="B68">
        <v>3</v>
      </c>
      <c r="C68" s="3">
        <v>8514480</v>
      </c>
      <c r="D68" s="4">
        <v>26769304</v>
      </c>
      <c r="E68">
        <v>87</v>
      </c>
      <c r="F68" s="2">
        <v>0.76200000000000001</v>
      </c>
      <c r="G68" s="2">
        <v>0.77</v>
      </c>
      <c r="H68" s="2">
        <v>0.223</v>
      </c>
      <c r="I68" s="2">
        <v>0.13800000000000001</v>
      </c>
      <c r="J68" s="2">
        <v>0.15</v>
      </c>
      <c r="K68" s="2">
        <v>0.63100000000000001</v>
      </c>
      <c r="L68" s="2">
        <v>-2.758</v>
      </c>
    </row>
    <row r="69" spans="1:12" x14ac:dyDescent="0.25">
      <c r="A69">
        <v>33</v>
      </c>
      <c r="B69">
        <v>18</v>
      </c>
      <c r="C69" s="3">
        <v>8102107</v>
      </c>
      <c r="D69" s="4">
        <v>17775316</v>
      </c>
      <c r="E69">
        <v>87</v>
      </c>
      <c r="F69" s="2">
        <v>0.63500000000000001</v>
      </c>
      <c r="G69" s="2">
        <v>0.70599999999999996</v>
      </c>
      <c r="H69" s="2">
        <v>0.125</v>
      </c>
      <c r="I69" s="2">
        <v>0.25600000000000001</v>
      </c>
      <c r="J69" s="2">
        <v>0.108</v>
      </c>
      <c r="K69" s="2">
        <v>0.443</v>
      </c>
      <c r="L69" s="2">
        <v>-3.2240000000000002</v>
      </c>
    </row>
    <row r="70" spans="1:12" x14ac:dyDescent="0.25">
      <c r="A70">
        <v>74</v>
      </c>
      <c r="B70">
        <v>8</v>
      </c>
      <c r="C70" s="3">
        <v>8093413</v>
      </c>
      <c r="D70" s="4">
        <v>2895789</v>
      </c>
      <c r="E70">
        <v>87</v>
      </c>
      <c r="F70" s="2">
        <v>0.77</v>
      </c>
      <c r="G70" s="2">
        <v>0.89900000000000002</v>
      </c>
      <c r="H70" s="2">
        <v>4.9399999999999999E-2</v>
      </c>
      <c r="I70" s="2">
        <v>0.222</v>
      </c>
      <c r="J70" s="2">
        <v>8.9399999999999993E-2</v>
      </c>
      <c r="K70" s="2">
        <v>0.85099999999999998</v>
      </c>
      <c r="L70" s="2">
        <v>-2.9809999999999999</v>
      </c>
    </row>
    <row r="71" spans="1:12" x14ac:dyDescent="0.25">
      <c r="A71">
        <v>75</v>
      </c>
      <c r="B71">
        <v>4</v>
      </c>
      <c r="C71" s="3">
        <v>8006336</v>
      </c>
      <c r="D71" s="4">
        <v>27116</v>
      </c>
      <c r="E71">
        <v>87</v>
      </c>
      <c r="F71" s="2">
        <v>0.72699999999999998</v>
      </c>
      <c r="G71" s="2">
        <v>0.68100000000000005</v>
      </c>
      <c r="H71" s="2">
        <v>2.6499999999999999E-2</v>
      </c>
      <c r="I71" s="2">
        <v>2.14E-3</v>
      </c>
      <c r="J71" s="2">
        <v>8.6099999999999996E-2</v>
      </c>
      <c r="K71" s="2">
        <v>0.44800000000000001</v>
      </c>
      <c r="L71" s="2">
        <v>-7.1139999999999999</v>
      </c>
    </row>
    <row r="72" spans="1:12" x14ac:dyDescent="0.25">
      <c r="A72">
        <v>9</v>
      </c>
      <c r="B72">
        <v>14</v>
      </c>
      <c r="C72" s="3">
        <v>7735223</v>
      </c>
      <c r="D72" s="4">
        <v>2043294</v>
      </c>
      <c r="E72">
        <v>87</v>
      </c>
      <c r="F72" s="2">
        <v>0.72699999999999998</v>
      </c>
      <c r="G72" s="2">
        <v>0.54600000000000004</v>
      </c>
      <c r="H72" s="2">
        <v>4.3700000000000003E-2</v>
      </c>
      <c r="I72" s="2">
        <v>0.65600000000000003</v>
      </c>
      <c r="J72" s="2">
        <v>0.122</v>
      </c>
      <c r="K72" s="2">
        <v>0.69</v>
      </c>
      <c r="L72" s="2">
        <v>-4.5720000000000001</v>
      </c>
    </row>
    <row r="73" spans="1:12" x14ac:dyDescent="0.25">
      <c r="A73">
        <v>7</v>
      </c>
      <c r="B73">
        <v>34</v>
      </c>
      <c r="C73" s="3">
        <v>7642130</v>
      </c>
      <c r="D73" s="4">
        <v>2230022</v>
      </c>
      <c r="E73">
        <v>87</v>
      </c>
      <c r="F73" s="2">
        <v>0.66200000000000003</v>
      </c>
      <c r="G73" s="2">
        <v>0.41299999999999998</v>
      </c>
      <c r="H73" s="2">
        <v>2.9899999999999999E-2</v>
      </c>
      <c r="I73" s="2">
        <v>0.21299999999999999</v>
      </c>
      <c r="J73" s="2">
        <v>0.13400000000000001</v>
      </c>
      <c r="K73" s="2">
        <v>0.46700000000000003</v>
      </c>
      <c r="L73" s="2">
        <v>-7.3570000000000002</v>
      </c>
    </row>
    <row r="74" spans="1:12" x14ac:dyDescent="0.25">
      <c r="A74">
        <v>6</v>
      </c>
      <c r="B74">
        <v>21</v>
      </c>
      <c r="C74" s="3">
        <v>7637626</v>
      </c>
      <c r="D74" s="4">
        <v>56308172</v>
      </c>
      <c r="E74">
        <v>87</v>
      </c>
      <c r="F74" s="2">
        <v>0.57799999999999996</v>
      </c>
      <c r="G74" s="2">
        <v>0.44900000000000001</v>
      </c>
      <c r="H74" s="2">
        <v>0.28599999999999998</v>
      </c>
      <c r="I74" s="2">
        <v>6.1800000000000001E-2</v>
      </c>
      <c r="J74" s="2">
        <v>0.11899999999999999</v>
      </c>
      <c r="K74" s="2">
        <v>0.1</v>
      </c>
      <c r="L74" s="2">
        <v>-6.3490000000000002</v>
      </c>
    </row>
    <row r="75" spans="1:12" x14ac:dyDescent="0.25">
      <c r="A75">
        <v>32</v>
      </c>
      <c r="B75">
        <v>28</v>
      </c>
      <c r="C75" s="3">
        <v>7452633</v>
      </c>
      <c r="D75" s="4">
        <v>17719446</v>
      </c>
      <c r="E75">
        <v>87</v>
      </c>
      <c r="F75" s="2">
        <v>0.84099999999999997</v>
      </c>
      <c r="G75" s="2">
        <v>0.59299999999999997</v>
      </c>
      <c r="H75" s="2">
        <v>3.7900000000000003E-2</v>
      </c>
      <c r="I75" s="2">
        <v>0.41799999999999998</v>
      </c>
      <c r="J75" s="2">
        <v>0.124</v>
      </c>
      <c r="K75" s="2">
        <v>0.80800000000000005</v>
      </c>
      <c r="L75" s="2">
        <v>-7.8460000000000001</v>
      </c>
    </row>
    <row r="76" spans="1:12" x14ac:dyDescent="0.25">
      <c r="A76">
        <v>11</v>
      </c>
      <c r="B76">
        <v>55</v>
      </c>
      <c r="C76" s="3">
        <v>7434252</v>
      </c>
      <c r="D76" s="4">
        <v>207547</v>
      </c>
      <c r="E76">
        <v>87</v>
      </c>
      <c r="F76" s="2">
        <v>0.73399999999999999</v>
      </c>
      <c r="G76" s="2">
        <v>0.874</v>
      </c>
      <c r="H76" s="2">
        <v>6.6199999999999995E-2</v>
      </c>
      <c r="I76" s="2">
        <v>0.16800000000000001</v>
      </c>
      <c r="J76" s="2">
        <v>4.8899999999999999E-2</v>
      </c>
      <c r="K76" s="2">
        <v>0.90500000000000003</v>
      </c>
      <c r="L76" s="2">
        <v>-3.1579999999999999</v>
      </c>
    </row>
    <row r="77" spans="1:12" x14ac:dyDescent="0.25">
      <c r="A77">
        <v>42</v>
      </c>
      <c r="B77">
        <v>20</v>
      </c>
      <c r="C77" s="3">
        <v>7383369</v>
      </c>
      <c r="D77" s="4">
        <v>207547</v>
      </c>
      <c r="E77">
        <v>87</v>
      </c>
      <c r="F77" s="2">
        <v>0.67100000000000004</v>
      </c>
      <c r="G77" s="2">
        <v>0.78200000000000003</v>
      </c>
      <c r="H77" s="2">
        <v>3.4099999999999998E-2</v>
      </c>
      <c r="I77" s="2">
        <v>1.4200000000000001E-2</v>
      </c>
      <c r="J77" s="2">
        <v>0.33300000000000002</v>
      </c>
      <c r="K77" s="2">
        <v>0.61799999999999999</v>
      </c>
      <c r="L77" s="2">
        <v>-4.593</v>
      </c>
    </row>
    <row r="78" spans="1:12" x14ac:dyDescent="0.25">
      <c r="A78">
        <v>78</v>
      </c>
      <c r="B78">
        <v>8</v>
      </c>
      <c r="C78" s="3">
        <v>7381585</v>
      </c>
      <c r="D78" s="4">
        <v>18228</v>
      </c>
      <c r="E78">
        <v>87</v>
      </c>
      <c r="F78" s="2">
        <v>0.86199999999999999</v>
      </c>
      <c r="G78" s="2">
        <v>0.753</v>
      </c>
      <c r="H78" s="2">
        <v>6.25E-2</v>
      </c>
      <c r="I78" s="2">
        <v>0.13100000000000001</v>
      </c>
      <c r="J78" s="2">
        <v>7.6999999999999999E-2</v>
      </c>
      <c r="K78" s="2">
        <v>0.82699999999999996</v>
      </c>
      <c r="L78" s="2">
        <v>-5.3559999999999999</v>
      </c>
    </row>
    <row r="79" spans="1:12" x14ac:dyDescent="0.25">
      <c r="A79">
        <v>55</v>
      </c>
      <c r="B79">
        <v>13</v>
      </c>
      <c r="C79" s="3">
        <v>7336542</v>
      </c>
      <c r="D79" s="4">
        <v>151486</v>
      </c>
      <c r="E79">
        <v>87</v>
      </c>
      <c r="F79" s="2">
        <v>0.81799999999999995</v>
      </c>
      <c r="G79" s="2">
        <v>0.67300000000000004</v>
      </c>
      <c r="H79" s="2">
        <v>0.14799999999999999</v>
      </c>
      <c r="I79" s="2">
        <v>0.34799999999999998</v>
      </c>
      <c r="J79" s="2">
        <v>0.17199999999999999</v>
      </c>
      <c r="K79" s="2">
        <v>0.69499999999999995</v>
      </c>
      <c r="L79" s="2">
        <v>-7.5419999999999998</v>
      </c>
    </row>
    <row r="80" spans="1:12" x14ac:dyDescent="0.25">
      <c r="A80">
        <v>6</v>
      </c>
      <c r="B80">
        <v>84</v>
      </c>
      <c r="C80" s="3">
        <v>7156162</v>
      </c>
      <c r="D80" s="4">
        <v>33651775</v>
      </c>
      <c r="E80">
        <v>87</v>
      </c>
      <c r="F80" s="2">
        <v>0.69499999999999995</v>
      </c>
      <c r="G80" s="2">
        <v>0.76200000000000001</v>
      </c>
      <c r="H80" s="2">
        <v>3.95E-2</v>
      </c>
      <c r="I80" s="2">
        <v>0.192</v>
      </c>
      <c r="J80" s="2">
        <v>8.6300000000000002E-2</v>
      </c>
      <c r="K80" s="2">
        <v>0.55300000000000005</v>
      </c>
      <c r="L80" s="2">
        <v>-3.4969999999999999</v>
      </c>
    </row>
    <row r="81" spans="1:12" x14ac:dyDescent="0.25">
      <c r="A81">
        <v>13</v>
      </c>
      <c r="B81">
        <v>83</v>
      </c>
      <c r="C81" s="3">
        <v>5691540</v>
      </c>
      <c r="D81" s="4">
        <v>17719446</v>
      </c>
      <c r="E81">
        <v>87</v>
      </c>
      <c r="F81" s="2">
        <v>0.84099999999999997</v>
      </c>
      <c r="G81" s="2">
        <v>0.59299999999999997</v>
      </c>
      <c r="H81" s="2">
        <v>3.7900000000000003E-2</v>
      </c>
      <c r="I81" s="2">
        <v>0.41799999999999998</v>
      </c>
      <c r="J81" s="2">
        <v>0.124</v>
      </c>
      <c r="K81" s="2">
        <v>0.80800000000000005</v>
      </c>
      <c r="L81" s="2">
        <v>-7.8460000000000001</v>
      </c>
    </row>
    <row r="82" spans="1:12" x14ac:dyDescent="0.25">
      <c r="A82">
        <v>33</v>
      </c>
      <c r="B82">
        <v>24</v>
      </c>
      <c r="C82" s="3">
        <v>5496962</v>
      </c>
      <c r="D82" s="4">
        <v>17719446</v>
      </c>
      <c r="E82">
        <v>87</v>
      </c>
      <c r="F82" s="2">
        <v>0.84099999999999997</v>
      </c>
      <c r="G82" s="2">
        <v>0.59299999999999997</v>
      </c>
      <c r="H82" s="2">
        <v>3.7900000000000003E-2</v>
      </c>
      <c r="I82" s="2">
        <v>0.41799999999999998</v>
      </c>
      <c r="J82" s="2">
        <v>0.124</v>
      </c>
      <c r="K82" s="2">
        <v>0.80800000000000005</v>
      </c>
      <c r="L82" s="2">
        <v>-7.8460000000000001</v>
      </c>
    </row>
    <row r="83" spans="1:12" x14ac:dyDescent="0.25">
      <c r="A83">
        <v>1</v>
      </c>
      <c r="B83">
        <v>39</v>
      </c>
      <c r="C83" s="3">
        <v>11524288</v>
      </c>
      <c r="D83" s="4">
        <v>36142273</v>
      </c>
      <c r="E83">
        <v>86</v>
      </c>
      <c r="F83" s="2">
        <v>0.73099999999999998</v>
      </c>
      <c r="G83" s="2">
        <v>0.57299999999999995</v>
      </c>
      <c r="H83" s="2">
        <v>5.4399999999999997E-2</v>
      </c>
      <c r="I83" s="2">
        <v>0.40100000000000002</v>
      </c>
      <c r="J83" s="2">
        <v>0.113</v>
      </c>
      <c r="K83" s="2">
        <v>0.14499999999999999</v>
      </c>
      <c r="L83" s="2">
        <v>-10.058999999999999</v>
      </c>
    </row>
    <row r="84" spans="1:12" x14ac:dyDescent="0.25">
      <c r="A84">
        <v>12</v>
      </c>
      <c r="B84">
        <v>83</v>
      </c>
      <c r="C84" s="3">
        <v>8490162</v>
      </c>
      <c r="D84" s="4">
        <v>8384096</v>
      </c>
      <c r="E84">
        <v>86</v>
      </c>
      <c r="F84" s="2">
        <v>0.501</v>
      </c>
      <c r="G84" s="2">
        <v>0.40500000000000003</v>
      </c>
      <c r="H84" s="2">
        <v>3.1899999999999998E-2</v>
      </c>
      <c r="I84" s="2">
        <v>0.751</v>
      </c>
      <c r="J84" s="2">
        <v>0.105</v>
      </c>
      <c r="K84" s="2">
        <v>0.44600000000000001</v>
      </c>
      <c r="L84" s="2">
        <v>-5.6790000000000003</v>
      </c>
    </row>
    <row r="85" spans="1:12" x14ac:dyDescent="0.25">
      <c r="A85">
        <v>12</v>
      </c>
      <c r="B85">
        <v>11</v>
      </c>
      <c r="C85" s="3">
        <v>7975148</v>
      </c>
      <c r="D85" s="4">
        <v>3377762</v>
      </c>
      <c r="E85">
        <v>86</v>
      </c>
      <c r="F85" s="2">
        <v>0.625</v>
      </c>
      <c r="G85" s="2">
        <v>0.93899999999999995</v>
      </c>
      <c r="H85" s="2">
        <v>6.6900000000000001E-2</v>
      </c>
      <c r="I85" s="2">
        <v>1.3799999999999999E-3</v>
      </c>
      <c r="J85" s="2">
        <v>0.42399999999999999</v>
      </c>
      <c r="K85" s="2">
        <v>0.64400000000000002</v>
      </c>
      <c r="L85" s="2">
        <v>-3.1150000000000002</v>
      </c>
    </row>
    <row r="86" spans="1:12" x14ac:dyDescent="0.25">
      <c r="A86">
        <v>1</v>
      </c>
      <c r="B86">
        <v>40</v>
      </c>
      <c r="C86" s="3">
        <v>7244853</v>
      </c>
      <c r="D86" s="4">
        <v>67158068</v>
      </c>
      <c r="E86">
        <v>86</v>
      </c>
      <c r="F86" s="2">
        <v>0.73699999999999999</v>
      </c>
      <c r="G86" s="2">
        <v>0.80200000000000005</v>
      </c>
      <c r="H86" s="2">
        <v>8.7800000000000003E-2</v>
      </c>
      <c r="I86" s="2">
        <v>0.46800000000000003</v>
      </c>
      <c r="J86" s="2">
        <v>9.3100000000000002E-2</v>
      </c>
      <c r="K86" s="2">
        <v>0.68200000000000005</v>
      </c>
      <c r="L86" s="2">
        <v>-4.7709999999999999</v>
      </c>
    </row>
    <row r="87" spans="1:12" x14ac:dyDescent="0.25">
      <c r="A87">
        <v>75</v>
      </c>
      <c r="B87">
        <v>10</v>
      </c>
      <c r="C87" s="3">
        <v>7064003</v>
      </c>
      <c r="D87" s="4">
        <v>6341942</v>
      </c>
      <c r="E87">
        <v>86</v>
      </c>
      <c r="F87" s="2">
        <v>0.90800000000000003</v>
      </c>
      <c r="G87" s="2">
        <v>0.81299999999999994</v>
      </c>
      <c r="H87" s="2">
        <v>7.7700000000000005E-2</v>
      </c>
      <c r="I87" s="2">
        <v>0.30499999999999999</v>
      </c>
      <c r="J87" s="2">
        <v>0.27800000000000002</v>
      </c>
      <c r="K87" s="2">
        <v>0.92400000000000004</v>
      </c>
      <c r="L87" s="2">
        <v>-2.7490000000000001</v>
      </c>
    </row>
    <row r="88" spans="1:12" x14ac:dyDescent="0.25">
      <c r="A88">
        <v>97</v>
      </c>
      <c r="B88">
        <v>3</v>
      </c>
      <c r="C88" s="3">
        <v>6858466</v>
      </c>
      <c r="D88" s="4">
        <v>8640063</v>
      </c>
      <c r="E88">
        <v>86</v>
      </c>
      <c r="F88" s="2">
        <v>0.82399999999999995</v>
      </c>
      <c r="G88" s="2">
        <v>0.76400000000000001</v>
      </c>
      <c r="H88" s="2">
        <v>8.5400000000000004E-2</v>
      </c>
      <c r="I88" s="2">
        <v>8.8800000000000004E-2</v>
      </c>
      <c r="J88" s="2">
        <v>0.11700000000000001</v>
      </c>
      <c r="K88" s="2">
        <v>0.88100000000000001</v>
      </c>
      <c r="L88" s="2">
        <v>-4.1749999999999998</v>
      </c>
    </row>
    <row r="89" spans="1:12" x14ac:dyDescent="0.25">
      <c r="A89">
        <v>85</v>
      </c>
      <c r="B89">
        <v>5</v>
      </c>
      <c r="C89" s="3">
        <v>6711375</v>
      </c>
      <c r="D89" s="4">
        <v>3363988</v>
      </c>
      <c r="E89">
        <v>86</v>
      </c>
      <c r="F89" s="2">
        <v>0.38600000000000001</v>
      </c>
      <c r="G89" s="2">
        <v>0.42599999999999999</v>
      </c>
      <c r="H89" s="2">
        <v>3.6299999999999999E-2</v>
      </c>
      <c r="I89" s="2">
        <v>0.80700000000000005</v>
      </c>
      <c r="J89" s="2">
        <v>0.14000000000000001</v>
      </c>
      <c r="K89" s="2">
        <v>0.26100000000000001</v>
      </c>
      <c r="L89" s="2">
        <v>-6.6420000000000003</v>
      </c>
    </row>
    <row r="90" spans="1:12" x14ac:dyDescent="0.25">
      <c r="A90">
        <v>88</v>
      </c>
      <c r="B90">
        <v>83</v>
      </c>
      <c r="C90" s="3">
        <v>6699895</v>
      </c>
      <c r="D90" s="4">
        <v>35285425</v>
      </c>
      <c r="E90">
        <v>86</v>
      </c>
      <c r="F90" s="2">
        <v>0.77600000000000002</v>
      </c>
      <c r="G90" s="2">
        <v>0.78</v>
      </c>
      <c r="H90" s="2">
        <v>0.128</v>
      </c>
      <c r="I90" s="2">
        <v>6.2199999999999998E-2</v>
      </c>
      <c r="J90" s="2">
        <v>8.1000000000000003E-2</v>
      </c>
      <c r="K90" s="2">
        <v>0.66600000000000004</v>
      </c>
      <c r="L90" s="2">
        <v>-4.3739999999999997</v>
      </c>
    </row>
    <row r="91" spans="1:12" x14ac:dyDescent="0.25">
      <c r="A91">
        <v>59</v>
      </c>
      <c r="B91">
        <v>11</v>
      </c>
      <c r="C91" s="3">
        <v>6635076</v>
      </c>
      <c r="D91" s="4">
        <v>8758283</v>
      </c>
      <c r="E91">
        <v>86</v>
      </c>
      <c r="F91" s="2">
        <v>0.78600000000000003</v>
      </c>
      <c r="G91" s="2">
        <v>0.89900000000000002</v>
      </c>
      <c r="H91" s="2">
        <v>0.127</v>
      </c>
      <c r="I91" s="2">
        <v>0.192</v>
      </c>
      <c r="J91" s="2">
        <v>0.29899999999999999</v>
      </c>
      <c r="K91" s="2">
        <v>0.81299999999999994</v>
      </c>
      <c r="L91" s="2">
        <v>-0.51500000000000001</v>
      </c>
    </row>
    <row r="92" spans="1:12" x14ac:dyDescent="0.25">
      <c r="A92">
        <v>109</v>
      </c>
      <c r="B92">
        <v>3</v>
      </c>
      <c r="C92" s="3">
        <v>6614072</v>
      </c>
      <c r="D92" s="4">
        <v>10356559</v>
      </c>
      <c r="E92">
        <v>86</v>
      </c>
      <c r="F92" s="2">
        <v>0.93</v>
      </c>
      <c r="G92" s="2">
        <v>0.83699999999999997</v>
      </c>
      <c r="H92" s="2">
        <v>0.187</v>
      </c>
      <c r="I92" s="2">
        <v>0.25600000000000001</v>
      </c>
      <c r="J92" s="2">
        <v>0.23899999999999999</v>
      </c>
      <c r="K92" s="2">
        <v>0.82099999999999995</v>
      </c>
      <c r="L92" s="2">
        <v>-4.6319999999999997</v>
      </c>
    </row>
    <row r="93" spans="1:12" x14ac:dyDescent="0.25">
      <c r="A93">
        <v>110</v>
      </c>
      <c r="B93">
        <v>1</v>
      </c>
      <c r="C93" s="3">
        <v>6584896</v>
      </c>
      <c r="D93" s="4">
        <v>56699</v>
      </c>
      <c r="E93">
        <v>86</v>
      </c>
      <c r="F93" s="2">
        <v>0.56999999999999995</v>
      </c>
      <c r="G93" s="2">
        <v>0.45500000000000002</v>
      </c>
      <c r="H93" s="2">
        <v>9.9599999999999994E-2</v>
      </c>
      <c r="I93" s="2">
        <v>0.441</v>
      </c>
      <c r="J93" s="2">
        <v>6.54E-2</v>
      </c>
      <c r="K93" s="2">
        <v>0.39900000000000002</v>
      </c>
      <c r="L93" s="2">
        <v>-5.7480000000000002</v>
      </c>
    </row>
    <row r="94" spans="1:12" x14ac:dyDescent="0.25">
      <c r="A94">
        <v>46</v>
      </c>
      <c r="B94">
        <v>83</v>
      </c>
      <c r="C94" s="3">
        <v>6569547</v>
      </c>
      <c r="D94" s="4">
        <v>47014200</v>
      </c>
      <c r="E94">
        <v>86</v>
      </c>
      <c r="F94" s="2">
        <v>0.35099999999999998</v>
      </c>
      <c r="G94" s="2">
        <v>0.29599999999999999</v>
      </c>
      <c r="H94" s="2">
        <v>3.3300000000000003E-2</v>
      </c>
      <c r="I94" s="2">
        <v>0.93400000000000005</v>
      </c>
      <c r="J94" s="2">
        <v>9.5000000000000001E-2</v>
      </c>
      <c r="K94" s="2">
        <v>0.12</v>
      </c>
      <c r="L94" s="2">
        <v>-10.109</v>
      </c>
    </row>
    <row r="95" spans="1:12" x14ac:dyDescent="0.25">
      <c r="A95">
        <v>113</v>
      </c>
      <c r="B95">
        <v>3</v>
      </c>
      <c r="C95" s="3">
        <v>6539852</v>
      </c>
      <c r="D95" s="4">
        <v>73211</v>
      </c>
      <c r="E95">
        <v>86</v>
      </c>
      <c r="F95" s="2">
        <v>0.66300000000000003</v>
      </c>
      <c r="G95" s="2">
        <v>0.434</v>
      </c>
      <c r="H95" s="2">
        <v>6.4799999999999996E-2</v>
      </c>
      <c r="I95" s="2">
        <v>0.82799999999999996</v>
      </c>
      <c r="J95" s="2">
        <v>0.249</v>
      </c>
      <c r="K95" s="2">
        <v>0.22500000000000001</v>
      </c>
      <c r="L95" s="2">
        <v>-11.177</v>
      </c>
    </row>
    <row r="96" spans="1:12" x14ac:dyDescent="0.25">
      <c r="A96">
        <v>9</v>
      </c>
      <c r="B96">
        <v>29</v>
      </c>
      <c r="C96" s="3">
        <v>6502302</v>
      </c>
      <c r="D96" s="4">
        <v>8640063</v>
      </c>
      <c r="E96">
        <v>86</v>
      </c>
      <c r="F96" s="2">
        <v>0.749</v>
      </c>
      <c r="G96" s="2">
        <v>0.46300000000000002</v>
      </c>
      <c r="H96" s="2">
        <v>8.4199999999999997E-2</v>
      </c>
      <c r="I96" s="2">
        <v>0.21</v>
      </c>
      <c r="J96" s="2">
        <v>0.33800000000000002</v>
      </c>
      <c r="K96" s="2">
        <v>0.189</v>
      </c>
      <c r="L96" s="2">
        <v>-8.4329999999999998</v>
      </c>
    </row>
    <row r="97" spans="1:12" x14ac:dyDescent="0.25">
      <c r="A97">
        <v>99</v>
      </c>
      <c r="B97">
        <v>83</v>
      </c>
      <c r="C97" s="3">
        <v>6278765</v>
      </c>
      <c r="D97" s="4">
        <v>83293380</v>
      </c>
      <c r="E97">
        <v>86</v>
      </c>
      <c r="F97" s="2">
        <v>0.59899999999999998</v>
      </c>
      <c r="G97" s="2">
        <v>0.44800000000000001</v>
      </c>
      <c r="H97" s="2">
        <v>2.3199999999999998E-2</v>
      </c>
      <c r="I97" s="2">
        <v>0.16300000000000001</v>
      </c>
      <c r="J97" s="2">
        <v>0.106</v>
      </c>
      <c r="K97" s="2">
        <v>0.16800000000000001</v>
      </c>
      <c r="L97" s="2">
        <v>-6.3120000000000003</v>
      </c>
    </row>
    <row r="98" spans="1:12" x14ac:dyDescent="0.25">
      <c r="A98">
        <v>2</v>
      </c>
      <c r="B98">
        <v>35</v>
      </c>
      <c r="C98" s="3">
        <v>6242863</v>
      </c>
      <c r="D98" s="4">
        <v>36142273</v>
      </c>
      <c r="E98">
        <v>86</v>
      </c>
      <c r="F98" s="2">
        <v>0.85599999999999998</v>
      </c>
      <c r="G98" s="2">
        <v>0.61799999999999999</v>
      </c>
      <c r="H98" s="2">
        <v>0.28599999999999998</v>
      </c>
      <c r="I98" s="2">
        <v>3.0300000000000001E-2</v>
      </c>
      <c r="J98" s="2">
        <v>8.6599999999999996E-2</v>
      </c>
      <c r="K98" s="2">
        <v>0.39100000000000001</v>
      </c>
      <c r="L98" s="2">
        <v>-4.8920000000000003</v>
      </c>
    </row>
    <row r="99" spans="1:12" x14ac:dyDescent="0.25">
      <c r="A99">
        <v>1</v>
      </c>
      <c r="B99">
        <v>67</v>
      </c>
      <c r="C99" s="3">
        <v>6180056</v>
      </c>
      <c r="D99" s="4">
        <v>7593046</v>
      </c>
      <c r="E99">
        <v>86</v>
      </c>
      <c r="F99" s="2">
        <v>0.746</v>
      </c>
      <c r="G99" s="2">
        <v>0.69</v>
      </c>
      <c r="H99" s="2">
        <v>0.16400000000000001</v>
      </c>
      <c r="I99" s="2">
        <v>0.247</v>
      </c>
      <c r="J99" s="2">
        <v>0.10100000000000001</v>
      </c>
      <c r="K99" s="2">
        <v>0.497</v>
      </c>
      <c r="L99" s="2">
        <v>-7.9560000000000004</v>
      </c>
    </row>
    <row r="100" spans="1:12" x14ac:dyDescent="0.25">
      <c r="A100">
        <v>12</v>
      </c>
      <c r="B100">
        <v>53</v>
      </c>
      <c r="C100" s="3">
        <v>6164795</v>
      </c>
      <c r="D100" s="4">
        <v>3794081</v>
      </c>
      <c r="E100">
        <v>86</v>
      </c>
      <c r="F100" s="2">
        <v>0.35699999999999998</v>
      </c>
      <c r="G100" s="2">
        <v>0.42499999999999999</v>
      </c>
      <c r="H100" s="2">
        <v>3.3300000000000003E-2</v>
      </c>
      <c r="I100" s="2">
        <v>0.58399999999999996</v>
      </c>
      <c r="J100" s="2">
        <v>0.32200000000000001</v>
      </c>
      <c r="K100" s="2">
        <v>0.27</v>
      </c>
      <c r="L100" s="2">
        <v>-7.3010000000000002</v>
      </c>
    </row>
    <row r="101" spans="1:12" x14ac:dyDescent="0.25">
      <c r="A101">
        <v>13</v>
      </c>
      <c r="B101">
        <v>55</v>
      </c>
      <c r="C101" s="3">
        <v>6152121</v>
      </c>
      <c r="D101" s="4">
        <v>1647262</v>
      </c>
      <c r="E101">
        <v>86</v>
      </c>
      <c r="F101" s="2">
        <v>0.66700000000000004</v>
      </c>
      <c r="G101" s="2">
        <v>0.373</v>
      </c>
      <c r="H101" s="2">
        <v>0.05</v>
      </c>
      <c r="I101" s="2">
        <v>0.78500000000000003</v>
      </c>
      <c r="J101" s="2">
        <v>9.06E-2</v>
      </c>
      <c r="K101" s="2">
        <v>8.2299999999999998E-2</v>
      </c>
      <c r="L101" s="2">
        <v>-9.3889999999999993</v>
      </c>
    </row>
    <row r="102" spans="1:12" x14ac:dyDescent="0.25">
      <c r="A102">
        <v>11</v>
      </c>
      <c r="B102">
        <v>10</v>
      </c>
      <c r="C102" s="3">
        <v>6040918</v>
      </c>
      <c r="D102" s="4">
        <v>6266514</v>
      </c>
      <c r="E102">
        <v>86</v>
      </c>
      <c r="F102" s="2">
        <v>0.63800000000000001</v>
      </c>
      <c r="G102" s="2">
        <v>0.25900000000000001</v>
      </c>
      <c r="H102" s="2">
        <v>8.9800000000000005E-2</v>
      </c>
      <c r="I102" s="2">
        <v>0.753</v>
      </c>
      <c r="J102" s="2">
        <v>0.219</v>
      </c>
      <c r="K102" s="2">
        <v>0.26900000000000002</v>
      </c>
      <c r="L102" s="2">
        <v>-10.706</v>
      </c>
    </row>
    <row r="103" spans="1:12" x14ac:dyDescent="0.25">
      <c r="A103">
        <v>24</v>
      </c>
      <c r="B103">
        <v>31</v>
      </c>
      <c r="C103" s="3">
        <v>15089184</v>
      </c>
      <c r="D103" s="4">
        <v>1890510</v>
      </c>
      <c r="E103">
        <v>85</v>
      </c>
      <c r="F103" s="2">
        <v>0.76100000000000001</v>
      </c>
      <c r="G103" s="2">
        <v>0.52500000000000002</v>
      </c>
      <c r="H103" s="2">
        <v>9.4399999999999998E-2</v>
      </c>
      <c r="I103" s="2">
        <v>0.44</v>
      </c>
      <c r="J103" s="2">
        <v>9.2100000000000001E-2</v>
      </c>
      <c r="K103" s="2">
        <v>0.53100000000000003</v>
      </c>
      <c r="L103" s="2">
        <v>-6.9</v>
      </c>
    </row>
    <row r="104" spans="1:12" x14ac:dyDescent="0.25">
      <c r="A104">
        <v>72</v>
      </c>
      <c r="B104">
        <v>2</v>
      </c>
      <c r="C104" s="3">
        <v>8133401</v>
      </c>
      <c r="D104" s="4">
        <v>408696</v>
      </c>
      <c r="E104">
        <v>85</v>
      </c>
      <c r="F104" s="2">
        <v>0.82899999999999996</v>
      </c>
      <c r="G104" s="2">
        <v>0.51200000000000001</v>
      </c>
      <c r="H104" s="2">
        <v>0.187</v>
      </c>
      <c r="I104" s="2">
        <v>0.49199999999999999</v>
      </c>
      <c r="J104" s="2">
        <v>0.12</v>
      </c>
      <c r="K104" s="2">
        <v>0.63800000000000001</v>
      </c>
      <c r="L104" s="2">
        <v>-5.8650000000000002</v>
      </c>
    </row>
    <row r="105" spans="1:12" x14ac:dyDescent="0.25">
      <c r="A105">
        <v>60</v>
      </c>
      <c r="B105">
        <v>8</v>
      </c>
      <c r="C105" s="3">
        <v>6853994</v>
      </c>
      <c r="D105" s="4">
        <v>1521837</v>
      </c>
      <c r="E105">
        <v>85</v>
      </c>
      <c r="F105" s="2">
        <v>0.39</v>
      </c>
      <c r="G105" s="2">
        <v>0.83</v>
      </c>
      <c r="H105" s="2">
        <v>5.6300000000000003E-2</v>
      </c>
      <c r="I105" s="2">
        <v>2.0999999999999999E-3</v>
      </c>
      <c r="J105" s="2">
        <v>0.156</v>
      </c>
      <c r="K105" s="2">
        <v>0.191</v>
      </c>
      <c r="L105" s="2">
        <v>-5.2009999999999996</v>
      </c>
    </row>
    <row r="106" spans="1:12" x14ac:dyDescent="0.25">
      <c r="A106">
        <v>103</v>
      </c>
      <c r="B106">
        <v>5</v>
      </c>
      <c r="C106" s="3">
        <v>6709106</v>
      </c>
      <c r="D106" s="4">
        <v>16074</v>
      </c>
      <c r="E106">
        <v>85</v>
      </c>
      <c r="F106" s="2">
        <v>0.76900000000000002</v>
      </c>
      <c r="G106" s="2">
        <v>0.81200000000000006</v>
      </c>
      <c r="H106" s="2">
        <v>8.2500000000000004E-2</v>
      </c>
      <c r="I106" s="2">
        <v>0.28100000000000003</v>
      </c>
      <c r="J106" s="2">
        <v>7.8100000000000003E-2</v>
      </c>
      <c r="K106" s="2">
        <v>0.92600000000000005</v>
      </c>
      <c r="L106" s="2">
        <v>-2.0880000000000001</v>
      </c>
    </row>
    <row r="107" spans="1:12" x14ac:dyDescent="0.25">
      <c r="A107">
        <v>80</v>
      </c>
      <c r="B107">
        <v>8</v>
      </c>
      <c r="C107" s="3">
        <v>6488622</v>
      </c>
      <c r="D107" s="4">
        <v>21942793</v>
      </c>
      <c r="E107">
        <v>85</v>
      </c>
      <c r="F107" s="2">
        <v>0.73299999999999998</v>
      </c>
      <c r="G107" s="2">
        <v>0.96</v>
      </c>
      <c r="H107" s="2">
        <v>2.9499999999999998E-2</v>
      </c>
      <c r="I107" s="2">
        <v>5.1400000000000001E-2</v>
      </c>
      <c r="J107" s="2">
        <v>0.28699999999999998</v>
      </c>
      <c r="K107" s="2">
        <v>0.81100000000000005</v>
      </c>
      <c r="L107" s="2">
        <v>-3.597</v>
      </c>
    </row>
    <row r="108" spans="1:12" x14ac:dyDescent="0.25">
      <c r="A108">
        <v>116</v>
      </c>
      <c r="B108">
        <v>3</v>
      </c>
      <c r="C108" s="3">
        <v>6469500</v>
      </c>
      <c r="D108" s="4">
        <v>5420471</v>
      </c>
      <c r="E108">
        <v>85</v>
      </c>
      <c r="F108" s="2">
        <v>0.52600000000000002</v>
      </c>
      <c r="G108" s="2">
        <v>0.73099999999999998</v>
      </c>
      <c r="H108" s="2">
        <v>8.8700000000000001E-2</v>
      </c>
      <c r="I108" s="2">
        <v>0.18</v>
      </c>
      <c r="J108" s="2">
        <v>8.9099999999999999E-2</v>
      </c>
      <c r="K108" s="2">
        <v>0.47599999999999998</v>
      </c>
      <c r="L108" s="2">
        <v>-4.6619999999999999</v>
      </c>
    </row>
    <row r="109" spans="1:12" x14ac:dyDescent="0.25">
      <c r="A109">
        <v>80</v>
      </c>
      <c r="B109">
        <v>80</v>
      </c>
      <c r="C109" s="3">
        <v>6452492</v>
      </c>
      <c r="D109" s="4">
        <v>83293380</v>
      </c>
      <c r="E109">
        <v>85</v>
      </c>
      <c r="F109" s="2">
        <v>0.82499999999999996</v>
      </c>
      <c r="G109" s="2">
        <v>0.65200000000000002</v>
      </c>
      <c r="H109" s="2">
        <v>8.0199999999999994E-2</v>
      </c>
      <c r="I109" s="2">
        <v>0.58099999999999996</v>
      </c>
      <c r="J109" s="2">
        <v>9.3100000000000002E-2</v>
      </c>
      <c r="K109" s="2">
        <v>0.93100000000000005</v>
      </c>
      <c r="L109" s="2">
        <v>-3.1829999999999998</v>
      </c>
    </row>
    <row r="110" spans="1:12" x14ac:dyDescent="0.25">
      <c r="A110">
        <v>80</v>
      </c>
      <c r="B110">
        <v>5</v>
      </c>
      <c r="C110" s="3">
        <v>6244011</v>
      </c>
      <c r="D110" s="4">
        <v>282045</v>
      </c>
      <c r="E110">
        <v>85</v>
      </c>
      <c r="F110" s="2">
        <v>0.81799999999999995</v>
      </c>
      <c r="G110" s="2">
        <v>0.81200000000000006</v>
      </c>
      <c r="H110" s="2">
        <v>4.7500000000000001E-2</v>
      </c>
      <c r="I110" s="2">
        <v>0.112</v>
      </c>
      <c r="J110" s="2">
        <v>0.23400000000000001</v>
      </c>
      <c r="K110" s="2">
        <v>0.84399999999999997</v>
      </c>
      <c r="L110" s="2">
        <v>-4.4249999999999998</v>
      </c>
    </row>
    <row r="111" spans="1:12" x14ac:dyDescent="0.25">
      <c r="A111">
        <v>126</v>
      </c>
      <c r="B111">
        <v>18</v>
      </c>
      <c r="C111" s="3">
        <v>6136340</v>
      </c>
      <c r="D111" s="4">
        <v>20270895</v>
      </c>
      <c r="E111">
        <v>85</v>
      </c>
      <c r="F111" s="2">
        <v>0.52700000000000002</v>
      </c>
      <c r="G111" s="2">
        <v>0.83499999999999996</v>
      </c>
      <c r="H111" s="2">
        <v>4.3299999999999998E-2</v>
      </c>
      <c r="I111" s="2">
        <v>1.66E-2</v>
      </c>
      <c r="J111" s="2">
        <v>0.249</v>
      </c>
      <c r="K111" s="2">
        <v>0.65400000000000003</v>
      </c>
      <c r="L111" s="2">
        <v>-5.298</v>
      </c>
    </row>
    <row r="112" spans="1:12" x14ac:dyDescent="0.25">
      <c r="A112">
        <v>99</v>
      </c>
      <c r="B112">
        <v>42</v>
      </c>
      <c r="C112" s="3">
        <v>6014443</v>
      </c>
      <c r="D112" s="4">
        <v>6662605</v>
      </c>
      <c r="E112">
        <v>85</v>
      </c>
      <c r="F112" s="2">
        <v>0.58799999999999997</v>
      </c>
      <c r="G112" s="2">
        <v>0.52100000000000002</v>
      </c>
      <c r="H112" s="2">
        <v>3.2899999999999999E-2</v>
      </c>
      <c r="I112" s="2">
        <v>6.7799999999999999E-2</v>
      </c>
      <c r="J112" s="2">
        <v>0.123</v>
      </c>
      <c r="K112" s="2">
        <v>0.33700000000000002</v>
      </c>
      <c r="L112" s="2">
        <v>-9.4610000000000003</v>
      </c>
    </row>
    <row r="113" spans="1:12" x14ac:dyDescent="0.25">
      <c r="A113">
        <v>19</v>
      </c>
      <c r="B113">
        <v>12</v>
      </c>
      <c r="C113" s="3">
        <v>5952490</v>
      </c>
      <c r="D113" s="4">
        <v>6430522</v>
      </c>
      <c r="E113">
        <v>85</v>
      </c>
      <c r="F113" s="2">
        <v>0.58399999999999996</v>
      </c>
      <c r="G113" s="2">
        <v>0.85899999999999999</v>
      </c>
      <c r="H113" s="2">
        <v>0.121</v>
      </c>
      <c r="I113" s="2">
        <v>1.44E-2</v>
      </c>
      <c r="J113" s="2">
        <v>0.84699999999999998</v>
      </c>
      <c r="K113" s="2">
        <v>0.36899999999999999</v>
      </c>
      <c r="L113" s="2">
        <v>-5.6159999999999997</v>
      </c>
    </row>
    <row r="114" spans="1:12" x14ac:dyDescent="0.25">
      <c r="A114">
        <v>4</v>
      </c>
      <c r="B114">
        <v>83</v>
      </c>
      <c r="C114" s="3">
        <v>5928329</v>
      </c>
      <c r="D114" s="4">
        <v>32262679</v>
      </c>
      <c r="E114">
        <v>85</v>
      </c>
      <c r="F114" s="2">
        <v>0.77500000000000002</v>
      </c>
      <c r="G114" s="2">
        <v>0.32700000000000001</v>
      </c>
      <c r="H114" s="2">
        <v>5.57E-2</v>
      </c>
      <c r="I114" s="2">
        <v>0.84099999999999997</v>
      </c>
      <c r="J114" s="2">
        <v>8.2100000000000006E-2</v>
      </c>
      <c r="K114" s="2">
        <v>0.59499999999999997</v>
      </c>
      <c r="L114" s="2">
        <v>-7.2409999999999997</v>
      </c>
    </row>
    <row r="115" spans="1:12" x14ac:dyDescent="0.25">
      <c r="A115">
        <v>135</v>
      </c>
      <c r="B115">
        <v>4</v>
      </c>
      <c r="C115" s="3">
        <v>5912784</v>
      </c>
      <c r="D115" s="4">
        <v>64288</v>
      </c>
      <c r="E115">
        <v>85</v>
      </c>
      <c r="F115" s="2">
        <v>0.55800000000000005</v>
      </c>
      <c r="G115" s="2">
        <v>0.45400000000000001</v>
      </c>
      <c r="H115" s="2">
        <v>5.5100000000000003E-2</v>
      </c>
      <c r="I115" s="2">
        <v>0.499</v>
      </c>
      <c r="J115" s="2">
        <v>0.14599999999999999</v>
      </c>
      <c r="K115" s="2">
        <v>0.42399999999999999</v>
      </c>
      <c r="L115" s="2">
        <v>-5.335</v>
      </c>
    </row>
    <row r="116" spans="1:12" x14ac:dyDescent="0.25">
      <c r="A116">
        <v>138</v>
      </c>
      <c r="B116">
        <v>4</v>
      </c>
      <c r="C116" s="3">
        <v>5847975</v>
      </c>
      <c r="D116" s="4">
        <v>12969190</v>
      </c>
      <c r="E116">
        <v>85</v>
      </c>
      <c r="F116" s="2">
        <v>0.77400000000000002</v>
      </c>
      <c r="G116" s="2">
        <v>0.73199999999999998</v>
      </c>
      <c r="H116" s="2">
        <v>3.0800000000000001E-2</v>
      </c>
      <c r="I116" s="2">
        <v>0.108</v>
      </c>
      <c r="J116" s="2">
        <v>0.24299999999999999</v>
      </c>
      <c r="K116" s="2">
        <v>0.73399999999999999</v>
      </c>
      <c r="L116" s="2">
        <v>-4.2270000000000003</v>
      </c>
    </row>
    <row r="117" spans="1:12" x14ac:dyDescent="0.25">
      <c r="A117">
        <v>5</v>
      </c>
      <c r="B117">
        <v>32</v>
      </c>
      <c r="C117" s="3">
        <v>5734402</v>
      </c>
      <c r="D117" s="4">
        <v>6150675</v>
      </c>
      <c r="E117">
        <v>85</v>
      </c>
      <c r="F117" s="2">
        <v>0.71299999999999997</v>
      </c>
      <c r="G117" s="2">
        <v>0.61699999999999999</v>
      </c>
      <c r="H117" s="2">
        <v>8.8700000000000001E-2</v>
      </c>
      <c r="I117" s="2">
        <v>0.122</v>
      </c>
      <c r="J117" s="2">
        <v>9.6199999999999994E-2</v>
      </c>
      <c r="K117" s="2">
        <v>0.68200000000000005</v>
      </c>
      <c r="L117" s="2">
        <v>-4.6369999999999996</v>
      </c>
    </row>
    <row r="118" spans="1:12" x14ac:dyDescent="0.25">
      <c r="A118">
        <v>25</v>
      </c>
      <c r="B118">
        <v>39</v>
      </c>
      <c r="C118" s="3">
        <v>5693848</v>
      </c>
      <c r="D118" s="4">
        <v>441674</v>
      </c>
      <c r="E118">
        <v>85</v>
      </c>
      <c r="F118" s="2">
        <v>0.63200000000000001</v>
      </c>
      <c r="G118" s="2">
        <v>0.59499999999999997</v>
      </c>
      <c r="H118" s="2">
        <v>4.0099999999999997E-2</v>
      </c>
      <c r="I118" s="2">
        <v>6.8900000000000003E-2</v>
      </c>
      <c r="J118" s="2">
        <v>0.20899999999999999</v>
      </c>
      <c r="K118" s="2">
        <v>0.435</v>
      </c>
      <c r="L118" s="2">
        <v>-7.6440000000000001</v>
      </c>
    </row>
    <row r="119" spans="1:12" x14ac:dyDescent="0.25">
      <c r="A119">
        <v>90</v>
      </c>
      <c r="B119">
        <v>18</v>
      </c>
      <c r="C119" s="3">
        <v>5690260</v>
      </c>
      <c r="D119" s="4">
        <v>432581</v>
      </c>
      <c r="E119">
        <v>85</v>
      </c>
      <c r="F119" s="2">
        <v>0.73399999999999999</v>
      </c>
      <c r="G119" s="2">
        <v>0.85499999999999998</v>
      </c>
      <c r="H119" s="2">
        <v>0.13500000000000001</v>
      </c>
      <c r="I119" s="2">
        <v>8.2100000000000006E-2</v>
      </c>
      <c r="J119" s="2">
        <v>9.01E-2</v>
      </c>
      <c r="K119" s="2">
        <v>0.54</v>
      </c>
      <c r="L119" s="2">
        <v>-4.5780000000000003</v>
      </c>
    </row>
    <row r="120" spans="1:12" x14ac:dyDescent="0.25">
      <c r="A120">
        <v>110</v>
      </c>
      <c r="B120">
        <v>9</v>
      </c>
      <c r="C120" s="3">
        <v>5668576</v>
      </c>
      <c r="D120" s="4">
        <v>159647</v>
      </c>
      <c r="E120">
        <v>85</v>
      </c>
      <c r="F120" s="2">
        <v>0.67200000000000004</v>
      </c>
      <c r="G120" s="2">
        <v>0.71699999999999997</v>
      </c>
      <c r="H120" s="2">
        <v>0.22600000000000001</v>
      </c>
      <c r="I120" s="2">
        <v>0.10299999999999999</v>
      </c>
      <c r="J120" s="2">
        <v>0.39800000000000002</v>
      </c>
      <c r="K120" s="2">
        <v>0.47299999999999998</v>
      </c>
      <c r="L120" s="2">
        <v>-7.476</v>
      </c>
    </row>
    <row r="121" spans="1:12" x14ac:dyDescent="0.25">
      <c r="A121">
        <v>121</v>
      </c>
      <c r="B121">
        <v>32</v>
      </c>
      <c r="C121" s="3">
        <v>5628703</v>
      </c>
      <c r="D121" s="4">
        <v>31151294</v>
      </c>
      <c r="E121">
        <v>85</v>
      </c>
      <c r="F121" s="2">
        <v>0.42899999999999999</v>
      </c>
      <c r="G121" s="2">
        <v>0.66100000000000003</v>
      </c>
      <c r="H121" s="2">
        <v>2.81E-2</v>
      </c>
      <c r="I121" s="2">
        <v>2.3900000000000002E-3</v>
      </c>
      <c r="J121" s="2">
        <v>0.23400000000000001</v>
      </c>
      <c r="K121" s="2">
        <v>0.28499999999999998</v>
      </c>
      <c r="L121" s="2">
        <v>-7.2270000000000003</v>
      </c>
    </row>
    <row r="122" spans="1:12" x14ac:dyDescent="0.25">
      <c r="A122">
        <v>6</v>
      </c>
      <c r="B122">
        <v>47</v>
      </c>
      <c r="C122" s="3">
        <v>5570735</v>
      </c>
      <c r="D122" s="4">
        <v>6837946</v>
      </c>
      <c r="E122">
        <v>85</v>
      </c>
      <c r="F122" s="2">
        <v>0.70899999999999996</v>
      </c>
      <c r="G122" s="2">
        <v>0.54800000000000004</v>
      </c>
      <c r="H122" s="2">
        <v>0.35299999999999998</v>
      </c>
      <c r="I122" s="2">
        <v>0.65</v>
      </c>
      <c r="J122" s="2">
        <v>0.13300000000000001</v>
      </c>
      <c r="K122" s="2">
        <v>0.54300000000000004</v>
      </c>
      <c r="L122" s="2">
        <v>-8.4930000000000003</v>
      </c>
    </row>
    <row r="123" spans="1:12" x14ac:dyDescent="0.25">
      <c r="A123">
        <v>31</v>
      </c>
      <c r="B123">
        <v>83</v>
      </c>
      <c r="C123" s="3">
        <v>5477563</v>
      </c>
      <c r="D123" s="4">
        <v>19085118</v>
      </c>
      <c r="E123">
        <v>85</v>
      </c>
      <c r="F123" s="2">
        <v>0.51100000000000001</v>
      </c>
      <c r="G123" s="2">
        <v>0.56599999999999995</v>
      </c>
      <c r="H123" s="2">
        <v>0.2</v>
      </c>
      <c r="I123" s="2">
        <v>0.34899999999999998</v>
      </c>
      <c r="J123" s="2">
        <v>0.34</v>
      </c>
      <c r="K123" s="2">
        <v>0.218</v>
      </c>
      <c r="L123" s="2">
        <v>-7.23</v>
      </c>
    </row>
    <row r="124" spans="1:12" x14ac:dyDescent="0.25">
      <c r="A124">
        <v>4</v>
      </c>
      <c r="B124">
        <v>24</v>
      </c>
      <c r="C124" s="3">
        <v>5467753</v>
      </c>
      <c r="D124" s="4">
        <v>3553442</v>
      </c>
      <c r="E124">
        <v>85</v>
      </c>
      <c r="F124" s="2">
        <v>0.90700000000000003</v>
      </c>
      <c r="G124" s="2">
        <v>0.39300000000000002</v>
      </c>
      <c r="H124" s="2">
        <v>5.3900000000000003E-2</v>
      </c>
      <c r="I124" s="2">
        <v>0.45100000000000001</v>
      </c>
      <c r="J124" s="2">
        <v>0.13500000000000001</v>
      </c>
      <c r="K124" s="2">
        <v>0.20200000000000001</v>
      </c>
      <c r="L124" s="2">
        <v>-7.6360000000000001</v>
      </c>
    </row>
    <row r="125" spans="1:12" x14ac:dyDescent="0.25">
      <c r="A125">
        <v>13</v>
      </c>
      <c r="B125">
        <v>10</v>
      </c>
      <c r="C125" s="3">
        <v>5420003</v>
      </c>
      <c r="D125" s="4">
        <v>6266514</v>
      </c>
      <c r="E125">
        <v>85</v>
      </c>
      <c r="F125" s="2">
        <v>0.47299999999999998</v>
      </c>
      <c r="G125" s="2">
        <v>0.20300000000000001</v>
      </c>
      <c r="H125" s="2">
        <v>0.10199999999999999</v>
      </c>
      <c r="I125" s="2">
        <v>0.94099999999999995</v>
      </c>
      <c r="J125" s="2">
        <v>0.126</v>
      </c>
      <c r="K125" s="2">
        <v>0.41899999999999998</v>
      </c>
      <c r="L125" s="2">
        <v>-12.627000000000001</v>
      </c>
    </row>
    <row r="126" spans="1:12" x14ac:dyDescent="0.25">
      <c r="A126">
        <v>13</v>
      </c>
      <c r="B126">
        <v>15</v>
      </c>
      <c r="C126" s="3">
        <v>5288927</v>
      </c>
      <c r="D126" s="4">
        <v>2123734</v>
      </c>
      <c r="E126">
        <v>85</v>
      </c>
      <c r="F126" s="2">
        <v>0.83</v>
      </c>
      <c r="G126" s="2">
        <v>0.51700000000000002</v>
      </c>
      <c r="H126" s="2">
        <v>0.33300000000000002</v>
      </c>
      <c r="I126" s="2">
        <v>0.39900000000000002</v>
      </c>
      <c r="J126" s="2">
        <v>9.1600000000000001E-2</v>
      </c>
      <c r="K126" s="2">
        <v>0.61599999999999999</v>
      </c>
      <c r="L126" s="2">
        <v>-6.4160000000000004</v>
      </c>
    </row>
    <row r="127" spans="1:12" x14ac:dyDescent="0.25">
      <c r="A127">
        <v>4</v>
      </c>
      <c r="B127">
        <v>76</v>
      </c>
      <c r="C127" s="3">
        <v>5238547</v>
      </c>
      <c r="D127" s="4">
        <v>924083</v>
      </c>
      <c r="E127">
        <v>85</v>
      </c>
      <c r="F127" s="2">
        <v>0.72599999999999998</v>
      </c>
      <c r="G127" s="2">
        <v>0.43099999999999999</v>
      </c>
      <c r="H127" s="2">
        <v>0.13500000000000001</v>
      </c>
      <c r="I127" s="2">
        <v>0.73099999999999998</v>
      </c>
      <c r="J127" s="2">
        <v>0.69599999999999995</v>
      </c>
      <c r="K127" s="2">
        <v>0.34799999999999998</v>
      </c>
      <c r="L127" s="2">
        <v>-8.7650000000000006</v>
      </c>
    </row>
    <row r="128" spans="1:12" x14ac:dyDescent="0.25">
      <c r="A128">
        <v>184</v>
      </c>
      <c r="B128">
        <v>1</v>
      </c>
      <c r="C128" s="3">
        <v>5104206</v>
      </c>
      <c r="D128" s="4">
        <v>6080597</v>
      </c>
      <c r="E128">
        <v>85</v>
      </c>
      <c r="F128" s="2">
        <v>0.76500000000000001</v>
      </c>
      <c r="G128" s="2">
        <v>0.625</v>
      </c>
      <c r="H128" s="2">
        <v>5.4800000000000001E-2</v>
      </c>
      <c r="I128" s="2">
        <v>0.58399999999999996</v>
      </c>
      <c r="J128" s="2">
        <v>0.112</v>
      </c>
      <c r="K128" s="2">
        <v>0.26200000000000001</v>
      </c>
      <c r="L128" s="2">
        <v>-3.5990000000000002</v>
      </c>
    </row>
    <row r="129" spans="1:12" x14ac:dyDescent="0.25">
      <c r="A129">
        <v>80</v>
      </c>
      <c r="B129">
        <v>41</v>
      </c>
      <c r="C129" s="3">
        <v>5098609</v>
      </c>
      <c r="D129" s="4">
        <v>4840346</v>
      </c>
      <c r="E129">
        <v>85</v>
      </c>
      <c r="F129" s="2">
        <v>0.83199999999999996</v>
      </c>
      <c r="G129" s="2">
        <v>0.53400000000000003</v>
      </c>
      <c r="H129" s="2">
        <v>0.253</v>
      </c>
      <c r="I129" s="2">
        <v>0.34499999999999997</v>
      </c>
      <c r="J129" s="2">
        <v>0.16500000000000001</v>
      </c>
      <c r="K129" s="2">
        <v>0.11600000000000001</v>
      </c>
      <c r="L129" s="2">
        <v>-7.8129999999999997</v>
      </c>
    </row>
    <row r="130" spans="1:12" x14ac:dyDescent="0.25">
      <c r="A130">
        <v>41</v>
      </c>
      <c r="B130">
        <v>81</v>
      </c>
      <c r="C130" s="3">
        <v>5002227</v>
      </c>
      <c r="D130" s="4">
        <v>67158068</v>
      </c>
      <c r="E130">
        <v>85</v>
      </c>
      <c r="F130" s="2">
        <v>0.77800000000000002</v>
      </c>
      <c r="G130" s="2">
        <v>0.317</v>
      </c>
      <c r="H130" s="2">
        <v>0.33400000000000002</v>
      </c>
      <c r="I130" s="2">
        <v>0.59199999999999997</v>
      </c>
      <c r="J130" s="2">
        <v>8.8099999999999998E-2</v>
      </c>
      <c r="K130" s="2">
        <v>0.32700000000000001</v>
      </c>
      <c r="L130" s="2">
        <v>-10.731999999999999</v>
      </c>
    </row>
    <row r="131" spans="1:12" x14ac:dyDescent="0.25">
      <c r="A131">
        <v>19</v>
      </c>
      <c r="B131">
        <v>3</v>
      </c>
      <c r="C131" s="3">
        <v>9635619</v>
      </c>
      <c r="D131" s="4">
        <v>47014200</v>
      </c>
      <c r="E131">
        <v>84</v>
      </c>
      <c r="F131" s="2">
        <v>0.76500000000000001</v>
      </c>
      <c r="G131" s="2">
        <v>0.373</v>
      </c>
      <c r="H131" s="2">
        <v>7.1300000000000002E-2</v>
      </c>
      <c r="I131" s="2">
        <v>0.34100000000000003</v>
      </c>
      <c r="J131" s="2">
        <v>0.112</v>
      </c>
      <c r="K131" s="2">
        <v>0.55400000000000005</v>
      </c>
      <c r="L131" s="2">
        <v>-9.9209999999999994</v>
      </c>
    </row>
    <row r="132" spans="1:12" x14ac:dyDescent="0.25">
      <c r="A132">
        <v>83</v>
      </c>
      <c r="B132">
        <v>2</v>
      </c>
      <c r="C132" s="3">
        <v>7516291</v>
      </c>
      <c r="D132" s="4">
        <v>1042079</v>
      </c>
      <c r="E132">
        <v>84</v>
      </c>
      <c r="F132" s="2">
        <v>0.69399999999999995</v>
      </c>
      <c r="G132" s="2">
        <v>0.94799999999999995</v>
      </c>
      <c r="H132" s="2">
        <v>3.61E-2</v>
      </c>
      <c r="I132" s="2">
        <v>9.3600000000000003E-3</v>
      </c>
      <c r="J132" s="2">
        <v>0.13900000000000001</v>
      </c>
      <c r="K132" s="2">
        <v>0.70499999999999996</v>
      </c>
      <c r="L132" s="2">
        <v>-5.3070000000000004</v>
      </c>
    </row>
    <row r="133" spans="1:12" x14ac:dyDescent="0.25">
      <c r="A133">
        <v>23</v>
      </c>
      <c r="B133">
        <v>25</v>
      </c>
      <c r="C133" s="3">
        <v>7353795</v>
      </c>
      <c r="D133" s="4">
        <v>287361</v>
      </c>
      <c r="E133">
        <v>84</v>
      </c>
      <c r="F133" s="2">
        <v>0.45</v>
      </c>
      <c r="G133" s="2">
        <v>0.32900000000000001</v>
      </c>
      <c r="H133" s="2">
        <v>4.41E-2</v>
      </c>
      <c r="I133" s="2">
        <v>0.81799999999999995</v>
      </c>
      <c r="J133" s="2">
        <v>0.13500000000000001</v>
      </c>
      <c r="K133" s="2">
        <v>0.26600000000000001</v>
      </c>
      <c r="L133" s="2">
        <v>-12.603</v>
      </c>
    </row>
    <row r="134" spans="1:12" x14ac:dyDescent="0.25">
      <c r="A134">
        <v>4</v>
      </c>
      <c r="B134">
        <v>29</v>
      </c>
      <c r="C134" s="3">
        <v>6142975</v>
      </c>
      <c r="D134" s="4">
        <v>37106176</v>
      </c>
      <c r="E134">
        <v>84</v>
      </c>
      <c r="F134" s="2">
        <v>0.56599999999999995</v>
      </c>
      <c r="G134" s="2">
        <v>0.71599999999999997</v>
      </c>
      <c r="H134" s="2">
        <v>4.24E-2</v>
      </c>
      <c r="I134" s="2">
        <v>6.9100000000000003E-3</v>
      </c>
      <c r="J134" s="2">
        <v>0.37</v>
      </c>
      <c r="K134" s="2">
        <v>0.45</v>
      </c>
      <c r="L134" s="2">
        <v>-5.7329999999999997</v>
      </c>
    </row>
    <row r="135" spans="1:12" x14ac:dyDescent="0.25">
      <c r="A135">
        <v>131</v>
      </c>
      <c r="B135">
        <v>3</v>
      </c>
      <c r="C135" s="3">
        <v>6012839</v>
      </c>
      <c r="D135" s="4">
        <v>409173</v>
      </c>
      <c r="E135">
        <v>84</v>
      </c>
      <c r="F135" s="2">
        <v>0.68200000000000005</v>
      </c>
      <c r="G135" s="2">
        <v>0.873</v>
      </c>
      <c r="H135" s="2">
        <v>4.4900000000000002E-2</v>
      </c>
      <c r="I135" s="2">
        <v>0.40200000000000002</v>
      </c>
      <c r="J135" s="2">
        <v>9.4600000000000004E-2</v>
      </c>
      <c r="K135" s="2">
        <v>0.96399999999999997</v>
      </c>
      <c r="L135" s="2">
        <v>-4.1630000000000003</v>
      </c>
    </row>
    <row r="136" spans="1:12" x14ac:dyDescent="0.25">
      <c r="A136">
        <v>61</v>
      </c>
      <c r="B136">
        <v>17</v>
      </c>
      <c r="C136" s="3">
        <v>5831357</v>
      </c>
      <c r="D136" s="4">
        <v>323203</v>
      </c>
      <c r="E136">
        <v>84</v>
      </c>
      <c r="F136" s="2">
        <v>0.88300000000000001</v>
      </c>
      <c r="G136" s="2">
        <v>0.67400000000000004</v>
      </c>
      <c r="H136" s="2">
        <v>0.35699999999999998</v>
      </c>
      <c r="I136" s="2">
        <v>0.21</v>
      </c>
      <c r="J136" s="2">
        <v>6.7799999999999999E-2</v>
      </c>
      <c r="K136" s="2">
        <v>0.73</v>
      </c>
      <c r="L136" s="2">
        <v>-8.0429999999999993</v>
      </c>
    </row>
    <row r="137" spans="1:12" x14ac:dyDescent="0.25">
      <c r="A137">
        <v>22</v>
      </c>
      <c r="B137">
        <v>4</v>
      </c>
      <c r="C137" s="3">
        <v>5696113</v>
      </c>
      <c r="D137" s="4">
        <v>6777818</v>
      </c>
      <c r="E137">
        <v>84</v>
      </c>
      <c r="F137" s="2">
        <v>0.49299999999999999</v>
      </c>
      <c r="G137" s="2">
        <v>0.65300000000000002</v>
      </c>
      <c r="H137" s="2">
        <v>4.6600000000000003E-2</v>
      </c>
      <c r="I137" s="2">
        <v>0.26900000000000002</v>
      </c>
      <c r="J137" s="2">
        <v>0.51100000000000001</v>
      </c>
      <c r="K137" s="2">
        <v>0.85199999999999998</v>
      </c>
      <c r="L137" s="2">
        <v>-5.6660000000000004</v>
      </c>
    </row>
    <row r="138" spans="1:12" x14ac:dyDescent="0.25">
      <c r="A138">
        <v>103</v>
      </c>
      <c r="B138">
        <v>5</v>
      </c>
      <c r="C138" s="3">
        <v>5652272</v>
      </c>
      <c r="D138" s="4">
        <v>15889</v>
      </c>
      <c r="E138">
        <v>84</v>
      </c>
      <c r="F138" s="2">
        <v>0.63100000000000001</v>
      </c>
      <c r="G138" s="2">
        <v>0.86099999999999999</v>
      </c>
      <c r="H138" s="2">
        <v>4.24E-2</v>
      </c>
      <c r="I138" s="2">
        <v>0.42699999999999999</v>
      </c>
      <c r="J138" s="2">
        <v>0.215</v>
      </c>
      <c r="K138" s="2">
        <v>0.82199999999999995</v>
      </c>
      <c r="L138" s="2">
        <v>-1.891</v>
      </c>
    </row>
    <row r="139" spans="1:12" x14ac:dyDescent="0.25">
      <c r="A139">
        <v>105</v>
      </c>
      <c r="B139">
        <v>4</v>
      </c>
      <c r="C139" s="3">
        <v>5627519</v>
      </c>
      <c r="D139" s="4">
        <v>208554</v>
      </c>
      <c r="E139">
        <v>84</v>
      </c>
      <c r="F139" s="2">
        <v>0.78700000000000003</v>
      </c>
      <c r="G139" s="2">
        <v>0.53100000000000003</v>
      </c>
      <c r="H139" s="2">
        <v>0.10100000000000001</v>
      </c>
      <c r="I139" s="2">
        <v>0.13200000000000001</v>
      </c>
      <c r="J139" s="2">
        <v>0.112</v>
      </c>
      <c r="K139" s="2">
        <v>0.72099999999999997</v>
      </c>
      <c r="L139" s="2">
        <v>-10.569000000000001</v>
      </c>
    </row>
    <row r="140" spans="1:12" x14ac:dyDescent="0.25">
      <c r="A140">
        <v>142</v>
      </c>
      <c r="B140">
        <v>23</v>
      </c>
      <c r="C140" s="3">
        <v>5607285</v>
      </c>
      <c r="D140" s="4">
        <v>20270895</v>
      </c>
      <c r="E140">
        <v>84</v>
      </c>
      <c r="F140" s="2">
        <v>0.53200000000000003</v>
      </c>
      <c r="G140" s="2">
        <v>0.78300000000000003</v>
      </c>
      <c r="H140" s="2">
        <v>5.2299999999999999E-2</v>
      </c>
      <c r="I140" s="2">
        <v>3.8E-3</v>
      </c>
      <c r="J140" s="2">
        <v>0.161</v>
      </c>
      <c r="K140" s="2">
        <v>0.64300000000000002</v>
      </c>
      <c r="L140" s="2">
        <v>-5.6970000000000001</v>
      </c>
    </row>
    <row r="141" spans="1:12" x14ac:dyDescent="0.25">
      <c r="A141">
        <v>17</v>
      </c>
      <c r="B141">
        <v>24</v>
      </c>
      <c r="C141" s="3">
        <v>5588217</v>
      </c>
      <c r="D141" s="4">
        <v>28909504</v>
      </c>
      <c r="E141">
        <v>84</v>
      </c>
      <c r="F141" s="2">
        <v>0.82299999999999995</v>
      </c>
      <c r="G141" s="2">
        <v>0.54400000000000004</v>
      </c>
      <c r="H141" s="2">
        <v>7.1499999999999994E-2</v>
      </c>
      <c r="I141" s="2">
        <v>2.1499999999999998E-2</v>
      </c>
      <c r="J141" s="2">
        <v>9.6600000000000005E-2</v>
      </c>
      <c r="K141" s="2">
        <v>0.66400000000000003</v>
      </c>
      <c r="L141" s="2">
        <v>-7.1319999999999997</v>
      </c>
    </row>
    <row r="142" spans="1:12" x14ac:dyDescent="0.25">
      <c r="A142">
        <v>121</v>
      </c>
      <c r="B142">
        <v>5</v>
      </c>
      <c r="C142" s="3">
        <v>5493760</v>
      </c>
      <c r="D142" s="4">
        <v>7593046</v>
      </c>
      <c r="E142">
        <v>84</v>
      </c>
      <c r="F142" s="2">
        <v>0.93300000000000005</v>
      </c>
      <c r="G142" s="2">
        <v>0.65600000000000003</v>
      </c>
      <c r="H142" s="2">
        <v>0.32200000000000001</v>
      </c>
      <c r="I142" s="2">
        <v>0.129</v>
      </c>
      <c r="J142" s="2">
        <v>0.161</v>
      </c>
      <c r="K142" s="2">
        <v>0.93400000000000005</v>
      </c>
      <c r="L142" s="2">
        <v>-5.85</v>
      </c>
    </row>
    <row r="143" spans="1:12" x14ac:dyDescent="0.25">
      <c r="A143">
        <v>120</v>
      </c>
      <c r="B143">
        <v>5</v>
      </c>
      <c r="C143" s="3">
        <v>5478055</v>
      </c>
      <c r="D143" s="4">
        <v>7593046</v>
      </c>
      <c r="E143">
        <v>84</v>
      </c>
      <c r="F143" s="2">
        <v>0.90200000000000002</v>
      </c>
      <c r="G143" s="2">
        <v>0.66900000000000004</v>
      </c>
      <c r="H143" s="2">
        <v>0.45700000000000002</v>
      </c>
      <c r="I143" s="2">
        <v>0.161</v>
      </c>
      <c r="J143" s="2">
        <v>7.2800000000000004E-2</v>
      </c>
      <c r="K143" s="2">
        <v>0.628</v>
      </c>
      <c r="L143" s="2">
        <v>-5.0490000000000004</v>
      </c>
    </row>
    <row r="144" spans="1:12" x14ac:dyDescent="0.25">
      <c r="A144">
        <v>22</v>
      </c>
      <c r="B144">
        <v>8</v>
      </c>
      <c r="C144" s="3">
        <v>5435614</v>
      </c>
      <c r="D144" s="4">
        <v>6266514</v>
      </c>
      <c r="E144">
        <v>84</v>
      </c>
      <c r="F144" s="2">
        <v>0.443</v>
      </c>
      <c r="G144" s="2">
        <v>0.29799999999999999</v>
      </c>
      <c r="H144" s="2">
        <v>6.4399999999999999E-2</v>
      </c>
      <c r="I144" s="2">
        <v>0.38800000000000001</v>
      </c>
      <c r="J144" s="2">
        <v>0.10299999999999999</v>
      </c>
      <c r="K144" s="2">
        <v>0.17199999999999999</v>
      </c>
      <c r="L144" s="2">
        <v>-12.180999999999999</v>
      </c>
    </row>
    <row r="145" spans="1:12" x14ac:dyDescent="0.25">
      <c r="A145">
        <v>7</v>
      </c>
      <c r="B145">
        <v>56</v>
      </c>
      <c r="C145" s="3">
        <v>5431375</v>
      </c>
      <c r="D145" s="4">
        <v>6837946</v>
      </c>
      <c r="E145">
        <v>84</v>
      </c>
      <c r="F145" s="2">
        <v>0.82299999999999995</v>
      </c>
      <c r="G145" s="2">
        <v>0.58599999999999997</v>
      </c>
      <c r="H145" s="2">
        <v>0.2</v>
      </c>
      <c r="I145" s="2">
        <v>0.114</v>
      </c>
      <c r="J145" s="2">
        <v>0.193</v>
      </c>
      <c r="K145" s="2">
        <v>0.34699999999999998</v>
      </c>
      <c r="L145" s="2">
        <v>-6.6059999999999999</v>
      </c>
    </row>
    <row r="146" spans="1:12" x14ac:dyDescent="0.25">
      <c r="A146">
        <v>1</v>
      </c>
      <c r="B146">
        <v>51</v>
      </c>
      <c r="C146" s="3">
        <v>5386268</v>
      </c>
      <c r="D146" s="4">
        <v>17353707</v>
      </c>
      <c r="E146">
        <v>84</v>
      </c>
      <c r="F146" s="2">
        <v>0.93500000000000005</v>
      </c>
      <c r="G146" s="2">
        <v>0.45400000000000001</v>
      </c>
      <c r="H146" s="2">
        <v>0.375</v>
      </c>
      <c r="I146" s="2">
        <v>1.9400000000000001E-2</v>
      </c>
      <c r="J146" s="2">
        <v>8.2400000000000001E-2</v>
      </c>
      <c r="K146" s="2">
        <v>0.35699999999999998</v>
      </c>
      <c r="L146" s="2">
        <v>-7.5090000000000003</v>
      </c>
    </row>
    <row r="147" spans="1:12" x14ac:dyDescent="0.25">
      <c r="A147">
        <v>17</v>
      </c>
      <c r="B147">
        <v>12</v>
      </c>
      <c r="C147" s="3">
        <v>5383125</v>
      </c>
      <c r="D147" s="4">
        <v>323203</v>
      </c>
      <c r="E147">
        <v>84</v>
      </c>
      <c r="F147" s="2">
        <v>0.88300000000000001</v>
      </c>
      <c r="G147" s="2">
        <v>0.67400000000000004</v>
      </c>
      <c r="H147" s="2">
        <v>0.35699999999999998</v>
      </c>
      <c r="I147" s="2">
        <v>0.21</v>
      </c>
      <c r="J147" s="2">
        <v>6.7799999999999999E-2</v>
      </c>
      <c r="K147" s="2">
        <v>0.73</v>
      </c>
      <c r="L147" s="2">
        <v>-8.0429999999999993</v>
      </c>
    </row>
    <row r="148" spans="1:12" x14ac:dyDescent="0.25">
      <c r="A148">
        <v>20</v>
      </c>
      <c r="B148">
        <v>44</v>
      </c>
      <c r="C148" s="3">
        <v>5378971</v>
      </c>
      <c r="D148" s="4">
        <v>6930669</v>
      </c>
      <c r="E148">
        <v>84</v>
      </c>
      <c r="F148" s="2">
        <v>0.82799999999999996</v>
      </c>
      <c r="G148" s="2">
        <v>0.49199999999999999</v>
      </c>
      <c r="H148" s="2">
        <v>2.76E-2</v>
      </c>
      <c r="I148" s="2">
        <v>6.4399999999999999E-2</v>
      </c>
      <c r="J148" s="2">
        <v>0.128</v>
      </c>
      <c r="K148" s="2">
        <v>0.78900000000000003</v>
      </c>
      <c r="L148" s="2">
        <v>-9.7439999999999998</v>
      </c>
    </row>
    <row r="149" spans="1:12" x14ac:dyDescent="0.25">
      <c r="A149">
        <v>94</v>
      </c>
      <c r="B149">
        <v>82</v>
      </c>
      <c r="C149" s="3">
        <v>5375426</v>
      </c>
      <c r="D149" s="4">
        <v>8441598</v>
      </c>
      <c r="E149">
        <v>84</v>
      </c>
      <c r="F149" s="2">
        <v>0.35799999999999998</v>
      </c>
      <c r="G149" s="2">
        <v>0.55700000000000005</v>
      </c>
      <c r="H149" s="2">
        <v>5.8999999999999997E-2</v>
      </c>
      <c r="I149" s="2">
        <v>0.69499999999999995</v>
      </c>
      <c r="J149" s="2">
        <v>9.0200000000000002E-2</v>
      </c>
      <c r="K149" s="2">
        <v>0.49399999999999999</v>
      </c>
      <c r="L149" s="2">
        <v>-7.3979999999999997</v>
      </c>
    </row>
    <row r="150" spans="1:12" x14ac:dyDescent="0.25">
      <c r="A150">
        <v>20</v>
      </c>
      <c r="B150">
        <v>82</v>
      </c>
      <c r="C150" s="3">
        <v>5235088</v>
      </c>
      <c r="D150" s="4">
        <v>152226</v>
      </c>
      <c r="E150">
        <v>84</v>
      </c>
      <c r="F150" s="2">
        <v>0.88</v>
      </c>
      <c r="G150" s="2">
        <v>0.751</v>
      </c>
      <c r="H150" s="2">
        <v>8.7400000000000005E-2</v>
      </c>
      <c r="I150" s="2">
        <v>0.17699999999999999</v>
      </c>
      <c r="J150" s="2">
        <v>0.106</v>
      </c>
      <c r="K150" s="2">
        <v>0.88400000000000001</v>
      </c>
      <c r="L150" s="2">
        <v>-4.258</v>
      </c>
    </row>
    <row r="151" spans="1:12" x14ac:dyDescent="0.25">
      <c r="A151">
        <v>96</v>
      </c>
      <c r="B151">
        <v>77</v>
      </c>
      <c r="C151" s="3">
        <v>5220422</v>
      </c>
      <c r="D151" s="4">
        <v>29539807</v>
      </c>
      <c r="E151">
        <v>84</v>
      </c>
      <c r="F151" s="2">
        <v>0.872</v>
      </c>
      <c r="G151" s="2">
        <v>0.39100000000000001</v>
      </c>
      <c r="H151" s="2">
        <v>0.24199999999999999</v>
      </c>
      <c r="I151" s="2">
        <v>0.46899999999999997</v>
      </c>
      <c r="J151" s="2">
        <v>0.29699999999999999</v>
      </c>
      <c r="K151" s="2">
        <v>0.437</v>
      </c>
      <c r="L151" s="2">
        <v>-9.1440000000000001</v>
      </c>
    </row>
    <row r="152" spans="1:12" x14ac:dyDescent="0.25">
      <c r="A152">
        <v>149</v>
      </c>
      <c r="B152">
        <v>14</v>
      </c>
      <c r="C152" s="3">
        <v>5178490</v>
      </c>
      <c r="D152" s="4">
        <v>56308172</v>
      </c>
      <c r="E152">
        <v>84</v>
      </c>
      <c r="F152" s="2">
        <v>0.79200000000000004</v>
      </c>
      <c r="G152" s="2">
        <v>0.625</v>
      </c>
      <c r="H152" s="2">
        <v>5.3600000000000002E-2</v>
      </c>
      <c r="I152" s="2">
        <v>7.7600000000000004E-3</v>
      </c>
      <c r="J152" s="2">
        <v>0.32900000000000001</v>
      </c>
      <c r="K152" s="2">
        <v>0.37</v>
      </c>
      <c r="L152" s="2">
        <v>-5.609</v>
      </c>
    </row>
    <row r="153" spans="1:12" x14ac:dyDescent="0.25">
      <c r="A153">
        <v>15</v>
      </c>
      <c r="B153">
        <v>83</v>
      </c>
      <c r="C153" s="3">
        <v>5166847</v>
      </c>
      <c r="D153" s="4">
        <v>16112621</v>
      </c>
      <c r="E153">
        <v>84</v>
      </c>
      <c r="F153" s="2">
        <v>0.67600000000000005</v>
      </c>
      <c r="G153" s="2">
        <v>0.77100000000000002</v>
      </c>
      <c r="H153" s="2">
        <v>4.8300000000000003E-2</v>
      </c>
      <c r="I153" s="2">
        <v>2.3699999999999999E-2</v>
      </c>
      <c r="J153" s="2">
        <v>0.10199999999999999</v>
      </c>
      <c r="K153" s="2">
        <v>0.56899999999999995</v>
      </c>
      <c r="L153" s="2">
        <v>-3.6749999999999998</v>
      </c>
    </row>
    <row r="154" spans="1:12" x14ac:dyDescent="0.25">
      <c r="A154">
        <v>1</v>
      </c>
      <c r="B154">
        <v>78</v>
      </c>
      <c r="C154" s="3">
        <v>5145099</v>
      </c>
      <c r="D154" s="4">
        <v>6603627</v>
      </c>
      <c r="E154">
        <v>84</v>
      </c>
      <c r="F154" s="2">
        <v>0.89600000000000002</v>
      </c>
      <c r="G154" s="2">
        <v>0.58599999999999997</v>
      </c>
      <c r="H154" s="2">
        <v>5.5899999999999998E-2</v>
      </c>
      <c r="I154" s="2">
        <v>0.104</v>
      </c>
      <c r="J154" s="2">
        <v>0.79</v>
      </c>
      <c r="K154" s="2">
        <v>0.64200000000000002</v>
      </c>
      <c r="L154" s="2">
        <v>-6.6870000000000003</v>
      </c>
    </row>
    <row r="155" spans="1:12" x14ac:dyDescent="0.25">
      <c r="A155">
        <v>79</v>
      </c>
      <c r="B155">
        <v>11</v>
      </c>
      <c r="C155" s="3">
        <v>5116589</v>
      </c>
      <c r="D155" s="4">
        <v>2586114</v>
      </c>
      <c r="E155">
        <v>84</v>
      </c>
      <c r="F155" s="2">
        <v>0.60099999999999998</v>
      </c>
      <c r="G155" s="2">
        <v>0.36</v>
      </c>
      <c r="H155" s="2">
        <v>8.77E-2</v>
      </c>
      <c r="I155" s="2">
        <v>0.58599999999999997</v>
      </c>
      <c r="J155" s="2">
        <v>8.8200000000000001E-2</v>
      </c>
      <c r="K155" s="2">
        <v>0.33500000000000002</v>
      </c>
      <c r="L155" s="2">
        <v>-7.7910000000000004</v>
      </c>
    </row>
    <row r="156" spans="1:12" x14ac:dyDescent="0.25">
      <c r="A156">
        <v>122</v>
      </c>
      <c r="B156">
        <v>5</v>
      </c>
      <c r="C156" s="3">
        <v>5110475</v>
      </c>
      <c r="D156" s="4">
        <v>411579</v>
      </c>
      <c r="E156">
        <v>84</v>
      </c>
      <c r="F156" s="2">
        <v>0.79200000000000004</v>
      </c>
      <c r="G156" s="2">
        <v>0.70699999999999996</v>
      </c>
      <c r="H156" s="2">
        <v>6.2300000000000001E-2</v>
      </c>
      <c r="I156" s="2">
        <v>0.11600000000000001</v>
      </c>
      <c r="J156" s="2">
        <v>0.12</v>
      </c>
      <c r="K156" s="2">
        <v>0.40799999999999997</v>
      </c>
      <c r="L156" s="2">
        <v>-5.218</v>
      </c>
    </row>
    <row r="157" spans="1:12" x14ac:dyDescent="0.25">
      <c r="A157">
        <v>110</v>
      </c>
      <c r="B157">
        <v>78</v>
      </c>
      <c r="C157" s="3">
        <v>5103014</v>
      </c>
      <c r="D157" s="4">
        <v>5799137</v>
      </c>
      <c r="E157">
        <v>84</v>
      </c>
      <c r="F157" s="2">
        <v>0.42199999999999999</v>
      </c>
      <c r="G157" s="2">
        <v>0.26400000000000001</v>
      </c>
      <c r="H157" s="2">
        <v>3.2199999999999999E-2</v>
      </c>
      <c r="I157" s="2">
        <v>0.92200000000000004</v>
      </c>
      <c r="J157" s="2">
        <v>0.13200000000000001</v>
      </c>
      <c r="K157" s="2">
        <v>0.33100000000000002</v>
      </c>
      <c r="L157" s="2">
        <v>-7.0640000000000001</v>
      </c>
    </row>
    <row r="158" spans="1:12" x14ac:dyDescent="0.25">
      <c r="A158">
        <v>75</v>
      </c>
      <c r="B158">
        <v>19</v>
      </c>
      <c r="C158" s="3">
        <v>5097187</v>
      </c>
      <c r="D158" s="4">
        <v>35285425</v>
      </c>
      <c r="E158">
        <v>84</v>
      </c>
      <c r="F158" s="2">
        <v>0.54200000000000004</v>
      </c>
      <c r="G158" s="2">
        <v>0.73199999999999998</v>
      </c>
      <c r="H158" s="2">
        <v>5.21E-2</v>
      </c>
      <c r="I158" s="2">
        <v>2.0899999999999998E-3</v>
      </c>
      <c r="J158" s="2">
        <v>0.496</v>
      </c>
      <c r="K158" s="2">
        <v>0.48899999999999999</v>
      </c>
      <c r="L158" s="2">
        <v>-5.9560000000000004</v>
      </c>
    </row>
    <row r="159" spans="1:12" x14ac:dyDescent="0.25">
      <c r="A159">
        <v>2</v>
      </c>
      <c r="B159">
        <v>48</v>
      </c>
      <c r="C159" s="3">
        <v>5094660</v>
      </c>
      <c r="D159" s="4">
        <v>67208170</v>
      </c>
      <c r="E159">
        <v>84</v>
      </c>
      <c r="F159" s="2">
        <v>0.59699999999999998</v>
      </c>
      <c r="G159" s="2">
        <v>0.45</v>
      </c>
      <c r="H159" s="2">
        <v>4.1799999999999997E-2</v>
      </c>
      <c r="I159" s="2">
        <v>0.223</v>
      </c>
      <c r="J159" s="2">
        <v>0.38200000000000001</v>
      </c>
      <c r="K159" s="2">
        <v>0.53700000000000003</v>
      </c>
      <c r="L159" s="2">
        <v>-6.6580000000000004</v>
      </c>
    </row>
    <row r="160" spans="1:12" x14ac:dyDescent="0.25">
      <c r="A160">
        <v>157</v>
      </c>
      <c r="B160">
        <v>9</v>
      </c>
      <c r="C160" s="3">
        <v>5085527</v>
      </c>
      <c r="D160" s="4">
        <v>29566516</v>
      </c>
      <c r="E160">
        <v>84</v>
      </c>
      <c r="F160" s="2">
        <v>0.59199999999999997</v>
      </c>
      <c r="G160" s="2">
        <v>0.45700000000000002</v>
      </c>
      <c r="H160" s="2">
        <v>6.0299999999999999E-2</v>
      </c>
      <c r="I160" s="2">
        <v>0.66100000000000003</v>
      </c>
      <c r="J160" s="2">
        <v>0.14599999999999999</v>
      </c>
      <c r="K160" s="2">
        <v>0.22500000000000001</v>
      </c>
      <c r="L160" s="2">
        <v>-6.0810000000000004</v>
      </c>
    </row>
    <row r="161" spans="1:12" x14ac:dyDescent="0.25">
      <c r="A161">
        <v>149</v>
      </c>
      <c r="B161">
        <v>46</v>
      </c>
      <c r="C161" s="3">
        <v>5084635</v>
      </c>
      <c r="D161" s="4">
        <v>5064200</v>
      </c>
      <c r="E161">
        <v>84</v>
      </c>
      <c r="F161" s="2">
        <v>0.64</v>
      </c>
      <c r="G161" s="2">
        <v>0.74</v>
      </c>
      <c r="H161" s="2">
        <v>2.8400000000000002E-2</v>
      </c>
      <c r="I161" s="2">
        <v>1.15E-2</v>
      </c>
      <c r="J161" s="2">
        <v>0.16700000000000001</v>
      </c>
      <c r="K161" s="2">
        <v>0.78500000000000003</v>
      </c>
      <c r="L161" s="2">
        <v>-4.0830000000000002</v>
      </c>
    </row>
    <row r="162" spans="1:12" x14ac:dyDescent="0.25">
      <c r="A162">
        <v>52</v>
      </c>
      <c r="B162">
        <v>22</v>
      </c>
      <c r="C162" s="3">
        <v>5068864</v>
      </c>
      <c r="D162" s="4">
        <v>35305637</v>
      </c>
      <c r="E162">
        <v>84</v>
      </c>
      <c r="F162" s="2">
        <v>0.58499999999999996</v>
      </c>
      <c r="G162" s="2">
        <v>0.56399999999999995</v>
      </c>
      <c r="H162" s="2">
        <v>5.1499999999999997E-2</v>
      </c>
      <c r="I162" s="2">
        <v>6.7100000000000007E-2</v>
      </c>
      <c r="J162" s="2">
        <v>0.13500000000000001</v>
      </c>
      <c r="K162" s="2">
        <v>0.13700000000000001</v>
      </c>
      <c r="L162" s="2">
        <v>-7.0629999999999997</v>
      </c>
    </row>
    <row r="163" spans="1:12" x14ac:dyDescent="0.25">
      <c r="A163">
        <v>5</v>
      </c>
      <c r="B163">
        <v>31</v>
      </c>
      <c r="C163" s="3">
        <v>5065132</v>
      </c>
      <c r="D163" s="4">
        <v>5881963</v>
      </c>
      <c r="E163">
        <v>84</v>
      </c>
      <c r="F163" s="2">
        <v>0.436</v>
      </c>
      <c r="G163" s="2">
        <v>0.65500000000000003</v>
      </c>
      <c r="H163" s="2">
        <v>5.8299999999999998E-2</v>
      </c>
      <c r="I163" s="2">
        <v>0.499</v>
      </c>
      <c r="J163" s="2">
        <v>0.68799999999999994</v>
      </c>
      <c r="K163" s="2">
        <v>0.41199999999999998</v>
      </c>
      <c r="L163" s="2">
        <v>-8.3699999999999992</v>
      </c>
    </row>
    <row r="164" spans="1:12" x14ac:dyDescent="0.25">
      <c r="A164">
        <v>101</v>
      </c>
      <c r="B164">
        <v>68</v>
      </c>
      <c r="C164" s="3">
        <v>5051338</v>
      </c>
      <c r="D164" s="4">
        <v>29566516</v>
      </c>
      <c r="E164">
        <v>84</v>
      </c>
      <c r="F164" s="2">
        <v>0.74</v>
      </c>
      <c r="G164" s="2">
        <v>0.61299999999999999</v>
      </c>
      <c r="H164" s="2">
        <v>0.14499999999999999</v>
      </c>
      <c r="I164" s="2">
        <v>0.25800000000000001</v>
      </c>
      <c r="J164" s="2">
        <v>0.123</v>
      </c>
      <c r="K164" s="2">
        <v>0.47299999999999998</v>
      </c>
      <c r="L164" s="2">
        <v>-4.88</v>
      </c>
    </row>
    <row r="165" spans="1:12" x14ac:dyDescent="0.25">
      <c r="A165">
        <v>95</v>
      </c>
      <c r="B165">
        <v>13</v>
      </c>
      <c r="C165" s="3">
        <v>5036030</v>
      </c>
      <c r="D165" s="4">
        <v>26769304</v>
      </c>
      <c r="E165">
        <v>84</v>
      </c>
      <c r="F165" s="2">
        <v>0.80700000000000005</v>
      </c>
      <c r="G165" s="2">
        <v>0.71199999999999997</v>
      </c>
      <c r="H165" s="2">
        <v>0.1</v>
      </c>
      <c r="I165" s="2">
        <v>0.53200000000000003</v>
      </c>
      <c r="J165" s="2">
        <v>0.16300000000000001</v>
      </c>
      <c r="K165" s="2">
        <v>0.79200000000000004</v>
      </c>
      <c r="L165" s="2">
        <v>-5.7569999999999997</v>
      </c>
    </row>
    <row r="166" spans="1:12" x14ac:dyDescent="0.25">
      <c r="A166">
        <v>194</v>
      </c>
      <c r="B166">
        <v>1</v>
      </c>
      <c r="C166" s="3">
        <v>4992405</v>
      </c>
      <c r="D166" s="4">
        <v>167628</v>
      </c>
      <c r="E166">
        <v>84</v>
      </c>
      <c r="F166" s="2">
        <v>0.57099999999999995</v>
      </c>
      <c r="G166" s="2">
        <v>0.76700000000000002</v>
      </c>
      <c r="H166" s="2">
        <v>0.28699999999999998</v>
      </c>
      <c r="I166" s="2">
        <v>0.33600000000000002</v>
      </c>
      <c r="J166" s="2">
        <v>8.09E-2</v>
      </c>
      <c r="K166" s="2">
        <v>0.60499999999999998</v>
      </c>
      <c r="L166" s="2">
        <v>-5.16</v>
      </c>
    </row>
    <row r="167" spans="1:12" x14ac:dyDescent="0.25">
      <c r="A167">
        <v>149</v>
      </c>
      <c r="B167">
        <v>5</v>
      </c>
      <c r="C167" s="3">
        <v>4978559</v>
      </c>
      <c r="D167" s="4">
        <v>130627</v>
      </c>
      <c r="E167">
        <v>84</v>
      </c>
      <c r="F167" s="2">
        <v>0.52500000000000002</v>
      </c>
      <c r="G167" s="2">
        <v>0.44800000000000001</v>
      </c>
      <c r="H167" s="2">
        <v>4.4299999999999999E-2</v>
      </c>
      <c r="I167" s="2">
        <v>0.14000000000000001</v>
      </c>
      <c r="J167" s="2">
        <v>9.2200000000000004E-2</v>
      </c>
      <c r="K167" s="2">
        <v>0.52700000000000002</v>
      </c>
      <c r="L167" s="2">
        <v>-4.0750000000000002</v>
      </c>
    </row>
    <row r="168" spans="1:12" x14ac:dyDescent="0.25">
      <c r="A168">
        <v>8</v>
      </c>
      <c r="B168">
        <v>71</v>
      </c>
      <c r="C168" s="3">
        <v>4977498</v>
      </c>
      <c r="D168" s="4">
        <v>151832</v>
      </c>
      <c r="E168">
        <v>84</v>
      </c>
      <c r="F168" s="2">
        <v>0.78900000000000003</v>
      </c>
      <c r="G168" s="2">
        <v>0.72</v>
      </c>
      <c r="H168" s="2">
        <v>0.218</v>
      </c>
      <c r="I168" s="2">
        <v>0.223</v>
      </c>
      <c r="J168" s="2">
        <v>0.129</v>
      </c>
      <c r="K168" s="2">
        <v>0.66400000000000003</v>
      </c>
      <c r="L168" s="2">
        <v>-5.6520000000000001</v>
      </c>
    </row>
    <row r="169" spans="1:12" x14ac:dyDescent="0.25">
      <c r="A169">
        <v>17</v>
      </c>
      <c r="B169">
        <v>78</v>
      </c>
      <c r="C169" s="3">
        <v>4975720</v>
      </c>
      <c r="D169" s="4">
        <v>17719446</v>
      </c>
      <c r="E169">
        <v>84</v>
      </c>
      <c r="F169" s="2">
        <v>0.59799999999999998</v>
      </c>
      <c r="G169" s="2">
        <v>0.42699999999999999</v>
      </c>
      <c r="H169" s="2">
        <v>3.1699999999999999E-2</v>
      </c>
      <c r="I169" s="2">
        <v>5.4600000000000003E-2</v>
      </c>
      <c r="J169" s="2">
        <v>0.21</v>
      </c>
      <c r="K169" s="2">
        <v>6.0499999999999998E-2</v>
      </c>
      <c r="L169" s="2">
        <v>-8.7639999999999993</v>
      </c>
    </row>
    <row r="170" spans="1:12" x14ac:dyDescent="0.25">
      <c r="A170">
        <v>188</v>
      </c>
      <c r="B170">
        <v>3</v>
      </c>
      <c r="C170" s="3">
        <v>4969662</v>
      </c>
      <c r="D170" s="4">
        <v>1560784</v>
      </c>
      <c r="E170">
        <v>84</v>
      </c>
      <c r="F170" s="2">
        <v>0.57299999999999995</v>
      </c>
      <c r="G170" s="2">
        <v>0.90200000000000002</v>
      </c>
      <c r="H170" s="2">
        <v>5.3999999999999999E-2</v>
      </c>
      <c r="I170" s="2">
        <v>1.7999999999999999E-2</v>
      </c>
      <c r="J170" s="2">
        <v>9.2799999999999994E-2</v>
      </c>
      <c r="K170" s="2">
        <v>0.876</v>
      </c>
      <c r="L170" s="2">
        <v>-7.6379999999999999</v>
      </c>
    </row>
    <row r="171" spans="1:12" x14ac:dyDescent="0.25">
      <c r="A171">
        <v>58</v>
      </c>
      <c r="B171">
        <v>8</v>
      </c>
      <c r="C171" s="3">
        <v>4954899</v>
      </c>
      <c r="D171" s="4">
        <v>6603627</v>
      </c>
      <c r="E171">
        <v>84</v>
      </c>
      <c r="F171" s="2">
        <v>0.64300000000000002</v>
      </c>
      <c r="G171" s="2">
        <v>0.40300000000000002</v>
      </c>
      <c r="H171" s="2">
        <v>0.41</v>
      </c>
      <c r="I171" s="2">
        <v>0.34300000000000003</v>
      </c>
      <c r="J171" s="2">
        <v>0.13800000000000001</v>
      </c>
      <c r="K171" s="2">
        <v>0.111</v>
      </c>
      <c r="L171" s="2">
        <v>-11.254</v>
      </c>
    </row>
    <row r="172" spans="1:12" x14ac:dyDescent="0.25">
      <c r="A172">
        <v>141</v>
      </c>
      <c r="B172">
        <v>32</v>
      </c>
      <c r="C172" s="3">
        <v>4954679</v>
      </c>
      <c r="D172" s="4">
        <v>18191658</v>
      </c>
      <c r="E172">
        <v>84</v>
      </c>
      <c r="F172" s="2">
        <v>0.748</v>
      </c>
      <c r="G172" s="2">
        <v>0.52400000000000002</v>
      </c>
      <c r="H172" s="2">
        <v>3.3799999999999997E-2</v>
      </c>
      <c r="I172" s="2">
        <v>0.41399999999999998</v>
      </c>
      <c r="J172" s="2">
        <v>0.111</v>
      </c>
      <c r="K172" s="2">
        <v>0.66100000000000003</v>
      </c>
      <c r="L172" s="2">
        <v>-5.5990000000000002</v>
      </c>
    </row>
    <row r="173" spans="1:12" x14ac:dyDescent="0.25">
      <c r="A173">
        <v>172</v>
      </c>
      <c r="B173">
        <v>12</v>
      </c>
      <c r="C173" s="3">
        <v>4948965</v>
      </c>
      <c r="D173" s="4">
        <v>46785561</v>
      </c>
      <c r="E173">
        <v>84</v>
      </c>
      <c r="F173" s="2">
        <v>0.94899999999999995</v>
      </c>
      <c r="G173" s="2">
        <v>0.66100000000000003</v>
      </c>
      <c r="H173" s="2">
        <v>5.7200000000000001E-2</v>
      </c>
      <c r="I173" s="2">
        <v>3.0200000000000001E-2</v>
      </c>
      <c r="J173" s="2">
        <v>4.5400000000000003E-2</v>
      </c>
      <c r="K173" s="2">
        <v>0.76</v>
      </c>
      <c r="L173" s="2">
        <v>-4.2439999999999998</v>
      </c>
    </row>
    <row r="174" spans="1:12" x14ac:dyDescent="0.25">
      <c r="A174">
        <v>117</v>
      </c>
      <c r="B174">
        <v>27</v>
      </c>
      <c r="C174" s="3">
        <v>4938586</v>
      </c>
      <c r="D174" s="4">
        <v>12369079</v>
      </c>
      <c r="E174">
        <v>84</v>
      </c>
      <c r="F174" s="2">
        <v>0.54800000000000004</v>
      </c>
      <c r="G174" s="2">
        <v>0.53200000000000003</v>
      </c>
      <c r="H174" s="2">
        <v>3.2300000000000002E-2</v>
      </c>
      <c r="I174" s="2">
        <v>0.186</v>
      </c>
      <c r="J174" s="2">
        <v>0.217</v>
      </c>
      <c r="K174" s="2">
        <v>0.40500000000000003</v>
      </c>
      <c r="L174" s="2">
        <v>-7.5960000000000001</v>
      </c>
    </row>
    <row r="175" spans="1:12" x14ac:dyDescent="0.25">
      <c r="A175">
        <v>119</v>
      </c>
      <c r="B175">
        <v>6</v>
      </c>
      <c r="C175" s="3">
        <v>4904401</v>
      </c>
      <c r="D175" s="4">
        <v>14097410</v>
      </c>
      <c r="E175">
        <v>84</v>
      </c>
      <c r="F175" s="2">
        <v>0.69199999999999995</v>
      </c>
      <c r="G175" s="2">
        <v>0.52100000000000002</v>
      </c>
      <c r="H175" s="2">
        <v>0.33</v>
      </c>
      <c r="I175" s="2">
        <v>0.30099999999999999</v>
      </c>
      <c r="J175" s="2">
        <v>5.6500000000000002E-2</v>
      </c>
      <c r="K175" s="2">
        <v>0.46300000000000002</v>
      </c>
      <c r="L175" s="2">
        <v>-8.4649999999999999</v>
      </c>
    </row>
    <row r="176" spans="1:12" x14ac:dyDescent="0.25">
      <c r="A176">
        <v>7</v>
      </c>
      <c r="B176">
        <v>74</v>
      </c>
      <c r="C176" s="3">
        <v>4898977</v>
      </c>
      <c r="D176" s="4">
        <v>17719446</v>
      </c>
      <c r="E176">
        <v>84</v>
      </c>
      <c r="F176" s="2">
        <v>0.83399999999999996</v>
      </c>
      <c r="G176" s="2">
        <v>0.73</v>
      </c>
      <c r="H176" s="2">
        <v>0.222</v>
      </c>
      <c r="I176" s="2">
        <v>5.13E-3</v>
      </c>
      <c r="J176" s="2">
        <v>0.124</v>
      </c>
      <c r="K176" s="2">
        <v>0.44600000000000001</v>
      </c>
      <c r="L176" s="2">
        <v>-3.714</v>
      </c>
    </row>
    <row r="177" spans="1:12" x14ac:dyDescent="0.25">
      <c r="A177">
        <v>57</v>
      </c>
      <c r="B177">
        <v>5</v>
      </c>
      <c r="C177" s="3">
        <v>9206366</v>
      </c>
      <c r="D177" s="4">
        <v>409173</v>
      </c>
      <c r="E177">
        <v>83</v>
      </c>
      <c r="F177" s="2">
        <v>0.66800000000000004</v>
      </c>
      <c r="G177" s="2">
        <v>0.88700000000000001</v>
      </c>
      <c r="H177" s="2">
        <v>5.6399999999999999E-2</v>
      </c>
      <c r="I177" s="2">
        <v>0.36899999999999999</v>
      </c>
      <c r="J177" s="2">
        <v>0.25700000000000001</v>
      </c>
      <c r="K177" s="2">
        <v>0.90700000000000003</v>
      </c>
      <c r="L177" s="2">
        <v>-4.4039999999999999</v>
      </c>
    </row>
    <row r="178" spans="1:12" x14ac:dyDescent="0.25">
      <c r="A178">
        <v>71</v>
      </c>
      <c r="B178">
        <v>1</v>
      </c>
      <c r="C178" s="3">
        <v>8269753</v>
      </c>
      <c r="D178" s="4">
        <v>26131</v>
      </c>
      <c r="E178">
        <v>83</v>
      </c>
      <c r="F178" s="2">
        <v>0.83299999999999996</v>
      </c>
      <c r="G178" s="2">
        <v>0.498</v>
      </c>
      <c r="H178" s="2">
        <v>0.11700000000000001</v>
      </c>
      <c r="I178" s="2">
        <v>4.9299999999999997E-2</v>
      </c>
      <c r="J178" s="2">
        <v>0.11899999999999999</v>
      </c>
      <c r="K178" s="2">
        <v>0.25900000000000001</v>
      </c>
      <c r="L178" s="2">
        <v>-5.1959999999999997</v>
      </c>
    </row>
    <row r="179" spans="1:12" x14ac:dyDescent="0.25">
      <c r="A179">
        <v>1</v>
      </c>
      <c r="B179">
        <v>83</v>
      </c>
      <c r="C179" s="3">
        <v>7687058</v>
      </c>
      <c r="D179" s="4">
        <v>2819593</v>
      </c>
      <c r="E179">
        <v>83</v>
      </c>
      <c r="F179" s="2">
        <v>0.82399999999999995</v>
      </c>
      <c r="G179" s="2">
        <v>0.58799999999999997</v>
      </c>
      <c r="H179" s="2">
        <v>9.2399999999999996E-2</v>
      </c>
      <c r="I179" s="2">
        <v>0.69199999999999995</v>
      </c>
      <c r="J179" s="2">
        <v>0.14899999999999999</v>
      </c>
      <c r="K179" s="2">
        <v>0.51300000000000001</v>
      </c>
      <c r="L179" s="2">
        <v>-6.4</v>
      </c>
    </row>
    <row r="180" spans="1:12" x14ac:dyDescent="0.25">
      <c r="A180">
        <v>22</v>
      </c>
      <c r="B180">
        <v>83</v>
      </c>
      <c r="C180" s="3">
        <v>6813800</v>
      </c>
      <c r="D180" s="4">
        <v>8384096</v>
      </c>
      <c r="E180">
        <v>83</v>
      </c>
      <c r="F180" s="2">
        <v>0.45900000000000002</v>
      </c>
      <c r="G180" s="2">
        <v>0.57499999999999996</v>
      </c>
      <c r="H180" s="2">
        <v>5.7299999999999997E-2</v>
      </c>
      <c r="I180" s="2">
        <v>0.60399999999999998</v>
      </c>
      <c r="J180" s="2">
        <v>8.8499999999999995E-2</v>
      </c>
      <c r="K180" s="2">
        <v>0.183</v>
      </c>
      <c r="L180" s="2">
        <v>-4.8579999999999997</v>
      </c>
    </row>
    <row r="181" spans="1:12" x14ac:dyDescent="0.25">
      <c r="A181">
        <v>45</v>
      </c>
      <c r="B181">
        <v>19</v>
      </c>
      <c r="C181" s="3">
        <v>6660319</v>
      </c>
      <c r="D181" s="4">
        <v>32574754</v>
      </c>
      <c r="E181">
        <v>83</v>
      </c>
      <c r="F181" s="2">
        <v>0.52300000000000002</v>
      </c>
      <c r="G181" s="2">
        <v>0.60599999999999998</v>
      </c>
      <c r="H181" s="2">
        <v>3.0099999999999998E-2</v>
      </c>
      <c r="I181" s="2">
        <v>0.51200000000000001</v>
      </c>
      <c r="J181" s="2">
        <v>0.106</v>
      </c>
      <c r="K181" s="2">
        <v>6.5000000000000002E-2</v>
      </c>
      <c r="L181" s="2">
        <v>-4.7539999999999996</v>
      </c>
    </row>
    <row r="182" spans="1:12" x14ac:dyDescent="0.25">
      <c r="A182">
        <v>22</v>
      </c>
      <c r="B182">
        <v>22</v>
      </c>
      <c r="C182" s="3">
        <v>6318660</v>
      </c>
      <c r="D182" s="4">
        <v>27142474</v>
      </c>
      <c r="E182">
        <v>83</v>
      </c>
      <c r="F182" s="2">
        <v>0.72199999999999998</v>
      </c>
      <c r="G182" s="2">
        <v>0.58799999999999997</v>
      </c>
      <c r="H182" s="2">
        <v>5.4399999999999997E-2</v>
      </c>
      <c r="I182" s="2">
        <v>3.1899999999999998E-2</v>
      </c>
      <c r="J182" s="2">
        <v>0.183</v>
      </c>
      <c r="K182" s="2">
        <v>0.59</v>
      </c>
      <c r="L182" s="2">
        <v>-5.9320000000000004</v>
      </c>
    </row>
    <row r="183" spans="1:12" x14ac:dyDescent="0.25">
      <c r="A183">
        <v>17</v>
      </c>
      <c r="B183">
        <v>30</v>
      </c>
      <c r="C183" s="3">
        <v>6308369</v>
      </c>
      <c r="D183" s="4">
        <v>278679</v>
      </c>
      <c r="E183">
        <v>83</v>
      </c>
      <c r="F183" s="2">
        <v>0.72499999999999998</v>
      </c>
      <c r="G183" s="2">
        <v>0.75600000000000001</v>
      </c>
      <c r="H183" s="2">
        <v>5.7200000000000001E-2</v>
      </c>
      <c r="I183" s="2">
        <v>0.36199999999999999</v>
      </c>
      <c r="J183" s="2">
        <v>0.10299999999999999</v>
      </c>
      <c r="K183" s="2">
        <v>0.82799999999999996</v>
      </c>
      <c r="L183" s="2">
        <v>-5.0129999999999999</v>
      </c>
    </row>
    <row r="184" spans="1:12" x14ac:dyDescent="0.25">
      <c r="A184">
        <v>14</v>
      </c>
      <c r="B184">
        <v>25</v>
      </c>
      <c r="C184" s="3">
        <v>5845156</v>
      </c>
      <c r="D184" s="4">
        <v>17353707</v>
      </c>
      <c r="E184">
        <v>83</v>
      </c>
      <c r="F184" s="2">
        <v>0.86799999999999999</v>
      </c>
      <c r="G184" s="2">
        <v>0.79500000000000004</v>
      </c>
      <c r="H184" s="2">
        <v>0.26900000000000002</v>
      </c>
      <c r="I184" s="2">
        <v>1.1999999999999999E-3</v>
      </c>
      <c r="J184" s="2">
        <v>4.6100000000000002E-2</v>
      </c>
      <c r="K184" s="2">
        <v>0.81899999999999995</v>
      </c>
      <c r="L184" s="2">
        <v>-6.0439999999999996</v>
      </c>
    </row>
    <row r="185" spans="1:12" x14ac:dyDescent="0.25">
      <c r="A185">
        <v>100</v>
      </c>
      <c r="B185">
        <v>2</v>
      </c>
      <c r="C185" s="3">
        <v>5682062</v>
      </c>
      <c r="D185" s="4">
        <v>10561047</v>
      </c>
      <c r="E185">
        <v>83</v>
      </c>
      <c r="F185" s="2">
        <v>0.871</v>
      </c>
      <c r="G185" s="2">
        <v>0.81499999999999995</v>
      </c>
      <c r="H185" s="2">
        <v>4.7699999999999999E-2</v>
      </c>
      <c r="I185" s="2">
        <v>0.127</v>
      </c>
      <c r="J185" s="2">
        <v>9.4E-2</v>
      </c>
      <c r="K185" s="2">
        <v>0.82299999999999995</v>
      </c>
      <c r="L185" s="2">
        <v>-4.4390000000000001</v>
      </c>
    </row>
    <row r="186" spans="1:12" x14ac:dyDescent="0.25">
      <c r="A186">
        <v>59</v>
      </c>
      <c r="B186">
        <v>83</v>
      </c>
      <c r="C186" s="3">
        <v>5672480</v>
      </c>
      <c r="D186" s="4">
        <v>18572085</v>
      </c>
      <c r="E186">
        <v>83</v>
      </c>
      <c r="F186" s="2">
        <v>0.57199999999999995</v>
      </c>
      <c r="G186" s="2">
        <v>0.38500000000000001</v>
      </c>
      <c r="H186" s="2">
        <v>3.0800000000000001E-2</v>
      </c>
      <c r="I186" s="2">
        <v>0.371</v>
      </c>
      <c r="J186" s="2">
        <v>0.23100000000000001</v>
      </c>
      <c r="K186" s="2">
        <v>0.32300000000000001</v>
      </c>
      <c r="L186" s="2">
        <v>-6.3620000000000001</v>
      </c>
    </row>
    <row r="187" spans="1:12" x14ac:dyDescent="0.25">
      <c r="A187">
        <v>153</v>
      </c>
      <c r="B187">
        <v>1</v>
      </c>
      <c r="C187" s="3">
        <v>5627257</v>
      </c>
      <c r="D187" s="4">
        <v>205590</v>
      </c>
      <c r="E187">
        <v>83</v>
      </c>
      <c r="F187" s="2">
        <v>0.84299999999999997</v>
      </c>
      <c r="G187" s="2">
        <v>0.53400000000000003</v>
      </c>
      <c r="H187" s="2">
        <v>0.14199999999999999</v>
      </c>
      <c r="I187" s="2">
        <v>0.46700000000000003</v>
      </c>
      <c r="J187" s="2">
        <v>9.8400000000000001E-2</v>
      </c>
      <c r="K187" s="2">
        <v>0.52800000000000002</v>
      </c>
      <c r="L187" s="2">
        <v>-6.6580000000000004</v>
      </c>
    </row>
    <row r="188" spans="1:12" x14ac:dyDescent="0.25">
      <c r="A188">
        <v>128</v>
      </c>
      <c r="B188">
        <v>7</v>
      </c>
      <c r="C188" s="3">
        <v>5594505</v>
      </c>
      <c r="D188" s="4">
        <v>77034</v>
      </c>
      <c r="E188">
        <v>83</v>
      </c>
      <c r="F188" s="2">
        <v>0.65</v>
      </c>
      <c r="G188" s="2">
        <v>0.79200000000000004</v>
      </c>
      <c r="H188" s="2">
        <v>3.9300000000000002E-2</v>
      </c>
      <c r="I188" s="2">
        <v>0.60699999999999998</v>
      </c>
      <c r="J188" s="2">
        <v>0.92</v>
      </c>
      <c r="K188" s="2">
        <v>0.872</v>
      </c>
      <c r="L188" s="2">
        <v>-3.8250000000000002</v>
      </c>
    </row>
    <row r="189" spans="1:12" x14ac:dyDescent="0.25">
      <c r="A189">
        <v>59</v>
      </c>
      <c r="B189">
        <v>18</v>
      </c>
      <c r="C189" s="3">
        <v>5470147</v>
      </c>
      <c r="D189" s="4">
        <v>3911473</v>
      </c>
      <c r="E189">
        <v>83</v>
      </c>
      <c r="F189" s="2">
        <v>0.61399999999999999</v>
      </c>
      <c r="G189" s="2">
        <v>0.93400000000000005</v>
      </c>
      <c r="H189" s="2">
        <v>7.0000000000000007E-2</v>
      </c>
      <c r="I189" s="2">
        <v>6.9699999999999998E-2</v>
      </c>
      <c r="J189" s="2">
        <v>0.121</v>
      </c>
      <c r="K189" s="2">
        <v>0.436</v>
      </c>
      <c r="L189" s="2">
        <v>-3.7090000000000001</v>
      </c>
    </row>
    <row r="190" spans="1:12" x14ac:dyDescent="0.25">
      <c r="A190">
        <v>59</v>
      </c>
      <c r="B190">
        <v>18</v>
      </c>
      <c r="C190" s="3">
        <v>5434073</v>
      </c>
      <c r="D190" s="4">
        <v>11477164</v>
      </c>
      <c r="E190">
        <v>83</v>
      </c>
      <c r="F190" s="2">
        <v>0.47599999999999998</v>
      </c>
      <c r="G190" s="2">
        <v>0.59399999999999997</v>
      </c>
      <c r="H190" s="2">
        <v>0.13500000000000001</v>
      </c>
      <c r="I190" s="2">
        <v>5.9900000000000002E-2</v>
      </c>
      <c r="J190" s="2">
        <v>7.85E-2</v>
      </c>
      <c r="K190" s="2">
        <v>0.314</v>
      </c>
      <c r="L190" s="2">
        <v>-6.8789999999999996</v>
      </c>
    </row>
    <row r="191" spans="1:12" x14ac:dyDescent="0.25">
      <c r="A191">
        <v>144</v>
      </c>
      <c r="B191">
        <v>27</v>
      </c>
      <c r="C191" s="3">
        <v>5379704</v>
      </c>
      <c r="D191" s="4">
        <v>4339245</v>
      </c>
      <c r="E191">
        <v>83</v>
      </c>
      <c r="F191" s="2">
        <v>0.82</v>
      </c>
      <c r="G191" s="2">
        <v>0.45200000000000001</v>
      </c>
      <c r="H191" s="2">
        <v>3.4799999999999998E-2</v>
      </c>
      <c r="I191" s="2">
        <v>0.54300000000000004</v>
      </c>
      <c r="J191" s="2">
        <v>7.1400000000000005E-2</v>
      </c>
      <c r="K191" s="2">
        <v>0.74</v>
      </c>
      <c r="L191" s="2">
        <v>-9.7959999999999994</v>
      </c>
    </row>
    <row r="192" spans="1:12" x14ac:dyDescent="0.25">
      <c r="A192">
        <v>108</v>
      </c>
      <c r="B192">
        <v>51</v>
      </c>
      <c r="C192" s="3">
        <v>5372180</v>
      </c>
      <c r="D192" s="4">
        <v>19085118</v>
      </c>
      <c r="E192">
        <v>83</v>
      </c>
      <c r="F192" s="2">
        <v>0.67100000000000004</v>
      </c>
      <c r="G192" s="2">
        <v>0.52900000000000003</v>
      </c>
      <c r="H192" s="2">
        <v>0.307</v>
      </c>
      <c r="I192" s="2">
        <v>7.6899999999999996E-2</v>
      </c>
      <c r="J192" s="2">
        <v>8.5599999999999996E-2</v>
      </c>
      <c r="K192" s="2">
        <v>0.20300000000000001</v>
      </c>
      <c r="L192" s="2">
        <v>-7.226</v>
      </c>
    </row>
    <row r="193" spans="1:12" x14ac:dyDescent="0.25">
      <c r="A193">
        <v>101</v>
      </c>
      <c r="B193">
        <v>3</v>
      </c>
      <c r="C193" s="3">
        <v>5321544</v>
      </c>
      <c r="D193" s="4">
        <v>6278835</v>
      </c>
      <c r="E193">
        <v>83</v>
      </c>
      <c r="F193" s="2">
        <v>0.47699999999999998</v>
      </c>
      <c r="G193" s="2">
        <v>0.72699999999999998</v>
      </c>
      <c r="H193" s="2">
        <v>0.28599999999999998</v>
      </c>
      <c r="I193" s="2">
        <v>8.6600000000000002E-4</v>
      </c>
      <c r="J193" s="2">
        <v>0.108</v>
      </c>
      <c r="K193" s="2">
        <v>0.22700000000000001</v>
      </c>
      <c r="L193" s="2">
        <v>-4.0529999999999999</v>
      </c>
    </row>
    <row r="194" spans="1:12" x14ac:dyDescent="0.25">
      <c r="A194">
        <v>64</v>
      </c>
      <c r="B194">
        <v>12</v>
      </c>
      <c r="C194" s="3">
        <v>5302285</v>
      </c>
      <c r="D194" s="4">
        <v>35340069</v>
      </c>
      <c r="E194">
        <v>83</v>
      </c>
      <c r="F194" s="2">
        <v>0.67900000000000005</v>
      </c>
      <c r="G194" s="2">
        <v>0.58699999999999997</v>
      </c>
      <c r="H194" s="2">
        <v>0.27600000000000002</v>
      </c>
      <c r="I194" s="2">
        <v>0.14099999999999999</v>
      </c>
      <c r="J194" s="2">
        <v>0.13700000000000001</v>
      </c>
      <c r="K194" s="2">
        <v>0.48599999999999999</v>
      </c>
      <c r="L194" s="2">
        <v>-7.0149999999999997</v>
      </c>
    </row>
    <row r="195" spans="1:12" x14ac:dyDescent="0.25">
      <c r="A195">
        <v>47</v>
      </c>
      <c r="B195">
        <v>32</v>
      </c>
      <c r="C195" s="3">
        <v>5298893</v>
      </c>
      <c r="D195" s="4">
        <v>16112621</v>
      </c>
      <c r="E195">
        <v>83</v>
      </c>
      <c r="F195" s="2">
        <v>0.44800000000000001</v>
      </c>
      <c r="G195" s="2">
        <v>0.83799999999999997</v>
      </c>
      <c r="H195" s="2">
        <v>5.57E-2</v>
      </c>
      <c r="I195" s="2">
        <v>0.21</v>
      </c>
      <c r="J195" s="2">
        <v>0.13100000000000001</v>
      </c>
      <c r="K195" s="2">
        <v>0.254</v>
      </c>
      <c r="L195" s="2">
        <v>-5.2569999999999997</v>
      </c>
    </row>
    <row r="196" spans="1:12" x14ac:dyDescent="0.25">
      <c r="A196">
        <v>5</v>
      </c>
      <c r="B196">
        <v>142</v>
      </c>
      <c r="C196" s="3">
        <v>5294368</v>
      </c>
      <c r="D196" s="4">
        <v>16112621</v>
      </c>
      <c r="E196">
        <v>83</v>
      </c>
      <c r="F196" s="2">
        <v>0.56699999999999995</v>
      </c>
      <c r="G196" s="2">
        <v>0.26700000000000002</v>
      </c>
      <c r="H196" s="2">
        <v>2.9899999999999999E-2</v>
      </c>
      <c r="I196" s="2">
        <v>0.83899999999999997</v>
      </c>
      <c r="J196" s="2">
        <v>8.8999999999999996E-2</v>
      </c>
      <c r="K196" s="2">
        <v>5.9200000000000003E-2</v>
      </c>
      <c r="L196" s="2">
        <v>-6.5019999999999998</v>
      </c>
    </row>
    <row r="197" spans="1:12" x14ac:dyDescent="0.25">
      <c r="A197">
        <v>19</v>
      </c>
      <c r="B197">
        <v>26</v>
      </c>
      <c r="C197" s="3">
        <v>5264232</v>
      </c>
      <c r="D197" s="4">
        <v>5473565</v>
      </c>
      <c r="E197">
        <v>83</v>
      </c>
      <c r="F197" s="2">
        <v>0.81</v>
      </c>
      <c r="G197" s="2">
        <v>0.51100000000000001</v>
      </c>
      <c r="H197" s="2">
        <v>0.16400000000000001</v>
      </c>
      <c r="I197" s="2">
        <v>0.12</v>
      </c>
      <c r="J197" s="2">
        <v>8.3199999999999996E-2</v>
      </c>
      <c r="K197" s="2">
        <v>0.83699999999999997</v>
      </c>
      <c r="L197" s="2">
        <v>-6.9240000000000004</v>
      </c>
    </row>
    <row r="198" spans="1:12" x14ac:dyDescent="0.25">
      <c r="A198">
        <v>72</v>
      </c>
      <c r="B198">
        <v>10</v>
      </c>
      <c r="C198" s="3">
        <v>5258628</v>
      </c>
      <c r="D198" s="4">
        <v>17202</v>
      </c>
      <c r="E198">
        <v>83</v>
      </c>
      <c r="F198" s="2">
        <v>0.64700000000000002</v>
      </c>
      <c r="G198" s="2">
        <v>0.60799999999999998</v>
      </c>
      <c r="H198" s="2">
        <v>0.42</v>
      </c>
      <c r="I198" s="2">
        <v>0.13</v>
      </c>
      <c r="J198" s="2">
        <v>5.8400000000000001E-2</v>
      </c>
      <c r="K198" s="2">
        <v>0.47399999999999998</v>
      </c>
      <c r="L198" s="2">
        <v>-6.8310000000000004</v>
      </c>
    </row>
    <row r="199" spans="1:12" x14ac:dyDescent="0.25">
      <c r="A199">
        <v>175</v>
      </c>
      <c r="B199">
        <v>4</v>
      </c>
      <c r="C199" s="3">
        <v>5242097</v>
      </c>
      <c r="D199" s="4">
        <v>127364</v>
      </c>
      <c r="E199">
        <v>83</v>
      </c>
      <c r="F199" s="2">
        <v>0.47699999999999998</v>
      </c>
      <c r="G199" s="2">
        <v>0.84399999999999997</v>
      </c>
      <c r="H199" s="2">
        <v>4.58E-2</v>
      </c>
      <c r="I199" s="2">
        <v>2.7299999999999998E-3</v>
      </c>
      <c r="J199" s="2">
        <v>0.13700000000000001</v>
      </c>
      <c r="K199" s="2">
        <v>0.20300000000000001</v>
      </c>
      <c r="L199" s="2">
        <v>-4.87</v>
      </c>
    </row>
    <row r="200" spans="1:12" x14ac:dyDescent="0.25">
      <c r="A200">
        <v>100</v>
      </c>
      <c r="B200">
        <v>9</v>
      </c>
      <c r="C200" s="3">
        <v>5235335</v>
      </c>
      <c r="D200" s="4">
        <v>8148393</v>
      </c>
      <c r="E200">
        <v>83</v>
      </c>
      <c r="F200" s="2">
        <v>0.59499999999999997</v>
      </c>
      <c r="G200" s="2">
        <v>0.75900000000000001</v>
      </c>
      <c r="H200" s="2">
        <v>4.2299999999999997E-2</v>
      </c>
      <c r="I200" s="2">
        <v>0.14099999999999999</v>
      </c>
      <c r="J200" s="2">
        <v>0.17199999999999999</v>
      </c>
      <c r="K200" s="2">
        <v>0.51500000000000001</v>
      </c>
      <c r="L200" s="2">
        <v>-4.2450000000000001</v>
      </c>
    </row>
    <row r="201" spans="1:12" x14ac:dyDescent="0.25">
      <c r="A201">
        <v>10</v>
      </c>
      <c r="B201">
        <v>49</v>
      </c>
      <c r="C201" s="3">
        <v>5203364</v>
      </c>
      <c r="D201" s="4">
        <v>29051363</v>
      </c>
      <c r="E201">
        <v>83</v>
      </c>
      <c r="F201" s="2">
        <v>0.57099999999999995</v>
      </c>
      <c r="G201" s="2">
        <v>0.69299999999999995</v>
      </c>
      <c r="H201" s="2">
        <v>5.45E-2</v>
      </c>
      <c r="I201" s="2">
        <v>5.3600000000000002E-3</v>
      </c>
      <c r="J201" s="2">
        <v>0.17299999999999999</v>
      </c>
      <c r="K201" s="2">
        <v>0.39300000000000002</v>
      </c>
      <c r="L201" s="2">
        <v>-8.234</v>
      </c>
    </row>
    <row r="202" spans="1:12" x14ac:dyDescent="0.25">
      <c r="A202">
        <v>71</v>
      </c>
      <c r="B202">
        <v>3</v>
      </c>
      <c r="C202" s="3">
        <v>5150909</v>
      </c>
      <c r="D202" s="4">
        <v>35285425</v>
      </c>
      <c r="E202">
        <v>83</v>
      </c>
      <c r="F202" s="2">
        <v>0.626</v>
      </c>
      <c r="G202" s="2">
        <v>0.56000000000000005</v>
      </c>
      <c r="H202" s="2">
        <v>2.8799999999999999E-2</v>
      </c>
      <c r="I202" s="2">
        <v>0.14799999999999999</v>
      </c>
      <c r="J202" s="2">
        <v>0.109</v>
      </c>
      <c r="K202" s="2">
        <v>0.22900000000000001</v>
      </c>
      <c r="L202" s="2">
        <v>-5.82</v>
      </c>
    </row>
    <row r="203" spans="1:12" x14ac:dyDescent="0.25">
      <c r="A203">
        <v>183</v>
      </c>
      <c r="B203">
        <v>1</v>
      </c>
      <c r="C203" s="3">
        <v>5145432</v>
      </c>
      <c r="D203" s="4">
        <v>304995</v>
      </c>
      <c r="E203">
        <v>83</v>
      </c>
      <c r="F203" s="2">
        <v>0.64900000000000002</v>
      </c>
      <c r="G203" s="2">
        <v>0.76</v>
      </c>
      <c r="H203" s="2">
        <v>5.74E-2</v>
      </c>
      <c r="I203" s="2">
        <v>0.114</v>
      </c>
      <c r="J203" s="2">
        <v>0.317</v>
      </c>
      <c r="K203" s="2">
        <v>0.84299999999999997</v>
      </c>
      <c r="L203" s="2">
        <v>-6.4870000000000001</v>
      </c>
    </row>
    <row r="204" spans="1:12" x14ac:dyDescent="0.25">
      <c r="A204">
        <v>4</v>
      </c>
      <c r="B204">
        <v>70</v>
      </c>
      <c r="C204" s="3">
        <v>5143522</v>
      </c>
      <c r="D204" s="4">
        <v>46785561</v>
      </c>
      <c r="E204">
        <v>83</v>
      </c>
      <c r="F204" s="2">
        <v>0.80800000000000005</v>
      </c>
      <c r="G204" s="2">
        <v>0.745</v>
      </c>
      <c r="H204" s="2">
        <v>0.34200000000000003</v>
      </c>
      <c r="I204" s="2">
        <v>0.14499999999999999</v>
      </c>
      <c r="J204" s="2">
        <v>0.29199999999999998</v>
      </c>
      <c r="K204" s="2">
        <v>0.82899999999999996</v>
      </c>
      <c r="L204" s="2">
        <v>-5.26</v>
      </c>
    </row>
    <row r="205" spans="1:12" x14ac:dyDescent="0.25">
      <c r="A205">
        <v>7</v>
      </c>
      <c r="B205">
        <v>44</v>
      </c>
      <c r="C205" s="3">
        <v>5125706</v>
      </c>
      <c r="D205" s="4">
        <v>19085118</v>
      </c>
      <c r="E205">
        <v>83</v>
      </c>
      <c r="F205" s="2">
        <v>0.65</v>
      </c>
      <c r="G205" s="2">
        <v>0.61299999999999999</v>
      </c>
      <c r="H205" s="2">
        <v>0.128</v>
      </c>
      <c r="I205" s="2">
        <v>3.3600000000000001E-3</v>
      </c>
      <c r="J205" s="2">
        <v>0.26700000000000002</v>
      </c>
      <c r="K205" s="2">
        <v>8.0399999999999999E-2</v>
      </c>
      <c r="L205" s="2">
        <v>-6.13</v>
      </c>
    </row>
    <row r="206" spans="1:12" x14ac:dyDescent="0.25">
      <c r="A206">
        <v>31</v>
      </c>
      <c r="B206">
        <v>19</v>
      </c>
      <c r="C206" s="3">
        <v>5124606</v>
      </c>
      <c r="D206" s="4">
        <v>140812</v>
      </c>
      <c r="E206">
        <v>83</v>
      </c>
      <c r="F206" s="2">
        <v>0.72199999999999998</v>
      </c>
      <c r="G206" s="2">
        <v>0.89300000000000002</v>
      </c>
      <c r="H206" s="2">
        <v>4.7500000000000001E-2</v>
      </c>
      <c r="I206" s="2">
        <v>4.41E-2</v>
      </c>
      <c r="J206" s="2">
        <v>6.7299999999999999E-2</v>
      </c>
      <c r="K206" s="2">
        <v>0.439</v>
      </c>
      <c r="L206" s="2">
        <v>-3.2549999999999999</v>
      </c>
    </row>
    <row r="207" spans="1:12" x14ac:dyDescent="0.25">
      <c r="A207">
        <v>83</v>
      </c>
      <c r="B207">
        <v>53</v>
      </c>
      <c r="C207" s="3">
        <v>5115990</v>
      </c>
      <c r="D207" s="4">
        <v>33663701</v>
      </c>
      <c r="E207">
        <v>83</v>
      </c>
      <c r="F207" s="2">
        <v>0.58499999999999996</v>
      </c>
      <c r="G207" s="2">
        <v>0.52</v>
      </c>
      <c r="H207" s="2">
        <v>7.1199999999999999E-2</v>
      </c>
      <c r="I207" s="2">
        <v>0.124</v>
      </c>
      <c r="J207" s="2">
        <v>0.13100000000000001</v>
      </c>
      <c r="K207" s="2">
        <v>0.129</v>
      </c>
      <c r="L207" s="2">
        <v>-6.1360000000000001</v>
      </c>
    </row>
    <row r="208" spans="1:12" x14ac:dyDescent="0.25">
      <c r="A208">
        <v>179</v>
      </c>
      <c r="B208">
        <v>1</v>
      </c>
      <c r="C208" s="3">
        <v>5096618</v>
      </c>
      <c r="D208" s="4">
        <v>20110171</v>
      </c>
      <c r="E208">
        <v>83</v>
      </c>
      <c r="F208" s="2">
        <v>0.57399999999999995</v>
      </c>
      <c r="G208" s="2">
        <v>0.91300000000000003</v>
      </c>
      <c r="H208" s="2">
        <v>0.13300000000000001</v>
      </c>
      <c r="I208" s="2">
        <v>6.0999999999999999E-2</v>
      </c>
      <c r="J208" s="2">
        <v>0.156</v>
      </c>
      <c r="K208" s="2">
        <v>0.42299999999999999</v>
      </c>
      <c r="L208" s="2">
        <v>-4.7930000000000001</v>
      </c>
    </row>
    <row r="209" spans="1:12" x14ac:dyDescent="0.25">
      <c r="A209">
        <v>40</v>
      </c>
      <c r="B209">
        <v>65</v>
      </c>
      <c r="C209" s="3">
        <v>5092354</v>
      </c>
      <c r="D209" s="4">
        <v>6837946</v>
      </c>
      <c r="E209">
        <v>83</v>
      </c>
      <c r="F209" s="2">
        <v>0.54800000000000004</v>
      </c>
      <c r="G209" s="2">
        <v>0.80500000000000005</v>
      </c>
      <c r="H209" s="2">
        <v>0.35099999999999998</v>
      </c>
      <c r="I209" s="2">
        <v>0.21199999999999999</v>
      </c>
      <c r="J209" s="2">
        <v>0.40799999999999997</v>
      </c>
      <c r="K209" s="2">
        <v>0.64800000000000002</v>
      </c>
      <c r="L209" s="2">
        <v>-5.7320000000000002</v>
      </c>
    </row>
    <row r="210" spans="1:12" x14ac:dyDescent="0.25">
      <c r="A210">
        <v>45</v>
      </c>
      <c r="B210">
        <v>29</v>
      </c>
      <c r="C210" s="3">
        <v>5090062</v>
      </c>
      <c r="D210" s="4">
        <v>1254432</v>
      </c>
      <c r="E210">
        <v>83</v>
      </c>
      <c r="F210" s="2">
        <v>0.84</v>
      </c>
      <c r="G210" s="2">
        <v>0.76600000000000001</v>
      </c>
      <c r="H210" s="2">
        <v>0.13600000000000001</v>
      </c>
      <c r="I210" s="2">
        <v>3.0200000000000001E-3</v>
      </c>
      <c r="J210" s="2">
        <v>6.8400000000000002E-2</v>
      </c>
      <c r="K210" s="2">
        <v>0.40200000000000002</v>
      </c>
      <c r="L210" s="2">
        <v>-4.12</v>
      </c>
    </row>
    <row r="211" spans="1:12" x14ac:dyDescent="0.25">
      <c r="A211">
        <v>170</v>
      </c>
      <c r="B211">
        <v>13</v>
      </c>
      <c r="C211" s="3">
        <v>5085147</v>
      </c>
      <c r="D211" s="4">
        <v>2562082</v>
      </c>
      <c r="E211">
        <v>83</v>
      </c>
      <c r="F211" s="2">
        <v>0.64100000000000001</v>
      </c>
      <c r="G211" s="2">
        <v>0.92200000000000004</v>
      </c>
      <c r="H211" s="2">
        <v>7.8600000000000003E-2</v>
      </c>
      <c r="I211" s="2">
        <v>2.9100000000000001E-2</v>
      </c>
      <c r="J211" s="2">
        <v>8.6199999999999999E-2</v>
      </c>
      <c r="K211" s="2">
        <v>0.84699999999999998</v>
      </c>
      <c r="L211" s="2">
        <v>-4.4569999999999999</v>
      </c>
    </row>
    <row r="212" spans="1:12" x14ac:dyDescent="0.25">
      <c r="A212">
        <v>183</v>
      </c>
      <c r="B212">
        <v>4</v>
      </c>
      <c r="C212" s="3">
        <v>5068677</v>
      </c>
      <c r="D212" s="4">
        <v>2166191</v>
      </c>
      <c r="E212">
        <v>83</v>
      </c>
      <c r="F212" s="2">
        <v>0.76</v>
      </c>
      <c r="G212" s="2">
        <v>0.67400000000000004</v>
      </c>
      <c r="H212" s="2">
        <v>6.3600000000000004E-2</v>
      </c>
      <c r="I212" s="2">
        <v>0.39600000000000002</v>
      </c>
      <c r="J212" s="2">
        <v>9.7699999999999995E-2</v>
      </c>
      <c r="K212" s="2">
        <v>0.73499999999999999</v>
      </c>
      <c r="L212" s="2">
        <v>-4.0389999999999997</v>
      </c>
    </row>
    <row r="213" spans="1:12" x14ac:dyDescent="0.25">
      <c r="A213">
        <v>61</v>
      </c>
      <c r="B213">
        <v>26</v>
      </c>
      <c r="C213" s="3">
        <v>5060903</v>
      </c>
      <c r="D213" s="4">
        <v>1027085</v>
      </c>
      <c r="E213">
        <v>83</v>
      </c>
      <c r="F213" s="2">
        <v>0.61099999999999999</v>
      </c>
      <c r="G213" s="2">
        <v>0.79700000000000004</v>
      </c>
      <c r="H213" s="2">
        <v>5.33E-2</v>
      </c>
      <c r="I213" s="2">
        <v>5.4299999999999999E-3</v>
      </c>
      <c r="J213" s="2">
        <v>0.26</v>
      </c>
      <c r="K213" s="2">
        <v>0.51800000000000002</v>
      </c>
      <c r="L213" s="2">
        <v>-7.6269999999999998</v>
      </c>
    </row>
    <row r="214" spans="1:12" x14ac:dyDescent="0.25">
      <c r="A214">
        <v>39</v>
      </c>
      <c r="B214">
        <v>45</v>
      </c>
      <c r="C214" s="3">
        <v>5048079</v>
      </c>
      <c r="D214" s="4">
        <v>3864419</v>
      </c>
      <c r="E214">
        <v>83</v>
      </c>
      <c r="F214" s="2">
        <v>0.73099999999999998</v>
      </c>
      <c r="G214" s="2">
        <v>0.67500000000000004</v>
      </c>
      <c r="H214" s="2">
        <v>4.3400000000000001E-2</v>
      </c>
      <c r="I214" s="2">
        <v>4.7299999999999998E-3</v>
      </c>
      <c r="J214" s="2">
        <v>0.14099999999999999</v>
      </c>
      <c r="K214" s="2">
        <v>0.29799999999999999</v>
      </c>
      <c r="L214" s="2">
        <v>-5.1340000000000003</v>
      </c>
    </row>
    <row r="215" spans="1:12" x14ac:dyDescent="0.25">
      <c r="A215">
        <v>4</v>
      </c>
      <c r="B215">
        <v>44</v>
      </c>
      <c r="C215" s="3">
        <v>5037124</v>
      </c>
      <c r="D215" s="4">
        <v>19085118</v>
      </c>
      <c r="E215">
        <v>83</v>
      </c>
      <c r="F215" s="2">
        <v>0.625</v>
      </c>
      <c r="G215" s="2">
        <v>0.81399999999999995</v>
      </c>
      <c r="H215" s="2">
        <v>6.5699999999999995E-2</v>
      </c>
      <c r="I215" s="2">
        <v>1.72E-2</v>
      </c>
      <c r="J215" s="2">
        <v>0.158</v>
      </c>
      <c r="K215" s="2">
        <v>0.53500000000000003</v>
      </c>
      <c r="L215" s="2">
        <v>-5.181</v>
      </c>
    </row>
    <row r="216" spans="1:12" x14ac:dyDescent="0.25">
      <c r="A216">
        <v>71</v>
      </c>
      <c r="B216">
        <v>72</v>
      </c>
      <c r="C216" s="3">
        <v>5024884</v>
      </c>
      <c r="D216" s="4">
        <v>19085118</v>
      </c>
      <c r="E216">
        <v>83</v>
      </c>
      <c r="F216" s="2">
        <v>0.68500000000000005</v>
      </c>
      <c r="G216" s="2">
        <v>0.69199999999999995</v>
      </c>
      <c r="H216" s="2">
        <v>4.5699999999999998E-2</v>
      </c>
      <c r="I216" s="2">
        <v>0.32800000000000001</v>
      </c>
      <c r="J216" s="2">
        <v>0.153</v>
      </c>
      <c r="K216" s="2">
        <v>0.57799999999999996</v>
      </c>
      <c r="L216" s="2">
        <v>-5.1219999999999999</v>
      </c>
    </row>
    <row r="217" spans="1:12" x14ac:dyDescent="0.25">
      <c r="A217">
        <v>64</v>
      </c>
      <c r="B217">
        <v>3</v>
      </c>
      <c r="C217" s="3">
        <v>5016125</v>
      </c>
      <c r="D217" s="4">
        <v>36142273</v>
      </c>
      <c r="E217">
        <v>83</v>
      </c>
      <c r="F217" s="2">
        <v>0.59199999999999997</v>
      </c>
      <c r="G217" s="2">
        <v>0.49399999999999999</v>
      </c>
      <c r="H217" s="2">
        <v>7.4700000000000003E-2</v>
      </c>
      <c r="I217" s="2">
        <v>0.23699999999999999</v>
      </c>
      <c r="J217" s="2">
        <v>0.13</v>
      </c>
      <c r="K217" s="2">
        <v>0.23100000000000001</v>
      </c>
      <c r="L217" s="2">
        <v>-10.618</v>
      </c>
    </row>
    <row r="218" spans="1:12" x14ac:dyDescent="0.25">
      <c r="A218">
        <v>55</v>
      </c>
      <c r="B218">
        <v>17</v>
      </c>
      <c r="C218" s="3">
        <v>5011753</v>
      </c>
      <c r="D218" s="4">
        <v>1097789</v>
      </c>
      <c r="E218">
        <v>83</v>
      </c>
      <c r="F218" s="2">
        <v>0.60599999999999998</v>
      </c>
      <c r="G218" s="2">
        <v>0.90800000000000003</v>
      </c>
      <c r="H218" s="2">
        <v>5.6500000000000002E-2</v>
      </c>
      <c r="I218" s="2">
        <v>0.55600000000000005</v>
      </c>
      <c r="J218" s="2">
        <v>0.19</v>
      </c>
      <c r="K218" s="2">
        <v>0.79800000000000004</v>
      </c>
      <c r="L218" s="2">
        <v>-6.2009999999999996</v>
      </c>
    </row>
    <row r="219" spans="1:12" x14ac:dyDescent="0.25">
      <c r="A219">
        <v>143</v>
      </c>
      <c r="B219">
        <v>42</v>
      </c>
      <c r="C219" s="3">
        <v>5003825</v>
      </c>
      <c r="D219" s="4">
        <v>29566516</v>
      </c>
      <c r="E219">
        <v>83</v>
      </c>
      <c r="F219" s="2">
        <v>0.92100000000000004</v>
      </c>
      <c r="G219" s="2">
        <v>0.53700000000000003</v>
      </c>
      <c r="H219" s="2">
        <v>8.0399999999999999E-2</v>
      </c>
      <c r="I219" s="2">
        <v>0.55600000000000005</v>
      </c>
      <c r="J219" s="2">
        <v>0.10199999999999999</v>
      </c>
      <c r="K219" s="2">
        <v>0.71099999999999997</v>
      </c>
      <c r="L219" s="2">
        <v>-5.7229999999999999</v>
      </c>
    </row>
    <row r="220" spans="1:12" x14ac:dyDescent="0.25">
      <c r="A220">
        <v>19</v>
      </c>
      <c r="B220">
        <v>66</v>
      </c>
      <c r="C220" s="3">
        <v>4992396</v>
      </c>
      <c r="D220" s="4">
        <v>4270131</v>
      </c>
      <c r="E220">
        <v>83</v>
      </c>
      <c r="F220" s="2">
        <v>0.78200000000000003</v>
      </c>
      <c r="G220" s="2">
        <v>0.55900000000000005</v>
      </c>
      <c r="H220" s="2">
        <v>7.6700000000000004E-2</v>
      </c>
      <c r="I220" s="2">
        <v>0.125</v>
      </c>
      <c r="J220" s="2">
        <v>0.38500000000000001</v>
      </c>
      <c r="K220" s="2">
        <v>0.68500000000000005</v>
      </c>
      <c r="L220" s="2">
        <v>-7.1059999999999999</v>
      </c>
    </row>
    <row r="221" spans="1:12" x14ac:dyDescent="0.25">
      <c r="A221">
        <v>176</v>
      </c>
      <c r="B221">
        <v>9</v>
      </c>
      <c r="C221" s="3">
        <v>4974880</v>
      </c>
      <c r="D221" s="4">
        <v>83337783</v>
      </c>
      <c r="E221">
        <v>83</v>
      </c>
      <c r="F221" s="2">
        <v>0.61399999999999999</v>
      </c>
      <c r="G221" s="2">
        <v>0.379</v>
      </c>
      <c r="H221" s="2">
        <v>4.7600000000000003E-2</v>
      </c>
      <c r="I221" s="2">
        <v>0.60699999999999998</v>
      </c>
      <c r="J221" s="2">
        <v>9.8599999999999993E-2</v>
      </c>
      <c r="K221" s="2">
        <v>0.20100000000000001</v>
      </c>
      <c r="L221" s="2">
        <v>-10.48</v>
      </c>
    </row>
    <row r="222" spans="1:12" x14ac:dyDescent="0.25">
      <c r="A222">
        <v>43</v>
      </c>
      <c r="B222">
        <v>29</v>
      </c>
      <c r="C222" s="3">
        <v>4959754</v>
      </c>
      <c r="D222" s="4">
        <v>29051363</v>
      </c>
      <c r="E222">
        <v>83</v>
      </c>
      <c r="F222" s="2">
        <v>0.754</v>
      </c>
      <c r="G222" s="2">
        <v>0.64600000000000002</v>
      </c>
      <c r="H222" s="2">
        <v>0.317</v>
      </c>
      <c r="I222" s="2">
        <v>0.152</v>
      </c>
      <c r="J222" s="2">
        <v>0.108</v>
      </c>
      <c r="K222" s="2">
        <v>0.42899999999999999</v>
      </c>
      <c r="L222" s="2">
        <v>-5.7949999999999999</v>
      </c>
    </row>
    <row r="223" spans="1:12" x14ac:dyDescent="0.25">
      <c r="A223">
        <v>190</v>
      </c>
      <c r="B223">
        <v>1</v>
      </c>
      <c r="C223" s="3">
        <v>4918636</v>
      </c>
      <c r="D223" s="4">
        <v>22136717</v>
      </c>
      <c r="E223">
        <v>83</v>
      </c>
      <c r="F223" s="2">
        <v>0.77800000000000002</v>
      </c>
      <c r="G223" s="2">
        <v>0.82399999999999995</v>
      </c>
      <c r="H223" s="2">
        <v>7.0699999999999999E-2</v>
      </c>
      <c r="I223" s="2">
        <v>0.28399999999999997</v>
      </c>
      <c r="J223" s="2">
        <v>0.40500000000000003</v>
      </c>
      <c r="K223" s="2">
        <v>0.75800000000000001</v>
      </c>
      <c r="L223" s="2">
        <v>-5.8920000000000003</v>
      </c>
    </row>
    <row r="224" spans="1:12" x14ac:dyDescent="0.25">
      <c r="A224">
        <v>2</v>
      </c>
      <c r="B224">
        <v>44</v>
      </c>
      <c r="C224" s="3">
        <v>4916860</v>
      </c>
      <c r="D224" s="4">
        <v>56308172</v>
      </c>
      <c r="E224">
        <v>83</v>
      </c>
      <c r="F224" s="2">
        <v>0.76100000000000001</v>
      </c>
      <c r="G224" s="2">
        <v>0.51800000000000002</v>
      </c>
      <c r="H224" s="2">
        <v>0.13400000000000001</v>
      </c>
      <c r="I224" s="2">
        <v>0.24399999999999999</v>
      </c>
      <c r="J224" s="2">
        <v>0.107</v>
      </c>
      <c r="K224" s="2">
        <v>0.52200000000000002</v>
      </c>
      <c r="L224" s="2">
        <v>-8.8710000000000004</v>
      </c>
    </row>
    <row r="225" spans="1:12" x14ac:dyDescent="0.25">
      <c r="A225">
        <v>177</v>
      </c>
      <c r="B225">
        <v>7</v>
      </c>
      <c r="C225" s="3">
        <v>4913147</v>
      </c>
      <c r="D225" s="4">
        <v>20823062</v>
      </c>
      <c r="E225">
        <v>83</v>
      </c>
      <c r="F225" s="2">
        <v>0.73399999999999999</v>
      </c>
      <c r="G225" s="2">
        <v>0.63700000000000001</v>
      </c>
      <c r="H225" s="2">
        <v>0.14099999999999999</v>
      </c>
      <c r="I225" s="2">
        <v>4.6199999999999998E-2</v>
      </c>
      <c r="J225" s="2">
        <v>6.0199999999999997E-2</v>
      </c>
      <c r="K225" s="2">
        <v>0.64800000000000002</v>
      </c>
      <c r="L225" s="2">
        <v>-5.6769999999999996</v>
      </c>
    </row>
    <row r="226" spans="1:12" x14ac:dyDescent="0.25">
      <c r="A226">
        <v>44</v>
      </c>
      <c r="B226">
        <v>44</v>
      </c>
      <c r="C226" s="3">
        <v>4911749</v>
      </c>
      <c r="D226" s="4">
        <v>2334615</v>
      </c>
      <c r="E226">
        <v>83</v>
      </c>
      <c r="F226" s="2">
        <v>0.65400000000000003</v>
      </c>
      <c r="G226" s="2">
        <v>0.63</v>
      </c>
      <c r="H226" s="2">
        <v>2.5899999999999999E-2</v>
      </c>
      <c r="I226" s="2">
        <v>0.153</v>
      </c>
      <c r="J226" s="2">
        <v>0.111</v>
      </c>
      <c r="K226" s="2">
        <v>0.43</v>
      </c>
      <c r="L226" s="2">
        <v>-4.6440000000000001</v>
      </c>
    </row>
    <row r="227" spans="1:12" x14ac:dyDescent="0.25">
      <c r="A227">
        <v>176</v>
      </c>
      <c r="B227">
        <v>6</v>
      </c>
      <c r="C227" s="3">
        <v>4910070</v>
      </c>
      <c r="D227" s="4">
        <v>19584111</v>
      </c>
      <c r="E227">
        <v>83</v>
      </c>
      <c r="F227" s="2">
        <v>0.55600000000000005</v>
      </c>
      <c r="G227" s="2">
        <v>0.86399999999999999</v>
      </c>
      <c r="H227" s="2">
        <v>5.8400000000000001E-2</v>
      </c>
      <c r="I227" s="2">
        <v>9.58E-3</v>
      </c>
      <c r="J227" s="2">
        <v>0.20899999999999999</v>
      </c>
      <c r="K227" s="2">
        <v>0.4</v>
      </c>
      <c r="L227" s="2">
        <v>-5.87</v>
      </c>
    </row>
    <row r="228" spans="1:12" x14ac:dyDescent="0.25">
      <c r="A228">
        <v>181</v>
      </c>
      <c r="B228">
        <v>7</v>
      </c>
      <c r="C228" s="3">
        <v>4847224</v>
      </c>
      <c r="D228" s="4">
        <v>29566516</v>
      </c>
      <c r="E228">
        <v>83</v>
      </c>
      <c r="F228" s="2">
        <v>0.73399999999999999</v>
      </c>
      <c r="G228" s="2">
        <v>0.56999999999999995</v>
      </c>
      <c r="H228" s="2">
        <v>0.13300000000000001</v>
      </c>
      <c r="I228" s="2">
        <v>0.84699999999999998</v>
      </c>
      <c r="J228" s="2">
        <v>0.112</v>
      </c>
      <c r="K228" s="2">
        <v>0.68899999999999995</v>
      </c>
      <c r="L228" s="2">
        <v>-7.0659999999999998</v>
      </c>
    </row>
    <row r="229" spans="1:12" x14ac:dyDescent="0.25">
      <c r="A229">
        <v>84</v>
      </c>
      <c r="B229">
        <v>9</v>
      </c>
      <c r="C229" s="3">
        <v>4846549</v>
      </c>
      <c r="D229" s="4">
        <v>152226</v>
      </c>
      <c r="E229">
        <v>83</v>
      </c>
      <c r="F229" s="2">
        <v>0.69099999999999995</v>
      </c>
      <c r="G229" s="2">
        <v>0.69499999999999995</v>
      </c>
      <c r="H229" s="2">
        <v>3.6700000000000003E-2</v>
      </c>
      <c r="I229" s="2">
        <v>5.9200000000000003E-2</v>
      </c>
      <c r="J229" s="2">
        <v>6.4699999999999994E-2</v>
      </c>
      <c r="K229" s="2">
        <v>0.51400000000000001</v>
      </c>
      <c r="L229" s="2">
        <v>-5.6</v>
      </c>
    </row>
    <row r="230" spans="1:12" x14ac:dyDescent="0.25">
      <c r="A230">
        <v>181</v>
      </c>
      <c r="B230">
        <v>8</v>
      </c>
      <c r="C230" s="3">
        <v>4468668</v>
      </c>
      <c r="D230" s="4">
        <v>35299488</v>
      </c>
      <c r="E230">
        <v>83</v>
      </c>
      <c r="F230" s="2">
        <v>0.60499999999999998</v>
      </c>
      <c r="G230" s="2">
        <v>0.82199999999999995</v>
      </c>
      <c r="H230" s="2">
        <v>4.3799999999999999E-2</v>
      </c>
      <c r="I230" s="2">
        <v>6.7099999999999998E-3</v>
      </c>
      <c r="J230" s="2">
        <v>0.14699999999999999</v>
      </c>
      <c r="K230" s="2">
        <v>0.28799999999999998</v>
      </c>
      <c r="L230" s="2">
        <v>-4.8330000000000002</v>
      </c>
    </row>
    <row r="231" spans="1:12" x14ac:dyDescent="0.25">
      <c r="A231">
        <v>43</v>
      </c>
      <c r="B231">
        <v>2</v>
      </c>
      <c r="C231" s="3">
        <v>11373347</v>
      </c>
      <c r="D231" s="4">
        <v>412466</v>
      </c>
      <c r="E231">
        <v>82</v>
      </c>
      <c r="F231" s="2">
        <v>0.79900000000000004</v>
      </c>
      <c r="G231" s="2">
        <v>0.66</v>
      </c>
      <c r="H231" s="2">
        <v>7.9000000000000001E-2</v>
      </c>
      <c r="I231" s="2">
        <v>0.25600000000000001</v>
      </c>
      <c r="J231" s="2">
        <v>0.111</v>
      </c>
      <c r="K231" s="2">
        <v>0.47099999999999997</v>
      </c>
      <c r="L231" s="2">
        <v>-6.1529999999999996</v>
      </c>
    </row>
    <row r="232" spans="1:12" x14ac:dyDescent="0.25">
      <c r="A232">
        <v>55</v>
      </c>
      <c r="B232">
        <v>1</v>
      </c>
      <c r="C232" s="3">
        <v>10712648</v>
      </c>
      <c r="D232" s="4">
        <v>14097410</v>
      </c>
      <c r="E232">
        <v>82</v>
      </c>
      <c r="F232" s="2">
        <v>0.59699999999999998</v>
      </c>
      <c r="G232" s="2">
        <v>0.58699999999999997</v>
      </c>
      <c r="H232" s="2">
        <v>0.13700000000000001</v>
      </c>
      <c r="I232" s="2">
        <v>6.2199999999999998E-2</v>
      </c>
      <c r="J232" s="2">
        <v>0.214</v>
      </c>
      <c r="K232" s="2">
        <v>7.5300000000000006E-2</v>
      </c>
      <c r="L232" s="2">
        <v>-7.0259999999999998</v>
      </c>
    </row>
    <row r="233" spans="1:12" x14ac:dyDescent="0.25">
      <c r="A233">
        <v>2</v>
      </c>
      <c r="B233">
        <v>48</v>
      </c>
      <c r="C233" s="3">
        <v>6697067</v>
      </c>
      <c r="D233" s="4">
        <v>411579</v>
      </c>
      <c r="E233">
        <v>82</v>
      </c>
      <c r="F233" s="2">
        <v>0.79900000000000004</v>
      </c>
      <c r="G233" s="2">
        <v>0.66</v>
      </c>
      <c r="H233" s="2">
        <v>7.9000000000000001E-2</v>
      </c>
      <c r="I233" s="2">
        <v>0.25600000000000001</v>
      </c>
      <c r="J233" s="2">
        <v>0.111</v>
      </c>
      <c r="K233" s="2">
        <v>0.47099999999999997</v>
      </c>
      <c r="L233" s="2">
        <v>-6.1529999999999996</v>
      </c>
    </row>
    <row r="234" spans="1:12" x14ac:dyDescent="0.25">
      <c r="A234">
        <v>24</v>
      </c>
      <c r="B234">
        <v>83</v>
      </c>
      <c r="C234" s="3">
        <v>6546948</v>
      </c>
      <c r="D234" s="4">
        <v>1250353</v>
      </c>
      <c r="E234">
        <v>82</v>
      </c>
      <c r="F234" s="2">
        <v>0.76</v>
      </c>
      <c r="G234" s="2">
        <v>0.47899999999999998</v>
      </c>
      <c r="H234" s="2">
        <v>4.6600000000000003E-2</v>
      </c>
      <c r="I234" s="2">
        <v>0.55600000000000005</v>
      </c>
      <c r="J234" s="2">
        <v>7.0300000000000001E-2</v>
      </c>
      <c r="K234" s="2">
        <v>0.91300000000000003</v>
      </c>
      <c r="L234" s="2">
        <v>-5.5739999999999998</v>
      </c>
    </row>
    <row r="235" spans="1:12" x14ac:dyDescent="0.25">
      <c r="A235">
        <v>9</v>
      </c>
      <c r="B235">
        <v>83</v>
      </c>
      <c r="C235" s="3">
        <v>6317487</v>
      </c>
      <c r="D235" s="4">
        <v>33879560</v>
      </c>
      <c r="E235">
        <v>82</v>
      </c>
      <c r="F235" s="2">
        <v>0.75900000000000001</v>
      </c>
      <c r="G235" s="2">
        <v>0.54</v>
      </c>
      <c r="H235" s="2">
        <v>2.87E-2</v>
      </c>
      <c r="I235" s="2">
        <v>3.6999999999999998E-2</v>
      </c>
      <c r="J235" s="2">
        <v>9.4500000000000001E-2</v>
      </c>
      <c r="K235" s="2">
        <v>0.75</v>
      </c>
      <c r="L235" s="2">
        <v>-6.0389999999999997</v>
      </c>
    </row>
    <row r="236" spans="1:12" x14ac:dyDescent="0.25">
      <c r="A236">
        <v>72</v>
      </c>
      <c r="B236">
        <v>5</v>
      </c>
      <c r="C236" s="3">
        <v>5552212</v>
      </c>
      <c r="D236" s="4">
        <v>4016497</v>
      </c>
      <c r="E236">
        <v>82</v>
      </c>
      <c r="F236" s="2">
        <v>0.80700000000000005</v>
      </c>
      <c r="G236" s="2">
        <v>0.65900000000000003</v>
      </c>
      <c r="H236" s="2">
        <v>0.33200000000000002</v>
      </c>
      <c r="I236" s="2">
        <v>2.24E-2</v>
      </c>
      <c r="J236" s="2">
        <v>0.309</v>
      </c>
      <c r="K236" s="2">
        <v>0.438</v>
      </c>
      <c r="L236" s="2">
        <v>-6.92</v>
      </c>
    </row>
    <row r="237" spans="1:12" x14ac:dyDescent="0.25">
      <c r="A237">
        <v>11</v>
      </c>
      <c r="B237">
        <v>6</v>
      </c>
      <c r="C237" s="3">
        <v>5430260</v>
      </c>
      <c r="D237" s="4">
        <v>14097410</v>
      </c>
      <c r="E237">
        <v>82</v>
      </c>
      <c r="F237" s="2">
        <v>0.86099999999999999</v>
      </c>
      <c r="G237" s="2">
        <v>0.65600000000000003</v>
      </c>
      <c r="H237" s="2">
        <v>0.42499999999999999</v>
      </c>
      <c r="I237" s="2">
        <v>0.104</v>
      </c>
      <c r="J237" s="2">
        <v>9.8599999999999993E-2</v>
      </c>
      <c r="K237" s="2">
        <v>0.33100000000000002</v>
      </c>
      <c r="L237" s="2">
        <v>-7.867</v>
      </c>
    </row>
    <row r="238" spans="1:12" x14ac:dyDescent="0.25">
      <c r="A238">
        <v>36</v>
      </c>
      <c r="B238">
        <v>26</v>
      </c>
      <c r="C238" s="3">
        <v>5395181</v>
      </c>
      <c r="D238" s="4">
        <v>5963840</v>
      </c>
      <c r="E238">
        <v>82</v>
      </c>
      <c r="F238" s="2">
        <v>0.96499999999999997</v>
      </c>
      <c r="G238" s="2">
        <v>0.48499999999999999</v>
      </c>
      <c r="H238" s="2">
        <v>0.191</v>
      </c>
      <c r="I238" s="2">
        <v>2.06E-2</v>
      </c>
      <c r="J238" s="2">
        <v>6.5500000000000003E-2</v>
      </c>
      <c r="K238" s="2">
        <v>0.312</v>
      </c>
      <c r="L238" s="2">
        <v>-8.7840000000000007</v>
      </c>
    </row>
    <row r="239" spans="1:12" x14ac:dyDescent="0.25">
      <c r="A239">
        <v>27</v>
      </c>
      <c r="B239">
        <v>8</v>
      </c>
      <c r="C239" s="3">
        <v>5347781</v>
      </c>
      <c r="D239" s="4">
        <v>61930</v>
      </c>
      <c r="E239">
        <v>82</v>
      </c>
      <c r="F239" s="2">
        <v>0.88700000000000001</v>
      </c>
      <c r="G239" s="2">
        <v>0.48499999999999999</v>
      </c>
      <c r="H239" s="2">
        <v>0.2</v>
      </c>
      <c r="I239" s="2">
        <v>3.9199999999999999E-2</v>
      </c>
      <c r="J239" s="2">
        <v>0.14099999999999999</v>
      </c>
      <c r="K239" s="2">
        <v>0.32800000000000001</v>
      </c>
      <c r="L239" s="2">
        <v>-9.3580000000000005</v>
      </c>
    </row>
    <row r="240" spans="1:12" x14ac:dyDescent="0.25">
      <c r="A240">
        <v>138</v>
      </c>
      <c r="B240">
        <v>3</v>
      </c>
      <c r="C240" s="3">
        <v>5341887</v>
      </c>
      <c r="D240" s="4">
        <v>1650683</v>
      </c>
      <c r="E240">
        <v>82</v>
      </c>
      <c r="F240" s="2">
        <v>0.52700000000000002</v>
      </c>
      <c r="G240" s="2">
        <v>0.76400000000000001</v>
      </c>
      <c r="H240" s="2">
        <v>0.32200000000000001</v>
      </c>
      <c r="I240" s="2">
        <v>1.6E-2</v>
      </c>
      <c r="J240" s="2">
        <v>2.7300000000000001E-2</v>
      </c>
      <c r="K240" s="2">
        <v>0.82899999999999996</v>
      </c>
      <c r="L240" s="2">
        <v>-4.2969999999999997</v>
      </c>
    </row>
    <row r="241" spans="1:12" x14ac:dyDescent="0.25">
      <c r="A241">
        <v>88</v>
      </c>
      <c r="B241">
        <v>31</v>
      </c>
      <c r="C241" s="3">
        <v>5323062</v>
      </c>
      <c r="D241" s="4">
        <v>6852509</v>
      </c>
      <c r="E241">
        <v>82</v>
      </c>
      <c r="F241" s="2">
        <v>0.90500000000000003</v>
      </c>
      <c r="G241" s="2">
        <v>0.64700000000000002</v>
      </c>
      <c r="H241" s="2">
        <v>0.107</v>
      </c>
      <c r="I241" s="2">
        <v>1.8700000000000001E-2</v>
      </c>
      <c r="J241" s="2">
        <v>0.28199999999999997</v>
      </c>
      <c r="K241" s="2">
        <v>0.36699999999999999</v>
      </c>
      <c r="L241" s="2">
        <v>-5.0650000000000004</v>
      </c>
    </row>
    <row r="242" spans="1:12" x14ac:dyDescent="0.25">
      <c r="A242">
        <v>169</v>
      </c>
      <c r="B242">
        <v>2</v>
      </c>
      <c r="C242" s="3">
        <v>5269757</v>
      </c>
      <c r="D242" s="4">
        <v>1097789</v>
      </c>
      <c r="E242">
        <v>82</v>
      </c>
      <c r="F242" s="2">
        <v>0.624</v>
      </c>
      <c r="G242" s="2">
        <v>0.92200000000000004</v>
      </c>
      <c r="H242" s="2">
        <v>4.3900000000000002E-2</v>
      </c>
      <c r="I242" s="2">
        <v>0.3</v>
      </c>
      <c r="J242" s="2">
        <v>0.112</v>
      </c>
      <c r="K242" s="2">
        <v>0.88400000000000001</v>
      </c>
      <c r="L242" s="2">
        <v>-4.6280000000000001</v>
      </c>
    </row>
    <row r="243" spans="1:12" x14ac:dyDescent="0.25">
      <c r="A243">
        <v>85</v>
      </c>
      <c r="B243">
        <v>16</v>
      </c>
      <c r="C243" s="3">
        <v>5266625</v>
      </c>
      <c r="D243" s="4">
        <v>37106176</v>
      </c>
      <c r="E243">
        <v>82</v>
      </c>
      <c r="F243" s="2">
        <v>0.64500000000000002</v>
      </c>
      <c r="G243" s="2">
        <v>0.86199999999999999</v>
      </c>
      <c r="H243" s="2">
        <v>9.6500000000000002E-2</v>
      </c>
      <c r="I243" s="2">
        <v>9.2299999999999993E-2</v>
      </c>
      <c r="J243" s="2">
        <v>0.192</v>
      </c>
      <c r="K243" s="2">
        <v>0.79800000000000004</v>
      </c>
      <c r="L243" s="2">
        <v>-4.7569999999999997</v>
      </c>
    </row>
    <row r="244" spans="1:12" x14ac:dyDescent="0.25">
      <c r="A244">
        <v>80</v>
      </c>
      <c r="B244">
        <v>5</v>
      </c>
      <c r="C244" s="3">
        <v>5259503</v>
      </c>
      <c r="D244" s="4">
        <v>9987114</v>
      </c>
      <c r="E244">
        <v>82</v>
      </c>
      <c r="F244" s="2">
        <v>0.68799999999999994</v>
      </c>
      <c r="G244" s="2">
        <v>0.90900000000000003</v>
      </c>
      <c r="H244" s="2">
        <v>6.2399999999999997E-2</v>
      </c>
      <c r="I244" s="2">
        <v>4.7399999999999998E-2</v>
      </c>
      <c r="J244" s="2">
        <v>6.7400000000000002E-2</v>
      </c>
      <c r="K244" s="2">
        <v>0.70199999999999996</v>
      </c>
      <c r="L244" s="2">
        <v>-1.992</v>
      </c>
    </row>
    <row r="245" spans="1:12" x14ac:dyDescent="0.25">
      <c r="A245">
        <v>6</v>
      </c>
      <c r="B245">
        <v>6</v>
      </c>
      <c r="C245" s="3">
        <v>5246577</v>
      </c>
      <c r="D245" s="4">
        <v>14097410</v>
      </c>
      <c r="E245">
        <v>82</v>
      </c>
      <c r="F245" s="2">
        <v>0.59699999999999998</v>
      </c>
      <c r="G245" s="2">
        <v>0.58699999999999997</v>
      </c>
      <c r="H245" s="2">
        <v>0.13700000000000001</v>
      </c>
      <c r="I245" s="2">
        <v>6.2199999999999998E-2</v>
      </c>
      <c r="J245" s="2">
        <v>0.214</v>
      </c>
      <c r="K245" s="2">
        <v>7.5300000000000006E-2</v>
      </c>
      <c r="L245" s="2">
        <v>-7.0259999999999998</v>
      </c>
    </row>
    <row r="246" spans="1:12" x14ac:dyDescent="0.25">
      <c r="A246">
        <v>12</v>
      </c>
      <c r="B246">
        <v>29</v>
      </c>
      <c r="C246" s="3">
        <v>5242347</v>
      </c>
      <c r="D246" s="4">
        <v>36142273</v>
      </c>
      <c r="E246">
        <v>82</v>
      </c>
      <c r="F246" s="2">
        <v>0.81100000000000005</v>
      </c>
      <c r="G246" s="2">
        <v>0.63700000000000001</v>
      </c>
      <c r="H246" s="2">
        <v>5.91E-2</v>
      </c>
      <c r="I246" s="2">
        <v>0.23400000000000001</v>
      </c>
      <c r="J246" s="2">
        <v>0.11799999999999999</v>
      </c>
      <c r="K246" s="2">
        <v>0.47099999999999997</v>
      </c>
      <c r="L246" s="2">
        <v>-4.835</v>
      </c>
    </row>
    <row r="247" spans="1:12" x14ac:dyDescent="0.25">
      <c r="A247">
        <v>19</v>
      </c>
      <c r="B247">
        <v>38</v>
      </c>
      <c r="C247" s="3">
        <v>5198514</v>
      </c>
      <c r="D247" s="4">
        <v>1650912</v>
      </c>
      <c r="E247">
        <v>82</v>
      </c>
      <c r="F247" s="2">
        <v>0.84499999999999997</v>
      </c>
      <c r="G247" s="2">
        <v>0.67700000000000005</v>
      </c>
      <c r="H247" s="2">
        <v>0.13600000000000001</v>
      </c>
      <c r="I247" s="2">
        <v>0.26900000000000002</v>
      </c>
      <c r="J247" s="2">
        <v>0.108</v>
      </c>
      <c r="K247" s="2">
        <v>0.68</v>
      </c>
      <c r="L247" s="2">
        <v>-4.798</v>
      </c>
    </row>
    <row r="248" spans="1:12" x14ac:dyDescent="0.25">
      <c r="A248">
        <v>30</v>
      </c>
      <c r="B248">
        <v>37</v>
      </c>
      <c r="C248" s="3">
        <v>5176493</v>
      </c>
      <c r="D248" s="4">
        <v>9778632</v>
      </c>
      <c r="E248">
        <v>82</v>
      </c>
      <c r="F248" s="2">
        <v>0.78900000000000003</v>
      </c>
      <c r="G248" s="2">
        <v>0.71099999999999997</v>
      </c>
      <c r="H248" s="2">
        <v>4.1000000000000002E-2</v>
      </c>
      <c r="I248" s="2">
        <v>3.32E-2</v>
      </c>
      <c r="J248" s="2">
        <v>8.7599999999999997E-2</v>
      </c>
      <c r="K248" s="2">
        <v>0.753</v>
      </c>
      <c r="L248" s="2">
        <v>-4.2480000000000002</v>
      </c>
    </row>
    <row r="249" spans="1:12" x14ac:dyDescent="0.25">
      <c r="A249">
        <v>38</v>
      </c>
      <c r="B249">
        <v>72</v>
      </c>
      <c r="C249" s="3">
        <v>5127736</v>
      </c>
      <c r="D249" s="4">
        <v>280585</v>
      </c>
      <c r="E249">
        <v>82</v>
      </c>
      <c r="F249" s="2">
        <v>0.46400000000000002</v>
      </c>
      <c r="G249" s="2">
        <v>0.47299999999999998</v>
      </c>
      <c r="H249" s="2">
        <v>0.129</v>
      </c>
      <c r="I249" s="2">
        <v>0.86599999999999999</v>
      </c>
      <c r="J249" s="2">
        <v>0.109</v>
      </c>
      <c r="K249" s="2">
        <v>0.60399999999999998</v>
      </c>
      <c r="L249" s="2">
        <v>-10.086</v>
      </c>
    </row>
    <row r="250" spans="1:12" x14ac:dyDescent="0.25">
      <c r="A250">
        <v>2</v>
      </c>
      <c r="B250">
        <v>61</v>
      </c>
      <c r="C250" s="3">
        <v>5124742</v>
      </c>
      <c r="D250" s="4">
        <v>621200</v>
      </c>
      <c r="E250">
        <v>82</v>
      </c>
      <c r="F250" s="2">
        <v>0.621</v>
      </c>
      <c r="G250" s="2">
        <v>0.60099999999999998</v>
      </c>
      <c r="H250" s="2">
        <v>0.14799999999999999</v>
      </c>
      <c r="I250" s="2">
        <v>5.2200000000000003E-2</v>
      </c>
      <c r="J250" s="2">
        <v>0.46</v>
      </c>
      <c r="K250" s="2">
        <v>0.45700000000000002</v>
      </c>
      <c r="L250" s="2">
        <v>-5.6159999999999997</v>
      </c>
    </row>
    <row r="251" spans="1:12" x14ac:dyDescent="0.25">
      <c r="A251">
        <v>96</v>
      </c>
      <c r="B251">
        <v>10</v>
      </c>
      <c r="C251" s="3">
        <v>5113574</v>
      </c>
      <c r="D251" s="4">
        <v>1246335</v>
      </c>
      <c r="E251">
        <v>82</v>
      </c>
      <c r="F251" s="2">
        <v>0.96399999999999997</v>
      </c>
      <c r="G251" s="2">
        <v>0.39800000000000002</v>
      </c>
      <c r="H251" s="2">
        <v>7.9500000000000001E-2</v>
      </c>
      <c r="I251" s="2">
        <v>1.5100000000000001E-3</v>
      </c>
      <c r="J251" s="2">
        <v>0.10100000000000001</v>
      </c>
      <c r="K251" s="2">
        <v>0.56299999999999994</v>
      </c>
      <c r="L251" s="2">
        <v>-8.9809999999999999</v>
      </c>
    </row>
    <row r="252" spans="1:12" x14ac:dyDescent="0.25">
      <c r="A252">
        <v>1</v>
      </c>
      <c r="B252">
        <v>55</v>
      </c>
      <c r="C252" s="3">
        <v>5108950</v>
      </c>
      <c r="D252" s="4">
        <v>100604</v>
      </c>
      <c r="E252">
        <v>82</v>
      </c>
      <c r="F252" s="2">
        <v>0.76700000000000002</v>
      </c>
      <c r="G252" s="2">
        <v>0.48099999999999998</v>
      </c>
      <c r="H252" s="2">
        <v>8.0299999999999996E-2</v>
      </c>
      <c r="I252" s="2">
        <v>0.23400000000000001</v>
      </c>
      <c r="J252" s="2">
        <v>0.26900000000000002</v>
      </c>
      <c r="K252" s="2">
        <v>0.76100000000000001</v>
      </c>
      <c r="L252" s="2">
        <v>-8.52</v>
      </c>
    </row>
    <row r="253" spans="1:12" x14ac:dyDescent="0.25">
      <c r="A253">
        <v>6</v>
      </c>
      <c r="B253">
        <v>60</v>
      </c>
      <c r="C253" s="3">
        <v>5103528</v>
      </c>
      <c r="D253" s="4">
        <v>8671649</v>
      </c>
      <c r="E253">
        <v>82</v>
      </c>
      <c r="F253" s="2">
        <v>0.78700000000000003</v>
      </c>
      <c r="G253" s="2">
        <v>0.67300000000000004</v>
      </c>
      <c r="H253" s="2">
        <v>0.159</v>
      </c>
      <c r="I253" s="2">
        <v>0.26400000000000001</v>
      </c>
      <c r="J253" s="2">
        <v>9.0399999999999994E-2</v>
      </c>
      <c r="K253" s="2">
        <v>0.77900000000000003</v>
      </c>
      <c r="L253" s="2">
        <v>-4.5830000000000002</v>
      </c>
    </row>
    <row r="254" spans="1:12" x14ac:dyDescent="0.25">
      <c r="A254">
        <v>157</v>
      </c>
      <c r="B254">
        <v>4</v>
      </c>
      <c r="C254" s="3">
        <v>5083648</v>
      </c>
      <c r="D254" s="4">
        <v>2688557</v>
      </c>
      <c r="E254">
        <v>82</v>
      </c>
      <c r="F254" s="2">
        <v>0.80800000000000005</v>
      </c>
      <c r="G254" s="2">
        <v>0.97</v>
      </c>
      <c r="H254" s="2">
        <v>5.0599999999999999E-2</v>
      </c>
      <c r="I254" s="2">
        <v>5.6899999999999999E-2</v>
      </c>
      <c r="J254" s="2">
        <v>0.154</v>
      </c>
      <c r="K254" s="2">
        <v>0.86799999999999999</v>
      </c>
      <c r="L254" s="2">
        <v>-6.0979999999999999</v>
      </c>
    </row>
    <row r="255" spans="1:12" x14ac:dyDescent="0.25">
      <c r="A255">
        <v>62</v>
      </c>
      <c r="B255">
        <v>28</v>
      </c>
      <c r="C255" s="3">
        <v>5081800</v>
      </c>
      <c r="D255" s="4">
        <v>8446147</v>
      </c>
      <c r="E255">
        <v>82</v>
      </c>
      <c r="F255" s="2">
        <v>0.311</v>
      </c>
      <c r="G255" s="2">
        <v>0.48499999999999999</v>
      </c>
      <c r="H255" s="2">
        <v>3.6499999999999998E-2</v>
      </c>
      <c r="I255" s="2">
        <v>0.70099999999999996</v>
      </c>
      <c r="J255" s="2">
        <v>7.2599999999999998E-2</v>
      </c>
      <c r="K255" s="2">
        <v>0.22500000000000001</v>
      </c>
      <c r="L255" s="2">
        <v>-5.726</v>
      </c>
    </row>
    <row r="256" spans="1:12" x14ac:dyDescent="0.25">
      <c r="A256">
        <v>88</v>
      </c>
      <c r="B256">
        <v>27</v>
      </c>
      <c r="C256" s="3">
        <v>5079328</v>
      </c>
      <c r="D256" s="4">
        <v>67208170</v>
      </c>
      <c r="E256">
        <v>82</v>
      </c>
      <c r="F256" s="2">
        <v>0.71699999999999997</v>
      </c>
      <c r="G256" s="2">
        <v>0.65300000000000002</v>
      </c>
      <c r="H256" s="2">
        <v>6.5799999999999997E-2</v>
      </c>
      <c r="I256" s="2">
        <v>0.22900000000000001</v>
      </c>
      <c r="J256" s="2">
        <v>0.10100000000000001</v>
      </c>
      <c r="K256" s="2">
        <v>0.41199999999999998</v>
      </c>
      <c r="L256" s="2">
        <v>-5.6340000000000003</v>
      </c>
    </row>
    <row r="257" spans="1:12" x14ac:dyDescent="0.25">
      <c r="A257">
        <v>152</v>
      </c>
      <c r="B257">
        <v>23</v>
      </c>
      <c r="C257" s="3">
        <v>5073657</v>
      </c>
      <c r="D257" s="4">
        <v>7535054</v>
      </c>
      <c r="E257">
        <v>82</v>
      </c>
      <c r="F257" s="2">
        <v>0.58499999999999996</v>
      </c>
      <c r="G257" s="2">
        <v>0.47099999999999997</v>
      </c>
      <c r="H257" s="2">
        <v>6.1600000000000002E-2</v>
      </c>
      <c r="I257" s="2">
        <v>9.6699999999999994E-2</v>
      </c>
      <c r="J257" s="2">
        <v>0.115</v>
      </c>
      <c r="K257" s="2">
        <v>0.32300000000000001</v>
      </c>
      <c r="L257" s="2">
        <v>-9.9339999999999993</v>
      </c>
    </row>
    <row r="258" spans="1:12" x14ac:dyDescent="0.25">
      <c r="A258">
        <v>12</v>
      </c>
      <c r="B258">
        <v>37</v>
      </c>
      <c r="C258" s="3">
        <v>5068349</v>
      </c>
      <c r="D258" s="4">
        <v>6852509</v>
      </c>
      <c r="E258">
        <v>82</v>
      </c>
      <c r="F258" s="2">
        <v>0.48</v>
      </c>
      <c r="G258" s="2">
        <v>0.60199999999999998</v>
      </c>
      <c r="H258" s="2">
        <v>0.36799999999999999</v>
      </c>
      <c r="I258" s="2">
        <v>0.48699999999999999</v>
      </c>
      <c r="J258" s="2">
        <v>8.48E-2</v>
      </c>
      <c r="K258" s="2">
        <v>0.26900000000000002</v>
      </c>
      <c r="L258" s="2">
        <v>-6.335</v>
      </c>
    </row>
    <row r="259" spans="1:12" x14ac:dyDescent="0.25">
      <c r="A259">
        <v>200</v>
      </c>
      <c r="B259">
        <v>1</v>
      </c>
      <c r="C259" s="3">
        <v>5051514</v>
      </c>
      <c r="D259" s="4">
        <v>448447</v>
      </c>
      <c r="E259">
        <v>82</v>
      </c>
      <c r="F259" s="2">
        <v>0.85199999999999998</v>
      </c>
      <c r="G259" s="2">
        <v>0.62</v>
      </c>
      <c r="H259" s="2">
        <v>0.22700000000000001</v>
      </c>
      <c r="I259" s="2">
        <v>0.35899999999999999</v>
      </c>
      <c r="J259" s="2">
        <v>0.10100000000000001</v>
      </c>
      <c r="K259" s="2">
        <v>0.74399999999999999</v>
      </c>
      <c r="L259" s="2">
        <v>-5.79</v>
      </c>
    </row>
    <row r="260" spans="1:12" x14ac:dyDescent="0.25">
      <c r="A260">
        <v>112</v>
      </c>
      <c r="B260">
        <v>28</v>
      </c>
      <c r="C260" s="3">
        <v>5044929</v>
      </c>
      <c r="D260" s="4">
        <v>3799104</v>
      </c>
      <c r="E260">
        <v>82</v>
      </c>
      <c r="F260" s="2">
        <v>0.628</v>
      </c>
      <c r="G260" s="2">
        <v>0.63900000000000001</v>
      </c>
      <c r="H260" s="2">
        <v>4.3499999999999997E-2</v>
      </c>
      <c r="I260" s="2">
        <v>1.6199999999999999E-3</v>
      </c>
      <c r="J260" s="2">
        <v>0.35399999999999998</v>
      </c>
      <c r="K260" s="2">
        <v>0.49299999999999999</v>
      </c>
      <c r="L260" s="2">
        <v>-5.46</v>
      </c>
    </row>
    <row r="261" spans="1:12" x14ac:dyDescent="0.25">
      <c r="A261">
        <v>182</v>
      </c>
      <c r="B261">
        <v>6</v>
      </c>
      <c r="C261" s="3">
        <v>4995623</v>
      </c>
      <c r="D261" s="4">
        <v>83337783</v>
      </c>
      <c r="E261">
        <v>82</v>
      </c>
      <c r="F261" s="2">
        <v>0.78100000000000003</v>
      </c>
      <c r="G261" s="2">
        <v>0.44500000000000001</v>
      </c>
      <c r="H261" s="2">
        <v>2.9499999999999998E-2</v>
      </c>
      <c r="I261" s="2">
        <v>0.47399999999999998</v>
      </c>
      <c r="J261" s="2">
        <v>0.184</v>
      </c>
      <c r="K261" s="2">
        <v>0.59099999999999997</v>
      </c>
      <c r="L261" s="2">
        <v>-6.0609999999999999</v>
      </c>
    </row>
    <row r="262" spans="1:12" x14ac:dyDescent="0.25">
      <c r="A262">
        <v>136</v>
      </c>
      <c r="B262">
        <v>15</v>
      </c>
      <c r="C262" s="3">
        <v>4992345</v>
      </c>
      <c r="D262" s="4">
        <v>1275345</v>
      </c>
      <c r="E262">
        <v>82</v>
      </c>
      <c r="F262" s="2">
        <v>0.64600000000000002</v>
      </c>
      <c r="G262" s="2">
        <v>0.79500000000000004</v>
      </c>
      <c r="H262" s="2">
        <v>9.7600000000000006E-2</v>
      </c>
      <c r="I262" s="2">
        <v>3.1899999999999998E-2</v>
      </c>
      <c r="J262" s="2">
        <v>0.26700000000000002</v>
      </c>
      <c r="K262" s="2">
        <v>0.79600000000000004</v>
      </c>
      <c r="L262" s="2">
        <v>-3.2930000000000001</v>
      </c>
    </row>
    <row r="263" spans="1:12" x14ac:dyDescent="0.25">
      <c r="A263">
        <v>104</v>
      </c>
      <c r="B263">
        <v>16</v>
      </c>
      <c r="C263" s="3">
        <v>4976405</v>
      </c>
      <c r="D263" s="4">
        <v>12375514</v>
      </c>
      <c r="E263">
        <v>82</v>
      </c>
      <c r="F263" s="2">
        <v>0.69099999999999995</v>
      </c>
      <c r="G263" s="2">
        <v>0.63100000000000001</v>
      </c>
      <c r="H263" s="2">
        <v>3.6799999999999999E-2</v>
      </c>
      <c r="I263" s="2">
        <v>4.8300000000000003E-2</v>
      </c>
      <c r="J263" s="2">
        <v>0.104</v>
      </c>
      <c r="K263" s="2">
        <v>0.8</v>
      </c>
      <c r="L263" s="2">
        <v>-6.4779999999999998</v>
      </c>
    </row>
    <row r="264" spans="1:12" x14ac:dyDescent="0.25">
      <c r="A264">
        <v>184</v>
      </c>
      <c r="B264">
        <v>2</v>
      </c>
      <c r="C264" s="3">
        <v>4975786</v>
      </c>
      <c r="D264" s="4">
        <v>6080597</v>
      </c>
      <c r="E264">
        <v>82</v>
      </c>
      <c r="F264" s="2">
        <v>0.70399999999999996</v>
      </c>
      <c r="G264" s="2">
        <v>0.73899999999999999</v>
      </c>
      <c r="H264" s="2">
        <v>0.112</v>
      </c>
      <c r="I264" s="2">
        <v>0.32800000000000001</v>
      </c>
      <c r="J264" s="2">
        <v>8.5599999999999996E-2</v>
      </c>
      <c r="K264" s="2">
        <v>0.42499999999999999</v>
      </c>
      <c r="L264" s="2">
        <v>-3.286</v>
      </c>
    </row>
    <row r="265" spans="1:12" x14ac:dyDescent="0.25">
      <c r="A265">
        <v>81</v>
      </c>
      <c r="B265">
        <v>8</v>
      </c>
      <c r="C265" s="3">
        <v>4973063</v>
      </c>
      <c r="D265" s="4">
        <v>384097</v>
      </c>
      <c r="E265">
        <v>82</v>
      </c>
      <c r="F265" s="2">
        <v>0.73299999999999998</v>
      </c>
      <c r="G265" s="2">
        <v>0.73599999999999999</v>
      </c>
      <c r="H265" s="2">
        <v>0.111</v>
      </c>
      <c r="I265" s="2">
        <v>2.8000000000000001E-2</v>
      </c>
      <c r="J265" s="2">
        <v>0.13100000000000001</v>
      </c>
      <c r="K265" s="2">
        <v>0.66900000000000004</v>
      </c>
      <c r="L265" s="2">
        <v>-5.1230000000000002</v>
      </c>
    </row>
    <row r="266" spans="1:12" x14ac:dyDescent="0.25">
      <c r="A266">
        <v>161</v>
      </c>
      <c r="B266">
        <v>2</v>
      </c>
      <c r="C266" s="3">
        <v>4966428</v>
      </c>
      <c r="D266" s="4">
        <v>22536304</v>
      </c>
      <c r="E266">
        <v>82</v>
      </c>
      <c r="F266" s="2">
        <v>0.72599999999999998</v>
      </c>
      <c r="G266" s="2">
        <v>0.78700000000000003</v>
      </c>
      <c r="H266" s="2">
        <v>7.3700000000000002E-2</v>
      </c>
      <c r="I266" s="2">
        <v>8.9999999999999993E-3</v>
      </c>
      <c r="J266" s="2">
        <v>5.96E-2</v>
      </c>
      <c r="K266" s="2">
        <v>0.88800000000000001</v>
      </c>
      <c r="L266" s="2">
        <v>-2.4940000000000002</v>
      </c>
    </row>
    <row r="267" spans="1:12" x14ac:dyDescent="0.25">
      <c r="A267">
        <v>197</v>
      </c>
      <c r="B267">
        <v>1</v>
      </c>
      <c r="C267" s="3">
        <v>4945935</v>
      </c>
      <c r="D267" s="4">
        <v>32603394</v>
      </c>
      <c r="E267">
        <v>82</v>
      </c>
      <c r="F267" s="2">
        <v>0.61199999999999999</v>
      </c>
      <c r="G267" s="2">
        <v>0.28000000000000003</v>
      </c>
      <c r="H267" s="2">
        <v>4.3400000000000001E-2</v>
      </c>
      <c r="I267" s="2">
        <v>0.93200000000000005</v>
      </c>
      <c r="J267" s="2">
        <v>8.7999999999999995E-2</v>
      </c>
      <c r="K267" s="2">
        <v>0.38700000000000001</v>
      </c>
      <c r="L267" s="2">
        <v>-8.6479999999999997</v>
      </c>
    </row>
    <row r="268" spans="1:12" x14ac:dyDescent="0.25">
      <c r="A268">
        <v>175</v>
      </c>
      <c r="B268">
        <v>2</v>
      </c>
      <c r="C268" s="3">
        <v>4912036</v>
      </c>
      <c r="D268" s="4">
        <v>14917926</v>
      </c>
      <c r="E268">
        <v>82</v>
      </c>
      <c r="F268" s="2">
        <v>0.66</v>
      </c>
      <c r="G268" s="2">
        <v>0.73299999999999998</v>
      </c>
      <c r="H268" s="2">
        <v>3.5900000000000001E-2</v>
      </c>
      <c r="I268" s="2">
        <v>0.248</v>
      </c>
      <c r="J268" s="2">
        <v>0.17</v>
      </c>
      <c r="K268" s="2">
        <v>0.30399999999999999</v>
      </c>
      <c r="L268" s="2">
        <v>-4.6189999999999998</v>
      </c>
    </row>
    <row r="269" spans="1:12" x14ac:dyDescent="0.25">
      <c r="A269">
        <v>23</v>
      </c>
      <c r="B269">
        <v>19</v>
      </c>
      <c r="C269" s="3">
        <v>4911162</v>
      </c>
      <c r="D269" s="4">
        <v>319192</v>
      </c>
      <c r="E269">
        <v>82</v>
      </c>
      <c r="F269" s="2">
        <v>0.58499999999999996</v>
      </c>
      <c r="G269" s="2">
        <v>0.61099999999999999</v>
      </c>
      <c r="H269" s="2">
        <v>0.28799999999999998</v>
      </c>
      <c r="I269" s="2">
        <v>0.39</v>
      </c>
      <c r="J269" s="2">
        <v>0.64900000000000002</v>
      </c>
      <c r="K269" s="2">
        <v>0.96199999999999997</v>
      </c>
      <c r="L269" s="2">
        <v>-4.1319999999999997</v>
      </c>
    </row>
    <row r="270" spans="1:12" x14ac:dyDescent="0.25">
      <c r="A270">
        <v>52</v>
      </c>
      <c r="B270">
        <v>11</v>
      </c>
      <c r="C270" s="3">
        <v>4909499</v>
      </c>
      <c r="D270" s="4">
        <v>36177712</v>
      </c>
      <c r="E270">
        <v>82</v>
      </c>
      <c r="F270" s="2">
        <v>0.86</v>
      </c>
      <c r="G270" s="2">
        <v>0.79100000000000004</v>
      </c>
      <c r="H270" s="2">
        <v>5.6800000000000003E-2</v>
      </c>
      <c r="I270" s="2">
        <v>0.16900000000000001</v>
      </c>
      <c r="J270" s="2">
        <v>0.106</v>
      </c>
      <c r="K270" s="2">
        <v>0.88700000000000001</v>
      </c>
      <c r="L270" s="2">
        <v>-4.7839999999999998</v>
      </c>
    </row>
    <row r="271" spans="1:12" x14ac:dyDescent="0.25">
      <c r="A271">
        <v>102</v>
      </c>
      <c r="B271">
        <v>46</v>
      </c>
      <c r="C271" s="3">
        <v>4872409</v>
      </c>
      <c r="D271" s="4">
        <v>661863</v>
      </c>
      <c r="E271">
        <v>82</v>
      </c>
      <c r="F271" s="2">
        <v>0.498</v>
      </c>
      <c r="G271" s="2">
        <v>0.23499999999999999</v>
      </c>
      <c r="H271" s="2">
        <v>0.188</v>
      </c>
      <c r="I271" s="2">
        <v>0.72</v>
      </c>
      <c r="J271" s="2">
        <v>0.14399999999999999</v>
      </c>
      <c r="K271" s="2">
        <v>8.9499999999999996E-2</v>
      </c>
      <c r="L271" s="2">
        <v>-16.541</v>
      </c>
    </row>
    <row r="272" spans="1:12" x14ac:dyDescent="0.25">
      <c r="A272">
        <v>161</v>
      </c>
      <c r="B272">
        <v>41</v>
      </c>
      <c r="C272" s="3">
        <v>4862683</v>
      </c>
      <c r="D272" s="4">
        <v>18191658</v>
      </c>
      <c r="E272">
        <v>82</v>
      </c>
      <c r="F272" s="2">
        <v>0.61699999999999999</v>
      </c>
      <c r="G272" s="2">
        <v>0.63500000000000001</v>
      </c>
      <c r="H272" s="2">
        <v>3.1699999999999999E-2</v>
      </c>
      <c r="I272" s="2">
        <v>4.9799999999999997E-2</v>
      </c>
      <c r="J272" s="2">
        <v>0.16400000000000001</v>
      </c>
      <c r="K272" s="2">
        <v>0.44600000000000001</v>
      </c>
      <c r="L272" s="2">
        <v>-6.7690000000000001</v>
      </c>
    </row>
    <row r="273" spans="1:12" x14ac:dyDescent="0.25">
      <c r="A273">
        <v>41</v>
      </c>
      <c r="B273">
        <v>39</v>
      </c>
      <c r="C273" s="3">
        <v>4855690</v>
      </c>
      <c r="D273" s="4">
        <v>3916979</v>
      </c>
      <c r="E273">
        <v>82</v>
      </c>
      <c r="F273" s="2">
        <v>0.63700000000000001</v>
      </c>
      <c r="G273" s="2">
        <v>0.69</v>
      </c>
      <c r="H273" s="2">
        <v>4.0500000000000001E-2</v>
      </c>
      <c r="I273" s="2">
        <v>7.8600000000000007E-3</v>
      </c>
      <c r="J273" s="2">
        <v>0.124</v>
      </c>
      <c r="K273" s="2">
        <v>0.45700000000000002</v>
      </c>
      <c r="L273" s="2">
        <v>-4.0570000000000004</v>
      </c>
    </row>
    <row r="274" spans="1:12" x14ac:dyDescent="0.25">
      <c r="A274">
        <v>156</v>
      </c>
      <c r="B274">
        <v>15</v>
      </c>
      <c r="C274" s="3">
        <v>4732343</v>
      </c>
      <c r="D274" s="4">
        <v>4759367</v>
      </c>
      <c r="E274">
        <v>82</v>
      </c>
      <c r="F274" s="2">
        <v>0.51500000000000001</v>
      </c>
      <c r="G274" s="2">
        <v>0.47899999999999998</v>
      </c>
      <c r="H274" s="2">
        <v>2.6100000000000002E-2</v>
      </c>
      <c r="I274" s="2">
        <v>0.54400000000000004</v>
      </c>
      <c r="J274" s="2">
        <v>0.191</v>
      </c>
      <c r="K274" s="2">
        <v>0.28399999999999997</v>
      </c>
      <c r="L274" s="2">
        <v>-7.4580000000000002</v>
      </c>
    </row>
    <row r="275" spans="1:12" x14ac:dyDescent="0.25">
      <c r="A275">
        <v>66</v>
      </c>
      <c r="B275">
        <v>46</v>
      </c>
      <c r="C275" s="3">
        <v>4655272</v>
      </c>
      <c r="D275" s="4">
        <v>31552500</v>
      </c>
      <c r="E275">
        <v>82</v>
      </c>
      <c r="F275" s="2">
        <v>0.68700000000000006</v>
      </c>
      <c r="G275" s="2">
        <v>0.79200000000000004</v>
      </c>
      <c r="H275" s="2">
        <v>4.5199999999999997E-2</v>
      </c>
      <c r="I275" s="2">
        <v>0.191</v>
      </c>
      <c r="J275" s="2">
        <v>0.16700000000000001</v>
      </c>
      <c r="K275" s="2">
        <v>0.67100000000000004</v>
      </c>
      <c r="L275" s="2">
        <v>-2.7490000000000001</v>
      </c>
    </row>
    <row r="276" spans="1:12" x14ac:dyDescent="0.25">
      <c r="A276">
        <v>27</v>
      </c>
      <c r="B276">
        <v>36</v>
      </c>
      <c r="C276" s="3">
        <v>4597001</v>
      </c>
      <c r="D276" s="4">
        <v>437907</v>
      </c>
      <c r="E276">
        <v>82</v>
      </c>
      <c r="F276" s="2">
        <v>0.80200000000000005</v>
      </c>
      <c r="G276" s="2">
        <v>0.59099999999999997</v>
      </c>
      <c r="H276" s="2">
        <v>0.22500000000000001</v>
      </c>
      <c r="I276" s="2">
        <v>1.04E-2</v>
      </c>
      <c r="J276" s="2">
        <v>0.19600000000000001</v>
      </c>
      <c r="K276" s="2">
        <v>0.309</v>
      </c>
      <c r="L276" s="2">
        <v>-4.8949999999999996</v>
      </c>
    </row>
    <row r="277" spans="1:12" x14ac:dyDescent="0.25">
      <c r="A277">
        <v>130</v>
      </c>
      <c r="B277">
        <v>11</v>
      </c>
      <c r="C277" s="3">
        <v>4565400</v>
      </c>
      <c r="D277" s="4">
        <v>56327031</v>
      </c>
      <c r="E277">
        <v>82</v>
      </c>
      <c r="F277" s="2">
        <v>0.754</v>
      </c>
      <c r="G277" s="2">
        <v>0.44900000000000001</v>
      </c>
      <c r="H277" s="2">
        <v>0.109</v>
      </c>
      <c r="I277" s="2">
        <v>3.32E-2</v>
      </c>
      <c r="J277" s="2">
        <v>0.55200000000000005</v>
      </c>
      <c r="K277" s="2">
        <v>0.35699999999999998</v>
      </c>
      <c r="L277" s="2">
        <v>-9.2110000000000003</v>
      </c>
    </row>
    <row r="278" spans="1:12" x14ac:dyDescent="0.25">
      <c r="A278">
        <v>27</v>
      </c>
      <c r="B278">
        <v>45</v>
      </c>
      <c r="C278" s="3">
        <v>4516053</v>
      </c>
      <c r="D278" s="4">
        <v>441714</v>
      </c>
      <c r="E278">
        <v>82</v>
      </c>
      <c r="F278" s="2">
        <v>0.59799999999999998</v>
      </c>
      <c r="G278" s="2">
        <v>0.52600000000000002</v>
      </c>
      <c r="H278" s="2">
        <v>4.1500000000000002E-2</v>
      </c>
      <c r="I278" s="2">
        <v>0.129</v>
      </c>
      <c r="J278" s="2">
        <v>0.14000000000000001</v>
      </c>
      <c r="K278" s="2">
        <v>0.52900000000000003</v>
      </c>
      <c r="L278" s="2">
        <v>-8.6590000000000007</v>
      </c>
    </row>
    <row r="279" spans="1:12" x14ac:dyDescent="0.25">
      <c r="A279">
        <v>147</v>
      </c>
      <c r="B279">
        <v>27</v>
      </c>
      <c r="C279" s="3">
        <v>4430642</v>
      </c>
      <c r="D279" s="4">
        <v>4442273</v>
      </c>
      <c r="E279">
        <v>82</v>
      </c>
      <c r="F279" s="2">
        <v>0.752</v>
      </c>
      <c r="G279" s="2">
        <v>0.505</v>
      </c>
      <c r="H279" s="2">
        <v>0.253</v>
      </c>
      <c r="I279" s="2">
        <v>0.53500000000000003</v>
      </c>
      <c r="J279" s="2">
        <v>0.104</v>
      </c>
      <c r="K279" s="2">
        <v>0.41899999999999998</v>
      </c>
      <c r="L279" s="2">
        <v>-7.6210000000000004</v>
      </c>
    </row>
    <row r="280" spans="1:12" x14ac:dyDescent="0.25">
      <c r="A280">
        <v>161</v>
      </c>
      <c r="B280">
        <v>19</v>
      </c>
      <c r="C280" s="3">
        <v>4393932</v>
      </c>
      <c r="D280" s="4">
        <v>2808285</v>
      </c>
      <c r="E280">
        <v>82</v>
      </c>
      <c r="F280" s="2">
        <v>0.65200000000000002</v>
      </c>
      <c r="G280" s="2">
        <v>0.55700000000000005</v>
      </c>
      <c r="H280" s="2">
        <v>3.1800000000000002E-2</v>
      </c>
      <c r="I280" s="2">
        <v>0.74</v>
      </c>
      <c r="J280" s="2">
        <v>0.124</v>
      </c>
      <c r="K280" s="2">
        <v>0.48299999999999998</v>
      </c>
      <c r="L280" s="2">
        <v>-5.7140000000000004</v>
      </c>
    </row>
    <row r="281" spans="1:12" x14ac:dyDescent="0.25">
      <c r="A281">
        <v>137</v>
      </c>
      <c r="B281">
        <v>10</v>
      </c>
      <c r="C281" s="3">
        <v>4314080</v>
      </c>
      <c r="D281" s="4">
        <v>11821805</v>
      </c>
      <c r="E281">
        <v>82</v>
      </c>
      <c r="F281" s="2">
        <v>0.73199999999999998</v>
      </c>
      <c r="G281" s="2">
        <v>0.75</v>
      </c>
      <c r="H281" s="2">
        <v>0.23100000000000001</v>
      </c>
      <c r="I281" s="2">
        <v>2.64E-3</v>
      </c>
      <c r="J281" s="2">
        <v>0.109</v>
      </c>
      <c r="K281" s="2">
        <v>0.40100000000000002</v>
      </c>
      <c r="L281" s="2">
        <v>-6.3659999999999997</v>
      </c>
    </row>
    <row r="282" spans="1:12" x14ac:dyDescent="0.25">
      <c r="A282">
        <v>97</v>
      </c>
      <c r="B282">
        <v>1</v>
      </c>
      <c r="C282" s="3">
        <v>7324233</v>
      </c>
      <c r="D282" s="4">
        <v>7805880</v>
      </c>
      <c r="E282">
        <v>81</v>
      </c>
      <c r="F282" s="2">
        <v>0.59599999999999997</v>
      </c>
      <c r="G282" s="2">
        <v>0.65</v>
      </c>
      <c r="H282" s="2">
        <v>0.33700000000000002</v>
      </c>
      <c r="I282" s="2">
        <v>0.13800000000000001</v>
      </c>
      <c r="J282" s="2">
        <v>0.14000000000000001</v>
      </c>
      <c r="K282" s="2">
        <v>0.188</v>
      </c>
      <c r="L282" s="2">
        <v>-5.1669999999999998</v>
      </c>
    </row>
    <row r="283" spans="1:12" x14ac:dyDescent="0.25">
      <c r="A283">
        <v>25</v>
      </c>
      <c r="B283">
        <v>5</v>
      </c>
      <c r="C283" s="3">
        <v>7198095</v>
      </c>
      <c r="D283" s="4">
        <v>37106176</v>
      </c>
      <c r="E283">
        <v>81</v>
      </c>
      <c r="F283" s="2">
        <v>0.499</v>
      </c>
      <c r="G283" s="2">
        <v>0.70899999999999996</v>
      </c>
      <c r="H283" s="2">
        <v>0.13400000000000001</v>
      </c>
      <c r="I283" s="2">
        <v>0.29599999999999999</v>
      </c>
      <c r="J283" s="2">
        <v>0.33100000000000002</v>
      </c>
      <c r="K283" s="2">
        <v>0.314</v>
      </c>
      <c r="L283" s="2">
        <v>-6.4039999999999999</v>
      </c>
    </row>
    <row r="284" spans="1:12" x14ac:dyDescent="0.25">
      <c r="A284">
        <v>126</v>
      </c>
      <c r="B284">
        <v>1</v>
      </c>
      <c r="C284" s="3">
        <v>6249801</v>
      </c>
      <c r="D284" s="4">
        <v>7805880</v>
      </c>
      <c r="E284">
        <v>81</v>
      </c>
      <c r="F284" s="2">
        <v>0.59599999999999997</v>
      </c>
      <c r="G284" s="2">
        <v>0.65</v>
      </c>
      <c r="H284" s="2">
        <v>0.33700000000000002</v>
      </c>
      <c r="I284" s="2">
        <v>0.13800000000000001</v>
      </c>
      <c r="J284" s="2">
        <v>0.14000000000000001</v>
      </c>
      <c r="K284" s="2">
        <v>0.188</v>
      </c>
      <c r="L284" s="2">
        <v>-5.1669999999999998</v>
      </c>
    </row>
    <row r="285" spans="1:12" x14ac:dyDescent="0.25">
      <c r="A285">
        <v>34</v>
      </c>
      <c r="B285">
        <v>3</v>
      </c>
      <c r="C285" s="3">
        <v>6081034</v>
      </c>
      <c r="D285" s="4">
        <v>2230022</v>
      </c>
      <c r="E285">
        <v>81</v>
      </c>
      <c r="F285" s="2">
        <v>0.65500000000000003</v>
      </c>
      <c r="G285" s="2">
        <v>0.46899999999999997</v>
      </c>
      <c r="H285" s="2">
        <v>2.92E-2</v>
      </c>
      <c r="I285" s="2">
        <v>0.17299999999999999</v>
      </c>
      <c r="J285" s="2">
        <v>9.5600000000000004E-2</v>
      </c>
      <c r="K285" s="2">
        <v>0.46700000000000003</v>
      </c>
      <c r="L285" s="2">
        <v>-6.2569999999999997</v>
      </c>
    </row>
    <row r="286" spans="1:12" x14ac:dyDescent="0.25">
      <c r="A286">
        <v>134</v>
      </c>
      <c r="B286">
        <v>1</v>
      </c>
      <c r="C286" s="3">
        <v>6040553</v>
      </c>
      <c r="D286" s="4">
        <v>4136553</v>
      </c>
      <c r="E286">
        <v>81</v>
      </c>
      <c r="F286" s="2">
        <v>0.58399999999999996</v>
      </c>
      <c r="G286" s="2">
        <v>0.83599999999999997</v>
      </c>
      <c r="H286" s="2">
        <v>7.9000000000000001E-2</v>
      </c>
      <c r="I286" s="2">
        <v>5.5800000000000002E-2</v>
      </c>
      <c r="J286" s="2">
        <v>6.6299999999999998E-2</v>
      </c>
      <c r="K286" s="2">
        <v>0.48399999999999999</v>
      </c>
      <c r="L286" s="2">
        <v>-4.9249999999999998</v>
      </c>
    </row>
    <row r="287" spans="1:12" x14ac:dyDescent="0.25">
      <c r="A287">
        <v>76</v>
      </c>
      <c r="B287">
        <v>4</v>
      </c>
      <c r="C287" s="3">
        <v>5883145</v>
      </c>
      <c r="D287" s="4">
        <v>2008516</v>
      </c>
      <c r="E287">
        <v>81</v>
      </c>
      <c r="F287" s="2">
        <v>0.35599999999999998</v>
      </c>
      <c r="G287" s="2">
        <v>0.68400000000000005</v>
      </c>
      <c r="H287" s="2">
        <v>8.7800000000000003E-2</v>
      </c>
      <c r="I287" s="2">
        <v>0.152</v>
      </c>
      <c r="J287" s="2">
        <v>0.10100000000000001</v>
      </c>
      <c r="K287" s="2">
        <v>0.34699999999999998</v>
      </c>
      <c r="L287" s="2">
        <v>-7.3470000000000004</v>
      </c>
    </row>
    <row r="288" spans="1:12" x14ac:dyDescent="0.25">
      <c r="A288">
        <v>154</v>
      </c>
      <c r="B288">
        <v>1</v>
      </c>
      <c r="C288" s="3">
        <v>5618268</v>
      </c>
      <c r="D288" s="4">
        <v>409173</v>
      </c>
      <c r="E288">
        <v>81</v>
      </c>
      <c r="F288" s="2">
        <v>0.66700000000000004</v>
      </c>
      <c r="G288" s="2">
        <v>0.89900000000000002</v>
      </c>
      <c r="H288" s="2">
        <v>3.2199999999999999E-2</v>
      </c>
      <c r="I288" s="2">
        <v>0.42299999999999999</v>
      </c>
      <c r="J288" s="2">
        <v>0.33200000000000002</v>
      </c>
      <c r="K288" s="2">
        <v>0.83499999999999996</v>
      </c>
      <c r="L288" s="2">
        <v>-4.4020000000000001</v>
      </c>
    </row>
    <row r="289" spans="1:12" x14ac:dyDescent="0.25">
      <c r="A289">
        <v>87</v>
      </c>
      <c r="B289">
        <v>10</v>
      </c>
      <c r="C289" s="3">
        <v>5518444</v>
      </c>
      <c r="D289" s="4">
        <v>2123734</v>
      </c>
      <c r="E289">
        <v>81</v>
      </c>
      <c r="F289" s="2">
        <v>0.73899999999999999</v>
      </c>
      <c r="G289" s="2">
        <v>0.78800000000000003</v>
      </c>
      <c r="H289" s="2">
        <v>7.3099999999999998E-2</v>
      </c>
      <c r="I289" s="2">
        <v>5.1299999999999998E-2</v>
      </c>
      <c r="J289" s="2">
        <v>0.28199999999999997</v>
      </c>
      <c r="K289" s="2">
        <v>0.47299999999999998</v>
      </c>
      <c r="L289" s="2">
        <v>-5.1980000000000004</v>
      </c>
    </row>
    <row r="290" spans="1:12" x14ac:dyDescent="0.25">
      <c r="A290">
        <v>34</v>
      </c>
      <c r="B290">
        <v>29</v>
      </c>
      <c r="C290" s="3">
        <v>5466954</v>
      </c>
      <c r="D290" s="4">
        <v>29238936</v>
      </c>
      <c r="E290">
        <v>81</v>
      </c>
      <c r="F290" s="2">
        <v>0.71399999999999997</v>
      </c>
      <c r="G290" s="2">
        <v>0.76100000000000001</v>
      </c>
      <c r="H290" s="2">
        <v>4.2700000000000002E-2</v>
      </c>
      <c r="I290" s="2">
        <v>0.13900000000000001</v>
      </c>
      <c r="J290" s="2">
        <v>0.24099999999999999</v>
      </c>
      <c r="K290" s="2">
        <v>0.90600000000000003</v>
      </c>
      <c r="L290" s="2">
        <v>-4.5960000000000001</v>
      </c>
    </row>
    <row r="291" spans="1:12" x14ac:dyDescent="0.25">
      <c r="A291">
        <v>63</v>
      </c>
      <c r="B291">
        <v>24</v>
      </c>
      <c r="C291" s="3">
        <v>5463964</v>
      </c>
      <c r="D291" s="4">
        <v>2435159</v>
      </c>
      <c r="E291">
        <v>81</v>
      </c>
      <c r="F291" s="2">
        <v>0.80700000000000005</v>
      </c>
      <c r="G291" s="2">
        <v>0.60599999999999998</v>
      </c>
      <c r="H291" s="2">
        <v>8.7999999999999995E-2</v>
      </c>
      <c r="I291" s="2">
        <v>9.4600000000000004E-2</v>
      </c>
      <c r="J291" s="2">
        <v>0.11899999999999999</v>
      </c>
      <c r="K291" s="2">
        <v>0.30399999999999999</v>
      </c>
      <c r="L291" s="2">
        <v>-8.8710000000000004</v>
      </c>
    </row>
    <row r="292" spans="1:12" x14ac:dyDescent="0.25">
      <c r="A292">
        <v>152</v>
      </c>
      <c r="B292">
        <v>2</v>
      </c>
      <c r="C292" s="3">
        <v>5347263</v>
      </c>
      <c r="D292" s="4">
        <v>1042079</v>
      </c>
      <c r="E292">
        <v>81</v>
      </c>
      <c r="F292" s="2">
        <v>0.35199999999999998</v>
      </c>
      <c r="G292" s="2">
        <v>0.42399999999999999</v>
      </c>
      <c r="H292" s="2">
        <v>3.9399999999999998E-2</v>
      </c>
      <c r="I292" s="2">
        <v>0.73299999999999998</v>
      </c>
      <c r="J292" s="2">
        <v>6.6400000000000001E-2</v>
      </c>
      <c r="K292" s="2">
        <v>0.14099999999999999</v>
      </c>
      <c r="L292" s="2">
        <v>-10.131</v>
      </c>
    </row>
    <row r="293" spans="1:12" x14ac:dyDescent="0.25">
      <c r="A293">
        <v>2</v>
      </c>
      <c r="B293">
        <v>12</v>
      </c>
      <c r="C293" s="3">
        <v>5335112</v>
      </c>
      <c r="D293" s="4">
        <v>56308172</v>
      </c>
      <c r="E293">
        <v>81</v>
      </c>
      <c r="F293" s="2">
        <v>0.78100000000000003</v>
      </c>
      <c r="G293" s="2">
        <v>0.59399999999999997</v>
      </c>
      <c r="H293" s="2">
        <v>4.8500000000000001E-2</v>
      </c>
      <c r="I293" s="2">
        <v>1.3599999999999999E-2</v>
      </c>
      <c r="J293" s="2">
        <v>0.16200000000000001</v>
      </c>
      <c r="K293" s="2">
        <v>6.2799999999999995E-2</v>
      </c>
      <c r="L293" s="2">
        <v>-6.9589999999999996</v>
      </c>
    </row>
    <row r="294" spans="1:12" x14ac:dyDescent="0.25">
      <c r="A294">
        <v>65</v>
      </c>
      <c r="B294">
        <v>2</v>
      </c>
      <c r="C294" s="3">
        <v>5315734</v>
      </c>
      <c r="D294" s="4">
        <v>6837946</v>
      </c>
      <c r="E294">
        <v>81</v>
      </c>
      <c r="F294" s="2">
        <v>0.71599999999999997</v>
      </c>
      <c r="G294" s="2">
        <v>0.67</v>
      </c>
      <c r="H294" s="2">
        <v>0.10100000000000001</v>
      </c>
      <c r="I294" s="2">
        <v>0.52600000000000002</v>
      </c>
      <c r="J294" s="2">
        <v>0.13</v>
      </c>
      <c r="K294" s="2">
        <v>0.41099999999999998</v>
      </c>
      <c r="L294" s="2">
        <v>-6.9950000000000001</v>
      </c>
    </row>
    <row r="295" spans="1:12" x14ac:dyDescent="0.25">
      <c r="A295">
        <v>154</v>
      </c>
      <c r="B295">
        <v>4</v>
      </c>
      <c r="C295" s="3">
        <v>5282702</v>
      </c>
      <c r="D295" s="4">
        <v>1725025</v>
      </c>
      <c r="E295">
        <v>81</v>
      </c>
      <c r="F295" s="2">
        <v>0.59699999999999998</v>
      </c>
      <c r="G295" s="2">
        <v>0.57099999999999995</v>
      </c>
      <c r="H295" s="2">
        <v>0.29299999999999998</v>
      </c>
      <c r="I295" s="2">
        <v>0.49199999999999999</v>
      </c>
      <c r="J295" s="2">
        <v>9.2999999999999999E-2</v>
      </c>
      <c r="K295" s="2">
        <v>0.16500000000000001</v>
      </c>
      <c r="L295" s="2">
        <v>-6.2050000000000001</v>
      </c>
    </row>
    <row r="296" spans="1:12" x14ac:dyDescent="0.25">
      <c r="A296">
        <v>182</v>
      </c>
      <c r="B296">
        <v>5</v>
      </c>
      <c r="C296" s="3">
        <v>5278449</v>
      </c>
      <c r="D296" s="4">
        <v>6150675</v>
      </c>
      <c r="E296">
        <v>81</v>
      </c>
      <c r="F296" s="2">
        <v>0.82799999999999996</v>
      </c>
      <c r="G296" s="2">
        <v>0.83</v>
      </c>
      <c r="H296" s="2">
        <v>4.7E-2</v>
      </c>
      <c r="I296" s="2">
        <v>0.34799999999999998</v>
      </c>
      <c r="J296" s="2">
        <v>6.13E-2</v>
      </c>
      <c r="K296" s="2">
        <v>0.42199999999999999</v>
      </c>
      <c r="L296" s="2">
        <v>-3.371</v>
      </c>
    </row>
    <row r="297" spans="1:12" x14ac:dyDescent="0.25">
      <c r="A297">
        <v>91</v>
      </c>
      <c r="B297">
        <v>9</v>
      </c>
      <c r="C297" s="3">
        <v>5252767</v>
      </c>
      <c r="D297" s="4">
        <v>618444</v>
      </c>
      <c r="E297">
        <v>81</v>
      </c>
      <c r="F297" s="2">
        <v>0.63700000000000001</v>
      </c>
      <c r="G297" s="2">
        <v>0.92900000000000005</v>
      </c>
      <c r="H297" s="2">
        <v>4.9099999999999998E-2</v>
      </c>
      <c r="I297" s="2">
        <v>1.67E-3</v>
      </c>
      <c r="J297" s="2">
        <v>0.34399999999999997</v>
      </c>
      <c r="K297" s="2">
        <v>0.90200000000000002</v>
      </c>
      <c r="L297" s="2">
        <v>-3.593</v>
      </c>
    </row>
    <row r="298" spans="1:12" x14ac:dyDescent="0.25">
      <c r="A298">
        <v>72</v>
      </c>
      <c r="B298">
        <v>2</v>
      </c>
      <c r="C298" s="3">
        <v>5245618</v>
      </c>
      <c r="D298" s="4">
        <v>6837946</v>
      </c>
      <c r="E298">
        <v>81</v>
      </c>
      <c r="F298" s="2">
        <v>0.67500000000000004</v>
      </c>
      <c r="G298" s="2">
        <v>0.60799999999999998</v>
      </c>
      <c r="H298" s="2">
        <v>0.10299999999999999</v>
      </c>
      <c r="I298" s="2">
        <v>0.33600000000000002</v>
      </c>
      <c r="J298" s="2">
        <v>0.11</v>
      </c>
      <c r="K298" s="2">
        <v>0.72799999999999998</v>
      </c>
      <c r="L298" s="2">
        <v>-6.9340000000000002</v>
      </c>
    </row>
    <row r="299" spans="1:12" x14ac:dyDescent="0.25">
      <c r="A299">
        <v>127</v>
      </c>
      <c r="B299">
        <v>2</v>
      </c>
      <c r="C299" s="3">
        <v>5241813</v>
      </c>
      <c r="D299" s="4">
        <v>3377762</v>
      </c>
      <c r="E299">
        <v>81</v>
      </c>
      <c r="F299" s="2">
        <v>0.36299999999999999</v>
      </c>
      <c r="G299" s="2">
        <v>0.67800000000000005</v>
      </c>
      <c r="H299" s="2">
        <v>9.9500000000000005E-2</v>
      </c>
      <c r="I299" s="2">
        <v>2.9899999999999999E-2</v>
      </c>
      <c r="J299" s="2">
        <v>0.32400000000000001</v>
      </c>
      <c r="K299" s="2">
        <v>0.32100000000000001</v>
      </c>
      <c r="L299" s="2">
        <v>-4.9390000000000001</v>
      </c>
    </row>
    <row r="300" spans="1:12" x14ac:dyDescent="0.25">
      <c r="A300">
        <v>3</v>
      </c>
      <c r="B300">
        <v>70</v>
      </c>
      <c r="C300" s="3">
        <v>5241227</v>
      </c>
      <c r="D300" s="4">
        <v>10488292</v>
      </c>
      <c r="E300">
        <v>81</v>
      </c>
      <c r="F300" s="2">
        <v>0.67600000000000005</v>
      </c>
      <c r="G300" s="2">
        <v>0.60899999999999999</v>
      </c>
      <c r="H300" s="2">
        <v>0.48099999999999998</v>
      </c>
      <c r="I300" s="2">
        <v>7.0599999999999996E-2</v>
      </c>
      <c r="J300" s="2">
        <v>0.152</v>
      </c>
      <c r="K300" s="2">
        <v>0.50800000000000001</v>
      </c>
      <c r="L300" s="2">
        <v>-5.8310000000000004</v>
      </c>
    </row>
    <row r="301" spans="1:12" x14ac:dyDescent="0.25">
      <c r="A301">
        <v>25</v>
      </c>
      <c r="B301">
        <v>4</v>
      </c>
      <c r="C301" s="3">
        <v>5234112</v>
      </c>
      <c r="D301" s="4">
        <v>8083566</v>
      </c>
      <c r="E301">
        <v>81</v>
      </c>
      <c r="F301" s="2">
        <v>0.73499999999999999</v>
      </c>
      <c r="G301" s="2">
        <v>0.47</v>
      </c>
      <c r="H301" s="2">
        <v>0.1</v>
      </c>
      <c r="I301" s="2">
        <v>0.26600000000000001</v>
      </c>
      <c r="J301" s="2">
        <v>0.32</v>
      </c>
      <c r="K301" s="2">
        <v>0.89700000000000002</v>
      </c>
      <c r="L301" s="2">
        <v>-9.4049999999999994</v>
      </c>
    </row>
    <row r="302" spans="1:12" x14ac:dyDescent="0.25">
      <c r="A302">
        <v>18</v>
      </c>
      <c r="B302">
        <v>33</v>
      </c>
      <c r="C302" s="3">
        <v>5181180</v>
      </c>
      <c r="D302" s="4">
        <v>100463</v>
      </c>
      <c r="E302">
        <v>81</v>
      </c>
      <c r="F302" s="2">
        <v>0.39900000000000002</v>
      </c>
      <c r="G302" s="2">
        <v>0.49099999999999999</v>
      </c>
      <c r="H302" s="2">
        <v>5.3800000000000001E-2</v>
      </c>
      <c r="I302" s="2">
        <v>5.6300000000000003E-2</v>
      </c>
      <c r="J302" s="2">
        <v>0.11</v>
      </c>
      <c r="K302" s="2">
        <v>0.151</v>
      </c>
      <c r="L302" s="2">
        <v>-10.778</v>
      </c>
    </row>
    <row r="303" spans="1:12" x14ac:dyDescent="0.25">
      <c r="A303">
        <v>64</v>
      </c>
      <c r="B303">
        <v>10</v>
      </c>
      <c r="C303" s="3">
        <v>5174298</v>
      </c>
      <c r="D303" s="4">
        <v>3553442</v>
      </c>
      <c r="E303">
        <v>81</v>
      </c>
      <c r="F303" s="2">
        <v>0.80800000000000005</v>
      </c>
      <c r="G303" s="2">
        <v>0.63900000000000001</v>
      </c>
      <c r="H303" s="2">
        <v>0.27900000000000003</v>
      </c>
      <c r="I303" s="2">
        <v>8.0199999999999994E-2</v>
      </c>
      <c r="J303" s="2">
        <v>0.15</v>
      </c>
      <c r="K303" s="2">
        <v>0.39500000000000002</v>
      </c>
      <c r="L303" s="2">
        <v>-7.266</v>
      </c>
    </row>
    <row r="304" spans="1:12" x14ac:dyDescent="0.25">
      <c r="A304">
        <v>77</v>
      </c>
      <c r="B304">
        <v>10</v>
      </c>
      <c r="C304" s="3">
        <v>5165035</v>
      </c>
      <c r="D304" s="4">
        <v>1275345</v>
      </c>
      <c r="E304">
        <v>81</v>
      </c>
      <c r="F304" s="2">
        <v>0.72</v>
      </c>
      <c r="G304" s="2">
        <v>0.74399999999999999</v>
      </c>
      <c r="H304" s="2">
        <v>0.12</v>
      </c>
      <c r="I304" s="2">
        <v>0.23699999999999999</v>
      </c>
      <c r="J304" s="2">
        <v>0.255</v>
      </c>
      <c r="K304" s="2">
        <v>0.61899999999999999</v>
      </c>
      <c r="L304" s="2">
        <v>-6.9379999999999997</v>
      </c>
    </row>
    <row r="305" spans="1:12" x14ac:dyDescent="0.25">
      <c r="A305">
        <v>108</v>
      </c>
      <c r="B305">
        <v>6</v>
      </c>
      <c r="C305" s="3">
        <v>5155238</v>
      </c>
      <c r="D305" s="4">
        <v>2753929</v>
      </c>
      <c r="E305">
        <v>81</v>
      </c>
      <c r="F305" s="2">
        <v>0.75</v>
      </c>
      <c r="G305" s="2">
        <v>0.66800000000000004</v>
      </c>
      <c r="H305" s="2">
        <v>6.0999999999999999E-2</v>
      </c>
      <c r="I305" s="2">
        <v>0.78</v>
      </c>
      <c r="J305" s="2">
        <v>0.33800000000000002</v>
      </c>
      <c r="K305" s="2">
        <v>0.78600000000000003</v>
      </c>
      <c r="L305" s="2">
        <v>-4.49</v>
      </c>
    </row>
    <row r="306" spans="1:12" x14ac:dyDescent="0.25">
      <c r="A306">
        <v>4</v>
      </c>
      <c r="B306">
        <v>10</v>
      </c>
      <c r="C306" s="3">
        <v>5135380</v>
      </c>
      <c r="D306" s="4">
        <v>47014200</v>
      </c>
      <c r="E306">
        <v>81</v>
      </c>
      <c r="F306" s="2">
        <v>0.63200000000000001</v>
      </c>
      <c r="G306" s="2">
        <v>0.28399999999999997</v>
      </c>
      <c r="H306" s="2">
        <v>8.0100000000000005E-2</v>
      </c>
      <c r="I306" s="2">
        <v>0.93200000000000005</v>
      </c>
      <c r="J306" s="2">
        <v>0.23300000000000001</v>
      </c>
      <c r="K306" s="2">
        <v>0.20799999999999999</v>
      </c>
      <c r="L306" s="2">
        <v>-14.025</v>
      </c>
    </row>
    <row r="307" spans="1:12" x14ac:dyDescent="0.25">
      <c r="A307">
        <v>94</v>
      </c>
      <c r="B307">
        <v>5</v>
      </c>
      <c r="C307" s="3">
        <v>5107084</v>
      </c>
      <c r="D307" s="4">
        <v>3553442</v>
      </c>
      <c r="E307">
        <v>81</v>
      </c>
      <c r="F307" s="2">
        <v>0.88</v>
      </c>
      <c r="G307" s="2">
        <v>0.57499999999999996</v>
      </c>
      <c r="H307" s="2">
        <v>0.16300000000000001</v>
      </c>
      <c r="I307" s="2">
        <v>0.41499999999999998</v>
      </c>
      <c r="J307" s="2">
        <v>0.109</v>
      </c>
      <c r="K307" s="2">
        <v>0.67100000000000004</v>
      </c>
      <c r="L307" s="2">
        <v>-6.0910000000000002</v>
      </c>
    </row>
    <row r="308" spans="1:12" x14ac:dyDescent="0.25">
      <c r="A308">
        <v>120</v>
      </c>
      <c r="B308">
        <v>15</v>
      </c>
      <c r="C308" s="3">
        <v>5086382</v>
      </c>
      <c r="D308" s="4">
        <v>2110870</v>
      </c>
      <c r="E308">
        <v>81</v>
      </c>
      <c r="F308" s="2">
        <v>0.52700000000000002</v>
      </c>
      <c r="G308" s="2">
        <v>0.92200000000000004</v>
      </c>
      <c r="H308" s="2">
        <v>7.2800000000000004E-2</v>
      </c>
      <c r="I308" s="2">
        <v>4.7499999999999999E-3</v>
      </c>
      <c r="J308" s="2">
        <v>0.42199999999999999</v>
      </c>
      <c r="K308" s="2">
        <v>0.49</v>
      </c>
      <c r="L308" s="2">
        <v>-2.6659999999999999</v>
      </c>
    </row>
    <row r="309" spans="1:12" x14ac:dyDescent="0.25">
      <c r="A309">
        <v>4</v>
      </c>
      <c r="B309">
        <v>37</v>
      </c>
      <c r="C309" s="3">
        <v>5063015</v>
      </c>
      <c r="D309" s="4">
        <v>48504126</v>
      </c>
      <c r="E309">
        <v>81</v>
      </c>
      <c r="F309" s="2">
        <v>0.67300000000000004</v>
      </c>
      <c r="G309" s="2">
        <v>0.70399999999999996</v>
      </c>
      <c r="H309" s="2">
        <v>0.36</v>
      </c>
      <c r="I309" s="2">
        <v>0.19600000000000001</v>
      </c>
      <c r="J309" s="2">
        <v>8.9800000000000005E-2</v>
      </c>
      <c r="K309" s="2">
        <v>0.372</v>
      </c>
      <c r="L309" s="2">
        <v>-8.0559999999999992</v>
      </c>
    </row>
    <row r="310" spans="1:12" x14ac:dyDescent="0.25">
      <c r="A310">
        <v>6</v>
      </c>
      <c r="B310">
        <v>53</v>
      </c>
      <c r="C310" s="3">
        <v>5054319</v>
      </c>
      <c r="D310" s="4">
        <v>35340069</v>
      </c>
      <c r="E310">
        <v>81</v>
      </c>
      <c r="F310" s="2">
        <v>0.66700000000000004</v>
      </c>
      <c r="G310" s="2">
        <v>0.71899999999999997</v>
      </c>
      <c r="H310" s="2">
        <v>3.4599999999999999E-2</v>
      </c>
      <c r="I310" s="2">
        <v>2.8500000000000001E-3</v>
      </c>
      <c r="J310" s="2">
        <v>7.3599999999999999E-2</v>
      </c>
      <c r="K310" s="2">
        <v>0.71699999999999997</v>
      </c>
      <c r="L310" s="2">
        <v>-5.3710000000000004</v>
      </c>
    </row>
    <row r="311" spans="1:12" x14ac:dyDescent="0.25">
      <c r="A311">
        <v>198</v>
      </c>
      <c r="B311">
        <v>1</v>
      </c>
      <c r="C311" s="3">
        <v>5052557</v>
      </c>
      <c r="D311" s="4">
        <v>1643882</v>
      </c>
      <c r="E311">
        <v>81</v>
      </c>
      <c r="F311" s="2">
        <v>0.66800000000000004</v>
      </c>
      <c r="G311" s="2">
        <v>0.72699999999999998</v>
      </c>
      <c r="H311" s="2">
        <v>2.7E-2</v>
      </c>
      <c r="I311" s="2">
        <v>0.51400000000000001</v>
      </c>
      <c r="J311" s="2">
        <v>0.1</v>
      </c>
      <c r="K311" s="2">
        <v>0.93899999999999995</v>
      </c>
      <c r="L311" s="2">
        <v>-6.55</v>
      </c>
    </row>
    <row r="312" spans="1:12" x14ac:dyDescent="0.25">
      <c r="A312">
        <v>8</v>
      </c>
      <c r="B312">
        <v>37</v>
      </c>
      <c r="C312" s="3">
        <v>5013017</v>
      </c>
      <c r="D312" s="4">
        <v>180454</v>
      </c>
      <c r="E312">
        <v>81</v>
      </c>
      <c r="F312" s="2">
        <v>0.71899999999999997</v>
      </c>
      <c r="G312" s="2">
        <v>0.64800000000000002</v>
      </c>
      <c r="H312" s="2">
        <v>0.125</v>
      </c>
      <c r="I312" s="2">
        <v>0.2</v>
      </c>
      <c r="J312" s="2">
        <v>0.127</v>
      </c>
      <c r="K312" s="2">
        <v>0.66</v>
      </c>
      <c r="L312" s="2">
        <v>-7.6</v>
      </c>
    </row>
    <row r="313" spans="1:12" x14ac:dyDescent="0.25">
      <c r="A313">
        <v>193</v>
      </c>
      <c r="B313">
        <v>1</v>
      </c>
      <c r="C313" s="3">
        <v>4998044</v>
      </c>
      <c r="D313" s="4">
        <v>130801</v>
      </c>
      <c r="E313">
        <v>81</v>
      </c>
      <c r="F313" s="2">
        <v>0.61599999999999999</v>
      </c>
      <c r="G313" s="2">
        <v>0.57599999999999996</v>
      </c>
      <c r="H313" s="2">
        <v>5.3199999999999997E-2</v>
      </c>
      <c r="I313" s="2">
        <v>7.2300000000000003E-2</v>
      </c>
      <c r="J313" s="2">
        <v>0.375</v>
      </c>
      <c r="K313" s="2">
        <v>0.26900000000000002</v>
      </c>
      <c r="L313" s="2">
        <v>-5.4950000000000001</v>
      </c>
    </row>
    <row r="314" spans="1:12" x14ac:dyDescent="0.25">
      <c r="A314">
        <v>49</v>
      </c>
      <c r="B314">
        <v>22</v>
      </c>
      <c r="C314" s="3">
        <v>4982892</v>
      </c>
      <c r="D314" s="4">
        <v>2722638</v>
      </c>
      <c r="E314">
        <v>81</v>
      </c>
      <c r="F314" s="2">
        <v>0.74399999999999999</v>
      </c>
      <c r="G314" s="2">
        <v>0.61899999999999999</v>
      </c>
      <c r="H314" s="2">
        <v>3.9E-2</v>
      </c>
      <c r="I314" s="2">
        <v>0.59799999999999998</v>
      </c>
      <c r="J314" s="2">
        <v>0.23100000000000001</v>
      </c>
      <c r="K314" s="2">
        <v>0.64100000000000001</v>
      </c>
      <c r="L314" s="2">
        <v>-9.8049999999999997</v>
      </c>
    </row>
    <row r="315" spans="1:12" x14ac:dyDescent="0.25">
      <c r="A315">
        <v>101</v>
      </c>
      <c r="B315">
        <v>4</v>
      </c>
      <c r="C315" s="3">
        <v>4965913</v>
      </c>
      <c r="D315" s="4">
        <v>3126961</v>
      </c>
      <c r="E315">
        <v>81</v>
      </c>
      <c r="F315" s="2">
        <v>0.78300000000000003</v>
      </c>
      <c r="G315" s="2">
        <v>0.52400000000000002</v>
      </c>
      <c r="H315" s="2">
        <v>5.5399999999999998E-2</v>
      </c>
      <c r="I315" s="2">
        <v>0.24099999999999999</v>
      </c>
      <c r="J315" s="2">
        <v>0.27100000000000002</v>
      </c>
      <c r="K315" s="2">
        <v>0.83899999999999997</v>
      </c>
      <c r="L315" s="2">
        <v>-6.4550000000000001</v>
      </c>
    </row>
    <row r="316" spans="1:12" x14ac:dyDescent="0.25">
      <c r="A316">
        <v>105</v>
      </c>
      <c r="B316">
        <v>23</v>
      </c>
      <c r="C316" s="3">
        <v>4911995</v>
      </c>
      <c r="D316" s="4">
        <v>1963296</v>
      </c>
      <c r="E316">
        <v>81</v>
      </c>
      <c r="F316" s="2">
        <v>0.68200000000000005</v>
      </c>
      <c r="G316" s="2">
        <v>0.68300000000000005</v>
      </c>
      <c r="H316" s="2">
        <v>2.87E-2</v>
      </c>
      <c r="I316" s="2">
        <v>0.156</v>
      </c>
      <c r="J316" s="2">
        <v>0.27300000000000002</v>
      </c>
      <c r="K316" s="2">
        <v>0.64</v>
      </c>
      <c r="L316" s="2">
        <v>-6.444</v>
      </c>
    </row>
    <row r="317" spans="1:12" x14ac:dyDescent="0.25">
      <c r="A317">
        <v>9</v>
      </c>
      <c r="B317">
        <v>46</v>
      </c>
      <c r="C317" s="3">
        <v>4908929</v>
      </c>
      <c r="D317" s="4">
        <v>132855</v>
      </c>
      <c r="E317">
        <v>81</v>
      </c>
      <c r="F317" s="2">
        <v>0.67400000000000004</v>
      </c>
      <c r="G317" s="2">
        <v>0.77400000000000002</v>
      </c>
      <c r="H317" s="2">
        <v>8.9200000000000002E-2</v>
      </c>
      <c r="I317" s="2">
        <v>6.8599999999999994E-2</v>
      </c>
      <c r="J317" s="2">
        <v>0.39300000000000002</v>
      </c>
      <c r="K317" s="2">
        <v>0.33</v>
      </c>
      <c r="L317" s="2">
        <v>-7.5670000000000002</v>
      </c>
    </row>
    <row r="318" spans="1:12" x14ac:dyDescent="0.25">
      <c r="A318">
        <v>178</v>
      </c>
      <c r="B318">
        <v>1</v>
      </c>
      <c r="C318" s="3">
        <v>4852004</v>
      </c>
      <c r="D318" s="4">
        <v>5488666</v>
      </c>
      <c r="E318">
        <v>81</v>
      </c>
      <c r="F318" s="2">
        <v>0.878</v>
      </c>
      <c r="G318" s="2">
        <v>0.61899999999999999</v>
      </c>
      <c r="H318" s="2">
        <v>0.10199999999999999</v>
      </c>
      <c r="I318" s="2">
        <v>5.33E-2</v>
      </c>
      <c r="J318" s="2">
        <v>0.113</v>
      </c>
      <c r="K318" s="2">
        <v>0.63900000000000001</v>
      </c>
      <c r="L318" s="2">
        <v>-5.56</v>
      </c>
    </row>
    <row r="319" spans="1:12" x14ac:dyDescent="0.25">
      <c r="A319">
        <v>179</v>
      </c>
      <c r="B319">
        <v>3</v>
      </c>
      <c r="C319" s="3">
        <v>4831644</v>
      </c>
      <c r="D319" s="4">
        <v>8153871</v>
      </c>
      <c r="E319">
        <v>81</v>
      </c>
      <c r="F319" s="2">
        <v>0.69699999999999995</v>
      </c>
      <c r="G319" s="2">
        <v>0.68300000000000005</v>
      </c>
      <c r="H319" s="2">
        <v>0.11700000000000001</v>
      </c>
      <c r="I319" s="2">
        <v>3.7199999999999997E-2</v>
      </c>
      <c r="J319" s="2">
        <v>0.13700000000000001</v>
      </c>
      <c r="K319" s="2">
        <v>0.60299999999999998</v>
      </c>
      <c r="L319" s="2">
        <v>-2.8809999999999998</v>
      </c>
    </row>
    <row r="320" spans="1:12" x14ac:dyDescent="0.25">
      <c r="A320">
        <v>73</v>
      </c>
      <c r="B320">
        <v>34</v>
      </c>
      <c r="C320" s="3">
        <v>4674658</v>
      </c>
      <c r="D320" s="4">
        <v>1758300</v>
      </c>
      <c r="E320">
        <v>81</v>
      </c>
      <c r="F320" s="2">
        <v>0.73199999999999998</v>
      </c>
      <c r="G320" s="2">
        <v>0.46300000000000002</v>
      </c>
      <c r="H320" s="2">
        <v>2.87E-2</v>
      </c>
      <c r="I320" s="2">
        <v>0.374</v>
      </c>
      <c r="J320" s="2">
        <v>0.19400000000000001</v>
      </c>
      <c r="K320" s="2">
        <v>0.39700000000000002</v>
      </c>
      <c r="L320" s="2">
        <v>-6.9720000000000004</v>
      </c>
    </row>
    <row r="321" spans="1:12" x14ac:dyDescent="0.25">
      <c r="A321">
        <v>44</v>
      </c>
      <c r="B321">
        <v>30</v>
      </c>
      <c r="C321" s="3">
        <v>4643817</v>
      </c>
      <c r="D321" s="4">
        <v>5488666</v>
      </c>
      <c r="E321">
        <v>81</v>
      </c>
      <c r="F321" s="2">
        <v>0.878</v>
      </c>
      <c r="G321" s="2">
        <v>0.61899999999999999</v>
      </c>
      <c r="H321" s="2">
        <v>0.10199999999999999</v>
      </c>
      <c r="I321" s="2">
        <v>5.33E-2</v>
      </c>
      <c r="J321" s="2">
        <v>0.113</v>
      </c>
      <c r="K321" s="2">
        <v>0.63900000000000001</v>
      </c>
      <c r="L321" s="2">
        <v>-5.56</v>
      </c>
    </row>
    <row r="322" spans="1:12" x14ac:dyDescent="0.25">
      <c r="A322">
        <v>195</v>
      </c>
      <c r="B322">
        <v>1</v>
      </c>
      <c r="C322" s="3">
        <v>4628772</v>
      </c>
      <c r="D322" s="4">
        <v>22536304</v>
      </c>
      <c r="E322">
        <v>81</v>
      </c>
      <c r="F322" s="2">
        <v>0.6</v>
      </c>
      <c r="G322" s="2">
        <v>0.66300000000000003</v>
      </c>
      <c r="H322" s="2">
        <v>4.7699999999999999E-2</v>
      </c>
      <c r="I322" s="2">
        <v>0.22500000000000001</v>
      </c>
      <c r="J322" s="2">
        <v>0.11899999999999999</v>
      </c>
      <c r="K322" s="2">
        <v>0.28599999999999998</v>
      </c>
      <c r="L322" s="2">
        <v>-5.8019999999999996</v>
      </c>
    </row>
    <row r="323" spans="1:12" x14ac:dyDescent="0.25">
      <c r="A323">
        <v>197</v>
      </c>
      <c r="B323">
        <v>1</v>
      </c>
      <c r="C323" s="3">
        <v>4620876</v>
      </c>
      <c r="D323" s="4">
        <v>22698747</v>
      </c>
      <c r="E323">
        <v>81</v>
      </c>
      <c r="F323" s="2">
        <v>0.76500000000000001</v>
      </c>
      <c r="G323" s="2">
        <v>0.52300000000000002</v>
      </c>
      <c r="H323" s="2">
        <v>0.03</v>
      </c>
      <c r="I323" s="2">
        <v>0.184</v>
      </c>
      <c r="J323" s="2">
        <v>0.13200000000000001</v>
      </c>
      <c r="K323" s="2">
        <v>0.39400000000000002</v>
      </c>
      <c r="L323" s="2">
        <v>-4.3330000000000002</v>
      </c>
    </row>
    <row r="324" spans="1:12" x14ac:dyDescent="0.25">
      <c r="A324">
        <v>21</v>
      </c>
      <c r="B324">
        <v>29</v>
      </c>
      <c r="C324" s="3">
        <v>4620838</v>
      </c>
      <c r="D324" s="4">
        <v>8671649</v>
      </c>
      <c r="E324">
        <v>81</v>
      </c>
      <c r="F324" s="2">
        <v>0.70699999999999996</v>
      </c>
      <c r="G324" s="2">
        <v>0.95499999999999996</v>
      </c>
      <c r="H324" s="2">
        <v>0.222</v>
      </c>
      <c r="I324" s="2">
        <v>0.127</v>
      </c>
      <c r="J324" s="2">
        <v>0.20200000000000001</v>
      </c>
      <c r="K324" s="2">
        <v>0.57499999999999996</v>
      </c>
      <c r="L324" s="2">
        <v>-4.593</v>
      </c>
    </row>
    <row r="325" spans="1:12" x14ac:dyDescent="0.25">
      <c r="A325">
        <v>77</v>
      </c>
      <c r="B325">
        <v>34</v>
      </c>
      <c r="C325" s="3">
        <v>4598766</v>
      </c>
      <c r="D325" s="4">
        <v>891555</v>
      </c>
      <c r="E325">
        <v>81</v>
      </c>
      <c r="F325" s="2">
        <v>0.70799999999999996</v>
      </c>
      <c r="G325" s="2">
        <v>0.186</v>
      </c>
      <c r="H325" s="2">
        <v>4.2000000000000003E-2</v>
      </c>
      <c r="I325" s="2">
        <v>0.86799999999999999</v>
      </c>
      <c r="J325" s="2">
        <v>7.7899999999999997E-2</v>
      </c>
      <c r="K325" s="2">
        <v>0.32200000000000001</v>
      </c>
      <c r="L325" s="2">
        <v>-8.9529999999999994</v>
      </c>
    </row>
    <row r="326" spans="1:12" x14ac:dyDescent="0.25">
      <c r="A326">
        <v>145</v>
      </c>
      <c r="B326">
        <v>2</v>
      </c>
      <c r="C326" s="3">
        <v>4594157</v>
      </c>
      <c r="D326" s="4">
        <v>21946934</v>
      </c>
      <c r="E326">
        <v>81</v>
      </c>
      <c r="F326" s="2">
        <v>0.79100000000000004</v>
      </c>
      <c r="G326" s="2">
        <v>0.86199999999999999</v>
      </c>
      <c r="H326" s="2">
        <v>0.11</v>
      </c>
      <c r="I326" s="2">
        <v>3.6999999999999998E-2</v>
      </c>
      <c r="J326" s="2">
        <v>8.14E-2</v>
      </c>
      <c r="K326" s="2">
        <v>0.59199999999999997</v>
      </c>
      <c r="L326" s="2">
        <v>-3.24</v>
      </c>
    </row>
    <row r="327" spans="1:12" x14ac:dyDescent="0.25">
      <c r="A327">
        <v>78</v>
      </c>
      <c r="B327">
        <v>27</v>
      </c>
      <c r="C327" s="3">
        <v>4543863</v>
      </c>
      <c r="D327" s="4">
        <v>5436999</v>
      </c>
      <c r="E327">
        <v>81</v>
      </c>
      <c r="F327" s="2">
        <v>0.84199999999999997</v>
      </c>
      <c r="G327" s="2">
        <v>0.73399999999999999</v>
      </c>
      <c r="H327" s="2">
        <v>5.8799999999999998E-2</v>
      </c>
      <c r="I327" s="2">
        <v>4.2700000000000002E-2</v>
      </c>
      <c r="J327" s="2">
        <v>0.106</v>
      </c>
      <c r="K327" s="2">
        <v>0.95199999999999996</v>
      </c>
      <c r="L327" s="2">
        <v>-5.0650000000000004</v>
      </c>
    </row>
    <row r="328" spans="1:12" x14ac:dyDescent="0.25">
      <c r="A328">
        <v>31</v>
      </c>
      <c r="B328">
        <v>34</v>
      </c>
      <c r="C328" s="3">
        <v>4514763</v>
      </c>
      <c r="D328" s="4">
        <v>19102888</v>
      </c>
      <c r="E328">
        <v>81</v>
      </c>
      <c r="F328" s="2">
        <v>0.47399999999999998</v>
      </c>
      <c r="G328" s="2">
        <v>0.63100000000000001</v>
      </c>
      <c r="H328" s="2">
        <v>0.34300000000000003</v>
      </c>
      <c r="I328" s="2">
        <v>6.8699999999999997E-2</v>
      </c>
      <c r="J328" s="2">
        <v>0.13200000000000001</v>
      </c>
      <c r="K328" s="2">
        <v>0.42499999999999999</v>
      </c>
      <c r="L328" s="2">
        <v>-5.8840000000000003</v>
      </c>
    </row>
    <row r="329" spans="1:12" x14ac:dyDescent="0.25">
      <c r="A329">
        <v>91</v>
      </c>
      <c r="B329">
        <v>33</v>
      </c>
      <c r="C329" s="3">
        <v>4502853</v>
      </c>
      <c r="D329" s="4">
        <v>3916979</v>
      </c>
      <c r="E329">
        <v>81</v>
      </c>
      <c r="F329" s="2">
        <v>0.72</v>
      </c>
      <c r="G329" s="2">
        <v>0.70599999999999996</v>
      </c>
      <c r="H329" s="2">
        <v>4.7300000000000002E-2</v>
      </c>
      <c r="I329" s="2">
        <v>6.8400000000000002E-2</v>
      </c>
      <c r="J329" s="2">
        <v>0.16600000000000001</v>
      </c>
      <c r="K329" s="2">
        <v>0.62</v>
      </c>
      <c r="L329" s="2">
        <v>-4.7190000000000003</v>
      </c>
    </row>
    <row r="330" spans="1:12" x14ac:dyDescent="0.25">
      <c r="A330">
        <v>122</v>
      </c>
      <c r="B330">
        <v>27</v>
      </c>
      <c r="C330" s="3">
        <v>4431571</v>
      </c>
      <c r="D330" s="4">
        <v>33663701</v>
      </c>
      <c r="E330">
        <v>81</v>
      </c>
      <c r="F330" s="2">
        <v>0.68</v>
      </c>
      <c r="G330" s="2">
        <v>0.57799999999999996</v>
      </c>
      <c r="H330" s="2">
        <v>0.04</v>
      </c>
      <c r="I330" s="2">
        <v>0.33100000000000002</v>
      </c>
      <c r="J330" s="2">
        <v>0.13500000000000001</v>
      </c>
      <c r="K330" s="2">
        <v>0.34100000000000003</v>
      </c>
      <c r="L330" s="2">
        <v>-5.8040000000000003</v>
      </c>
    </row>
    <row r="331" spans="1:12" x14ac:dyDescent="0.25">
      <c r="A331">
        <v>116</v>
      </c>
      <c r="B331">
        <v>21</v>
      </c>
      <c r="C331" s="3">
        <v>4426791</v>
      </c>
      <c r="D331" s="4">
        <v>10850424</v>
      </c>
      <c r="E331">
        <v>81</v>
      </c>
      <c r="F331" s="2">
        <v>0.57899999999999996</v>
      </c>
      <c r="G331" s="2">
        <v>0.90400000000000003</v>
      </c>
      <c r="H331" s="2">
        <v>6.1800000000000001E-2</v>
      </c>
      <c r="I331" s="2">
        <v>0.193</v>
      </c>
      <c r="J331" s="2">
        <v>6.4000000000000001E-2</v>
      </c>
      <c r="K331" s="2">
        <v>0.68100000000000005</v>
      </c>
      <c r="L331" s="2">
        <v>-2.7290000000000001</v>
      </c>
    </row>
    <row r="332" spans="1:12" x14ac:dyDescent="0.25">
      <c r="A332">
        <v>185</v>
      </c>
      <c r="B332">
        <v>2</v>
      </c>
      <c r="C332" s="3">
        <v>4394985</v>
      </c>
      <c r="D332" s="4">
        <v>3731820</v>
      </c>
      <c r="E332">
        <v>81</v>
      </c>
      <c r="F332" s="2">
        <v>0.5</v>
      </c>
      <c r="G332" s="2">
        <v>0.748</v>
      </c>
      <c r="H332" s="2">
        <v>3.6299999999999999E-2</v>
      </c>
      <c r="I332" s="2">
        <v>0.127</v>
      </c>
      <c r="J332" s="2">
        <v>0.44700000000000001</v>
      </c>
      <c r="K332" s="2">
        <v>0.51400000000000001</v>
      </c>
      <c r="L332" s="2">
        <v>-9.0719999999999992</v>
      </c>
    </row>
    <row r="333" spans="1:12" x14ac:dyDescent="0.25">
      <c r="A333">
        <v>50</v>
      </c>
      <c r="B333">
        <v>23</v>
      </c>
      <c r="C333" s="3">
        <v>4350496</v>
      </c>
      <c r="D333" s="4">
        <v>36177712</v>
      </c>
      <c r="E333">
        <v>81</v>
      </c>
      <c r="F333" s="2">
        <v>0.61</v>
      </c>
      <c r="G333" s="2">
        <v>0.624</v>
      </c>
      <c r="H333" s="2">
        <v>0.309</v>
      </c>
      <c r="I333" s="2">
        <v>0.6</v>
      </c>
      <c r="J333" s="2">
        <v>0.24299999999999999</v>
      </c>
      <c r="K333" s="2">
        <v>0.24399999999999999</v>
      </c>
      <c r="L333" s="2">
        <v>-4.7729999999999997</v>
      </c>
    </row>
    <row r="334" spans="1:12" x14ac:dyDescent="0.25">
      <c r="A334">
        <v>14</v>
      </c>
      <c r="B334">
        <v>27</v>
      </c>
      <c r="C334" s="3">
        <v>4322088</v>
      </c>
      <c r="D334" s="4">
        <v>28931149</v>
      </c>
      <c r="E334">
        <v>81</v>
      </c>
      <c r="F334" s="2">
        <v>0.48799999999999999</v>
      </c>
      <c r="G334" s="2">
        <v>0.34300000000000003</v>
      </c>
      <c r="H334" s="2">
        <v>4.36E-2</v>
      </c>
      <c r="I334" s="2">
        <v>0.55600000000000005</v>
      </c>
      <c r="J334" s="2">
        <v>0.21</v>
      </c>
      <c r="K334" s="2">
        <v>9.7799999999999998E-2</v>
      </c>
      <c r="L334" s="2">
        <v>-8.9849999999999994</v>
      </c>
    </row>
    <row r="335" spans="1:12" x14ac:dyDescent="0.25">
      <c r="A335">
        <v>189</v>
      </c>
      <c r="B335">
        <v>5</v>
      </c>
      <c r="C335" s="3">
        <v>4299334</v>
      </c>
      <c r="D335" s="4">
        <v>29566516</v>
      </c>
      <c r="E335">
        <v>81</v>
      </c>
      <c r="F335" s="2">
        <v>0.66900000000000004</v>
      </c>
      <c r="G335" s="2">
        <v>0.308</v>
      </c>
      <c r="H335" s="2">
        <v>2.9000000000000001E-2</v>
      </c>
      <c r="I335" s="2">
        <v>0.88300000000000001</v>
      </c>
      <c r="J335" s="2">
        <v>9.8400000000000001E-2</v>
      </c>
      <c r="K335" s="2">
        <v>0.52</v>
      </c>
      <c r="L335" s="2">
        <v>-10.068</v>
      </c>
    </row>
    <row r="336" spans="1:12" x14ac:dyDescent="0.25">
      <c r="A336">
        <v>89</v>
      </c>
      <c r="B336">
        <v>1</v>
      </c>
      <c r="C336" s="3">
        <v>7365053</v>
      </c>
      <c r="D336" s="4">
        <v>203972</v>
      </c>
      <c r="E336">
        <v>80</v>
      </c>
      <c r="F336" s="2">
        <v>0.79700000000000004</v>
      </c>
      <c r="G336" s="2">
        <v>0.57299999999999995</v>
      </c>
      <c r="H336" s="2">
        <v>0.31900000000000001</v>
      </c>
      <c r="I336" s="2">
        <v>0.159</v>
      </c>
      <c r="J336" s="2">
        <v>0.14399999999999999</v>
      </c>
      <c r="K336" s="2">
        <v>0.44500000000000001</v>
      </c>
      <c r="L336" s="2">
        <v>-7.85</v>
      </c>
    </row>
    <row r="337" spans="1:12" x14ac:dyDescent="0.25">
      <c r="A337">
        <v>15</v>
      </c>
      <c r="B337">
        <v>24</v>
      </c>
      <c r="C337" s="3">
        <v>6567755</v>
      </c>
      <c r="D337" s="4">
        <v>3828418</v>
      </c>
      <c r="E337">
        <v>80</v>
      </c>
      <c r="F337" s="2">
        <v>0.90400000000000003</v>
      </c>
      <c r="G337" s="2">
        <v>0.72299999999999998</v>
      </c>
      <c r="H337" s="2">
        <v>0.26</v>
      </c>
      <c r="I337" s="2">
        <v>6.3100000000000003E-2</v>
      </c>
      <c r="J337" s="2">
        <v>0.185</v>
      </c>
      <c r="K337" s="2">
        <v>0.83499999999999996</v>
      </c>
      <c r="L337" s="2">
        <v>-5.2240000000000002</v>
      </c>
    </row>
    <row r="338" spans="1:12" x14ac:dyDescent="0.25">
      <c r="A338">
        <v>121</v>
      </c>
      <c r="B338">
        <v>1</v>
      </c>
      <c r="C338" s="3">
        <v>6503281</v>
      </c>
      <c r="D338" s="4">
        <v>8640063</v>
      </c>
      <c r="E338">
        <v>80</v>
      </c>
      <c r="F338" s="2">
        <v>0.91200000000000003</v>
      </c>
      <c r="G338" s="2">
        <v>0.65500000000000003</v>
      </c>
      <c r="H338" s="2">
        <v>0.16200000000000001</v>
      </c>
      <c r="I338" s="2">
        <v>0.315</v>
      </c>
      <c r="J338" s="2">
        <v>8.9399999999999993E-2</v>
      </c>
      <c r="K338" s="2">
        <v>0.79300000000000004</v>
      </c>
      <c r="L338" s="2">
        <v>-6.0289999999999999</v>
      </c>
    </row>
    <row r="339" spans="1:12" x14ac:dyDescent="0.25">
      <c r="A339">
        <v>7</v>
      </c>
      <c r="B339">
        <v>40</v>
      </c>
      <c r="C339" s="3">
        <v>6127103</v>
      </c>
      <c r="D339" s="4">
        <v>6278835</v>
      </c>
      <c r="E339">
        <v>80</v>
      </c>
      <c r="F339" s="2">
        <v>0.8</v>
      </c>
      <c r="G339" s="2">
        <v>0.56000000000000005</v>
      </c>
      <c r="H339" s="2">
        <v>0.26100000000000001</v>
      </c>
      <c r="I339" s="2">
        <v>5.7000000000000002E-2</v>
      </c>
      <c r="J339" s="2">
        <v>0.13400000000000001</v>
      </c>
      <c r="K339" s="2">
        <v>0.45</v>
      </c>
      <c r="L339" s="2">
        <v>-4.8179999999999996</v>
      </c>
    </row>
    <row r="340" spans="1:12" x14ac:dyDescent="0.25">
      <c r="A340">
        <v>55</v>
      </c>
      <c r="B340">
        <v>2</v>
      </c>
      <c r="C340" s="3">
        <v>5912293</v>
      </c>
      <c r="D340" s="4">
        <v>8640063</v>
      </c>
      <c r="E340">
        <v>80</v>
      </c>
      <c r="F340" s="2">
        <v>0.68300000000000005</v>
      </c>
      <c r="G340" s="2">
        <v>0.61499999999999999</v>
      </c>
      <c r="H340" s="2">
        <v>9.6600000000000005E-2</v>
      </c>
      <c r="I340" s="2">
        <v>0.222</v>
      </c>
      <c r="J340" s="2">
        <v>0.154</v>
      </c>
      <c r="K340" s="2">
        <v>0.45</v>
      </c>
      <c r="L340" s="2">
        <v>-5.7370000000000001</v>
      </c>
    </row>
    <row r="341" spans="1:12" x14ac:dyDescent="0.25">
      <c r="A341">
        <v>110</v>
      </c>
      <c r="B341">
        <v>13</v>
      </c>
      <c r="C341" s="3">
        <v>5848466</v>
      </c>
      <c r="D341" s="4">
        <v>261225</v>
      </c>
      <c r="E341">
        <v>80</v>
      </c>
      <c r="F341" s="2">
        <v>0.68899999999999995</v>
      </c>
      <c r="G341" s="2">
        <v>0.70599999999999996</v>
      </c>
      <c r="H341" s="2">
        <v>3.1199999999999999E-2</v>
      </c>
      <c r="I341" s="2">
        <v>8.3299999999999999E-2</v>
      </c>
      <c r="J341" s="2">
        <v>0.105</v>
      </c>
      <c r="K341" s="2">
        <v>0.623</v>
      </c>
      <c r="L341" s="2">
        <v>-4.4800000000000004</v>
      </c>
    </row>
    <row r="342" spans="1:12" x14ac:dyDescent="0.25">
      <c r="A342">
        <v>146</v>
      </c>
      <c r="B342">
        <v>1</v>
      </c>
      <c r="C342" s="3">
        <v>5666770</v>
      </c>
      <c r="D342" s="4">
        <v>1647262</v>
      </c>
      <c r="E342">
        <v>80</v>
      </c>
      <c r="F342" s="2">
        <v>0.78300000000000003</v>
      </c>
      <c r="G342" s="2">
        <v>0.435</v>
      </c>
      <c r="H342" s="2">
        <v>5.8799999999999998E-2</v>
      </c>
      <c r="I342" s="2">
        <v>0.28199999999999997</v>
      </c>
      <c r="J342" s="2">
        <v>8.3299999999999999E-2</v>
      </c>
      <c r="K342" s="2">
        <v>0.51200000000000001</v>
      </c>
      <c r="L342" s="2">
        <v>-7.78</v>
      </c>
    </row>
    <row r="343" spans="1:12" x14ac:dyDescent="0.25">
      <c r="A343">
        <v>3</v>
      </c>
      <c r="B343">
        <v>66</v>
      </c>
      <c r="C343" s="3">
        <v>5510113</v>
      </c>
      <c r="D343" s="4">
        <v>17792779</v>
      </c>
      <c r="E343">
        <v>80</v>
      </c>
      <c r="F343" s="2">
        <v>0.80300000000000005</v>
      </c>
      <c r="G343" s="2">
        <v>0.71499999999999997</v>
      </c>
      <c r="H343" s="2">
        <v>0.29799999999999999</v>
      </c>
      <c r="I343" s="2">
        <v>0.29499999999999998</v>
      </c>
      <c r="J343" s="2">
        <v>5.74E-2</v>
      </c>
      <c r="K343" s="2">
        <v>0.57399999999999995</v>
      </c>
      <c r="L343" s="2">
        <v>-3.28</v>
      </c>
    </row>
    <row r="344" spans="1:12" x14ac:dyDescent="0.25">
      <c r="A344">
        <v>157</v>
      </c>
      <c r="B344">
        <v>1</v>
      </c>
      <c r="C344" s="3">
        <v>5479407</v>
      </c>
      <c r="D344" s="4">
        <v>35340069</v>
      </c>
      <c r="E344">
        <v>80</v>
      </c>
      <c r="F344" s="2">
        <v>0.70499999999999996</v>
      </c>
      <c r="G344" s="2">
        <v>0.76900000000000002</v>
      </c>
      <c r="H344" s="2">
        <v>4.2500000000000003E-2</v>
      </c>
      <c r="I344" s="2">
        <v>0.113</v>
      </c>
      <c r="J344" s="2">
        <v>0.105</v>
      </c>
      <c r="K344" s="2">
        <v>0.58299999999999996</v>
      </c>
      <c r="L344" s="2">
        <v>-5.5259999999999998</v>
      </c>
    </row>
    <row r="345" spans="1:12" x14ac:dyDescent="0.25">
      <c r="A345">
        <v>40</v>
      </c>
      <c r="B345">
        <v>2</v>
      </c>
      <c r="C345" s="3">
        <v>5392334</v>
      </c>
      <c r="D345" s="4">
        <v>6777818</v>
      </c>
      <c r="E345">
        <v>80</v>
      </c>
      <c r="F345" s="2">
        <v>0.82699999999999996</v>
      </c>
      <c r="G345" s="2">
        <v>0.57099999999999995</v>
      </c>
      <c r="H345" s="2">
        <v>0.36599999999999999</v>
      </c>
      <c r="I345" s="2">
        <v>1.95E-2</v>
      </c>
      <c r="J345" s="2">
        <v>0.16600000000000001</v>
      </c>
      <c r="K345" s="2">
        <v>0.62</v>
      </c>
      <c r="L345" s="2">
        <v>-7.9489999999999998</v>
      </c>
    </row>
    <row r="346" spans="1:12" x14ac:dyDescent="0.25">
      <c r="A346">
        <v>105</v>
      </c>
      <c r="B346">
        <v>7</v>
      </c>
      <c r="C346" s="3">
        <v>5378350</v>
      </c>
      <c r="D346" s="4">
        <v>10334543</v>
      </c>
      <c r="E346">
        <v>80</v>
      </c>
      <c r="F346" s="2">
        <v>0.81</v>
      </c>
      <c r="G346" s="2">
        <v>0.78900000000000003</v>
      </c>
      <c r="H346" s="2">
        <v>4.9799999999999997E-2</v>
      </c>
      <c r="I346" s="2">
        <v>2.5399999999999999E-2</v>
      </c>
      <c r="J346" s="2">
        <v>0.104</v>
      </c>
      <c r="K346" s="2">
        <v>0.432</v>
      </c>
      <c r="L346" s="2">
        <v>-4.032</v>
      </c>
    </row>
    <row r="347" spans="1:12" x14ac:dyDescent="0.25">
      <c r="A347">
        <v>63</v>
      </c>
      <c r="B347">
        <v>4</v>
      </c>
      <c r="C347" s="3">
        <v>5377794</v>
      </c>
      <c r="D347" s="4">
        <v>29051363</v>
      </c>
      <c r="E347">
        <v>80</v>
      </c>
      <c r="F347" s="2">
        <v>0.503</v>
      </c>
      <c r="G347" s="2">
        <v>0.54800000000000004</v>
      </c>
      <c r="H347" s="2">
        <v>0.16400000000000001</v>
      </c>
      <c r="I347" s="2">
        <v>7.51E-2</v>
      </c>
      <c r="J347" s="2">
        <v>0.14499999999999999</v>
      </c>
      <c r="K347" s="2">
        <v>0.441</v>
      </c>
      <c r="L347" s="2">
        <v>-7.5640000000000001</v>
      </c>
    </row>
    <row r="348" spans="1:12" x14ac:dyDescent="0.25">
      <c r="A348">
        <v>148</v>
      </c>
      <c r="B348">
        <v>1</v>
      </c>
      <c r="C348" s="3">
        <v>5329256</v>
      </c>
      <c r="D348" s="4">
        <v>3008916</v>
      </c>
      <c r="E348">
        <v>80</v>
      </c>
      <c r="F348" s="2">
        <v>0.69699999999999995</v>
      </c>
      <c r="G348" s="2">
        <v>0.83199999999999996</v>
      </c>
      <c r="H348" s="2">
        <v>2.98E-2</v>
      </c>
      <c r="I348" s="2">
        <v>0.16800000000000001</v>
      </c>
      <c r="J348" s="2">
        <v>0.26900000000000002</v>
      </c>
      <c r="K348" s="2">
        <v>0.97899999999999998</v>
      </c>
      <c r="L348" s="2">
        <v>-7.2640000000000002</v>
      </c>
    </row>
    <row r="349" spans="1:12" x14ac:dyDescent="0.25">
      <c r="A349">
        <v>52</v>
      </c>
      <c r="B349">
        <v>4</v>
      </c>
      <c r="C349" s="3">
        <v>5303146</v>
      </c>
      <c r="D349" s="4">
        <v>3866304</v>
      </c>
      <c r="E349">
        <v>80</v>
      </c>
      <c r="F349" s="2">
        <v>0.78200000000000003</v>
      </c>
      <c r="G349" s="2">
        <v>0.51</v>
      </c>
      <c r="H349" s="2">
        <v>4.19E-2</v>
      </c>
      <c r="I349" s="2">
        <v>0.14299999999999999</v>
      </c>
      <c r="J349" s="2">
        <v>0.115</v>
      </c>
      <c r="K349" s="2">
        <v>0.11799999999999999</v>
      </c>
      <c r="L349" s="2">
        <v>-5.7240000000000002</v>
      </c>
    </row>
    <row r="350" spans="1:12" x14ac:dyDescent="0.25">
      <c r="A350">
        <v>115</v>
      </c>
      <c r="B350">
        <v>9</v>
      </c>
      <c r="C350" s="3">
        <v>5290877</v>
      </c>
      <c r="D350" s="4">
        <v>3126961</v>
      </c>
      <c r="E350">
        <v>80</v>
      </c>
      <c r="F350" s="2">
        <v>0.55300000000000005</v>
      </c>
      <c r="G350" s="2">
        <v>0.81899999999999995</v>
      </c>
      <c r="H350" s="2">
        <v>0.25700000000000001</v>
      </c>
      <c r="I350" s="2">
        <v>0.36799999999999999</v>
      </c>
      <c r="J350" s="2">
        <v>9.1499999999999998E-2</v>
      </c>
      <c r="K350" s="2">
        <v>0.76100000000000001</v>
      </c>
      <c r="L350" s="2">
        <v>-3.0830000000000002</v>
      </c>
    </row>
    <row r="351" spans="1:12" x14ac:dyDescent="0.25">
      <c r="A351">
        <v>190</v>
      </c>
      <c r="B351">
        <v>1</v>
      </c>
      <c r="C351" s="3">
        <v>5251918</v>
      </c>
      <c r="D351" s="4">
        <v>33663701</v>
      </c>
      <c r="E351">
        <v>80</v>
      </c>
      <c r="F351" s="2">
        <v>0.55600000000000005</v>
      </c>
      <c r="G351" s="2">
        <v>0.53800000000000003</v>
      </c>
      <c r="H351" s="2">
        <v>3.8199999999999998E-2</v>
      </c>
      <c r="I351" s="2">
        <v>6.8900000000000003E-2</v>
      </c>
      <c r="J351" s="2">
        <v>0.19600000000000001</v>
      </c>
      <c r="K351" s="2">
        <v>0.29099999999999998</v>
      </c>
      <c r="L351" s="2">
        <v>-5.4080000000000004</v>
      </c>
    </row>
    <row r="352" spans="1:12" x14ac:dyDescent="0.25">
      <c r="A352">
        <v>168</v>
      </c>
      <c r="B352">
        <v>3</v>
      </c>
      <c r="C352" s="3">
        <v>5233359</v>
      </c>
      <c r="D352" s="4">
        <v>35340069</v>
      </c>
      <c r="E352">
        <v>80</v>
      </c>
      <c r="F352" s="2">
        <v>0.46100000000000002</v>
      </c>
      <c r="G352" s="2">
        <v>0.59299999999999997</v>
      </c>
      <c r="H352" s="2">
        <v>3.56E-2</v>
      </c>
      <c r="I352" s="2">
        <v>0.17</v>
      </c>
      <c r="J352" s="2">
        <v>0.307</v>
      </c>
      <c r="K352" s="2">
        <v>0.17499999999999999</v>
      </c>
      <c r="L352" s="2">
        <v>-4.9539999999999997</v>
      </c>
    </row>
    <row r="353" spans="1:12" x14ac:dyDescent="0.25">
      <c r="A353">
        <v>82</v>
      </c>
      <c r="B353">
        <v>10</v>
      </c>
      <c r="C353" s="3">
        <v>5207186</v>
      </c>
      <c r="D353" s="4">
        <v>74814</v>
      </c>
      <c r="E353">
        <v>80</v>
      </c>
      <c r="F353" s="2">
        <v>0.747</v>
      </c>
      <c r="G353" s="2">
        <v>0.72499999999999998</v>
      </c>
      <c r="H353" s="2">
        <v>0.36299999999999999</v>
      </c>
      <c r="I353" s="2">
        <v>0.55100000000000005</v>
      </c>
      <c r="J353" s="2">
        <v>6.2600000000000003E-2</v>
      </c>
      <c r="K353" s="2">
        <v>0.90400000000000003</v>
      </c>
      <c r="L353" s="2">
        <v>-2.5640000000000001</v>
      </c>
    </row>
    <row r="354" spans="1:12" x14ac:dyDescent="0.25">
      <c r="A354">
        <v>15</v>
      </c>
      <c r="B354">
        <v>32</v>
      </c>
      <c r="C354" s="3">
        <v>5206614</v>
      </c>
      <c r="D354" s="4">
        <v>8758283</v>
      </c>
      <c r="E354">
        <v>80</v>
      </c>
      <c r="F354" s="2">
        <v>0.79300000000000004</v>
      </c>
      <c r="G354" s="2">
        <v>0.77100000000000002</v>
      </c>
      <c r="H354" s="2">
        <v>9.5899999999999999E-2</v>
      </c>
      <c r="I354" s="2">
        <v>3.3700000000000001E-2</v>
      </c>
      <c r="J354" s="2">
        <v>0.28399999999999997</v>
      </c>
      <c r="K354" s="2">
        <v>0.83499999999999996</v>
      </c>
      <c r="L354" s="2">
        <v>-3.4169999999999998</v>
      </c>
    </row>
    <row r="355" spans="1:12" x14ac:dyDescent="0.25">
      <c r="A355">
        <v>5</v>
      </c>
      <c r="B355">
        <v>31</v>
      </c>
      <c r="C355" s="3">
        <v>5191697</v>
      </c>
      <c r="D355" s="4">
        <v>48504126</v>
      </c>
      <c r="E355">
        <v>80</v>
      </c>
      <c r="F355" s="2">
        <v>0.63100000000000001</v>
      </c>
      <c r="G355" s="2">
        <v>0.23899999999999999</v>
      </c>
      <c r="H355" s="2">
        <v>3.9800000000000002E-2</v>
      </c>
      <c r="I355" s="2">
        <v>0.86399999999999999</v>
      </c>
      <c r="J355" s="2">
        <v>0.11600000000000001</v>
      </c>
      <c r="K355" s="2">
        <v>9.2700000000000005E-2</v>
      </c>
      <c r="L355" s="2">
        <v>-7.0709999999999997</v>
      </c>
    </row>
    <row r="356" spans="1:12" x14ac:dyDescent="0.25">
      <c r="A356">
        <v>66</v>
      </c>
      <c r="B356">
        <v>2</v>
      </c>
      <c r="C356" s="3">
        <v>5189427</v>
      </c>
      <c r="D356" s="4">
        <v>4840346</v>
      </c>
      <c r="E356">
        <v>80</v>
      </c>
      <c r="F356" s="2">
        <v>0.47899999999999998</v>
      </c>
      <c r="G356" s="2">
        <v>0.64500000000000002</v>
      </c>
      <c r="H356" s="2">
        <v>0.30199999999999999</v>
      </c>
      <c r="I356" s="2">
        <v>0.13500000000000001</v>
      </c>
      <c r="J356" s="2">
        <v>8.2500000000000004E-2</v>
      </c>
      <c r="K356" s="2">
        <v>0.38100000000000001</v>
      </c>
      <c r="L356" s="2">
        <v>-7.3360000000000003</v>
      </c>
    </row>
    <row r="357" spans="1:12" x14ac:dyDescent="0.25">
      <c r="A357">
        <v>184</v>
      </c>
      <c r="B357">
        <v>1</v>
      </c>
      <c r="C357" s="3">
        <v>5186354</v>
      </c>
      <c r="D357" s="4">
        <v>151870</v>
      </c>
      <c r="E357">
        <v>80</v>
      </c>
      <c r="F357" s="2">
        <v>0.89300000000000002</v>
      </c>
      <c r="G357" s="2">
        <v>0.46300000000000002</v>
      </c>
      <c r="H357" s="2">
        <v>0.36</v>
      </c>
      <c r="I357" s="2">
        <v>0.19900000000000001</v>
      </c>
      <c r="J357" s="2">
        <v>0.318</v>
      </c>
      <c r="K357" s="2">
        <v>0.59099999999999997</v>
      </c>
      <c r="L357" s="2">
        <v>-5.3010000000000002</v>
      </c>
    </row>
    <row r="358" spans="1:12" x14ac:dyDescent="0.25">
      <c r="A358">
        <v>187</v>
      </c>
      <c r="B358">
        <v>1</v>
      </c>
      <c r="C358" s="3">
        <v>5173178</v>
      </c>
      <c r="D358" s="4">
        <v>3507622</v>
      </c>
      <c r="E358">
        <v>80</v>
      </c>
      <c r="F358" s="2">
        <v>0.434</v>
      </c>
      <c r="G358" s="2">
        <v>0.88900000000000001</v>
      </c>
      <c r="H358" s="2">
        <v>5.0900000000000001E-2</v>
      </c>
      <c r="I358" s="2">
        <v>0.39500000000000002</v>
      </c>
      <c r="J358" s="2">
        <v>0.27300000000000002</v>
      </c>
      <c r="K358" s="2">
        <v>0.84499999999999997</v>
      </c>
      <c r="L358" s="2">
        <v>-5.6840000000000002</v>
      </c>
    </row>
    <row r="359" spans="1:12" x14ac:dyDescent="0.25">
      <c r="A359">
        <v>186</v>
      </c>
      <c r="B359">
        <v>1</v>
      </c>
      <c r="C359" s="3">
        <v>5159208</v>
      </c>
      <c r="D359" s="4">
        <v>4271775</v>
      </c>
      <c r="E359">
        <v>80</v>
      </c>
      <c r="F359" s="2">
        <v>0.59299999999999997</v>
      </c>
      <c r="G359" s="2">
        <v>0.93200000000000005</v>
      </c>
      <c r="H359" s="2">
        <v>5.2600000000000001E-2</v>
      </c>
      <c r="I359" s="2">
        <v>0.30199999999999999</v>
      </c>
      <c r="J359" s="2">
        <v>0.13300000000000001</v>
      </c>
      <c r="K359" s="2">
        <v>0.91300000000000003</v>
      </c>
      <c r="L359" s="2">
        <v>-2.3239999999999998</v>
      </c>
    </row>
    <row r="360" spans="1:12" x14ac:dyDescent="0.25">
      <c r="A360">
        <v>150</v>
      </c>
      <c r="B360">
        <v>13</v>
      </c>
      <c r="C360" s="3">
        <v>5151406</v>
      </c>
      <c r="D360" s="4">
        <v>4849204</v>
      </c>
      <c r="E360">
        <v>80</v>
      </c>
      <c r="F360" s="2">
        <v>0.78300000000000003</v>
      </c>
      <c r="G360" s="2">
        <v>0.47899999999999998</v>
      </c>
      <c r="H360" s="2">
        <v>0.54100000000000004</v>
      </c>
      <c r="I360" s="2">
        <v>0.14899999999999999</v>
      </c>
      <c r="J360" s="2">
        <v>0.10100000000000001</v>
      </c>
      <c r="K360" s="2">
        <v>0.53300000000000003</v>
      </c>
      <c r="L360" s="2">
        <v>-10.646000000000001</v>
      </c>
    </row>
    <row r="361" spans="1:12" x14ac:dyDescent="0.25">
      <c r="A361">
        <v>54</v>
      </c>
      <c r="B361">
        <v>4</v>
      </c>
      <c r="C361" s="3">
        <v>5125477</v>
      </c>
      <c r="D361" s="4">
        <v>5473565</v>
      </c>
      <c r="E361">
        <v>80</v>
      </c>
      <c r="F361" s="2">
        <v>0.55100000000000005</v>
      </c>
      <c r="G361" s="2">
        <v>0.63600000000000001</v>
      </c>
      <c r="H361" s="2">
        <v>5.3999999999999999E-2</v>
      </c>
      <c r="I361" s="2">
        <v>8.3699999999999997E-2</v>
      </c>
      <c r="J361" s="2">
        <v>0.112</v>
      </c>
      <c r="K361" s="2">
        <v>0.14799999999999999</v>
      </c>
      <c r="L361" s="2">
        <v>-6.798</v>
      </c>
    </row>
    <row r="362" spans="1:12" x14ac:dyDescent="0.25">
      <c r="A362">
        <v>182</v>
      </c>
      <c r="B362">
        <v>3</v>
      </c>
      <c r="C362" s="3">
        <v>5098581</v>
      </c>
      <c r="D362" s="4">
        <v>713486</v>
      </c>
      <c r="E362">
        <v>80</v>
      </c>
      <c r="F362" s="2">
        <v>0.39100000000000001</v>
      </c>
      <c r="G362" s="2">
        <v>0.39600000000000002</v>
      </c>
      <c r="H362" s="2">
        <v>0.189</v>
      </c>
      <c r="I362" s="2">
        <v>0.70199999999999996</v>
      </c>
      <c r="J362" s="2">
        <v>0.315</v>
      </c>
      <c r="K362" s="2">
        <v>0.19900000000000001</v>
      </c>
      <c r="L362" s="2">
        <v>-8.6210000000000004</v>
      </c>
    </row>
    <row r="363" spans="1:12" x14ac:dyDescent="0.25">
      <c r="A363">
        <v>56</v>
      </c>
      <c r="B363">
        <v>30</v>
      </c>
      <c r="C363" s="3">
        <v>5097394</v>
      </c>
      <c r="D363" s="4">
        <v>4022792</v>
      </c>
      <c r="E363">
        <v>80</v>
      </c>
      <c r="F363" s="2">
        <v>0.745</v>
      </c>
      <c r="G363" s="2">
        <v>0.64200000000000002</v>
      </c>
      <c r="H363" s="2">
        <v>0.28699999999999998</v>
      </c>
      <c r="I363" s="2">
        <v>2.0400000000000001E-2</v>
      </c>
      <c r="J363" s="2">
        <v>6.5799999999999997E-2</v>
      </c>
      <c r="K363" s="2">
        <v>0.22600000000000001</v>
      </c>
      <c r="L363" s="2">
        <v>-6.2569999999999997</v>
      </c>
    </row>
    <row r="364" spans="1:12" x14ac:dyDescent="0.25">
      <c r="A364">
        <v>82</v>
      </c>
      <c r="B364">
        <v>12</v>
      </c>
      <c r="C364" s="3">
        <v>5088848</v>
      </c>
      <c r="D364" s="4">
        <v>1260752</v>
      </c>
      <c r="E364">
        <v>80</v>
      </c>
      <c r="F364" s="2">
        <v>0.80800000000000005</v>
      </c>
      <c r="G364" s="2">
        <v>0.79600000000000004</v>
      </c>
      <c r="H364" s="2">
        <v>3.0499999999999999E-2</v>
      </c>
      <c r="I364" s="2">
        <v>0.46200000000000002</v>
      </c>
      <c r="J364" s="2">
        <v>0.155</v>
      </c>
      <c r="K364" s="2">
        <v>0.79900000000000004</v>
      </c>
      <c r="L364" s="2">
        <v>-3.169</v>
      </c>
    </row>
    <row r="365" spans="1:12" x14ac:dyDescent="0.25">
      <c r="A365">
        <v>109</v>
      </c>
      <c r="B365">
        <v>6</v>
      </c>
      <c r="C365" s="3">
        <v>5079857</v>
      </c>
      <c r="D365" s="4">
        <v>35340069</v>
      </c>
      <c r="E365">
        <v>80</v>
      </c>
      <c r="F365" s="2">
        <v>0.77300000000000002</v>
      </c>
      <c r="G365" s="2">
        <v>0.81899999999999995</v>
      </c>
      <c r="H365" s="2">
        <v>0.11799999999999999</v>
      </c>
      <c r="I365" s="2">
        <v>0.42799999999999999</v>
      </c>
      <c r="J365" s="2">
        <v>6.7900000000000002E-2</v>
      </c>
      <c r="K365" s="2">
        <v>0.58499999999999996</v>
      </c>
      <c r="L365" s="2">
        <v>-5.9459999999999997</v>
      </c>
    </row>
    <row r="366" spans="1:12" x14ac:dyDescent="0.25">
      <c r="A366">
        <v>133</v>
      </c>
      <c r="B366">
        <v>20</v>
      </c>
      <c r="C366" s="3">
        <v>5043647</v>
      </c>
      <c r="D366" s="4">
        <v>32574754</v>
      </c>
      <c r="E366">
        <v>80</v>
      </c>
      <c r="F366" s="2">
        <v>0.63700000000000001</v>
      </c>
      <c r="G366" s="2">
        <v>0.84299999999999997</v>
      </c>
      <c r="H366" s="2">
        <v>4.3200000000000002E-2</v>
      </c>
      <c r="I366" s="2">
        <v>1.5100000000000001E-2</v>
      </c>
      <c r="J366" s="2">
        <v>8.7599999999999997E-2</v>
      </c>
      <c r="K366" s="2">
        <v>0.434</v>
      </c>
      <c r="L366" s="2">
        <v>-5.4130000000000003</v>
      </c>
    </row>
    <row r="367" spans="1:12" x14ac:dyDescent="0.25">
      <c r="A367">
        <v>53</v>
      </c>
      <c r="B367">
        <v>12</v>
      </c>
      <c r="C367" s="3">
        <v>5018005</v>
      </c>
      <c r="D367" s="4">
        <v>85617</v>
      </c>
      <c r="E367">
        <v>80</v>
      </c>
      <c r="F367" s="2">
        <v>0.748</v>
      </c>
      <c r="G367" s="2">
        <v>0.73399999999999999</v>
      </c>
      <c r="H367" s="2">
        <v>0.124</v>
      </c>
      <c r="I367" s="2">
        <v>0.52400000000000002</v>
      </c>
      <c r="J367" s="2">
        <v>9.7500000000000003E-2</v>
      </c>
      <c r="K367" s="2">
        <v>0.36799999999999999</v>
      </c>
      <c r="L367" s="2">
        <v>-6.4989999999999997</v>
      </c>
    </row>
    <row r="368" spans="1:12" x14ac:dyDescent="0.25">
      <c r="A368">
        <v>14</v>
      </c>
      <c r="B368">
        <v>5</v>
      </c>
      <c r="C368" s="3">
        <v>4986037</v>
      </c>
      <c r="D368" s="4">
        <v>67208170</v>
      </c>
      <c r="E368">
        <v>80</v>
      </c>
      <c r="F368" s="2">
        <v>0.78900000000000003</v>
      </c>
      <c r="G368" s="2">
        <v>0.74199999999999999</v>
      </c>
      <c r="H368" s="2">
        <v>6.5199999999999994E-2</v>
      </c>
      <c r="I368" s="2">
        <v>6.8099999999999994E-2</v>
      </c>
      <c r="J368" s="2">
        <v>0.16600000000000001</v>
      </c>
      <c r="K368" s="2">
        <v>0.66100000000000003</v>
      </c>
      <c r="L368" s="2">
        <v>-5.6639999999999997</v>
      </c>
    </row>
    <row r="369" spans="1:12" x14ac:dyDescent="0.25">
      <c r="A369">
        <v>28</v>
      </c>
      <c r="B369">
        <v>57</v>
      </c>
      <c r="C369" s="3">
        <v>4984399</v>
      </c>
      <c r="D369" s="4">
        <v>83337783</v>
      </c>
      <c r="E369">
        <v>80</v>
      </c>
      <c r="F369" s="2">
        <v>0.79800000000000004</v>
      </c>
      <c r="G369" s="2">
        <v>0.67500000000000004</v>
      </c>
      <c r="H369" s="2">
        <v>4.4200000000000003E-2</v>
      </c>
      <c r="I369" s="2">
        <v>9.1200000000000003E-2</v>
      </c>
      <c r="J369" s="2">
        <v>8.9399999999999993E-2</v>
      </c>
      <c r="K369" s="2">
        <v>0.84199999999999997</v>
      </c>
      <c r="L369" s="2">
        <v>-5.0410000000000004</v>
      </c>
    </row>
    <row r="370" spans="1:12" x14ac:dyDescent="0.25">
      <c r="A370">
        <v>197</v>
      </c>
      <c r="B370">
        <v>1</v>
      </c>
      <c r="C370" s="3">
        <v>4973937</v>
      </c>
      <c r="D370" s="4">
        <v>1909059</v>
      </c>
      <c r="E370">
        <v>80</v>
      </c>
      <c r="F370" s="2">
        <v>0.43</v>
      </c>
      <c r="G370" s="2">
        <v>0.46700000000000003</v>
      </c>
      <c r="H370" s="2">
        <v>5.0999999999999997E-2</v>
      </c>
      <c r="I370" s="2">
        <v>0.77500000000000002</v>
      </c>
      <c r="J370" s="2">
        <v>9.3299999999999994E-2</v>
      </c>
      <c r="K370" s="2">
        <v>0.38200000000000001</v>
      </c>
      <c r="L370" s="2">
        <v>-8.56</v>
      </c>
    </row>
    <row r="371" spans="1:12" x14ac:dyDescent="0.25">
      <c r="A371">
        <v>7</v>
      </c>
      <c r="B371">
        <v>65</v>
      </c>
      <c r="C371" s="3">
        <v>4971176</v>
      </c>
      <c r="D371" s="4">
        <v>27142474</v>
      </c>
      <c r="E371">
        <v>80</v>
      </c>
      <c r="F371" s="2">
        <v>0.73</v>
      </c>
      <c r="G371" s="2">
        <v>0.72899999999999998</v>
      </c>
      <c r="H371" s="2">
        <v>8.8400000000000006E-2</v>
      </c>
      <c r="I371" s="2">
        <v>0.16700000000000001</v>
      </c>
      <c r="J371" s="2">
        <v>0.34899999999999998</v>
      </c>
      <c r="K371" s="2">
        <v>0.46700000000000003</v>
      </c>
      <c r="L371" s="2">
        <v>-3.4340000000000002</v>
      </c>
    </row>
    <row r="372" spans="1:12" x14ac:dyDescent="0.25">
      <c r="A372">
        <v>53</v>
      </c>
      <c r="B372">
        <v>15</v>
      </c>
      <c r="C372" s="3">
        <v>4926802</v>
      </c>
      <c r="D372" s="4">
        <v>1685215</v>
      </c>
      <c r="E372">
        <v>80</v>
      </c>
      <c r="F372" s="2">
        <v>0.316</v>
      </c>
      <c r="G372" s="2">
        <v>0.63</v>
      </c>
      <c r="H372" s="2">
        <v>0.11700000000000001</v>
      </c>
      <c r="I372" s="2">
        <v>0.47099999999999997</v>
      </c>
      <c r="J372" s="2">
        <v>0.20499999999999999</v>
      </c>
      <c r="K372" s="2">
        <v>0.313</v>
      </c>
      <c r="L372" s="2">
        <v>-5.9630000000000001</v>
      </c>
    </row>
    <row r="373" spans="1:12" x14ac:dyDescent="0.25">
      <c r="A373">
        <v>138</v>
      </c>
      <c r="B373">
        <v>49</v>
      </c>
      <c r="C373" s="3">
        <v>4900492</v>
      </c>
      <c r="D373" s="4">
        <v>1692635</v>
      </c>
      <c r="E373">
        <v>80</v>
      </c>
      <c r="F373" s="2">
        <v>0.55300000000000005</v>
      </c>
      <c r="G373" s="2">
        <v>0.58599999999999997</v>
      </c>
      <c r="H373" s="2">
        <v>3.6200000000000003E-2</v>
      </c>
      <c r="I373" s="2">
        <v>0.69699999999999995</v>
      </c>
      <c r="J373" s="2">
        <v>8.1299999999999997E-2</v>
      </c>
      <c r="K373" s="2">
        <v>0.443</v>
      </c>
      <c r="L373" s="2">
        <v>-6.319</v>
      </c>
    </row>
    <row r="374" spans="1:12" x14ac:dyDescent="0.25">
      <c r="A374">
        <v>13</v>
      </c>
      <c r="B374">
        <v>44</v>
      </c>
      <c r="C374" s="3">
        <v>4858392</v>
      </c>
      <c r="D374" s="4">
        <v>724903</v>
      </c>
      <c r="E374">
        <v>80</v>
      </c>
      <c r="F374" s="2">
        <v>0.878</v>
      </c>
      <c r="G374" s="2">
        <v>0.52500000000000002</v>
      </c>
      <c r="H374" s="2">
        <v>5.7799999999999997E-2</v>
      </c>
      <c r="I374" s="2">
        <v>0.183</v>
      </c>
      <c r="J374" s="2">
        <v>7.1400000000000005E-2</v>
      </c>
      <c r="K374" s="2">
        <v>0.69399999999999995</v>
      </c>
      <c r="L374" s="2">
        <v>-6.8319999999999999</v>
      </c>
    </row>
    <row r="375" spans="1:12" x14ac:dyDescent="0.25">
      <c r="A375">
        <v>37</v>
      </c>
      <c r="B375">
        <v>35</v>
      </c>
      <c r="C375" s="3">
        <v>4833081</v>
      </c>
      <c r="D375" s="4">
        <v>14073083</v>
      </c>
      <c r="E375">
        <v>80</v>
      </c>
      <c r="F375" s="2">
        <v>0.755</v>
      </c>
      <c r="G375" s="2">
        <v>0.57799999999999996</v>
      </c>
      <c r="H375" s="2">
        <v>0.14499999999999999</v>
      </c>
      <c r="I375" s="2">
        <v>0.316</v>
      </c>
      <c r="J375" s="2">
        <v>0.25</v>
      </c>
      <c r="K375" s="2">
        <v>0.58099999999999996</v>
      </c>
      <c r="L375" s="2">
        <v>-8.9320000000000004</v>
      </c>
    </row>
    <row r="376" spans="1:12" x14ac:dyDescent="0.25">
      <c r="A376">
        <v>23</v>
      </c>
      <c r="B376">
        <v>27</v>
      </c>
      <c r="C376" s="3">
        <v>4825749</v>
      </c>
      <c r="D376" s="4">
        <v>8766508</v>
      </c>
      <c r="E376">
        <v>80</v>
      </c>
      <c r="F376" s="2">
        <v>0.79300000000000004</v>
      </c>
      <c r="G376" s="2">
        <v>0.77100000000000002</v>
      </c>
      <c r="H376" s="2">
        <v>9.5899999999999999E-2</v>
      </c>
      <c r="I376" s="2">
        <v>3.3700000000000001E-2</v>
      </c>
      <c r="J376" s="2">
        <v>0.28399999999999997</v>
      </c>
      <c r="K376" s="2">
        <v>0.83499999999999996</v>
      </c>
      <c r="L376" s="2">
        <v>-3.4169999999999998</v>
      </c>
    </row>
    <row r="377" spans="1:12" x14ac:dyDescent="0.25">
      <c r="A377">
        <v>23</v>
      </c>
      <c r="B377">
        <v>21</v>
      </c>
      <c r="C377" s="3">
        <v>4799038</v>
      </c>
      <c r="D377" s="4">
        <v>56327031</v>
      </c>
      <c r="E377">
        <v>80</v>
      </c>
      <c r="F377" s="2">
        <v>0.73499999999999999</v>
      </c>
      <c r="G377" s="2">
        <v>0.44900000000000001</v>
      </c>
      <c r="H377" s="2">
        <v>0.34699999999999998</v>
      </c>
      <c r="I377" s="2">
        <v>0.629</v>
      </c>
      <c r="J377" s="2">
        <v>0.113</v>
      </c>
      <c r="K377" s="2">
        <v>3.9699999999999999E-2</v>
      </c>
      <c r="L377" s="2">
        <v>-7.5069999999999997</v>
      </c>
    </row>
    <row r="378" spans="1:12" x14ac:dyDescent="0.25">
      <c r="A378">
        <v>22</v>
      </c>
      <c r="B378">
        <v>32</v>
      </c>
      <c r="C378" s="3">
        <v>4790427</v>
      </c>
      <c r="D378" s="4">
        <v>31552500</v>
      </c>
      <c r="E378">
        <v>80</v>
      </c>
      <c r="F378" s="2">
        <v>0.63</v>
      </c>
      <c r="G378" s="2">
        <v>0.63300000000000001</v>
      </c>
      <c r="H378" s="2">
        <v>4.5699999999999998E-2</v>
      </c>
      <c r="I378" s="2">
        <v>7.7600000000000004E-3</v>
      </c>
      <c r="J378" s="2">
        <v>5.4100000000000002E-2</v>
      </c>
      <c r="K378" s="2">
        <v>0.45200000000000001</v>
      </c>
      <c r="L378" s="2">
        <v>-7.0880000000000001</v>
      </c>
    </row>
    <row r="379" spans="1:12" x14ac:dyDescent="0.25">
      <c r="A379">
        <v>42</v>
      </c>
      <c r="B379">
        <v>30</v>
      </c>
      <c r="C379" s="3">
        <v>4784580</v>
      </c>
      <c r="D379" s="4">
        <v>1606884</v>
      </c>
      <c r="E379">
        <v>80</v>
      </c>
      <c r="F379" s="2">
        <v>0.629</v>
      </c>
      <c r="G379" s="2">
        <v>0.69199999999999995</v>
      </c>
      <c r="H379" s="2">
        <v>3.7600000000000001E-2</v>
      </c>
      <c r="I379" s="2">
        <v>9.8099999999999993E-3</v>
      </c>
      <c r="J379" s="2">
        <v>0.60299999999999998</v>
      </c>
      <c r="K379" s="2">
        <v>0.45300000000000001</v>
      </c>
      <c r="L379" s="2">
        <v>-8.0449999999999999</v>
      </c>
    </row>
    <row r="380" spans="1:12" x14ac:dyDescent="0.25">
      <c r="A380">
        <v>29</v>
      </c>
      <c r="B380">
        <v>4</v>
      </c>
      <c r="C380" s="3">
        <v>4746415</v>
      </c>
      <c r="D380" s="4">
        <v>5371000</v>
      </c>
      <c r="E380">
        <v>80</v>
      </c>
      <c r="F380" s="2">
        <v>0.48699999999999999</v>
      </c>
      <c r="G380" s="2">
        <v>0.65</v>
      </c>
      <c r="H380" s="2">
        <v>2.53E-2</v>
      </c>
      <c r="I380" s="2">
        <v>0.191</v>
      </c>
      <c r="J380" s="2">
        <v>9.3299999999999994E-2</v>
      </c>
      <c r="K380" s="2">
        <v>0.45600000000000002</v>
      </c>
      <c r="L380" s="2">
        <v>-5.1950000000000003</v>
      </c>
    </row>
    <row r="381" spans="1:12" x14ac:dyDescent="0.25">
      <c r="A381">
        <v>26</v>
      </c>
      <c r="B381">
        <v>35</v>
      </c>
      <c r="C381" s="3">
        <v>4745752</v>
      </c>
      <c r="D381" s="4">
        <v>3828418</v>
      </c>
      <c r="E381">
        <v>80</v>
      </c>
      <c r="F381" s="2">
        <v>0.90400000000000003</v>
      </c>
      <c r="G381" s="2">
        <v>0.72299999999999998</v>
      </c>
      <c r="H381" s="2">
        <v>0.26</v>
      </c>
      <c r="I381" s="2">
        <v>6.3100000000000003E-2</v>
      </c>
      <c r="J381" s="2">
        <v>0.185</v>
      </c>
      <c r="K381" s="2">
        <v>0.83499999999999996</v>
      </c>
      <c r="L381" s="2">
        <v>-5.2240000000000002</v>
      </c>
    </row>
    <row r="382" spans="1:12" x14ac:dyDescent="0.25">
      <c r="A382">
        <v>26</v>
      </c>
      <c r="B382">
        <v>27</v>
      </c>
      <c r="C382" s="3">
        <v>4745568</v>
      </c>
      <c r="D382" s="4">
        <v>10925614</v>
      </c>
      <c r="E382">
        <v>80</v>
      </c>
      <c r="F382" s="2">
        <v>0.68</v>
      </c>
      <c r="G382" s="2">
        <v>0.72899999999999998</v>
      </c>
      <c r="H382" s="2">
        <v>4.7500000000000001E-2</v>
      </c>
      <c r="I382" s="2">
        <v>0.61199999999999999</v>
      </c>
      <c r="J382" s="2">
        <v>0.224</v>
      </c>
      <c r="K382" s="2">
        <v>0.44600000000000001</v>
      </c>
      <c r="L382" s="2">
        <v>-5.077</v>
      </c>
    </row>
    <row r="383" spans="1:12" x14ac:dyDescent="0.25">
      <c r="A383">
        <v>5</v>
      </c>
      <c r="B383">
        <v>12</v>
      </c>
      <c r="C383" s="3">
        <v>4721082</v>
      </c>
      <c r="D383" s="4">
        <v>47061119</v>
      </c>
      <c r="E383">
        <v>80</v>
      </c>
      <c r="F383" s="2">
        <v>0.45600000000000002</v>
      </c>
      <c r="G383" s="2">
        <v>0.28499999999999998</v>
      </c>
      <c r="H383" s="2">
        <v>9.7900000000000001E-2</v>
      </c>
      <c r="I383" s="2">
        <v>0.81399999999999995</v>
      </c>
      <c r="J383" s="2">
        <v>0.307</v>
      </c>
      <c r="K383" s="2">
        <v>8.09E-2</v>
      </c>
      <c r="L383" s="2">
        <v>-10.755000000000001</v>
      </c>
    </row>
    <row r="384" spans="1:12" x14ac:dyDescent="0.25">
      <c r="A384">
        <v>108</v>
      </c>
      <c r="B384">
        <v>17</v>
      </c>
      <c r="C384" s="3">
        <v>4641393</v>
      </c>
      <c r="D384" s="4">
        <v>14073083</v>
      </c>
      <c r="E384">
        <v>80</v>
      </c>
      <c r="F384" s="2">
        <v>0.69599999999999995</v>
      </c>
      <c r="G384" s="2">
        <v>0.45400000000000001</v>
      </c>
      <c r="H384" s="2">
        <v>0.153</v>
      </c>
      <c r="I384" s="2">
        <v>0.123</v>
      </c>
      <c r="J384" s="2">
        <v>0.155</v>
      </c>
      <c r="K384" s="2">
        <v>0.13600000000000001</v>
      </c>
      <c r="L384" s="2">
        <v>-6.7560000000000002</v>
      </c>
    </row>
    <row r="385" spans="1:12" x14ac:dyDescent="0.25">
      <c r="A385">
        <v>7</v>
      </c>
      <c r="B385">
        <v>19</v>
      </c>
      <c r="C385" s="3">
        <v>4638728</v>
      </c>
      <c r="D385" s="4">
        <v>36177712</v>
      </c>
      <c r="E385">
        <v>80</v>
      </c>
      <c r="F385" s="2">
        <v>0.9</v>
      </c>
      <c r="G385" s="2">
        <v>0.60299999999999998</v>
      </c>
      <c r="H385" s="2">
        <v>6.4600000000000005E-2</v>
      </c>
      <c r="I385" s="2">
        <v>0.40200000000000002</v>
      </c>
      <c r="J385" s="2">
        <v>0.13400000000000001</v>
      </c>
      <c r="K385" s="2">
        <v>0.82399999999999995</v>
      </c>
      <c r="L385" s="2">
        <v>-5.3129999999999997</v>
      </c>
    </row>
    <row r="386" spans="1:12" x14ac:dyDescent="0.25">
      <c r="A386">
        <v>105</v>
      </c>
      <c r="B386">
        <v>13</v>
      </c>
      <c r="C386" s="3">
        <v>4597406</v>
      </c>
      <c r="D386" s="4">
        <v>122883</v>
      </c>
      <c r="E386">
        <v>80</v>
      </c>
      <c r="F386" s="2">
        <v>0.60499999999999998</v>
      </c>
      <c r="G386" s="2">
        <v>0.377</v>
      </c>
      <c r="H386" s="2">
        <v>4.4299999999999999E-2</v>
      </c>
      <c r="I386" s="2">
        <v>0.73299999999999998</v>
      </c>
      <c r="J386" s="2">
        <v>8.0799999999999997E-2</v>
      </c>
      <c r="K386" s="2">
        <v>0.51900000000000002</v>
      </c>
      <c r="L386" s="2">
        <v>-6.2130000000000001</v>
      </c>
    </row>
    <row r="387" spans="1:12" x14ac:dyDescent="0.25">
      <c r="A387">
        <v>93</v>
      </c>
      <c r="B387">
        <v>38</v>
      </c>
      <c r="C387" s="3">
        <v>4560503</v>
      </c>
      <c r="D387" s="4">
        <v>8388838</v>
      </c>
      <c r="E387">
        <v>80</v>
      </c>
      <c r="F387" s="2">
        <v>0.73599999999999999</v>
      </c>
      <c r="G387" s="2">
        <v>0.308</v>
      </c>
      <c r="H387" s="2">
        <v>6.7699999999999996E-2</v>
      </c>
      <c r="I387" s="2">
        <v>0.94599999999999995</v>
      </c>
      <c r="J387" s="2">
        <v>0.186</v>
      </c>
      <c r="K387" s="2">
        <v>0.36099999999999999</v>
      </c>
      <c r="L387" s="2">
        <v>-7.83</v>
      </c>
    </row>
    <row r="388" spans="1:12" x14ac:dyDescent="0.25">
      <c r="A388">
        <v>23</v>
      </c>
      <c r="B388">
        <v>30</v>
      </c>
      <c r="C388" s="3">
        <v>4496450</v>
      </c>
      <c r="D388" s="4">
        <v>7601122</v>
      </c>
      <c r="E388">
        <v>80</v>
      </c>
      <c r="F388" s="2">
        <v>0.76900000000000002</v>
      </c>
      <c r="G388" s="2">
        <v>0.78700000000000003</v>
      </c>
      <c r="H388" s="2">
        <v>0.36699999999999999</v>
      </c>
      <c r="I388" s="2">
        <v>0.189</v>
      </c>
      <c r="J388" s="2">
        <v>0.129</v>
      </c>
      <c r="K388" s="2">
        <v>0.83599999999999997</v>
      </c>
      <c r="L388" s="2">
        <v>-3.9089999999999998</v>
      </c>
    </row>
    <row r="389" spans="1:12" x14ac:dyDescent="0.25">
      <c r="A389">
        <v>37</v>
      </c>
      <c r="B389">
        <v>35</v>
      </c>
      <c r="C389" s="3">
        <v>4436934</v>
      </c>
      <c r="D389" s="4">
        <v>881797</v>
      </c>
      <c r="E389">
        <v>80</v>
      </c>
      <c r="F389" s="2">
        <v>0.80900000000000005</v>
      </c>
      <c r="G389" s="2">
        <v>0.54500000000000004</v>
      </c>
      <c r="H389" s="2">
        <v>7.3499999999999996E-2</v>
      </c>
      <c r="I389" s="2">
        <v>0.39200000000000002</v>
      </c>
      <c r="J389" s="2">
        <v>0.151</v>
      </c>
      <c r="K389" s="2">
        <v>0.24399999999999999</v>
      </c>
      <c r="L389" s="2">
        <v>-6.6779999999999999</v>
      </c>
    </row>
    <row r="390" spans="1:12" x14ac:dyDescent="0.25">
      <c r="A390">
        <v>186</v>
      </c>
      <c r="B390">
        <v>10</v>
      </c>
      <c r="C390" s="3">
        <v>4391666</v>
      </c>
      <c r="D390" s="4">
        <v>6167871</v>
      </c>
      <c r="E390">
        <v>80</v>
      </c>
      <c r="F390" s="2">
        <v>0.68600000000000005</v>
      </c>
      <c r="G390" s="2">
        <v>0.45700000000000002</v>
      </c>
      <c r="H390" s="2">
        <v>4.6800000000000001E-2</v>
      </c>
      <c r="I390" s="2">
        <v>0.59499999999999997</v>
      </c>
      <c r="J390" s="2">
        <v>0.105</v>
      </c>
      <c r="K390" s="2">
        <v>0.71799999999999997</v>
      </c>
      <c r="L390" s="2">
        <v>-8.3219999999999992</v>
      </c>
    </row>
    <row r="391" spans="1:12" x14ac:dyDescent="0.25">
      <c r="A391">
        <v>136</v>
      </c>
      <c r="B391">
        <v>32</v>
      </c>
      <c r="C391" s="3">
        <v>4390823</v>
      </c>
      <c r="D391" s="4">
        <v>7744095</v>
      </c>
      <c r="E391">
        <v>80</v>
      </c>
      <c r="F391" s="2">
        <v>0.59599999999999997</v>
      </c>
      <c r="G391" s="2">
        <v>0.85399999999999998</v>
      </c>
      <c r="H391" s="2">
        <v>0.46300000000000002</v>
      </c>
      <c r="I391" s="2">
        <v>1.6899999999999998E-2</v>
      </c>
      <c r="J391" s="2">
        <v>0.124</v>
      </c>
      <c r="K391" s="2">
        <v>0.152</v>
      </c>
      <c r="L391" s="2">
        <v>-5.1139999999999999</v>
      </c>
    </row>
    <row r="392" spans="1:12" x14ac:dyDescent="0.25">
      <c r="A392">
        <v>26</v>
      </c>
      <c r="B392">
        <v>27</v>
      </c>
      <c r="C392" s="3">
        <v>4369849</v>
      </c>
      <c r="D392" s="4">
        <v>1606884</v>
      </c>
      <c r="E392">
        <v>80</v>
      </c>
      <c r="F392" s="2">
        <v>0.65200000000000002</v>
      </c>
      <c r="G392" s="2">
        <v>0.63100000000000001</v>
      </c>
      <c r="H392" s="2">
        <v>8.9300000000000004E-2</v>
      </c>
      <c r="I392" s="2">
        <v>0.52400000000000002</v>
      </c>
      <c r="J392" s="2">
        <v>0.16500000000000001</v>
      </c>
      <c r="K392" s="2">
        <v>0.35</v>
      </c>
      <c r="L392" s="2">
        <v>-5.718</v>
      </c>
    </row>
    <row r="393" spans="1:12" x14ac:dyDescent="0.25">
      <c r="A393">
        <v>74</v>
      </c>
      <c r="B393">
        <v>31</v>
      </c>
      <c r="C393" s="3">
        <v>4351784</v>
      </c>
      <c r="D393" s="4">
        <v>33663701</v>
      </c>
      <c r="E393">
        <v>80</v>
      </c>
      <c r="F393" s="2">
        <v>0.82899999999999996</v>
      </c>
      <c r="G393" s="2">
        <v>0.53900000000000003</v>
      </c>
      <c r="H393" s="2">
        <v>0.20799999999999999</v>
      </c>
      <c r="I393" s="2">
        <v>0.13600000000000001</v>
      </c>
      <c r="J393" s="2">
        <v>0.10299999999999999</v>
      </c>
      <c r="K393" s="2">
        <v>0.38800000000000001</v>
      </c>
      <c r="L393" s="2">
        <v>-7.359</v>
      </c>
    </row>
    <row r="394" spans="1:12" x14ac:dyDescent="0.25">
      <c r="A394">
        <v>69</v>
      </c>
      <c r="B394">
        <v>1</v>
      </c>
      <c r="C394" s="3">
        <v>9142721</v>
      </c>
      <c r="D394" s="4">
        <v>6777818</v>
      </c>
      <c r="E394">
        <v>79</v>
      </c>
      <c r="F394" s="2">
        <v>0.46800000000000003</v>
      </c>
      <c r="G394" s="2">
        <v>0.65200000000000002</v>
      </c>
      <c r="H394" s="2">
        <v>7.22E-2</v>
      </c>
      <c r="I394" s="2">
        <v>0.33300000000000002</v>
      </c>
      <c r="J394" s="2">
        <v>0.55000000000000004</v>
      </c>
      <c r="K394" s="2">
        <v>0.39</v>
      </c>
      <c r="L394" s="2">
        <v>-4.9119999999999999</v>
      </c>
    </row>
    <row r="395" spans="1:12" x14ac:dyDescent="0.25">
      <c r="A395">
        <v>99</v>
      </c>
      <c r="B395">
        <v>2</v>
      </c>
      <c r="C395" s="3">
        <v>6825463</v>
      </c>
      <c r="D395" s="4">
        <v>1427540</v>
      </c>
      <c r="E395">
        <v>79</v>
      </c>
      <c r="F395" s="2">
        <v>0.871</v>
      </c>
      <c r="G395" s="2">
        <v>0.51900000000000002</v>
      </c>
      <c r="H395" s="2">
        <v>0.25800000000000001</v>
      </c>
      <c r="I395" s="2">
        <v>0.313</v>
      </c>
      <c r="J395" s="2">
        <v>8.6900000000000005E-2</v>
      </c>
      <c r="K395" s="2">
        <v>0.53200000000000003</v>
      </c>
      <c r="L395" s="2">
        <v>-6.5490000000000004</v>
      </c>
    </row>
    <row r="396" spans="1:12" x14ac:dyDescent="0.25">
      <c r="A396">
        <v>116</v>
      </c>
      <c r="B396">
        <v>1</v>
      </c>
      <c r="C396" s="3">
        <v>6464206</v>
      </c>
      <c r="D396" s="4">
        <v>6430522</v>
      </c>
      <c r="E396">
        <v>79</v>
      </c>
      <c r="F396" s="2">
        <v>0.437</v>
      </c>
      <c r="G396" s="2">
        <v>0.52700000000000002</v>
      </c>
      <c r="H396" s="2">
        <v>0.46500000000000002</v>
      </c>
      <c r="I396" s="2">
        <v>0.185</v>
      </c>
      <c r="J396" s="2">
        <v>0.153</v>
      </c>
      <c r="K396" s="2">
        <v>0.70099999999999996</v>
      </c>
      <c r="L396" s="2">
        <v>-6.9669999999999996</v>
      </c>
    </row>
    <row r="397" spans="1:12" x14ac:dyDescent="0.25">
      <c r="A397">
        <v>124</v>
      </c>
      <c r="B397">
        <v>1</v>
      </c>
      <c r="C397" s="3">
        <v>6410263</v>
      </c>
      <c r="D397" s="4">
        <v>32262679</v>
      </c>
      <c r="E397">
        <v>79</v>
      </c>
      <c r="F397" s="2">
        <v>0.76600000000000001</v>
      </c>
      <c r="G397" s="2">
        <v>0.70599999999999996</v>
      </c>
      <c r="H397" s="2">
        <v>0.16</v>
      </c>
      <c r="I397" s="2">
        <v>0.223</v>
      </c>
      <c r="J397" s="2">
        <v>6.4000000000000001E-2</v>
      </c>
      <c r="K397" s="2">
        <v>0.76600000000000001</v>
      </c>
      <c r="L397" s="2">
        <v>-6.5529999999999999</v>
      </c>
    </row>
    <row r="398" spans="1:12" x14ac:dyDescent="0.25">
      <c r="A398">
        <v>86</v>
      </c>
      <c r="B398">
        <v>19</v>
      </c>
      <c r="C398" s="3">
        <v>5929062</v>
      </c>
      <c r="D398" s="4">
        <v>3509653</v>
      </c>
      <c r="E398">
        <v>79</v>
      </c>
      <c r="F398" s="2">
        <v>0.72699999999999998</v>
      </c>
      <c r="G398" s="2">
        <v>0.626</v>
      </c>
      <c r="H398" s="2">
        <v>7.2599999999999998E-2</v>
      </c>
      <c r="I398" s="2">
        <v>4.6899999999999997E-2</v>
      </c>
      <c r="J398" s="2">
        <v>0.126</v>
      </c>
      <c r="K398" s="2">
        <v>0.32200000000000001</v>
      </c>
      <c r="L398" s="2">
        <v>-8.4149999999999991</v>
      </c>
    </row>
    <row r="399" spans="1:12" x14ac:dyDescent="0.25">
      <c r="A399">
        <v>47</v>
      </c>
      <c r="B399">
        <v>2</v>
      </c>
      <c r="C399" s="3">
        <v>5913946</v>
      </c>
      <c r="D399" s="4">
        <v>37151476</v>
      </c>
      <c r="E399">
        <v>79</v>
      </c>
      <c r="F399" s="2">
        <v>0.78100000000000003</v>
      </c>
      <c r="G399" s="2">
        <v>0.76200000000000001</v>
      </c>
      <c r="H399" s="2">
        <v>6.2600000000000003E-2</v>
      </c>
      <c r="I399" s="2">
        <v>2.2200000000000001E-2</v>
      </c>
      <c r="J399" s="2">
        <v>0.121</v>
      </c>
      <c r="K399" s="2">
        <v>0.86</v>
      </c>
      <c r="L399" s="2">
        <v>-5.1879999999999997</v>
      </c>
    </row>
    <row r="400" spans="1:12" x14ac:dyDescent="0.25">
      <c r="A400">
        <v>1</v>
      </c>
      <c r="B400">
        <v>12</v>
      </c>
      <c r="C400" s="3">
        <v>5845457</v>
      </c>
      <c r="D400" s="4">
        <v>42227614</v>
      </c>
      <c r="E400">
        <v>79</v>
      </c>
      <c r="F400" s="2">
        <v>0.61299999999999999</v>
      </c>
      <c r="G400" s="2">
        <v>0.58099999999999996</v>
      </c>
      <c r="H400" s="2">
        <v>4.24E-2</v>
      </c>
      <c r="I400" s="2">
        <v>0.53700000000000003</v>
      </c>
      <c r="J400" s="2">
        <v>0.25</v>
      </c>
      <c r="K400" s="2">
        <v>0.55100000000000005</v>
      </c>
      <c r="L400" s="2">
        <v>-8.5879999999999992</v>
      </c>
    </row>
    <row r="401" spans="1:12" x14ac:dyDescent="0.25">
      <c r="A401">
        <v>141</v>
      </c>
      <c r="B401">
        <v>1</v>
      </c>
      <c r="C401" s="3">
        <v>5768653</v>
      </c>
      <c r="D401" s="4">
        <v>14187747</v>
      </c>
      <c r="E401">
        <v>79</v>
      </c>
      <c r="F401" s="2">
        <v>0.39</v>
      </c>
      <c r="G401" s="2">
        <v>0.53400000000000003</v>
      </c>
      <c r="H401" s="2">
        <v>7.0900000000000005E-2</v>
      </c>
      <c r="I401" s="2">
        <v>8.0699999999999994E-2</v>
      </c>
      <c r="J401" s="2">
        <v>0.184</v>
      </c>
      <c r="K401" s="2">
        <v>0.24399999999999999</v>
      </c>
      <c r="L401" s="2">
        <v>-9.5749999999999993</v>
      </c>
    </row>
    <row r="402" spans="1:12" x14ac:dyDescent="0.25">
      <c r="A402">
        <v>69</v>
      </c>
      <c r="B402">
        <v>4</v>
      </c>
      <c r="C402" s="3">
        <v>5738325</v>
      </c>
      <c r="D402" s="4">
        <v>2379448</v>
      </c>
      <c r="E402">
        <v>79</v>
      </c>
      <c r="F402" s="2">
        <v>0.84699999999999998</v>
      </c>
      <c r="G402" s="2">
        <v>0.81399999999999995</v>
      </c>
      <c r="H402" s="2">
        <v>0.152</v>
      </c>
      <c r="I402" s="2">
        <v>8.2500000000000004E-2</v>
      </c>
      <c r="J402" s="2">
        <v>9.4799999999999995E-2</v>
      </c>
      <c r="K402" s="2">
        <v>0.71099999999999997</v>
      </c>
      <c r="L402" s="2">
        <v>-4.6680000000000001</v>
      </c>
    </row>
    <row r="403" spans="1:12" x14ac:dyDescent="0.25">
      <c r="A403">
        <v>83</v>
      </c>
      <c r="B403">
        <v>2</v>
      </c>
      <c r="C403" s="3">
        <v>5698099</v>
      </c>
      <c r="D403" s="4">
        <v>29238936</v>
      </c>
      <c r="E403">
        <v>79</v>
      </c>
      <c r="F403" s="2">
        <v>0.75900000000000001</v>
      </c>
      <c r="G403" s="2">
        <v>0.63600000000000001</v>
      </c>
      <c r="H403" s="2">
        <v>3.6900000000000002E-2</v>
      </c>
      <c r="I403" s="2">
        <v>2.24E-2</v>
      </c>
      <c r="J403" s="2">
        <v>0.16600000000000001</v>
      </c>
      <c r="K403" s="2">
        <v>0.53600000000000003</v>
      </c>
      <c r="L403" s="2">
        <v>-5.585</v>
      </c>
    </row>
    <row r="404" spans="1:12" x14ac:dyDescent="0.25">
      <c r="A404">
        <v>10</v>
      </c>
      <c r="B404">
        <v>4</v>
      </c>
      <c r="C404" s="3">
        <v>5645966</v>
      </c>
      <c r="D404" s="4">
        <v>14097410</v>
      </c>
      <c r="E404">
        <v>79</v>
      </c>
      <c r="F404" s="2">
        <v>0.72499999999999998</v>
      </c>
      <c r="G404" s="2">
        <v>0.71299999999999997</v>
      </c>
      <c r="H404" s="2">
        <v>0.187</v>
      </c>
      <c r="I404" s="2">
        <v>0.127</v>
      </c>
      <c r="J404" s="2">
        <v>0.61699999999999999</v>
      </c>
      <c r="K404" s="2">
        <v>0.20699999999999999</v>
      </c>
      <c r="L404" s="2">
        <v>-6.173</v>
      </c>
    </row>
    <row r="405" spans="1:12" x14ac:dyDescent="0.25">
      <c r="A405">
        <v>82</v>
      </c>
      <c r="B405">
        <v>8</v>
      </c>
      <c r="C405" s="3">
        <v>5547002</v>
      </c>
      <c r="D405" s="4">
        <v>8673345</v>
      </c>
      <c r="E405">
        <v>79</v>
      </c>
      <c r="F405" s="2">
        <v>0.72399999999999998</v>
      </c>
      <c r="G405" s="2">
        <v>0.67500000000000004</v>
      </c>
      <c r="H405" s="2">
        <v>8.6699999999999999E-2</v>
      </c>
      <c r="I405" s="2">
        <v>9.7799999999999998E-2</v>
      </c>
      <c r="J405" s="2">
        <v>0.35099999999999998</v>
      </c>
      <c r="K405" s="2">
        <v>0.32500000000000001</v>
      </c>
      <c r="L405" s="2">
        <v>-5.2670000000000003</v>
      </c>
    </row>
    <row r="406" spans="1:12" x14ac:dyDescent="0.25">
      <c r="A406">
        <v>112</v>
      </c>
      <c r="B406">
        <v>3</v>
      </c>
      <c r="C406" s="3">
        <v>5511544</v>
      </c>
      <c r="D406" s="4">
        <v>289437</v>
      </c>
      <c r="E406">
        <v>79</v>
      </c>
      <c r="F406" s="2">
        <v>0.624</v>
      </c>
      <c r="G406" s="2">
        <v>0.80200000000000005</v>
      </c>
      <c r="H406" s="2">
        <v>0.311</v>
      </c>
      <c r="I406" s="2">
        <v>5.9700000000000003E-2</v>
      </c>
      <c r="J406" s="2">
        <v>0.252</v>
      </c>
      <c r="K406" s="2">
        <v>0.81799999999999995</v>
      </c>
      <c r="L406" s="2">
        <v>-4.8179999999999996</v>
      </c>
    </row>
    <row r="407" spans="1:12" x14ac:dyDescent="0.25">
      <c r="A407">
        <v>50</v>
      </c>
      <c r="B407">
        <v>3</v>
      </c>
      <c r="C407" s="3">
        <v>5424579</v>
      </c>
      <c r="D407" s="4">
        <v>11690201</v>
      </c>
      <c r="E407">
        <v>79</v>
      </c>
      <c r="F407" s="2">
        <v>0.92700000000000005</v>
      </c>
      <c r="G407" s="2">
        <v>0.53800000000000003</v>
      </c>
      <c r="H407" s="2">
        <v>0.11600000000000001</v>
      </c>
      <c r="I407" s="2">
        <v>3.1199999999999999E-2</v>
      </c>
      <c r="J407" s="2">
        <v>9.4500000000000001E-2</v>
      </c>
      <c r="K407" s="2">
        <v>0.221</v>
      </c>
      <c r="L407" s="2">
        <v>-3.9169999999999998</v>
      </c>
    </row>
    <row r="408" spans="1:12" x14ac:dyDescent="0.25">
      <c r="A408">
        <v>9</v>
      </c>
      <c r="B408">
        <v>39</v>
      </c>
      <c r="C408" s="3">
        <v>5390363</v>
      </c>
      <c r="D408" s="4">
        <v>36177712</v>
      </c>
      <c r="E408">
        <v>79</v>
      </c>
      <c r="F408" s="2">
        <v>0.60699999999999998</v>
      </c>
      <c r="G408" s="2">
        <v>0.82899999999999996</v>
      </c>
      <c r="H408" s="2">
        <v>0.379</v>
      </c>
      <c r="I408" s="2">
        <v>1.03E-2</v>
      </c>
      <c r="J408" s="2">
        <v>0.107</v>
      </c>
      <c r="K408" s="2">
        <v>0.68500000000000005</v>
      </c>
      <c r="L408" s="2">
        <v>-4.0739999999999998</v>
      </c>
    </row>
    <row r="409" spans="1:12" x14ac:dyDescent="0.25">
      <c r="A409">
        <v>105</v>
      </c>
      <c r="B409">
        <v>14</v>
      </c>
      <c r="C409" s="3">
        <v>5326719</v>
      </c>
      <c r="D409" s="4">
        <v>9778632</v>
      </c>
      <c r="E409">
        <v>79</v>
      </c>
      <c r="F409" s="2">
        <v>0.73799999999999999</v>
      </c>
      <c r="G409" s="2">
        <v>0.85</v>
      </c>
      <c r="H409" s="2">
        <v>6.4199999999999993E-2</v>
      </c>
      <c r="I409" s="2">
        <v>0.105</v>
      </c>
      <c r="J409" s="2">
        <v>0.23</v>
      </c>
      <c r="K409" s="2">
        <v>0.86499999999999999</v>
      </c>
      <c r="L409" s="2">
        <v>-3.0489999999999999</v>
      </c>
    </row>
    <row r="410" spans="1:12" x14ac:dyDescent="0.25">
      <c r="A410">
        <v>21</v>
      </c>
      <c r="B410">
        <v>35</v>
      </c>
      <c r="C410" s="3">
        <v>5300884</v>
      </c>
      <c r="D410" s="4">
        <v>7904381</v>
      </c>
      <c r="E410">
        <v>79</v>
      </c>
      <c r="F410" s="2">
        <v>0.73599999999999999</v>
      </c>
      <c r="G410" s="2">
        <v>0.63200000000000001</v>
      </c>
      <c r="H410" s="2">
        <v>6.4799999999999996E-2</v>
      </c>
      <c r="I410" s="2">
        <v>0.18</v>
      </c>
      <c r="J410" s="2">
        <v>0.34899999999999998</v>
      </c>
      <c r="K410" s="2">
        <v>0.503</v>
      </c>
      <c r="L410" s="2">
        <v>-4.9390000000000001</v>
      </c>
    </row>
    <row r="411" spans="1:12" x14ac:dyDescent="0.25">
      <c r="A411">
        <v>71</v>
      </c>
      <c r="B411">
        <v>28</v>
      </c>
      <c r="C411" s="3">
        <v>5258000</v>
      </c>
      <c r="D411" s="4">
        <v>942628</v>
      </c>
      <c r="E411">
        <v>79</v>
      </c>
      <c r="F411" s="2">
        <v>0.81299999999999994</v>
      </c>
      <c r="G411" s="2">
        <v>0.41499999999999998</v>
      </c>
      <c r="H411" s="2">
        <v>3.49E-2</v>
      </c>
      <c r="I411" s="2">
        <v>0.77700000000000002</v>
      </c>
      <c r="J411" s="2">
        <v>0.13100000000000001</v>
      </c>
      <c r="K411" s="2">
        <v>0.66700000000000004</v>
      </c>
      <c r="L411" s="2">
        <v>-5.9260000000000002</v>
      </c>
    </row>
    <row r="412" spans="1:12" x14ac:dyDescent="0.25">
      <c r="A412">
        <v>58</v>
      </c>
      <c r="B412">
        <v>19</v>
      </c>
      <c r="C412" s="3">
        <v>5218146</v>
      </c>
      <c r="D412" s="4">
        <v>22718</v>
      </c>
      <c r="E412">
        <v>79</v>
      </c>
      <c r="F412" s="2">
        <v>0.82399999999999995</v>
      </c>
      <c r="G412" s="2">
        <v>0.83699999999999997</v>
      </c>
      <c r="H412" s="2">
        <v>0.107</v>
      </c>
      <c r="I412" s="2">
        <v>0.57299999999999995</v>
      </c>
      <c r="J412" s="2">
        <v>0.27100000000000002</v>
      </c>
      <c r="K412" s="2">
        <v>0.57999999999999996</v>
      </c>
      <c r="L412" s="2">
        <v>-4.6029999999999998</v>
      </c>
    </row>
    <row r="413" spans="1:12" x14ac:dyDescent="0.25">
      <c r="A413">
        <v>25</v>
      </c>
      <c r="B413">
        <v>26</v>
      </c>
      <c r="C413" s="3">
        <v>5189822</v>
      </c>
      <c r="D413" s="4">
        <v>10580764</v>
      </c>
      <c r="E413">
        <v>79</v>
      </c>
      <c r="F413" s="2">
        <v>0.82399999999999995</v>
      </c>
      <c r="G413" s="2">
        <v>0.45700000000000002</v>
      </c>
      <c r="H413" s="2">
        <v>5.4300000000000001E-2</v>
      </c>
      <c r="I413" s="2">
        <v>0.16700000000000001</v>
      </c>
      <c r="J413" s="2">
        <v>4.1000000000000002E-2</v>
      </c>
      <c r="K413" s="2">
        <v>0.95</v>
      </c>
      <c r="L413" s="2">
        <v>-5.4279999999999999</v>
      </c>
    </row>
    <row r="414" spans="1:12" x14ac:dyDescent="0.25">
      <c r="A414">
        <v>137</v>
      </c>
      <c r="B414">
        <v>13</v>
      </c>
      <c r="C414" s="3">
        <v>5141640</v>
      </c>
      <c r="D414" s="4">
        <v>1585593</v>
      </c>
      <c r="E414">
        <v>79</v>
      </c>
      <c r="F414" s="2">
        <v>0.443</v>
      </c>
      <c r="G414" s="2">
        <v>0.50900000000000001</v>
      </c>
      <c r="H414" s="2">
        <v>5.3600000000000002E-2</v>
      </c>
      <c r="I414" s="2">
        <v>0.61499999999999999</v>
      </c>
      <c r="J414" s="2">
        <v>0.47199999999999998</v>
      </c>
      <c r="K414" s="2">
        <v>0.69</v>
      </c>
      <c r="L414" s="2">
        <v>-5.9950000000000001</v>
      </c>
    </row>
    <row r="415" spans="1:12" x14ac:dyDescent="0.25">
      <c r="A415">
        <v>164</v>
      </c>
      <c r="B415">
        <v>11</v>
      </c>
      <c r="C415" s="3">
        <v>5103863</v>
      </c>
      <c r="D415" s="4">
        <v>14826679</v>
      </c>
      <c r="E415">
        <v>79</v>
      </c>
      <c r="F415" s="2">
        <v>0.72799999999999998</v>
      </c>
      <c r="G415" s="2">
        <v>0.68899999999999995</v>
      </c>
      <c r="H415" s="2">
        <v>7.2499999999999995E-2</v>
      </c>
      <c r="I415" s="2">
        <v>0.29299999999999998</v>
      </c>
      <c r="J415" s="2">
        <v>0.109</v>
      </c>
      <c r="K415" s="2">
        <v>0.43099999999999999</v>
      </c>
      <c r="L415" s="2">
        <v>-5.718</v>
      </c>
    </row>
    <row r="416" spans="1:12" x14ac:dyDescent="0.25">
      <c r="A416">
        <v>91</v>
      </c>
      <c r="B416">
        <v>26</v>
      </c>
      <c r="C416" s="3">
        <v>5093408</v>
      </c>
      <c r="D416" s="4">
        <v>432511</v>
      </c>
      <c r="E416">
        <v>79</v>
      </c>
      <c r="F416" s="2">
        <v>0.79800000000000004</v>
      </c>
      <c r="G416" s="2">
        <v>0.82799999999999996</v>
      </c>
      <c r="H416" s="2">
        <v>0.193</v>
      </c>
      <c r="I416" s="2">
        <v>2.47E-2</v>
      </c>
      <c r="J416" s="2">
        <v>0.121</v>
      </c>
      <c r="K416" s="2">
        <v>0.6</v>
      </c>
      <c r="L416" s="2">
        <v>-5.36</v>
      </c>
    </row>
    <row r="417" spans="1:12" x14ac:dyDescent="0.25">
      <c r="A417">
        <v>8</v>
      </c>
      <c r="B417">
        <v>68</v>
      </c>
      <c r="C417" s="3">
        <v>5085511</v>
      </c>
      <c r="D417" s="4">
        <v>3816446</v>
      </c>
      <c r="E417">
        <v>79</v>
      </c>
      <c r="F417" s="2">
        <v>0.77400000000000002</v>
      </c>
      <c r="G417" s="2">
        <v>0.55400000000000005</v>
      </c>
      <c r="H417" s="2">
        <v>3.8300000000000001E-2</v>
      </c>
      <c r="I417" s="2">
        <v>0.20699999999999999</v>
      </c>
      <c r="J417" s="2">
        <v>0.13200000000000001</v>
      </c>
      <c r="K417" s="2">
        <v>0.34899999999999998</v>
      </c>
      <c r="L417" s="2">
        <v>-7.9089999999999998</v>
      </c>
    </row>
    <row r="418" spans="1:12" x14ac:dyDescent="0.25">
      <c r="A418">
        <v>160</v>
      </c>
      <c r="B418">
        <v>2</v>
      </c>
      <c r="C418" s="3">
        <v>5079657</v>
      </c>
      <c r="D418" s="4">
        <v>6782693</v>
      </c>
      <c r="E418">
        <v>79</v>
      </c>
      <c r="F418" s="2">
        <v>0.55400000000000005</v>
      </c>
      <c r="G418" s="2">
        <v>0.498</v>
      </c>
      <c r="H418" s="2">
        <v>6.8500000000000005E-2</v>
      </c>
      <c r="I418" s="2">
        <v>0.23</v>
      </c>
      <c r="J418" s="2">
        <v>0.79500000000000004</v>
      </c>
      <c r="K418" s="2">
        <v>0.41299999999999998</v>
      </c>
      <c r="L418" s="2">
        <v>-8.8659999999999997</v>
      </c>
    </row>
    <row r="419" spans="1:12" x14ac:dyDescent="0.25">
      <c r="A419">
        <v>7</v>
      </c>
      <c r="B419">
        <v>23</v>
      </c>
      <c r="C419" s="3">
        <v>5069268</v>
      </c>
      <c r="D419" s="4">
        <v>33893352</v>
      </c>
      <c r="E419">
        <v>79</v>
      </c>
      <c r="F419" s="2">
        <v>0.65200000000000002</v>
      </c>
      <c r="G419" s="2">
        <v>0.38300000000000001</v>
      </c>
      <c r="H419" s="2">
        <v>5.16E-2</v>
      </c>
      <c r="I419" s="2">
        <v>6.7599999999999993E-2</v>
      </c>
      <c r="J419" s="2">
        <v>8.2799999999999999E-2</v>
      </c>
      <c r="K419" s="2">
        <v>0.54900000000000004</v>
      </c>
      <c r="L419" s="2">
        <v>-7.0759999999999996</v>
      </c>
    </row>
    <row r="420" spans="1:12" x14ac:dyDescent="0.25">
      <c r="A420">
        <v>123</v>
      </c>
      <c r="B420">
        <v>26</v>
      </c>
      <c r="C420" s="3">
        <v>5054881</v>
      </c>
      <c r="D420" s="4">
        <v>419151</v>
      </c>
      <c r="E420">
        <v>79</v>
      </c>
      <c r="F420" s="2">
        <v>0.52</v>
      </c>
      <c r="G420" s="2">
        <v>0.90300000000000002</v>
      </c>
      <c r="H420" s="2">
        <v>4.2000000000000003E-2</v>
      </c>
      <c r="I420" s="2">
        <v>5.1700000000000001E-3</v>
      </c>
      <c r="J420" s="2">
        <v>0.254</v>
      </c>
      <c r="K420" s="2">
        <v>0.65200000000000002</v>
      </c>
      <c r="L420" s="2">
        <v>-5.4969999999999999</v>
      </c>
    </row>
    <row r="421" spans="1:12" x14ac:dyDescent="0.25">
      <c r="A421">
        <v>177</v>
      </c>
      <c r="B421">
        <v>7</v>
      </c>
      <c r="C421" s="3">
        <v>5053713</v>
      </c>
      <c r="D421" s="4">
        <v>2820477</v>
      </c>
      <c r="E421">
        <v>79</v>
      </c>
      <c r="F421" s="2">
        <v>0.80600000000000005</v>
      </c>
      <c r="G421" s="2">
        <v>0.51300000000000001</v>
      </c>
      <c r="H421" s="2">
        <v>6.8500000000000005E-2</v>
      </c>
      <c r="I421" s="2">
        <v>0.217</v>
      </c>
      <c r="J421" s="2">
        <v>0.217</v>
      </c>
      <c r="K421" s="2">
        <v>0.503</v>
      </c>
      <c r="L421" s="2">
        <v>-6.2080000000000002</v>
      </c>
    </row>
    <row r="422" spans="1:12" x14ac:dyDescent="0.25">
      <c r="A422">
        <v>1</v>
      </c>
      <c r="B422">
        <v>55</v>
      </c>
      <c r="C422" s="3">
        <v>5041656</v>
      </c>
      <c r="D422" s="4">
        <v>18572085</v>
      </c>
      <c r="E422">
        <v>79</v>
      </c>
      <c r="F422" s="2">
        <v>0.67200000000000004</v>
      </c>
      <c r="G422" s="2">
        <v>0.85499999999999998</v>
      </c>
      <c r="H422" s="2">
        <v>3.9699999999999999E-2</v>
      </c>
      <c r="I422" s="2">
        <v>2.1000000000000001E-2</v>
      </c>
      <c r="J422" s="2">
        <v>0.32300000000000001</v>
      </c>
      <c r="K422" s="2">
        <v>0.64600000000000002</v>
      </c>
      <c r="L422" s="2">
        <v>-3.7639999999999998</v>
      </c>
    </row>
    <row r="423" spans="1:12" x14ac:dyDescent="0.25">
      <c r="A423">
        <v>71</v>
      </c>
      <c r="B423">
        <v>13</v>
      </c>
      <c r="C423" s="3">
        <v>5041120</v>
      </c>
      <c r="D423" s="4">
        <v>608109</v>
      </c>
      <c r="E423">
        <v>79</v>
      </c>
      <c r="F423" s="2">
        <v>0.58299999999999996</v>
      </c>
      <c r="G423" s="2">
        <v>0.91800000000000004</v>
      </c>
      <c r="H423" s="2">
        <v>5.1799999999999999E-2</v>
      </c>
      <c r="I423" s="2">
        <v>0.28799999999999998</v>
      </c>
      <c r="J423" s="2">
        <v>7.0099999999999996E-2</v>
      </c>
      <c r="K423" s="2">
        <v>0.83599999999999997</v>
      </c>
      <c r="L423" s="2">
        <v>-3.6120000000000001</v>
      </c>
    </row>
    <row r="424" spans="1:12" x14ac:dyDescent="0.25">
      <c r="A424">
        <v>37</v>
      </c>
      <c r="B424">
        <v>31</v>
      </c>
      <c r="C424" s="3">
        <v>5026961</v>
      </c>
      <c r="D424" s="4">
        <v>6929075</v>
      </c>
      <c r="E424">
        <v>79</v>
      </c>
      <c r="F424" s="2">
        <v>0.82299999999999995</v>
      </c>
      <c r="G424" s="2">
        <v>0.82099999999999995</v>
      </c>
      <c r="H424" s="2">
        <v>0.16600000000000001</v>
      </c>
      <c r="I424" s="2">
        <v>0.31</v>
      </c>
      <c r="J424" s="2">
        <v>0.14299999999999999</v>
      </c>
      <c r="K424" s="2">
        <v>0.79100000000000004</v>
      </c>
      <c r="L424" s="2">
        <v>-3.4020000000000001</v>
      </c>
    </row>
    <row r="425" spans="1:12" x14ac:dyDescent="0.25">
      <c r="A425">
        <v>4</v>
      </c>
      <c r="B425">
        <v>38</v>
      </c>
      <c r="C425" s="3">
        <v>5023592</v>
      </c>
      <c r="D425" s="4">
        <v>23848461</v>
      </c>
      <c r="E425">
        <v>79</v>
      </c>
      <c r="F425" s="2">
        <v>0.81200000000000006</v>
      </c>
      <c r="G425" s="2">
        <v>0.76100000000000001</v>
      </c>
      <c r="H425" s="2">
        <v>8.1199999999999994E-2</v>
      </c>
      <c r="I425" s="2">
        <v>4.65E-2</v>
      </c>
      <c r="J425" s="2">
        <v>6.0100000000000001E-2</v>
      </c>
      <c r="K425" s="2">
        <v>0.34399999999999997</v>
      </c>
      <c r="L425" s="2">
        <v>-5.2220000000000004</v>
      </c>
    </row>
    <row r="426" spans="1:12" x14ac:dyDescent="0.25">
      <c r="A426">
        <v>3</v>
      </c>
      <c r="B426">
        <v>19</v>
      </c>
      <c r="C426" s="3">
        <v>5016865</v>
      </c>
      <c r="D426" s="4">
        <v>42227614</v>
      </c>
      <c r="E426">
        <v>79</v>
      </c>
      <c r="F426" s="2">
        <v>0.39200000000000002</v>
      </c>
      <c r="G426" s="2">
        <v>0.57399999999999995</v>
      </c>
      <c r="H426" s="2">
        <v>0.17</v>
      </c>
      <c r="I426" s="2">
        <v>0.83299999999999996</v>
      </c>
      <c r="J426" s="2">
        <v>0.14499999999999999</v>
      </c>
      <c r="K426" s="2">
        <v>0.52900000000000003</v>
      </c>
      <c r="L426" s="2">
        <v>-9.1950000000000003</v>
      </c>
    </row>
    <row r="427" spans="1:12" x14ac:dyDescent="0.25">
      <c r="A427">
        <v>80</v>
      </c>
      <c r="B427">
        <v>57</v>
      </c>
      <c r="C427" s="3">
        <v>5016283</v>
      </c>
      <c r="D427" s="4">
        <v>15663384</v>
      </c>
      <c r="E427">
        <v>79</v>
      </c>
      <c r="F427" s="2">
        <v>0.752</v>
      </c>
      <c r="G427" s="2">
        <v>0.48799999999999999</v>
      </c>
      <c r="H427" s="2">
        <v>7.0499999999999993E-2</v>
      </c>
      <c r="I427" s="2">
        <v>0.29699999999999999</v>
      </c>
      <c r="J427" s="2">
        <v>9.3600000000000003E-2</v>
      </c>
      <c r="K427" s="2">
        <v>0.53300000000000003</v>
      </c>
      <c r="L427" s="2">
        <v>-7.05</v>
      </c>
    </row>
    <row r="428" spans="1:12" x14ac:dyDescent="0.25">
      <c r="A428">
        <v>11</v>
      </c>
      <c r="B428">
        <v>33</v>
      </c>
      <c r="C428" s="3">
        <v>5005018</v>
      </c>
      <c r="D428" s="4">
        <v>15770302</v>
      </c>
      <c r="E428">
        <v>79</v>
      </c>
      <c r="F428" s="2">
        <v>0.78100000000000003</v>
      </c>
      <c r="G428" s="2">
        <v>0.67</v>
      </c>
      <c r="H428" s="2">
        <v>4.5199999999999997E-2</v>
      </c>
      <c r="I428" s="2">
        <v>1.03E-2</v>
      </c>
      <c r="J428" s="2">
        <v>7.6100000000000001E-2</v>
      </c>
      <c r="K428" s="2">
        <v>0.59499999999999997</v>
      </c>
      <c r="L428" s="2">
        <v>-3.9119999999999999</v>
      </c>
    </row>
    <row r="429" spans="1:12" x14ac:dyDescent="0.25">
      <c r="A429">
        <v>32</v>
      </c>
      <c r="B429">
        <v>36</v>
      </c>
      <c r="C429" s="3">
        <v>4980155</v>
      </c>
      <c r="D429" s="4">
        <v>6080597</v>
      </c>
      <c r="E429">
        <v>79</v>
      </c>
      <c r="F429" s="2">
        <v>0.82299999999999995</v>
      </c>
      <c r="G429" s="2">
        <v>0.53700000000000003</v>
      </c>
      <c r="H429" s="2">
        <v>0.20899999999999999</v>
      </c>
      <c r="I429" s="2">
        <v>0.17599999999999999</v>
      </c>
      <c r="J429" s="2">
        <v>0.123</v>
      </c>
      <c r="K429" s="2">
        <v>0.61499999999999999</v>
      </c>
      <c r="L429" s="2">
        <v>-2.6389999999999998</v>
      </c>
    </row>
    <row r="430" spans="1:12" x14ac:dyDescent="0.25">
      <c r="A430">
        <v>1</v>
      </c>
      <c r="B430">
        <v>27</v>
      </c>
      <c r="C430" s="3">
        <v>4941592</v>
      </c>
      <c r="D430" s="4">
        <v>179193</v>
      </c>
      <c r="E430">
        <v>79</v>
      </c>
      <c r="F430" s="2">
        <v>0.71599999999999997</v>
      </c>
      <c r="G430" s="2">
        <v>0.53700000000000003</v>
      </c>
      <c r="H430" s="2">
        <v>5.1400000000000001E-2</v>
      </c>
      <c r="I430" s="2">
        <v>0.23300000000000001</v>
      </c>
      <c r="J430" s="2">
        <v>0.157</v>
      </c>
      <c r="K430" s="2">
        <v>0.28000000000000003</v>
      </c>
      <c r="L430" s="2">
        <v>-7.6479999999999997</v>
      </c>
    </row>
    <row r="431" spans="1:12" x14ac:dyDescent="0.25">
      <c r="A431">
        <v>140</v>
      </c>
      <c r="B431">
        <v>3</v>
      </c>
      <c r="C431" s="3">
        <v>4931458</v>
      </c>
      <c r="D431" s="4">
        <v>1374784</v>
      </c>
      <c r="E431">
        <v>79</v>
      </c>
      <c r="F431" s="2">
        <v>0.67400000000000004</v>
      </c>
      <c r="G431" s="2">
        <v>0.88100000000000001</v>
      </c>
      <c r="H431" s="2">
        <v>0.14699999999999999</v>
      </c>
      <c r="I431" s="2">
        <v>0.29599999999999999</v>
      </c>
      <c r="J431" s="2">
        <v>7.9299999999999995E-2</v>
      </c>
      <c r="K431" s="2">
        <v>0.23400000000000001</v>
      </c>
      <c r="L431" s="2">
        <v>-2.8530000000000002</v>
      </c>
    </row>
    <row r="432" spans="1:12" x14ac:dyDescent="0.25">
      <c r="A432">
        <v>190</v>
      </c>
      <c r="B432">
        <v>3</v>
      </c>
      <c r="C432" s="3">
        <v>4914093</v>
      </c>
      <c r="D432" s="4">
        <v>211500</v>
      </c>
      <c r="E432">
        <v>79</v>
      </c>
      <c r="F432" s="2">
        <v>0.98</v>
      </c>
      <c r="G432" s="2">
        <v>0.41299999999999998</v>
      </c>
      <c r="H432" s="2">
        <v>0.10100000000000001</v>
      </c>
      <c r="I432" s="2">
        <v>0.67100000000000004</v>
      </c>
      <c r="J432" s="2">
        <v>0.17</v>
      </c>
      <c r="K432" s="2">
        <v>0.76400000000000001</v>
      </c>
      <c r="L432" s="2">
        <v>-11.052</v>
      </c>
    </row>
    <row r="433" spans="1:12" x14ac:dyDescent="0.25">
      <c r="A433">
        <v>87</v>
      </c>
      <c r="B433">
        <v>11</v>
      </c>
      <c r="C433" s="3">
        <v>4907925</v>
      </c>
      <c r="D433" s="4">
        <v>260236</v>
      </c>
      <c r="E433">
        <v>79</v>
      </c>
      <c r="F433" s="2">
        <v>0.76200000000000001</v>
      </c>
      <c r="G433" s="2">
        <v>0.433</v>
      </c>
      <c r="H433" s="2">
        <v>0.187</v>
      </c>
      <c r="I433" s="2">
        <v>0.14299999999999999</v>
      </c>
      <c r="J433" s="2">
        <v>0.11799999999999999</v>
      </c>
      <c r="K433" s="2">
        <v>0.39400000000000002</v>
      </c>
      <c r="L433" s="2">
        <v>-8.9369999999999994</v>
      </c>
    </row>
    <row r="434" spans="1:12" x14ac:dyDescent="0.25">
      <c r="A434">
        <v>20</v>
      </c>
      <c r="B434">
        <v>15</v>
      </c>
      <c r="C434" s="3">
        <v>4906738</v>
      </c>
      <c r="D434" s="4">
        <v>67208170</v>
      </c>
      <c r="E434">
        <v>79</v>
      </c>
      <c r="F434" s="2">
        <v>0.48699999999999999</v>
      </c>
      <c r="G434" s="2">
        <v>0.53400000000000003</v>
      </c>
      <c r="H434" s="2">
        <v>5.5500000000000001E-2</v>
      </c>
      <c r="I434" s="2">
        <v>0.36</v>
      </c>
      <c r="J434" s="2">
        <v>0.1</v>
      </c>
      <c r="K434" s="2">
        <v>0.17299999999999999</v>
      </c>
      <c r="L434" s="2">
        <v>-5.6639999999999997</v>
      </c>
    </row>
    <row r="435" spans="1:12" x14ac:dyDescent="0.25">
      <c r="A435">
        <v>17</v>
      </c>
      <c r="B435">
        <v>25</v>
      </c>
      <c r="C435" s="3">
        <v>4892682</v>
      </c>
      <c r="D435" s="4">
        <v>6852509</v>
      </c>
      <c r="E435">
        <v>79</v>
      </c>
      <c r="F435" s="2">
        <v>0.49</v>
      </c>
      <c r="G435" s="2">
        <v>0.61799999999999999</v>
      </c>
      <c r="H435" s="2">
        <v>0.104</v>
      </c>
      <c r="I435" s="2">
        <v>2.2100000000000002E-2</v>
      </c>
      <c r="J435" s="2">
        <v>0.25900000000000001</v>
      </c>
      <c r="K435" s="2">
        <v>0.28599999999999998</v>
      </c>
      <c r="L435" s="2">
        <v>-5.6550000000000002</v>
      </c>
    </row>
    <row r="436" spans="1:12" x14ac:dyDescent="0.25">
      <c r="A436">
        <v>191</v>
      </c>
      <c r="B436">
        <v>4</v>
      </c>
      <c r="C436" s="3">
        <v>4889500</v>
      </c>
      <c r="D436" s="4">
        <v>5241145</v>
      </c>
      <c r="E436">
        <v>79</v>
      </c>
      <c r="F436" s="2">
        <v>0.88900000000000001</v>
      </c>
      <c r="G436" s="2">
        <v>0.496</v>
      </c>
      <c r="H436" s="2">
        <v>9.0499999999999997E-2</v>
      </c>
      <c r="I436" s="2">
        <v>0.25900000000000001</v>
      </c>
      <c r="J436" s="2">
        <v>0.252</v>
      </c>
      <c r="K436" s="2">
        <v>0.54400000000000004</v>
      </c>
      <c r="L436" s="2">
        <v>-6.3650000000000002</v>
      </c>
    </row>
    <row r="437" spans="1:12" x14ac:dyDescent="0.25">
      <c r="A437">
        <v>148</v>
      </c>
      <c r="B437">
        <v>7</v>
      </c>
      <c r="C437" s="3">
        <v>4836113</v>
      </c>
      <c r="D437" s="4">
        <v>14103694</v>
      </c>
      <c r="E437">
        <v>79</v>
      </c>
      <c r="F437" s="2">
        <v>0.83699999999999997</v>
      </c>
      <c r="G437" s="2">
        <v>0.36399999999999999</v>
      </c>
      <c r="H437" s="2">
        <v>0.27600000000000002</v>
      </c>
      <c r="I437" s="2">
        <v>0.14899999999999999</v>
      </c>
      <c r="J437" s="2">
        <v>0.27100000000000002</v>
      </c>
      <c r="K437" s="2">
        <v>0.46300000000000002</v>
      </c>
      <c r="L437" s="2">
        <v>-11.712999999999999</v>
      </c>
    </row>
    <row r="438" spans="1:12" x14ac:dyDescent="0.25">
      <c r="A438">
        <v>30</v>
      </c>
      <c r="B438">
        <v>45</v>
      </c>
      <c r="C438" s="3">
        <v>4813796</v>
      </c>
      <c r="D438" s="4">
        <v>83337783</v>
      </c>
      <c r="E438">
        <v>79</v>
      </c>
      <c r="F438" s="2">
        <v>0.64</v>
      </c>
      <c r="G438" s="2">
        <v>0.64800000000000002</v>
      </c>
      <c r="H438" s="2">
        <v>0.187</v>
      </c>
      <c r="I438" s="2">
        <v>0.124</v>
      </c>
      <c r="J438" s="2">
        <v>8.0199999999999994E-2</v>
      </c>
      <c r="K438" s="2">
        <v>0.54800000000000004</v>
      </c>
      <c r="L438" s="2">
        <v>-8.1129999999999995</v>
      </c>
    </row>
    <row r="439" spans="1:12" x14ac:dyDescent="0.25">
      <c r="A439">
        <v>195</v>
      </c>
      <c r="B439">
        <v>1</v>
      </c>
      <c r="C439" s="3">
        <v>4630675</v>
      </c>
      <c r="D439" s="4">
        <v>27167675</v>
      </c>
      <c r="E439">
        <v>79</v>
      </c>
      <c r="F439" s="2">
        <v>0.76200000000000001</v>
      </c>
      <c r="G439" s="2">
        <v>0.7</v>
      </c>
      <c r="H439" s="2">
        <v>6.9400000000000003E-2</v>
      </c>
      <c r="I439" s="2">
        <v>2.6099999999999999E-3</v>
      </c>
      <c r="J439" s="2">
        <v>0.153</v>
      </c>
      <c r="K439" s="2">
        <v>0.60799999999999998</v>
      </c>
      <c r="L439" s="2">
        <v>-6.0209999999999999</v>
      </c>
    </row>
    <row r="440" spans="1:12" x14ac:dyDescent="0.25">
      <c r="A440">
        <v>51</v>
      </c>
      <c r="B440">
        <v>5</v>
      </c>
      <c r="C440" s="3">
        <v>4537762</v>
      </c>
      <c r="D440" s="4">
        <v>17732077</v>
      </c>
      <c r="E440">
        <v>79</v>
      </c>
      <c r="F440" s="2">
        <v>0.76300000000000001</v>
      </c>
      <c r="G440" s="2">
        <v>0.628</v>
      </c>
      <c r="H440" s="2">
        <v>0.05</v>
      </c>
      <c r="I440" s="2">
        <v>5.3100000000000001E-2</v>
      </c>
      <c r="J440" s="2">
        <v>0.114</v>
      </c>
      <c r="K440" s="2">
        <v>0.193</v>
      </c>
      <c r="L440" s="2">
        <v>-5.85</v>
      </c>
    </row>
    <row r="441" spans="1:12" x14ac:dyDescent="0.25">
      <c r="A441">
        <v>145</v>
      </c>
      <c r="B441">
        <v>5</v>
      </c>
      <c r="C441" s="3">
        <v>4473413</v>
      </c>
      <c r="D441" s="4">
        <v>207170</v>
      </c>
      <c r="E441">
        <v>79</v>
      </c>
      <c r="F441" s="2">
        <v>0.64800000000000002</v>
      </c>
      <c r="G441" s="2">
        <v>0.308</v>
      </c>
      <c r="H441" s="2">
        <v>0.04</v>
      </c>
      <c r="I441" s="2">
        <v>0.88600000000000001</v>
      </c>
      <c r="J441" s="2">
        <v>0.124</v>
      </c>
      <c r="K441" s="2">
        <v>0.19800000000000001</v>
      </c>
      <c r="L441" s="2">
        <v>-11.728999999999999</v>
      </c>
    </row>
    <row r="442" spans="1:12" x14ac:dyDescent="0.25">
      <c r="A442">
        <v>189</v>
      </c>
      <c r="B442">
        <v>2</v>
      </c>
      <c r="C442" s="3">
        <v>4439790</v>
      </c>
      <c r="D442" s="4">
        <v>36369</v>
      </c>
      <c r="E442">
        <v>79</v>
      </c>
      <c r="F442" s="2">
        <v>0.67700000000000005</v>
      </c>
      <c r="G442" s="2">
        <v>0.76600000000000001</v>
      </c>
      <c r="H442" s="2">
        <v>5.6800000000000003E-2</v>
      </c>
      <c r="I442" s="2">
        <v>2.1899999999999999E-2</v>
      </c>
      <c r="J442" s="2">
        <v>0.129</v>
      </c>
      <c r="K442" s="2">
        <v>0.19800000000000001</v>
      </c>
      <c r="L442" s="2">
        <v>-6.8959999999999999</v>
      </c>
    </row>
    <row r="443" spans="1:12" x14ac:dyDescent="0.25">
      <c r="A443">
        <v>75</v>
      </c>
      <c r="B443">
        <v>25</v>
      </c>
      <c r="C443" s="3">
        <v>4422905</v>
      </c>
      <c r="D443" s="4">
        <v>441714</v>
      </c>
      <c r="E443">
        <v>79</v>
      </c>
      <c r="F443" s="2">
        <v>0.67700000000000005</v>
      </c>
      <c r="G443" s="2">
        <v>0.74399999999999999</v>
      </c>
      <c r="H443" s="2">
        <v>2.9499999999999998E-2</v>
      </c>
      <c r="I443" s="2">
        <v>4.0399999999999998E-2</v>
      </c>
      <c r="J443" s="2">
        <v>7.3999999999999996E-2</v>
      </c>
      <c r="K443" s="2">
        <v>0.63100000000000001</v>
      </c>
      <c r="L443" s="2">
        <v>-6.806</v>
      </c>
    </row>
    <row r="444" spans="1:12" x14ac:dyDescent="0.25">
      <c r="A444">
        <v>118</v>
      </c>
      <c r="B444">
        <v>33</v>
      </c>
      <c r="C444" s="3">
        <v>4392936</v>
      </c>
      <c r="D444" s="4">
        <v>7593792</v>
      </c>
      <c r="E444">
        <v>79</v>
      </c>
      <c r="F444" s="2">
        <v>0.69299999999999995</v>
      </c>
      <c r="G444" s="2">
        <v>0.67800000000000005</v>
      </c>
      <c r="H444" s="2">
        <v>3.2399999999999998E-2</v>
      </c>
      <c r="I444" s="2">
        <v>1.5100000000000001E-2</v>
      </c>
      <c r="J444" s="2">
        <v>0.10100000000000001</v>
      </c>
      <c r="K444" s="2">
        <v>0.40400000000000003</v>
      </c>
      <c r="L444" s="2">
        <v>-7.1589999999999998</v>
      </c>
    </row>
    <row r="445" spans="1:12" x14ac:dyDescent="0.25">
      <c r="A445">
        <v>14</v>
      </c>
      <c r="B445">
        <v>17</v>
      </c>
      <c r="C445" s="3">
        <v>4384527</v>
      </c>
      <c r="D445" s="4">
        <v>36177712</v>
      </c>
      <c r="E445">
        <v>79</v>
      </c>
      <c r="F445" s="2">
        <v>0.74399999999999999</v>
      </c>
      <c r="G445" s="2">
        <v>0.86799999999999999</v>
      </c>
      <c r="H445" s="2">
        <v>4.7E-2</v>
      </c>
      <c r="I445" s="2">
        <v>3.2599999999999997E-2</v>
      </c>
      <c r="J445" s="2">
        <v>8.2199999999999995E-2</v>
      </c>
      <c r="K445" s="2">
        <v>0.58599999999999997</v>
      </c>
      <c r="L445" s="2">
        <v>-4.524</v>
      </c>
    </row>
    <row r="446" spans="1:12" x14ac:dyDescent="0.25">
      <c r="A446">
        <v>47</v>
      </c>
      <c r="B446">
        <v>1</v>
      </c>
      <c r="C446" s="3">
        <v>11380679</v>
      </c>
      <c r="D446" s="4">
        <v>6777818</v>
      </c>
      <c r="E446">
        <v>78</v>
      </c>
      <c r="F446" s="2">
        <v>0.62</v>
      </c>
      <c r="G446" s="2">
        <v>0.58599999999999997</v>
      </c>
      <c r="H446" s="2">
        <v>0.21199999999999999</v>
      </c>
      <c r="I446" s="2">
        <v>0.155</v>
      </c>
      <c r="J446" s="2">
        <v>0.53500000000000003</v>
      </c>
      <c r="K446" s="2">
        <v>0.48699999999999999</v>
      </c>
      <c r="L446" s="2">
        <v>-6.6120000000000001</v>
      </c>
    </row>
    <row r="447" spans="1:12" x14ac:dyDescent="0.25">
      <c r="A447">
        <v>72</v>
      </c>
      <c r="B447">
        <v>1</v>
      </c>
      <c r="C447" s="3">
        <v>7753784</v>
      </c>
      <c r="D447" s="4">
        <v>61930</v>
      </c>
      <c r="E447">
        <v>78</v>
      </c>
      <c r="F447" s="2">
        <v>0.95299999999999996</v>
      </c>
      <c r="G447" s="2">
        <v>0.621</v>
      </c>
      <c r="H447" s="2">
        <v>0.221</v>
      </c>
      <c r="I447" s="2">
        <v>1.7000000000000001E-2</v>
      </c>
      <c r="J447" s="2">
        <v>3.9800000000000002E-2</v>
      </c>
      <c r="K447" s="2">
        <v>0.88300000000000001</v>
      </c>
      <c r="L447" s="2">
        <v>-7.6379999999999999</v>
      </c>
    </row>
    <row r="448" spans="1:12" x14ac:dyDescent="0.25">
      <c r="A448">
        <v>71</v>
      </c>
      <c r="B448">
        <v>4</v>
      </c>
      <c r="C448" s="3">
        <v>7506580</v>
      </c>
      <c r="D448" s="4">
        <v>4840346</v>
      </c>
      <c r="E448">
        <v>78</v>
      </c>
      <c r="F448" s="2">
        <v>0.752</v>
      </c>
      <c r="G448" s="2">
        <v>0.56299999999999994</v>
      </c>
      <c r="H448" s="2">
        <v>0.20899999999999999</v>
      </c>
      <c r="I448" s="2">
        <v>0.14599999999999999</v>
      </c>
      <c r="J448" s="2">
        <v>0.10299999999999999</v>
      </c>
      <c r="K448" s="2">
        <v>0.55100000000000005</v>
      </c>
      <c r="L448" s="2">
        <v>-8.0660000000000007</v>
      </c>
    </row>
    <row r="449" spans="1:12" x14ac:dyDescent="0.25">
      <c r="A449">
        <v>95</v>
      </c>
      <c r="B449">
        <v>1</v>
      </c>
      <c r="C449" s="3">
        <v>7292247</v>
      </c>
      <c r="D449" s="4">
        <v>10491105</v>
      </c>
      <c r="E449">
        <v>78</v>
      </c>
      <c r="F449" s="2">
        <v>0.752</v>
      </c>
      <c r="G449" s="2">
        <v>0.65800000000000003</v>
      </c>
      <c r="H449" s="2">
        <v>0.34200000000000003</v>
      </c>
      <c r="I449" s="2">
        <v>4.2099999999999999E-2</v>
      </c>
      <c r="J449" s="2">
        <v>9.2700000000000005E-2</v>
      </c>
      <c r="K449" s="2">
        <v>0.38700000000000001</v>
      </c>
      <c r="L449" s="2">
        <v>-6.2969999999999997</v>
      </c>
    </row>
    <row r="450" spans="1:12" x14ac:dyDescent="0.25">
      <c r="A450">
        <v>94</v>
      </c>
      <c r="B450">
        <v>1</v>
      </c>
      <c r="C450" s="3">
        <v>7084292</v>
      </c>
      <c r="D450" s="4">
        <v>1329531</v>
      </c>
      <c r="E450">
        <v>78</v>
      </c>
      <c r="F450" s="2">
        <v>0.81899999999999995</v>
      </c>
      <c r="G450" s="2">
        <v>0.83499999999999996</v>
      </c>
      <c r="H450" s="2">
        <v>0.10199999999999999</v>
      </c>
      <c r="I450" s="2">
        <v>0.39800000000000002</v>
      </c>
      <c r="J450" s="2">
        <v>0.252</v>
      </c>
      <c r="K450" s="2">
        <v>0.70299999999999996</v>
      </c>
      <c r="L450" s="2">
        <v>-4.899</v>
      </c>
    </row>
    <row r="451" spans="1:12" x14ac:dyDescent="0.25">
      <c r="A451">
        <v>101</v>
      </c>
      <c r="B451">
        <v>1</v>
      </c>
      <c r="C451" s="3">
        <v>6731106</v>
      </c>
      <c r="D451" s="4">
        <v>1724414</v>
      </c>
      <c r="E451">
        <v>78</v>
      </c>
      <c r="F451" s="2">
        <v>0.65200000000000002</v>
      </c>
      <c r="G451" s="2">
        <v>0.71699999999999997</v>
      </c>
      <c r="H451" s="2">
        <v>5.8099999999999999E-2</v>
      </c>
      <c r="I451" s="2">
        <v>6.9400000000000003E-2</v>
      </c>
      <c r="J451" s="2">
        <v>9.06E-2</v>
      </c>
      <c r="K451" s="2">
        <v>0.377</v>
      </c>
      <c r="L451" s="2">
        <v>-3.7509999999999999</v>
      </c>
    </row>
    <row r="452" spans="1:12" x14ac:dyDescent="0.25">
      <c r="A452">
        <v>82</v>
      </c>
      <c r="B452">
        <v>11</v>
      </c>
      <c r="C452" s="3">
        <v>6241923</v>
      </c>
      <c r="D452" s="4">
        <v>4431309</v>
      </c>
      <c r="E452">
        <v>78</v>
      </c>
      <c r="F452" s="2">
        <v>0.77900000000000003</v>
      </c>
      <c r="G452" s="2">
        <v>0.70499999999999996</v>
      </c>
      <c r="H452" s="2">
        <v>3.44E-2</v>
      </c>
      <c r="I452" s="2">
        <v>0.36899999999999999</v>
      </c>
      <c r="J452" s="2">
        <v>0.124</v>
      </c>
      <c r="K452" s="2">
        <v>0.94599999999999995</v>
      </c>
      <c r="L452" s="2">
        <v>-3.895</v>
      </c>
    </row>
    <row r="453" spans="1:12" x14ac:dyDescent="0.25">
      <c r="A453">
        <v>122</v>
      </c>
      <c r="B453">
        <v>37</v>
      </c>
      <c r="C453" s="3">
        <v>6089242</v>
      </c>
      <c r="D453" s="4">
        <v>2421254</v>
      </c>
      <c r="E453">
        <v>78</v>
      </c>
      <c r="F453" s="2">
        <v>0.48399999999999999</v>
      </c>
      <c r="G453" s="2">
        <v>0.73099999999999998</v>
      </c>
      <c r="H453" s="2">
        <v>3.7900000000000003E-2</v>
      </c>
      <c r="I453" s="2">
        <v>0.43099999999999999</v>
      </c>
      <c r="J453" s="2">
        <v>0.151</v>
      </c>
      <c r="K453" s="2">
        <v>0.51</v>
      </c>
      <c r="L453" s="2">
        <v>-6.694</v>
      </c>
    </row>
    <row r="454" spans="1:12" x14ac:dyDescent="0.25">
      <c r="A454">
        <v>92</v>
      </c>
      <c r="B454">
        <v>3</v>
      </c>
      <c r="C454" s="3">
        <v>5595839</v>
      </c>
      <c r="D454" s="4">
        <v>3126961</v>
      </c>
      <c r="E454">
        <v>78</v>
      </c>
      <c r="F454" s="2">
        <v>0.83</v>
      </c>
      <c r="G454" s="2">
        <v>0.748</v>
      </c>
      <c r="H454" s="2">
        <v>0.16200000000000001</v>
      </c>
      <c r="I454" s="2">
        <v>0.35399999999999998</v>
      </c>
      <c r="J454" s="2">
        <v>9.9199999999999997E-2</v>
      </c>
      <c r="K454" s="2">
        <v>0.52300000000000002</v>
      </c>
      <c r="L454" s="2">
        <v>-5.3620000000000001</v>
      </c>
    </row>
    <row r="455" spans="1:12" x14ac:dyDescent="0.25">
      <c r="A455">
        <v>152</v>
      </c>
      <c r="B455">
        <v>1</v>
      </c>
      <c r="C455" s="3">
        <v>5579697</v>
      </c>
      <c r="D455" s="4">
        <v>20528724</v>
      </c>
      <c r="E455">
        <v>78</v>
      </c>
      <c r="F455" s="2">
        <v>0.57499999999999996</v>
      </c>
      <c r="G455" s="2">
        <v>0.84399999999999997</v>
      </c>
      <c r="H455" s="2">
        <v>7.1999999999999995E-2</v>
      </c>
      <c r="I455" s="2">
        <v>1.72E-3</v>
      </c>
      <c r="J455" s="2">
        <v>0.114</v>
      </c>
      <c r="K455" s="2">
        <v>0.27700000000000002</v>
      </c>
      <c r="L455" s="2">
        <v>-4.8899999999999997</v>
      </c>
    </row>
    <row r="456" spans="1:12" x14ac:dyDescent="0.25">
      <c r="A456">
        <v>181</v>
      </c>
      <c r="B456">
        <v>1</v>
      </c>
      <c r="C456" s="3">
        <v>5410730</v>
      </c>
      <c r="D456" s="4">
        <v>203555</v>
      </c>
      <c r="E456">
        <v>78</v>
      </c>
      <c r="F456" s="2">
        <v>0.44400000000000001</v>
      </c>
      <c r="G456" s="2">
        <v>0.64800000000000002</v>
      </c>
      <c r="H456" s="2">
        <v>4.7600000000000003E-2</v>
      </c>
      <c r="I456" s="2">
        <v>0.28799999999999998</v>
      </c>
      <c r="J456" s="2">
        <v>5.8999999999999997E-2</v>
      </c>
      <c r="K456" s="2">
        <v>0.17100000000000001</v>
      </c>
      <c r="L456" s="2">
        <v>-4.9550000000000001</v>
      </c>
    </row>
    <row r="457" spans="1:12" x14ac:dyDescent="0.25">
      <c r="A457">
        <v>60</v>
      </c>
      <c r="B457">
        <v>17</v>
      </c>
      <c r="C457" s="3">
        <v>5370330</v>
      </c>
      <c r="D457" s="4">
        <v>2238190</v>
      </c>
      <c r="E457">
        <v>78</v>
      </c>
      <c r="F457" s="2">
        <v>0.48699999999999999</v>
      </c>
      <c r="G457" s="2">
        <v>0.74</v>
      </c>
      <c r="H457" s="2">
        <v>9.4399999999999998E-2</v>
      </c>
      <c r="I457" s="2">
        <v>0.157</v>
      </c>
      <c r="J457" s="2">
        <v>0.61199999999999999</v>
      </c>
      <c r="K457" s="2">
        <v>0.52200000000000002</v>
      </c>
      <c r="L457" s="2">
        <v>-4.9729999999999999</v>
      </c>
    </row>
    <row r="458" spans="1:12" x14ac:dyDescent="0.25">
      <c r="A458">
        <v>88</v>
      </c>
      <c r="B458">
        <v>12</v>
      </c>
      <c r="C458" s="3">
        <v>5362508</v>
      </c>
      <c r="D458" s="4">
        <v>247480</v>
      </c>
      <c r="E458">
        <v>78</v>
      </c>
      <c r="F458" s="2">
        <v>0.88</v>
      </c>
      <c r="G458" s="2">
        <v>0.48299999999999998</v>
      </c>
      <c r="H458" s="2">
        <v>5.0500000000000003E-2</v>
      </c>
      <c r="I458" s="2">
        <v>1.8499999999999999E-2</v>
      </c>
      <c r="J458" s="2">
        <v>6.0699999999999997E-2</v>
      </c>
      <c r="K458" s="2">
        <v>0.82699999999999996</v>
      </c>
      <c r="L458" s="2">
        <v>-7.0119999999999996</v>
      </c>
    </row>
    <row r="459" spans="1:12" x14ac:dyDescent="0.25">
      <c r="A459">
        <v>181</v>
      </c>
      <c r="B459">
        <v>1</v>
      </c>
      <c r="C459" s="3">
        <v>5322745</v>
      </c>
      <c r="D459" s="4">
        <v>11690201</v>
      </c>
      <c r="E459">
        <v>78</v>
      </c>
      <c r="F459" s="2">
        <v>0.87</v>
      </c>
      <c r="G459" s="2">
        <v>0.629</v>
      </c>
      <c r="H459" s="2">
        <v>0.27900000000000003</v>
      </c>
      <c r="I459" s="2">
        <v>0.17299999999999999</v>
      </c>
      <c r="J459" s="2">
        <v>0.10100000000000001</v>
      </c>
      <c r="K459" s="2">
        <v>0.51200000000000001</v>
      </c>
      <c r="L459" s="2">
        <v>-7.5979999999999999</v>
      </c>
    </row>
    <row r="460" spans="1:12" x14ac:dyDescent="0.25">
      <c r="A460">
        <v>37</v>
      </c>
      <c r="B460">
        <v>31</v>
      </c>
      <c r="C460" s="3">
        <v>5312876</v>
      </c>
      <c r="D460" s="4">
        <v>26769304</v>
      </c>
      <c r="E460">
        <v>78</v>
      </c>
      <c r="F460" s="2">
        <v>0.69099999999999995</v>
      </c>
      <c r="G460" s="2">
        <v>0.73899999999999999</v>
      </c>
      <c r="H460" s="2">
        <v>0.22900000000000001</v>
      </c>
      <c r="I460" s="2">
        <v>0.42199999999999999</v>
      </c>
      <c r="J460" s="2">
        <v>0.11</v>
      </c>
      <c r="K460" s="2">
        <v>0.88400000000000001</v>
      </c>
      <c r="L460" s="2">
        <v>-3.09</v>
      </c>
    </row>
    <row r="461" spans="1:12" x14ac:dyDescent="0.25">
      <c r="A461">
        <v>22</v>
      </c>
      <c r="B461">
        <v>29</v>
      </c>
      <c r="C461" s="3">
        <v>5255393</v>
      </c>
      <c r="D461" s="4">
        <v>10510156</v>
      </c>
      <c r="E461">
        <v>78</v>
      </c>
      <c r="F461" s="2">
        <v>0.65900000000000003</v>
      </c>
      <c r="G461" s="2">
        <v>0.70099999999999996</v>
      </c>
      <c r="H461" s="2">
        <v>0.16400000000000001</v>
      </c>
      <c r="I461" s="2">
        <v>8.8200000000000001E-2</v>
      </c>
      <c r="J461" s="2">
        <v>8.6599999999999996E-2</v>
      </c>
      <c r="K461" s="2">
        <v>0.623</v>
      </c>
      <c r="L461" s="2">
        <v>-4.1070000000000002</v>
      </c>
    </row>
    <row r="462" spans="1:12" x14ac:dyDescent="0.25">
      <c r="A462">
        <v>105</v>
      </c>
      <c r="B462">
        <v>26</v>
      </c>
      <c r="C462" s="3">
        <v>5229835</v>
      </c>
      <c r="D462" s="4">
        <v>17097317</v>
      </c>
      <c r="E462">
        <v>78</v>
      </c>
      <c r="F462" s="2">
        <v>0.74099999999999999</v>
      </c>
      <c r="G462" s="2">
        <v>0.52</v>
      </c>
      <c r="H462" s="2">
        <v>6.5600000000000006E-2</v>
      </c>
      <c r="I462" s="2">
        <v>0.45</v>
      </c>
      <c r="J462" s="2">
        <v>0.222</v>
      </c>
      <c r="K462" s="2">
        <v>0.34699999999999998</v>
      </c>
      <c r="L462" s="2">
        <v>-7.5129999999999999</v>
      </c>
    </row>
    <row r="463" spans="1:12" x14ac:dyDescent="0.25">
      <c r="A463">
        <v>64</v>
      </c>
      <c r="B463">
        <v>17</v>
      </c>
      <c r="C463" s="3">
        <v>5178107</v>
      </c>
      <c r="D463" s="4">
        <v>152237</v>
      </c>
      <c r="E463">
        <v>78</v>
      </c>
      <c r="F463" s="2">
        <v>0.84799999999999998</v>
      </c>
      <c r="G463" s="2">
        <v>0.76800000000000002</v>
      </c>
      <c r="H463" s="2">
        <v>3.73E-2</v>
      </c>
      <c r="I463" s="2">
        <v>4.1200000000000001E-2</v>
      </c>
      <c r="J463" s="2">
        <v>0.19500000000000001</v>
      </c>
      <c r="K463" s="2">
        <v>0.77700000000000002</v>
      </c>
      <c r="L463" s="2">
        <v>-5.3860000000000001</v>
      </c>
    </row>
    <row r="464" spans="1:12" x14ac:dyDescent="0.25">
      <c r="A464">
        <v>54</v>
      </c>
      <c r="B464">
        <v>22</v>
      </c>
      <c r="C464" s="3">
        <v>5134161</v>
      </c>
      <c r="D464" s="4">
        <v>33663701</v>
      </c>
      <c r="E464">
        <v>78</v>
      </c>
      <c r="F464" s="2">
        <v>0.54800000000000004</v>
      </c>
      <c r="G464" s="2">
        <v>0.65300000000000002</v>
      </c>
      <c r="H464" s="2">
        <v>8.1000000000000003E-2</v>
      </c>
      <c r="I464" s="2">
        <v>0.45600000000000002</v>
      </c>
      <c r="J464" s="2">
        <v>0.10299999999999999</v>
      </c>
      <c r="K464" s="2">
        <v>0.16300000000000001</v>
      </c>
      <c r="L464" s="2">
        <v>-3.875</v>
      </c>
    </row>
    <row r="465" spans="1:12" x14ac:dyDescent="0.25">
      <c r="A465">
        <v>22</v>
      </c>
      <c r="B465">
        <v>32</v>
      </c>
      <c r="C465" s="3">
        <v>5120753</v>
      </c>
      <c r="D465" s="4">
        <v>6096559</v>
      </c>
      <c r="E465">
        <v>78</v>
      </c>
      <c r="F465" s="2">
        <v>0.84799999999999998</v>
      </c>
      <c r="G465" s="2">
        <v>0.63700000000000001</v>
      </c>
      <c r="H465" s="2">
        <v>0.156</v>
      </c>
      <c r="I465" s="2">
        <v>4.1300000000000003E-2</v>
      </c>
      <c r="J465" s="2">
        <v>5.21E-2</v>
      </c>
      <c r="K465" s="2">
        <v>0.69799999999999995</v>
      </c>
      <c r="L465" s="2">
        <v>-5.1319999999999997</v>
      </c>
    </row>
    <row r="466" spans="1:12" x14ac:dyDescent="0.25">
      <c r="A466">
        <v>173</v>
      </c>
      <c r="B466">
        <v>5</v>
      </c>
      <c r="C466" s="3">
        <v>5116325</v>
      </c>
      <c r="D466" s="4">
        <v>251549</v>
      </c>
      <c r="E466">
        <v>78</v>
      </c>
      <c r="F466" s="2">
        <v>0.67900000000000005</v>
      </c>
      <c r="G466" s="2">
        <v>0.61</v>
      </c>
      <c r="H466" s="2">
        <v>3.0499999999999999E-2</v>
      </c>
      <c r="I466" s="2">
        <v>0.58499999999999996</v>
      </c>
      <c r="J466" s="2">
        <v>0.156</v>
      </c>
      <c r="K466" s="2">
        <v>0.55400000000000005</v>
      </c>
      <c r="L466" s="2">
        <v>-10.936</v>
      </c>
    </row>
    <row r="467" spans="1:12" x14ac:dyDescent="0.25">
      <c r="A467">
        <v>140</v>
      </c>
      <c r="B467">
        <v>9</v>
      </c>
      <c r="C467" s="3">
        <v>5115153</v>
      </c>
      <c r="D467" s="4">
        <v>42227614</v>
      </c>
      <c r="E467">
        <v>78</v>
      </c>
      <c r="F467" s="2">
        <v>0.77100000000000002</v>
      </c>
      <c r="G467" s="2">
        <v>0.67100000000000004</v>
      </c>
      <c r="H467" s="2">
        <v>5.5300000000000002E-2</v>
      </c>
      <c r="I467" s="2">
        <v>9.2899999999999996E-3</v>
      </c>
      <c r="J467" s="2">
        <v>6.3700000000000007E-2</v>
      </c>
      <c r="K467" s="2">
        <v>0.71399999999999997</v>
      </c>
      <c r="L467" s="2">
        <v>-5.617</v>
      </c>
    </row>
    <row r="468" spans="1:12" x14ac:dyDescent="0.25">
      <c r="A468">
        <v>191</v>
      </c>
      <c r="B468">
        <v>1</v>
      </c>
      <c r="C468" s="3">
        <v>5063181</v>
      </c>
      <c r="D468" s="4">
        <v>8148393</v>
      </c>
      <c r="E468">
        <v>78</v>
      </c>
      <c r="F468" s="2">
        <v>0.63800000000000001</v>
      </c>
      <c r="G468" s="2">
        <v>0.878</v>
      </c>
      <c r="H468" s="2">
        <v>4.8399999999999999E-2</v>
      </c>
      <c r="I468" s="2">
        <v>1.5100000000000001E-2</v>
      </c>
      <c r="J468" s="2">
        <v>0.308</v>
      </c>
      <c r="K468" s="2">
        <v>0.48099999999999998</v>
      </c>
      <c r="L468" s="2">
        <v>-3.6389999999999998</v>
      </c>
    </row>
    <row r="469" spans="1:12" x14ac:dyDescent="0.25">
      <c r="A469">
        <v>75</v>
      </c>
      <c r="B469">
        <v>5</v>
      </c>
      <c r="C469" s="3">
        <v>5060336</v>
      </c>
      <c r="D469" s="4">
        <v>301217</v>
      </c>
      <c r="E469">
        <v>78</v>
      </c>
      <c r="F469" s="2">
        <v>0.39700000000000002</v>
      </c>
      <c r="G469" s="2">
        <v>0.61299999999999999</v>
      </c>
      <c r="H469" s="2">
        <v>5.4899999999999997E-2</v>
      </c>
      <c r="I469" s="2">
        <v>3.9600000000000003E-2</v>
      </c>
      <c r="J469" s="2">
        <v>0.192</v>
      </c>
      <c r="K469" s="2">
        <v>0.40500000000000003</v>
      </c>
      <c r="L469" s="2">
        <v>-5.077</v>
      </c>
    </row>
    <row r="470" spans="1:12" x14ac:dyDescent="0.25">
      <c r="A470">
        <v>128</v>
      </c>
      <c r="B470">
        <v>3</v>
      </c>
      <c r="C470" s="3">
        <v>5059891</v>
      </c>
      <c r="D470" s="4">
        <v>9778632</v>
      </c>
      <c r="E470">
        <v>78</v>
      </c>
      <c r="F470" s="2">
        <v>0.749</v>
      </c>
      <c r="G470" s="2">
        <v>0.67400000000000004</v>
      </c>
      <c r="H470" s="2">
        <v>3.6600000000000001E-2</v>
      </c>
      <c r="I470" s="2">
        <v>2.0899999999999998E-2</v>
      </c>
      <c r="J470" s="2">
        <v>0.16900000000000001</v>
      </c>
      <c r="K470" s="2">
        <v>0.71099999999999997</v>
      </c>
      <c r="L470" s="2">
        <v>-5.1280000000000001</v>
      </c>
    </row>
    <row r="471" spans="1:12" x14ac:dyDescent="0.25">
      <c r="A471">
        <v>188</v>
      </c>
      <c r="B471">
        <v>1</v>
      </c>
      <c r="C471" s="3">
        <v>4988571</v>
      </c>
      <c r="D471" s="4">
        <v>11034144</v>
      </c>
      <c r="E471">
        <v>78</v>
      </c>
      <c r="F471" s="2">
        <v>0.57399999999999995</v>
      </c>
      <c r="G471" s="2">
        <v>0.51200000000000001</v>
      </c>
      <c r="H471" s="2">
        <v>5.0299999999999997E-2</v>
      </c>
      <c r="I471" s="2">
        <v>0.23400000000000001</v>
      </c>
      <c r="J471" s="2">
        <v>9.4600000000000004E-2</v>
      </c>
      <c r="K471" s="2">
        <v>0.51200000000000001</v>
      </c>
      <c r="L471" s="2">
        <v>-6.6639999999999997</v>
      </c>
    </row>
    <row r="472" spans="1:12" x14ac:dyDescent="0.25">
      <c r="A472">
        <v>45</v>
      </c>
      <c r="B472">
        <v>18</v>
      </c>
      <c r="C472" s="3">
        <v>4967348</v>
      </c>
      <c r="D472" s="4">
        <v>10580764</v>
      </c>
      <c r="E472">
        <v>78</v>
      </c>
      <c r="F472" s="2">
        <v>0.86199999999999999</v>
      </c>
      <c r="G472" s="2">
        <v>0.72</v>
      </c>
      <c r="H472" s="2">
        <v>3.7900000000000003E-2</v>
      </c>
      <c r="I472" s="2">
        <v>0.48699999999999999</v>
      </c>
      <c r="J472" s="2">
        <v>6.0400000000000002E-2</v>
      </c>
      <c r="K472" s="2">
        <v>0.96499999999999997</v>
      </c>
      <c r="L472" s="2">
        <v>-4.048</v>
      </c>
    </row>
    <row r="473" spans="1:12" x14ac:dyDescent="0.25">
      <c r="A473">
        <v>2</v>
      </c>
      <c r="B473">
        <v>46</v>
      </c>
      <c r="C473" s="3">
        <v>4966878</v>
      </c>
      <c r="D473" s="4">
        <v>56327031</v>
      </c>
      <c r="E473">
        <v>78</v>
      </c>
      <c r="F473" s="2">
        <v>0.83399999999999996</v>
      </c>
      <c r="G473" s="2">
        <v>0.45400000000000001</v>
      </c>
      <c r="H473" s="2">
        <v>0.20100000000000001</v>
      </c>
      <c r="I473" s="2">
        <v>0.32100000000000001</v>
      </c>
      <c r="J473" s="2">
        <v>0.114</v>
      </c>
      <c r="K473" s="2">
        <v>0.83699999999999997</v>
      </c>
      <c r="L473" s="2">
        <v>-9.75</v>
      </c>
    </row>
    <row r="474" spans="1:12" x14ac:dyDescent="0.25">
      <c r="A474">
        <v>194</v>
      </c>
      <c r="B474">
        <v>4</v>
      </c>
      <c r="C474" s="3">
        <v>4938180</v>
      </c>
      <c r="D474" s="4">
        <v>6475631</v>
      </c>
      <c r="E474">
        <v>78</v>
      </c>
      <c r="F474" s="2">
        <v>0.375</v>
      </c>
      <c r="G474" s="2">
        <v>0.89300000000000002</v>
      </c>
      <c r="H474" s="2">
        <v>4.0599999999999997E-2</v>
      </c>
      <c r="I474" s="2">
        <v>5.0900000000000001E-4</v>
      </c>
      <c r="J474" s="2">
        <v>0.187</v>
      </c>
      <c r="K474" s="2">
        <v>0.434</v>
      </c>
      <c r="L474" s="2">
        <v>-4.0970000000000004</v>
      </c>
    </row>
    <row r="475" spans="1:12" x14ac:dyDescent="0.25">
      <c r="A475">
        <v>21</v>
      </c>
      <c r="B475">
        <v>7</v>
      </c>
      <c r="C475" s="3">
        <v>4935633</v>
      </c>
      <c r="D475" s="4">
        <v>36177712</v>
      </c>
      <c r="E475">
        <v>78</v>
      </c>
      <c r="F475" s="2">
        <v>0.58399999999999996</v>
      </c>
      <c r="G475" s="2">
        <v>0.41099999999999998</v>
      </c>
      <c r="H475" s="2">
        <v>8.3799999999999999E-2</v>
      </c>
      <c r="I475" s="2">
        <v>0.86899999999999999</v>
      </c>
      <c r="J475" s="2">
        <v>9.5500000000000002E-2</v>
      </c>
      <c r="K475" s="2">
        <v>0.41199999999999998</v>
      </c>
      <c r="L475" s="2">
        <v>-7.1470000000000002</v>
      </c>
    </row>
    <row r="476" spans="1:12" x14ac:dyDescent="0.25">
      <c r="A476">
        <v>41</v>
      </c>
      <c r="B476">
        <v>19</v>
      </c>
      <c r="C476" s="3">
        <v>4924030</v>
      </c>
      <c r="D476" s="4">
        <v>6852509</v>
      </c>
      <c r="E476">
        <v>78</v>
      </c>
      <c r="F476" s="2">
        <v>0.68799999999999994</v>
      </c>
      <c r="G476" s="2">
        <v>0.64700000000000002</v>
      </c>
      <c r="H476" s="2">
        <v>0.19</v>
      </c>
      <c r="I476" s="2">
        <v>8.1499999999999993E-3</v>
      </c>
      <c r="J476" s="2">
        <v>9.5000000000000001E-2</v>
      </c>
      <c r="K476" s="2">
        <v>0.19500000000000001</v>
      </c>
      <c r="L476" s="2">
        <v>-7.258</v>
      </c>
    </row>
    <row r="477" spans="1:12" x14ac:dyDescent="0.25">
      <c r="A477">
        <v>24</v>
      </c>
      <c r="B477">
        <v>8</v>
      </c>
      <c r="C477" s="3">
        <v>4914682</v>
      </c>
      <c r="D477" s="4">
        <v>9949044</v>
      </c>
      <c r="E477">
        <v>78</v>
      </c>
      <c r="F477" s="2">
        <v>0.81899999999999995</v>
      </c>
      <c r="G477" s="2">
        <v>0.626</v>
      </c>
      <c r="H477" s="2">
        <v>0.20200000000000001</v>
      </c>
      <c r="I477" s="2">
        <v>7.4799999999999997E-3</v>
      </c>
      <c r="J477" s="2">
        <v>0.16700000000000001</v>
      </c>
      <c r="K477" s="2">
        <v>0.41499999999999998</v>
      </c>
      <c r="L477" s="2">
        <v>-4.5739999999999998</v>
      </c>
    </row>
    <row r="478" spans="1:12" x14ac:dyDescent="0.25">
      <c r="A478">
        <v>193</v>
      </c>
      <c r="B478">
        <v>1</v>
      </c>
      <c r="C478" s="3">
        <v>4902737</v>
      </c>
      <c r="D478" s="4">
        <v>6478565</v>
      </c>
      <c r="E478">
        <v>78</v>
      </c>
      <c r="F478" s="2">
        <v>0.375</v>
      </c>
      <c r="G478" s="2">
        <v>0.89300000000000002</v>
      </c>
      <c r="H478" s="2">
        <v>4.0599999999999997E-2</v>
      </c>
      <c r="I478" s="2">
        <v>5.0900000000000001E-4</v>
      </c>
      <c r="J478" s="2">
        <v>0.187</v>
      </c>
      <c r="K478" s="2">
        <v>0.434</v>
      </c>
      <c r="L478" s="2">
        <v>-4.0970000000000004</v>
      </c>
    </row>
    <row r="479" spans="1:12" x14ac:dyDescent="0.25">
      <c r="A479">
        <v>14</v>
      </c>
      <c r="B479">
        <v>12</v>
      </c>
      <c r="C479" s="3">
        <v>4851997</v>
      </c>
      <c r="D479" s="4">
        <v>19102888</v>
      </c>
      <c r="E479">
        <v>78</v>
      </c>
      <c r="F479" s="2">
        <v>0.70099999999999996</v>
      </c>
      <c r="G479" s="2">
        <v>0.65</v>
      </c>
      <c r="H479" s="2">
        <v>0.104</v>
      </c>
      <c r="I479" s="2">
        <v>0.29099999999999998</v>
      </c>
      <c r="J479" s="2">
        <v>0.112</v>
      </c>
      <c r="K479" s="2">
        <v>0.64700000000000002</v>
      </c>
      <c r="L479" s="2">
        <v>-6.3129999999999997</v>
      </c>
    </row>
    <row r="480" spans="1:12" x14ac:dyDescent="0.25">
      <c r="A480">
        <v>191</v>
      </c>
      <c r="B480">
        <v>2</v>
      </c>
      <c r="C480" s="3">
        <v>4824483</v>
      </c>
      <c r="D480" s="4">
        <v>47061119</v>
      </c>
      <c r="E480">
        <v>78</v>
      </c>
      <c r="F480" s="2">
        <v>0.48299999999999998</v>
      </c>
      <c r="G480" s="2">
        <v>0.41199999999999998</v>
      </c>
      <c r="H480" s="2">
        <v>4.02E-2</v>
      </c>
      <c r="I480" s="2">
        <v>0.73699999999999999</v>
      </c>
      <c r="J480" s="2">
        <v>0.11600000000000001</v>
      </c>
      <c r="K480" s="2">
        <v>0.247</v>
      </c>
      <c r="L480" s="2">
        <v>-8.4610000000000003</v>
      </c>
    </row>
    <row r="481" spans="1:12" x14ac:dyDescent="0.25">
      <c r="A481">
        <v>10</v>
      </c>
      <c r="B481">
        <v>22</v>
      </c>
      <c r="C481" s="3">
        <v>4819362</v>
      </c>
      <c r="D481" s="4">
        <v>19102888</v>
      </c>
      <c r="E481">
        <v>78</v>
      </c>
      <c r="F481" s="2">
        <v>0.70599999999999996</v>
      </c>
      <c r="G481" s="2">
        <v>0.625</v>
      </c>
      <c r="H481" s="2">
        <v>3.1399999999999997E-2</v>
      </c>
      <c r="I481" s="2">
        <v>4.1700000000000001E-2</v>
      </c>
      <c r="J481" s="2">
        <v>0.129</v>
      </c>
      <c r="K481" s="2">
        <v>0.22500000000000001</v>
      </c>
      <c r="L481" s="2">
        <v>-7.4260000000000002</v>
      </c>
    </row>
    <row r="482" spans="1:12" x14ac:dyDescent="0.25">
      <c r="A482">
        <v>59</v>
      </c>
      <c r="B482">
        <v>3</v>
      </c>
      <c r="C482" s="3">
        <v>4751756</v>
      </c>
      <c r="D482" s="4">
        <v>3868320</v>
      </c>
      <c r="E482">
        <v>78</v>
      </c>
      <c r="F482" s="2">
        <v>0.65400000000000003</v>
      </c>
      <c r="G482" s="2">
        <v>0.875</v>
      </c>
      <c r="H482" s="2">
        <v>7.4399999999999994E-2</v>
      </c>
      <c r="I482" s="2">
        <v>4.17E-4</v>
      </c>
      <c r="J482" s="2">
        <v>0.19400000000000001</v>
      </c>
      <c r="K482" s="2">
        <v>0.52200000000000002</v>
      </c>
      <c r="L482" s="2">
        <v>-4.8449999999999998</v>
      </c>
    </row>
    <row r="483" spans="1:12" x14ac:dyDescent="0.25">
      <c r="A483">
        <v>5</v>
      </c>
      <c r="B483">
        <v>21</v>
      </c>
      <c r="C483" s="3">
        <v>4727554</v>
      </c>
      <c r="D483" s="4">
        <v>36177712</v>
      </c>
      <c r="E483">
        <v>78</v>
      </c>
      <c r="F483" s="2">
        <v>0.68500000000000005</v>
      </c>
      <c r="G483" s="2">
        <v>0.84799999999999998</v>
      </c>
      <c r="H483" s="2">
        <v>8.5800000000000001E-2</v>
      </c>
      <c r="I483" s="2">
        <v>8.6099999999999996E-2</v>
      </c>
      <c r="J483" s="2">
        <v>7.8299999999999995E-2</v>
      </c>
      <c r="K483" s="2">
        <v>0.76100000000000001</v>
      </c>
      <c r="L483" s="2">
        <v>-4.5609999999999999</v>
      </c>
    </row>
    <row r="484" spans="1:12" x14ac:dyDescent="0.25">
      <c r="A484">
        <v>18</v>
      </c>
      <c r="B484">
        <v>34</v>
      </c>
      <c r="C484" s="3">
        <v>4680447</v>
      </c>
      <c r="D484" s="4">
        <v>36177712</v>
      </c>
      <c r="E484">
        <v>78</v>
      </c>
      <c r="F484" s="2">
        <v>0.86</v>
      </c>
      <c r="G484" s="2">
        <v>0.75800000000000001</v>
      </c>
      <c r="H484" s="2">
        <v>6.9500000000000006E-2</v>
      </c>
      <c r="I484" s="2">
        <v>2.1000000000000001E-2</v>
      </c>
      <c r="J484" s="2">
        <v>0.34399999999999997</v>
      </c>
      <c r="K484" s="2">
        <v>0.45300000000000001</v>
      </c>
      <c r="L484" s="2">
        <v>-5.16</v>
      </c>
    </row>
    <row r="485" spans="1:12" x14ac:dyDescent="0.25">
      <c r="A485">
        <v>42</v>
      </c>
      <c r="B485">
        <v>24</v>
      </c>
      <c r="C485" s="3">
        <v>4588064</v>
      </c>
      <c r="D485" s="4">
        <v>6096559</v>
      </c>
      <c r="E485">
        <v>78</v>
      </c>
      <c r="F485" s="2">
        <v>0.84799999999999998</v>
      </c>
      <c r="G485" s="2">
        <v>0.63700000000000001</v>
      </c>
      <c r="H485" s="2">
        <v>0.156</v>
      </c>
      <c r="I485" s="2">
        <v>4.1300000000000003E-2</v>
      </c>
      <c r="J485" s="2">
        <v>5.21E-2</v>
      </c>
      <c r="K485" s="2">
        <v>0.69799999999999995</v>
      </c>
      <c r="L485" s="2">
        <v>-5.1319999999999997</v>
      </c>
    </row>
    <row r="486" spans="1:12" x14ac:dyDescent="0.25">
      <c r="A486">
        <v>11</v>
      </c>
      <c r="B486">
        <v>37</v>
      </c>
      <c r="C486" s="3">
        <v>4585895</v>
      </c>
      <c r="D486" s="4">
        <v>5966748</v>
      </c>
      <c r="E486">
        <v>78</v>
      </c>
      <c r="F486" s="2">
        <v>0.72099999999999997</v>
      </c>
      <c r="G486" s="2">
        <v>0.71599999999999997</v>
      </c>
      <c r="H486" s="2">
        <v>6.5699999999999995E-2</v>
      </c>
      <c r="I486" s="2">
        <v>3.3399999999999999E-2</v>
      </c>
      <c r="J486" s="2">
        <v>0.23699999999999999</v>
      </c>
      <c r="K486" s="2">
        <v>0.66700000000000004</v>
      </c>
      <c r="L486" s="2">
        <v>-7.0369999999999999</v>
      </c>
    </row>
    <row r="487" spans="1:12" x14ac:dyDescent="0.25">
      <c r="A487">
        <v>188</v>
      </c>
      <c r="B487">
        <v>1</v>
      </c>
      <c r="C487" s="3">
        <v>4571612</v>
      </c>
      <c r="D487" s="4">
        <v>7744095</v>
      </c>
      <c r="E487">
        <v>78</v>
      </c>
      <c r="F487" s="2">
        <v>0.749</v>
      </c>
      <c r="G487" s="2">
        <v>0.46100000000000002</v>
      </c>
      <c r="H487" s="2">
        <v>4.1599999999999998E-2</v>
      </c>
      <c r="I487" s="2">
        <v>5.16E-2</v>
      </c>
      <c r="J487" s="2">
        <v>7.3800000000000004E-2</v>
      </c>
      <c r="K487" s="2">
        <v>0.42</v>
      </c>
      <c r="L487" s="2">
        <v>-2.9609999999999999</v>
      </c>
    </row>
    <row r="488" spans="1:12" x14ac:dyDescent="0.25">
      <c r="A488">
        <v>132</v>
      </c>
      <c r="B488">
        <v>7</v>
      </c>
      <c r="C488" s="3">
        <v>4527742</v>
      </c>
      <c r="D488" s="4">
        <v>33663701</v>
      </c>
      <c r="E488">
        <v>78</v>
      </c>
      <c r="F488" s="2">
        <v>0.54800000000000004</v>
      </c>
      <c r="G488" s="2">
        <v>0.65300000000000002</v>
      </c>
      <c r="H488" s="2">
        <v>8.1000000000000003E-2</v>
      </c>
      <c r="I488" s="2">
        <v>0.45600000000000002</v>
      </c>
      <c r="J488" s="2">
        <v>0.10299999999999999</v>
      </c>
      <c r="K488" s="2">
        <v>0.16300000000000001</v>
      </c>
      <c r="L488" s="2">
        <v>-3.875</v>
      </c>
    </row>
    <row r="489" spans="1:12" x14ac:dyDescent="0.25">
      <c r="A489">
        <v>15</v>
      </c>
      <c r="B489">
        <v>25</v>
      </c>
      <c r="C489" s="3">
        <v>4486408</v>
      </c>
      <c r="D489" s="4">
        <v>36177712</v>
      </c>
      <c r="E489">
        <v>78</v>
      </c>
      <c r="F489" s="2">
        <v>0.88600000000000001</v>
      </c>
      <c r="G489" s="2">
        <v>0.67200000000000004</v>
      </c>
      <c r="H489" s="2">
        <v>0.188</v>
      </c>
      <c r="I489" s="2">
        <v>3.6299999999999999E-2</v>
      </c>
      <c r="J489" s="2">
        <v>0.10100000000000001</v>
      </c>
      <c r="K489" s="2">
        <v>0.52600000000000002</v>
      </c>
      <c r="L489" s="2">
        <v>-4.3940000000000001</v>
      </c>
    </row>
    <row r="490" spans="1:12" x14ac:dyDescent="0.25">
      <c r="A490">
        <v>15</v>
      </c>
      <c r="B490">
        <v>24</v>
      </c>
      <c r="C490" s="3">
        <v>4413457</v>
      </c>
      <c r="D490" s="4">
        <v>22698747</v>
      </c>
      <c r="E490">
        <v>78</v>
      </c>
      <c r="F490" s="2">
        <v>0.72399999999999998</v>
      </c>
      <c r="G490" s="2">
        <v>0.49099999999999999</v>
      </c>
      <c r="H490" s="2">
        <v>2.9600000000000001E-2</v>
      </c>
      <c r="I490" s="2">
        <v>1.7999999999999999E-2</v>
      </c>
      <c r="J490" s="2">
        <v>8.8700000000000001E-2</v>
      </c>
      <c r="K490" s="2">
        <v>0.38300000000000001</v>
      </c>
      <c r="L490" s="2">
        <v>-6.024</v>
      </c>
    </row>
    <row r="491" spans="1:12" x14ac:dyDescent="0.25">
      <c r="A491">
        <v>88</v>
      </c>
      <c r="B491">
        <v>27</v>
      </c>
      <c r="C491" s="3">
        <v>4403348</v>
      </c>
      <c r="D491" s="4">
        <v>56327031</v>
      </c>
      <c r="E491">
        <v>78</v>
      </c>
      <c r="F491" s="2">
        <v>0.83099999999999996</v>
      </c>
      <c r="G491" s="2">
        <v>0.502</v>
      </c>
      <c r="H491" s="2">
        <v>4.5999999999999999E-2</v>
      </c>
      <c r="I491" s="2">
        <v>0.10100000000000001</v>
      </c>
      <c r="J491" s="2">
        <v>0.122</v>
      </c>
      <c r="K491" s="2">
        <v>0.10100000000000001</v>
      </c>
      <c r="L491" s="2">
        <v>-4.0449999999999999</v>
      </c>
    </row>
    <row r="492" spans="1:12" x14ac:dyDescent="0.25">
      <c r="A492">
        <v>131</v>
      </c>
      <c r="B492">
        <v>21</v>
      </c>
      <c r="C492" s="3">
        <v>4397385</v>
      </c>
      <c r="D492" s="4">
        <v>661863</v>
      </c>
      <c r="E492">
        <v>78</v>
      </c>
      <c r="F492" s="2">
        <v>0.52200000000000002</v>
      </c>
      <c r="G492" s="2">
        <v>0.128</v>
      </c>
      <c r="H492" s="2">
        <v>3.5700000000000003E-2</v>
      </c>
      <c r="I492" s="2">
        <v>0.89400000000000002</v>
      </c>
      <c r="J492" s="2">
        <v>9.4100000000000003E-2</v>
      </c>
      <c r="K492" s="2">
        <v>0.124</v>
      </c>
      <c r="L492" s="2">
        <v>-18.716999999999999</v>
      </c>
    </row>
    <row r="493" spans="1:12" x14ac:dyDescent="0.25">
      <c r="A493">
        <v>7</v>
      </c>
      <c r="B493">
        <v>1</v>
      </c>
      <c r="C493" s="3">
        <v>28509534</v>
      </c>
      <c r="D493" s="4">
        <v>48544923</v>
      </c>
      <c r="E493">
        <v>77</v>
      </c>
      <c r="F493" s="2">
        <v>0.80600000000000005</v>
      </c>
      <c r="G493" s="2">
        <v>0.54600000000000004</v>
      </c>
      <c r="H493" s="2">
        <v>5.7500000000000002E-2</v>
      </c>
      <c r="I493" s="2">
        <v>0.3</v>
      </c>
      <c r="J493" s="2">
        <v>0.10199999999999999</v>
      </c>
      <c r="K493" s="2">
        <v>0.874</v>
      </c>
      <c r="L493" s="2">
        <v>-6.6369999999999996</v>
      </c>
    </row>
    <row r="494" spans="1:12" x14ac:dyDescent="0.25">
      <c r="A494">
        <v>59</v>
      </c>
      <c r="B494">
        <v>1</v>
      </c>
      <c r="C494" s="3">
        <v>9889197</v>
      </c>
      <c r="D494" s="4">
        <v>6777818</v>
      </c>
      <c r="E494">
        <v>77</v>
      </c>
      <c r="F494" s="2">
        <v>0.371</v>
      </c>
      <c r="G494" s="2">
        <v>0.75</v>
      </c>
      <c r="H494" s="2">
        <v>0.40200000000000002</v>
      </c>
      <c r="I494" s="2">
        <v>0.60099999999999998</v>
      </c>
      <c r="J494" s="2">
        <v>0.48199999999999998</v>
      </c>
      <c r="K494" s="2">
        <v>0.72899999999999998</v>
      </c>
      <c r="L494" s="2">
        <v>-5.3819999999999997</v>
      </c>
    </row>
    <row r="495" spans="1:12" x14ac:dyDescent="0.25">
      <c r="A495">
        <v>63</v>
      </c>
      <c r="B495">
        <v>1</v>
      </c>
      <c r="C495" s="3">
        <v>9503981</v>
      </c>
      <c r="D495" s="4">
        <v>6777818</v>
      </c>
      <c r="E495">
        <v>77</v>
      </c>
      <c r="F495" s="2">
        <v>0.70299999999999996</v>
      </c>
      <c r="G495" s="2">
        <v>0.84499999999999997</v>
      </c>
      <c r="H495" s="2">
        <v>0.33700000000000002</v>
      </c>
      <c r="I495" s="2">
        <v>0.16900000000000001</v>
      </c>
      <c r="J495" s="2">
        <v>0.122</v>
      </c>
      <c r="K495" s="2">
        <v>0.745</v>
      </c>
      <c r="L495" s="2">
        <v>-4.851</v>
      </c>
    </row>
    <row r="496" spans="1:12" x14ac:dyDescent="0.25">
      <c r="A496">
        <v>55</v>
      </c>
      <c r="B496">
        <v>1</v>
      </c>
      <c r="C496" s="3">
        <v>8908179</v>
      </c>
      <c r="D496" s="4">
        <v>5564366</v>
      </c>
      <c r="E496">
        <v>77</v>
      </c>
      <c r="F496" s="2">
        <v>0.65</v>
      </c>
      <c r="G496" s="2">
        <v>0.82699999999999996</v>
      </c>
      <c r="H496" s="2">
        <v>5.9900000000000002E-2</v>
      </c>
      <c r="I496" s="2">
        <v>2.29E-2</v>
      </c>
      <c r="J496" s="2">
        <v>0.121</v>
      </c>
      <c r="K496" s="2">
        <v>0.223</v>
      </c>
      <c r="L496" s="2">
        <v>-4.0140000000000002</v>
      </c>
    </row>
    <row r="497" spans="1:12" x14ac:dyDescent="0.25">
      <c r="A497">
        <v>24</v>
      </c>
      <c r="B497">
        <v>2</v>
      </c>
      <c r="C497" s="3">
        <v>7703744</v>
      </c>
      <c r="D497" s="4">
        <v>37151476</v>
      </c>
      <c r="E497">
        <v>77</v>
      </c>
      <c r="F497" s="2">
        <v>0.78700000000000003</v>
      </c>
      <c r="G497" s="2">
        <v>0.66900000000000004</v>
      </c>
      <c r="H497" s="2">
        <v>4.2799999999999998E-2</v>
      </c>
      <c r="I497" s="2">
        <v>7.8200000000000006E-3</v>
      </c>
      <c r="J497" s="2">
        <v>0.123</v>
      </c>
      <c r="K497" s="2">
        <v>0.56999999999999995</v>
      </c>
      <c r="L497" s="2">
        <v>-4.3330000000000002</v>
      </c>
    </row>
    <row r="498" spans="1:12" x14ac:dyDescent="0.25">
      <c r="A498">
        <v>72</v>
      </c>
      <c r="B498">
        <v>1</v>
      </c>
      <c r="C498" s="3">
        <v>7685470</v>
      </c>
      <c r="D498" s="4">
        <v>437907</v>
      </c>
      <c r="E498">
        <v>77</v>
      </c>
      <c r="F498" s="2">
        <v>0.59399999999999997</v>
      </c>
      <c r="G498" s="2">
        <v>0.67600000000000005</v>
      </c>
      <c r="H498" s="2">
        <v>0.34399999999999997</v>
      </c>
      <c r="I498" s="2">
        <v>0.13500000000000001</v>
      </c>
      <c r="J498" s="2">
        <v>0.16300000000000001</v>
      </c>
      <c r="K498" s="2">
        <v>0.47199999999999998</v>
      </c>
      <c r="L498" s="2">
        <v>-5.8079999999999998</v>
      </c>
    </row>
    <row r="499" spans="1:12" x14ac:dyDescent="0.25">
      <c r="A499">
        <v>84</v>
      </c>
      <c r="B499">
        <v>3</v>
      </c>
      <c r="C499" s="3">
        <v>7615531</v>
      </c>
      <c r="D499" s="4">
        <v>11690201</v>
      </c>
      <c r="E499">
        <v>77</v>
      </c>
      <c r="F499" s="2">
        <v>0.84699999999999998</v>
      </c>
      <c r="G499" s="2">
        <v>0.629</v>
      </c>
      <c r="H499" s="2">
        <v>0.10199999999999999</v>
      </c>
      <c r="I499" s="2">
        <v>3.1800000000000002E-2</v>
      </c>
      <c r="J499" s="2">
        <v>0.152</v>
      </c>
      <c r="K499" s="2">
        <v>0.109</v>
      </c>
      <c r="L499" s="2">
        <v>-5.81</v>
      </c>
    </row>
    <row r="500" spans="1:12" x14ac:dyDescent="0.25">
      <c r="A500">
        <v>53</v>
      </c>
      <c r="B500">
        <v>5</v>
      </c>
      <c r="C500" s="3">
        <v>6634722</v>
      </c>
      <c r="D500" s="4">
        <v>20823062</v>
      </c>
      <c r="E500">
        <v>77</v>
      </c>
      <c r="F500" s="2">
        <v>0.58799999999999997</v>
      </c>
      <c r="G500" s="2">
        <v>0.85599999999999998</v>
      </c>
      <c r="H500" s="2">
        <v>3.1600000000000003E-2</v>
      </c>
      <c r="I500" s="2">
        <v>8.1800000000000004E-4</v>
      </c>
      <c r="J500" s="2">
        <v>0.23799999999999999</v>
      </c>
      <c r="K500" s="2">
        <v>0.63500000000000001</v>
      </c>
      <c r="L500" s="2">
        <v>-5.242</v>
      </c>
    </row>
    <row r="501" spans="1:12" x14ac:dyDescent="0.25">
      <c r="A501">
        <v>67</v>
      </c>
      <c r="B501">
        <v>2</v>
      </c>
      <c r="C501" s="3">
        <v>6299936</v>
      </c>
      <c r="D501" s="4">
        <v>22161310</v>
      </c>
      <c r="E501">
        <v>77</v>
      </c>
      <c r="F501" s="2">
        <v>0.57299999999999995</v>
      </c>
      <c r="G501" s="2">
        <v>0.86699999999999999</v>
      </c>
      <c r="H501" s="2">
        <v>0.16800000000000001</v>
      </c>
      <c r="I501" s="2">
        <v>8.5300000000000001E-2</v>
      </c>
      <c r="J501" s="2">
        <v>0.38</v>
      </c>
      <c r="K501" s="2">
        <v>0.23100000000000001</v>
      </c>
      <c r="L501" s="2">
        <v>-2.8759999999999999</v>
      </c>
    </row>
    <row r="502" spans="1:12" x14ac:dyDescent="0.25">
      <c r="A502">
        <v>128</v>
      </c>
      <c r="B502">
        <v>30</v>
      </c>
      <c r="C502" s="3">
        <v>6065267</v>
      </c>
      <c r="D502" s="4">
        <v>13261089</v>
      </c>
      <c r="E502">
        <v>77</v>
      </c>
      <c r="F502" s="2">
        <v>0.502</v>
      </c>
      <c r="G502" s="2">
        <v>0.91200000000000003</v>
      </c>
      <c r="H502" s="2">
        <v>5.6399999999999999E-2</v>
      </c>
      <c r="I502" s="2">
        <v>2.55E-5</v>
      </c>
      <c r="J502" s="2">
        <v>0.106</v>
      </c>
      <c r="K502" s="2">
        <v>0.72</v>
      </c>
      <c r="L502" s="2">
        <v>-4.556</v>
      </c>
    </row>
    <row r="503" spans="1:12" x14ac:dyDescent="0.25">
      <c r="A503">
        <v>123</v>
      </c>
      <c r="B503">
        <v>1</v>
      </c>
      <c r="C503" s="3">
        <v>6032935</v>
      </c>
      <c r="D503" s="4">
        <v>3868320</v>
      </c>
      <c r="E503">
        <v>77</v>
      </c>
      <c r="F503" s="2">
        <v>0.53300000000000003</v>
      </c>
      <c r="G503" s="2">
        <v>0.85799999999999998</v>
      </c>
      <c r="H503" s="2">
        <v>7.6600000000000001E-2</v>
      </c>
      <c r="I503" s="2">
        <v>2.1000000000000001E-4</v>
      </c>
      <c r="J503" s="2">
        <v>0.14799999999999999</v>
      </c>
      <c r="K503" s="2">
        <v>0.50600000000000001</v>
      </c>
      <c r="L503" s="2">
        <v>-4.2119999999999997</v>
      </c>
    </row>
    <row r="504" spans="1:12" x14ac:dyDescent="0.25">
      <c r="A504">
        <v>139</v>
      </c>
      <c r="B504">
        <v>1</v>
      </c>
      <c r="C504" s="3">
        <v>5921044</v>
      </c>
      <c r="D504" s="4">
        <v>5064200</v>
      </c>
      <c r="E504">
        <v>77</v>
      </c>
      <c r="F504" s="2">
        <v>0.621</v>
      </c>
      <c r="G504" s="2">
        <v>0.873</v>
      </c>
      <c r="H504" s="2">
        <v>3.6900000000000002E-2</v>
      </c>
      <c r="I504" s="2">
        <v>4.0599999999999997E-2</v>
      </c>
      <c r="J504" s="2">
        <v>8.2400000000000001E-2</v>
      </c>
      <c r="K504" s="2">
        <v>0.873</v>
      </c>
      <c r="L504" s="2">
        <v>-3.0670000000000002</v>
      </c>
    </row>
    <row r="505" spans="1:12" x14ac:dyDescent="0.25">
      <c r="A505">
        <v>86</v>
      </c>
      <c r="B505">
        <v>2</v>
      </c>
      <c r="C505" s="3">
        <v>5884221</v>
      </c>
      <c r="D505" s="4">
        <v>15778531</v>
      </c>
      <c r="E505">
        <v>77</v>
      </c>
      <c r="F505" s="2">
        <v>0.67200000000000004</v>
      </c>
      <c r="G505" s="2">
        <v>0.64200000000000002</v>
      </c>
      <c r="H505" s="2">
        <v>3.1300000000000001E-2</v>
      </c>
      <c r="I505" s="2">
        <v>9.8100000000000007E-2</v>
      </c>
      <c r="J505" s="2">
        <v>0.1</v>
      </c>
      <c r="K505" s="2">
        <v>0.49399999999999999</v>
      </c>
      <c r="L505" s="2">
        <v>-4.0350000000000001</v>
      </c>
    </row>
    <row r="506" spans="1:12" x14ac:dyDescent="0.25">
      <c r="A506">
        <v>132</v>
      </c>
      <c r="B506">
        <v>1</v>
      </c>
      <c r="C506" s="3">
        <v>5876058</v>
      </c>
      <c r="D506" s="4">
        <v>98503</v>
      </c>
      <c r="E506">
        <v>77</v>
      </c>
      <c r="F506" s="2">
        <v>0.53200000000000003</v>
      </c>
      <c r="G506" s="2">
        <v>0.70799999999999996</v>
      </c>
      <c r="H506" s="2">
        <v>5.0500000000000003E-2</v>
      </c>
      <c r="I506" s="2">
        <v>0.435</v>
      </c>
      <c r="J506" s="2">
        <v>0.107</v>
      </c>
      <c r="K506" s="2">
        <v>0.58599999999999997</v>
      </c>
      <c r="L506" s="2">
        <v>-8.1210000000000004</v>
      </c>
    </row>
    <row r="507" spans="1:12" x14ac:dyDescent="0.25">
      <c r="A507">
        <v>2</v>
      </c>
      <c r="B507">
        <v>52</v>
      </c>
      <c r="C507" s="3">
        <v>5769714</v>
      </c>
      <c r="D507" s="4">
        <v>26769304</v>
      </c>
      <c r="E507">
        <v>77</v>
      </c>
      <c r="F507" s="2">
        <v>0.76600000000000001</v>
      </c>
      <c r="G507" s="2">
        <v>0.78800000000000003</v>
      </c>
      <c r="H507" s="2">
        <v>0.312</v>
      </c>
      <c r="I507" s="2">
        <v>0.105</v>
      </c>
      <c r="J507" s="2">
        <v>0.14199999999999999</v>
      </c>
      <c r="K507" s="2">
        <v>0.60899999999999999</v>
      </c>
      <c r="L507" s="2">
        <v>-3.1280000000000001</v>
      </c>
    </row>
    <row r="508" spans="1:12" x14ac:dyDescent="0.25">
      <c r="A508">
        <v>18</v>
      </c>
      <c r="B508">
        <v>3</v>
      </c>
      <c r="C508" s="3">
        <v>5698275</v>
      </c>
      <c r="D508" s="4">
        <v>37151476</v>
      </c>
      <c r="E508">
        <v>77</v>
      </c>
      <c r="F508" s="2">
        <v>0.54700000000000004</v>
      </c>
      <c r="G508" s="2">
        <v>0.60499999999999998</v>
      </c>
      <c r="H508" s="2">
        <v>4.1500000000000002E-2</v>
      </c>
      <c r="I508" s="2">
        <v>0.42</v>
      </c>
      <c r="J508" s="2">
        <v>0.125</v>
      </c>
      <c r="K508" s="2">
        <v>0.36399999999999999</v>
      </c>
      <c r="L508" s="2">
        <v>-6.7549999999999999</v>
      </c>
    </row>
    <row r="509" spans="1:12" x14ac:dyDescent="0.25">
      <c r="A509">
        <v>19</v>
      </c>
      <c r="B509">
        <v>18</v>
      </c>
      <c r="C509" s="3">
        <v>5566150</v>
      </c>
      <c r="D509" s="4">
        <v>1687399</v>
      </c>
      <c r="E509">
        <v>77</v>
      </c>
      <c r="F509" s="2">
        <v>0.52100000000000002</v>
      </c>
      <c r="G509" s="2">
        <v>0.27700000000000002</v>
      </c>
      <c r="H509" s="2">
        <v>3.56E-2</v>
      </c>
      <c r="I509" s="2">
        <v>0.63400000000000001</v>
      </c>
      <c r="J509" s="2">
        <v>0.10299999999999999</v>
      </c>
      <c r="K509" s="2">
        <v>0.13</v>
      </c>
      <c r="L509" s="2">
        <v>-10.34</v>
      </c>
    </row>
    <row r="510" spans="1:12" x14ac:dyDescent="0.25">
      <c r="A510">
        <v>169</v>
      </c>
      <c r="B510">
        <v>2</v>
      </c>
      <c r="C510" s="3">
        <v>5547770</v>
      </c>
      <c r="D510" s="4">
        <v>4442273</v>
      </c>
      <c r="E510">
        <v>77</v>
      </c>
      <c r="F510" s="2">
        <v>0.59899999999999998</v>
      </c>
      <c r="G510" s="2">
        <v>0.73299999999999998</v>
      </c>
      <c r="H510" s="2">
        <v>0.20300000000000001</v>
      </c>
      <c r="I510" s="2">
        <v>0.17599999999999999</v>
      </c>
      <c r="J510" s="2">
        <v>0.24199999999999999</v>
      </c>
      <c r="K510" s="2">
        <v>0.53400000000000003</v>
      </c>
      <c r="L510" s="2">
        <v>-7.0579999999999998</v>
      </c>
    </row>
    <row r="511" spans="1:12" x14ac:dyDescent="0.25">
      <c r="A511">
        <v>12</v>
      </c>
      <c r="B511">
        <v>14</v>
      </c>
      <c r="C511" s="3">
        <v>5454807</v>
      </c>
      <c r="D511" s="4">
        <v>20528724</v>
      </c>
      <c r="E511">
        <v>77</v>
      </c>
      <c r="F511" s="2">
        <v>0.71599999999999997</v>
      </c>
      <c r="G511" s="2">
        <v>0.51200000000000001</v>
      </c>
      <c r="H511" s="2">
        <v>3.3099999999999997E-2</v>
      </c>
      <c r="I511" s="2">
        <v>0.48299999999999998</v>
      </c>
      <c r="J511" s="2">
        <v>9.2799999999999994E-2</v>
      </c>
      <c r="K511" s="2">
        <v>0.32600000000000001</v>
      </c>
      <c r="L511" s="2">
        <v>-6.2569999999999997</v>
      </c>
    </row>
    <row r="512" spans="1:12" x14ac:dyDescent="0.25">
      <c r="A512">
        <v>160</v>
      </c>
      <c r="B512">
        <v>3</v>
      </c>
      <c r="C512" s="3">
        <v>5413003</v>
      </c>
      <c r="D512" s="4">
        <v>122746</v>
      </c>
      <c r="E512">
        <v>77</v>
      </c>
      <c r="F512" s="2">
        <v>0.65200000000000002</v>
      </c>
      <c r="G512" s="2">
        <v>0.47199999999999998</v>
      </c>
      <c r="H512" s="2">
        <v>3.9899999999999998E-2</v>
      </c>
      <c r="I512" s="2">
        <v>0.158</v>
      </c>
      <c r="J512" s="2">
        <v>0.121</v>
      </c>
      <c r="K512" s="2">
        <v>0.24</v>
      </c>
      <c r="L512" s="2">
        <v>-8.0839999999999996</v>
      </c>
    </row>
    <row r="513" spans="1:12" x14ac:dyDescent="0.25">
      <c r="A513">
        <v>69</v>
      </c>
      <c r="B513">
        <v>3</v>
      </c>
      <c r="C513" s="3">
        <v>5411302</v>
      </c>
      <c r="D513" s="4">
        <v>36177712</v>
      </c>
      <c r="E513">
        <v>77</v>
      </c>
      <c r="F513" s="2">
        <v>0.55000000000000004</v>
      </c>
      <c r="G513" s="2">
        <v>0.59799999999999998</v>
      </c>
      <c r="H513" s="2">
        <v>8.3099999999999993E-2</v>
      </c>
      <c r="I513" s="2">
        <v>0.13200000000000001</v>
      </c>
      <c r="J513" s="2">
        <v>9.5500000000000002E-2</v>
      </c>
      <c r="K513" s="2">
        <v>0.54300000000000004</v>
      </c>
      <c r="L513" s="2">
        <v>-5.4020000000000001</v>
      </c>
    </row>
    <row r="514" spans="1:12" x14ac:dyDescent="0.25">
      <c r="A514">
        <v>22</v>
      </c>
      <c r="B514">
        <v>6</v>
      </c>
      <c r="C514" s="3">
        <v>5391018</v>
      </c>
      <c r="D514" s="4">
        <v>37151476</v>
      </c>
      <c r="E514">
        <v>77</v>
      </c>
      <c r="F514" s="2">
        <v>0.58299999999999996</v>
      </c>
      <c r="G514" s="2">
        <v>0.81699999999999995</v>
      </c>
      <c r="H514" s="2">
        <v>9.8699999999999996E-2</v>
      </c>
      <c r="I514" s="2">
        <v>0.11799999999999999</v>
      </c>
      <c r="J514" s="2">
        <v>0.33800000000000002</v>
      </c>
      <c r="K514" s="2">
        <v>0.438</v>
      </c>
      <c r="L514" s="2">
        <v>-5.1459999999999999</v>
      </c>
    </row>
    <row r="515" spans="1:12" x14ac:dyDescent="0.25">
      <c r="A515">
        <v>41</v>
      </c>
      <c r="B515">
        <v>11</v>
      </c>
      <c r="C515" s="3">
        <v>5315827</v>
      </c>
      <c r="D515" s="4">
        <v>83337783</v>
      </c>
      <c r="E515">
        <v>77</v>
      </c>
      <c r="F515" s="2">
        <v>0.85699999999999998</v>
      </c>
      <c r="G515" s="2">
        <v>0.621</v>
      </c>
      <c r="H515" s="2">
        <v>8.2500000000000004E-2</v>
      </c>
      <c r="I515" s="2">
        <v>0.14799999999999999</v>
      </c>
      <c r="J515" s="2">
        <v>8.6499999999999994E-2</v>
      </c>
      <c r="K515" s="2">
        <v>0.66800000000000004</v>
      </c>
      <c r="L515" s="2">
        <v>-6.3760000000000003</v>
      </c>
    </row>
    <row r="516" spans="1:12" x14ac:dyDescent="0.25">
      <c r="A516">
        <v>35</v>
      </c>
      <c r="B516">
        <v>5</v>
      </c>
      <c r="C516" s="3">
        <v>5314734</v>
      </c>
      <c r="D516" s="4">
        <v>1276406</v>
      </c>
      <c r="E516">
        <v>77</v>
      </c>
      <c r="F516" s="2">
        <v>0.72099999999999997</v>
      </c>
      <c r="G516" s="2">
        <v>0.745</v>
      </c>
      <c r="H516" s="2">
        <v>3.6600000000000001E-2</v>
      </c>
      <c r="I516" s="2">
        <v>0.151</v>
      </c>
      <c r="J516" s="2">
        <v>0.372</v>
      </c>
      <c r="K516" s="2">
        <v>0.69899999999999995</v>
      </c>
      <c r="L516" s="2">
        <v>-3.508</v>
      </c>
    </row>
    <row r="517" spans="1:12" x14ac:dyDescent="0.25">
      <c r="A517">
        <v>91</v>
      </c>
      <c r="B517">
        <v>12</v>
      </c>
      <c r="C517" s="3">
        <v>5269163</v>
      </c>
      <c r="D517" s="4">
        <v>4026643</v>
      </c>
      <c r="E517">
        <v>77</v>
      </c>
      <c r="F517" s="2">
        <v>0.71399999999999997</v>
      </c>
      <c r="G517" s="2">
        <v>0.67100000000000004</v>
      </c>
      <c r="H517" s="2">
        <v>0.36199999999999999</v>
      </c>
      <c r="I517" s="2">
        <v>0.28899999999999998</v>
      </c>
      <c r="J517" s="2">
        <v>0.32500000000000001</v>
      </c>
      <c r="K517" s="2">
        <v>0.64100000000000001</v>
      </c>
      <c r="L517" s="2">
        <v>-5.1189999999999998</v>
      </c>
    </row>
    <row r="518" spans="1:12" x14ac:dyDescent="0.25">
      <c r="A518">
        <v>83</v>
      </c>
      <c r="B518">
        <v>11</v>
      </c>
      <c r="C518" s="3">
        <v>5232509</v>
      </c>
      <c r="D518" s="4">
        <v>3134041</v>
      </c>
      <c r="E518">
        <v>77</v>
      </c>
      <c r="F518" s="2">
        <v>0.65</v>
      </c>
      <c r="G518" s="2">
        <v>0.65500000000000003</v>
      </c>
      <c r="H518" s="2">
        <v>0.40500000000000003</v>
      </c>
      <c r="I518" s="2">
        <v>0.25</v>
      </c>
      <c r="J518" s="2">
        <v>6.9099999999999995E-2</v>
      </c>
      <c r="K518" s="2">
        <v>0.73499999999999999</v>
      </c>
      <c r="L518" s="2">
        <v>-3.71</v>
      </c>
    </row>
    <row r="519" spans="1:12" x14ac:dyDescent="0.25">
      <c r="A519">
        <v>181</v>
      </c>
      <c r="B519">
        <v>3</v>
      </c>
      <c r="C519" s="3">
        <v>5211351</v>
      </c>
      <c r="D519" s="4">
        <v>435936</v>
      </c>
      <c r="E519">
        <v>77</v>
      </c>
      <c r="F519" s="2">
        <v>0.76400000000000001</v>
      </c>
      <c r="G519" s="2">
        <v>0.79400000000000004</v>
      </c>
      <c r="H519" s="2">
        <v>5.8900000000000001E-2</v>
      </c>
      <c r="I519" s="2">
        <v>0.66300000000000003</v>
      </c>
      <c r="J519" s="2">
        <v>0.34</v>
      </c>
      <c r="K519" s="2">
        <v>0.72099999999999997</v>
      </c>
      <c r="L519" s="2">
        <v>-4.0960000000000001</v>
      </c>
    </row>
    <row r="520" spans="1:12" x14ac:dyDescent="0.25">
      <c r="A520">
        <v>24</v>
      </c>
      <c r="B520">
        <v>25</v>
      </c>
      <c r="C520" s="3">
        <v>5168240</v>
      </c>
      <c r="D520" s="4">
        <v>786461</v>
      </c>
      <c r="E520">
        <v>77</v>
      </c>
      <c r="F520" s="2">
        <v>0.90500000000000003</v>
      </c>
      <c r="G520" s="2">
        <v>0.68600000000000005</v>
      </c>
      <c r="H520" s="2">
        <v>6.6400000000000001E-2</v>
      </c>
      <c r="I520" s="2">
        <v>9.0700000000000003E-2</v>
      </c>
      <c r="J520" s="2">
        <v>0.26600000000000001</v>
      </c>
      <c r="K520" s="2">
        <v>0.96299999999999997</v>
      </c>
      <c r="L520" s="2">
        <v>-3.1520000000000001</v>
      </c>
    </row>
    <row r="521" spans="1:12" x14ac:dyDescent="0.25">
      <c r="A521">
        <v>17</v>
      </c>
      <c r="B521">
        <v>15</v>
      </c>
      <c r="C521" s="3">
        <v>5163323</v>
      </c>
      <c r="D521" s="4">
        <v>26784251</v>
      </c>
      <c r="E521">
        <v>77</v>
      </c>
      <c r="F521" s="2">
        <v>0.76600000000000001</v>
      </c>
      <c r="G521" s="2">
        <v>0.78800000000000003</v>
      </c>
      <c r="H521" s="2">
        <v>0.312</v>
      </c>
      <c r="I521" s="2">
        <v>0.105</v>
      </c>
      <c r="J521" s="2">
        <v>0.14199999999999999</v>
      </c>
      <c r="K521" s="2">
        <v>0.60899999999999999</v>
      </c>
      <c r="L521" s="2">
        <v>-3.1280000000000001</v>
      </c>
    </row>
    <row r="522" spans="1:12" x14ac:dyDescent="0.25">
      <c r="A522">
        <v>146</v>
      </c>
      <c r="B522">
        <v>8</v>
      </c>
      <c r="C522" s="3">
        <v>5141047</v>
      </c>
      <c r="D522" s="4">
        <v>29067437</v>
      </c>
      <c r="E522">
        <v>77</v>
      </c>
      <c r="F522" s="2">
        <v>0.63900000000000001</v>
      </c>
      <c r="G522" s="2">
        <v>0.79100000000000004</v>
      </c>
      <c r="H522" s="2">
        <v>0.253</v>
      </c>
      <c r="I522" s="2">
        <v>2.75E-2</v>
      </c>
      <c r="J522" s="2">
        <v>0.36199999999999999</v>
      </c>
      <c r="K522" s="2">
        <v>0.93899999999999995</v>
      </c>
      <c r="L522" s="2">
        <v>-4.4429999999999996</v>
      </c>
    </row>
    <row r="523" spans="1:12" x14ac:dyDescent="0.25">
      <c r="A523">
        <v>140</v>
      </c>
      <c r="B523">
        <v>4</v>
      </c>
      <c r="C523" s="3">
        <v>5092250</v>
      </c>
      <c r="D523" s="4">
        <v>3912138</v>
      </c>
      <c r="E523">
        <v>77</v>
      </c>
      <c r="F523" s="2">
        <v>0.15</v>
      </c>
      <c r="G523" s="2">
        <v>0.85899999999999999</v>
      </c>
      <c r="H523" s="2">
        <v>5.9499999999999997E-2</v>
      </c>
      <c r="I523" s="2">
        <v>2.0100000000000001E-3</v>
      </c>
      <c r="J523" s="2">
        <v>0.38700000000000001</v>
      </c>
      <c r="K523" s="2">
        <v>0.35399999999999998</v>
      </c>
      <c r="L523" s="2">
        <v>-2.827</v>
      </c>
    </row>
    <row r="524" spans="1:12" x14ac:dyDescent="0.25">
      <c r="A524">
        <v>12</v>
      </c>
      <c r="B524">
        <v>32</v>
      </c>
      <c r="C524" s="3">
        <v>5089970</v>
      </c>
      <c r="D524" s="4">
        <v>638337</v>
      </c>
      <c r="E524">
        <v>77</v>
      </c>
      <c r="F524" s="2">
        <v>0.86299999999999999</v>
      </c>
      <c r="G524" s="2">
        <v>0.63100000000000001</v>
      </c>
      <c r="H524" s="2">
        <v>5.3400000000000003E-2</v>
      </c>
      <c r="I524" s="2">
        <v>0.30499999999999999</v>
      </c>
      <c r="J524" s="2">
        <v>0.123</v>
      </c>
      <c r="K524" s="2">
        <v>0.81699999999999995</v>
      </c>
      <c r="L524" s="2">
        <v>-4.6890000000000001</v>
      </c>
    </row>
    <row r="525" spans="1:12" x14ac:dyDescent="0.25">
      <c r="A525">
        <v>22</v>
      </c>
      <c r="B525">
        <v>18</v>
      </c>
      <c r="C525" s="3">
        <v>5043665</v>
      </c>
      <c r="D525" s="4">
        <v>6281829</v>
      </c>
      <c r="E525">
        <v>77</v>
      </c>
      <c r="F525" s="2">
        <v>0.69499999999999995</v>
      </c>
      <c r="G525" s="2">
        <v>0.34300000000000003</v>
      </c>
      <c r="H525" s="2">
        <v>4.3200000000000002E-2</v>
      </c>
      <c r="I525" s="2">
        <v>7.4300000000000005E-2</v>
      </c>
      <c r="J525" s="2">
        <v>0.107</v>
      </c>
      <c r="K525" s="2">
        <v>0.22900000000000001</v>
      </c>
      <c r="L525" s="2">
        <v>-10.798</v>
      </c>
    </row>
    <row r="526" spans="1:12" x14ac:dyDescent="0.25">
      <c r="A526">
        <v>189</v>
      </c>
      <c r="B526">
        <v>1</v>
      </c>
      <c r="C526" s="3">
        <v>5029898</v>
      </c>
      <c r="D526" s="4">
        <v>558345</v>
      </c>
      <c r="E526">
        <v>77</v>
      </c>
      <c r="F526" s="2">
        <v>0.871</v>
      </c>
      <c r="G526" s="2">
        <v>0.66900000000000004</v>
      </c>
      <c r="H526" s="2">
        <v>0.32900000000000001</v>
      </c>
      <c r="I526" s="2">
        <v>1.1299999999999999E-2</v>
      </c>
      <c r="J526" s="2">
        <v>7.9500000000000001E-2</v>
      </c>
      <c r="K526" s="2">
        <v>0.80600000000000005</v>
      </c>
      <c r="L526" s="2">
        <v>-7.62</v>
      </c>
    </row>
    <row r="527" spans="1:12" x14ac:dyDescent="0.25">
      <c r="A527">
        <v>82</v>
      </c>
      <c r="B527">
        <v>10</v>
      </c>
      <c r="C527" s="3">
        <v>5024683</v>
      </c>
      <c r="D527" s="4">
        <v>3991674</v>
      </c>
      <c r="E527">
        <v>77</v>
      </c>
      <c r="F527" s="2">
        <v>0.71499999999999997</v>
      </c>
      <c r="G527" s="2">
        <v>0.624</v>
      </c>
      <c r="H527" s="2">
        <v>0.114</v>
      </c>
      <c r="I527" s="2">
        <v>0.11</v>
      </c>
      <c r="J527" s="2">
        <v>0.123</v>
      </c>
      <c r="K527" s="2">
        <v>0.41199999999999998</v>
      </c>
      <c r="L527" s="2">
        <v>-3.0459999999999998</v>
      </c>
    </row>
    <row r="528" spans="1:12" x14ac:dyDescent="0.25">
      <c r="A528">
        <v>89</v>
      </c>
      <c r="B528">
        <v>7</v>
      </c>
      <c r="C528" s="3">
        <v>5013732</v>
      </c>
      <c r="D528" s="4">
        <v>7408249</v>
      </c>
      <c r="E528">
        <v>77</v>
      </c>
      <c r="F528" s="2">
        <v>0.69399999999999995</v>
      </c>
      <c r="G528" s="2">
        <v>0.75800000000000001</v>
      </c>
      <c r="H528" s="2">
        <v>0.218</v>
      </c>
      <c r="I528" s="2">
        <v>0.27800000000000002</v>
      </c>
      <c r="J528" s="2">
        <v>0.10199999999999999</v>
      </c>
      <c r="K528" s="2">
        <v>0.371</v>
      </c>
      <c r="L528" s="2">
        <v>-2.9860000000000002</v>
      </c>
    </row>
    <row r="529" spans="1:12" x14ac:dyDescent="0.25">
      <c r="A529">
        <v>33</v>
      </c>
      <c r="B529">
        <v>12</v>
      </c>
      <c r="C529" s="3">
        <v>4995965</v>
      </c>
      <c r="D529" s="4">
        <v>36177712</v>
      </c>
      <c r="E529">
        <v>77</v>
      </c>
      <c r="F529" s="2">
        <v>0.88300000000000001</v>
      </c>
      <c r="G529" s="2">
        <v>0.6</v>
      </c>
      <c r="H529" s="2">
        <v>0.37</v>
      </c>
      <c r="I529" s="2">
        <v>0.114</v>
      </c>
      <c r="J529" s="2">
        <v>9.3100000000000002E-2</v>
      </c>
      <c r="K529" s="2">
        <v>0.69099999999999995</v>
      </c>
      <c r="L529" s="2">
        <v>-7.1879999999999997</v>
      </c>
    </row>
    <row r="530" spans="1:12" x14ac:dyDescent="0.25">
      <c r="A530">
        <v>18</v>
      </c>
      <c r="B530">
        <v>23</v>
      </c>
      <c r="C530" s="3">
        <v>4995578</v>
      </c>
      <c r="D530" s="4">
        <v>35340069</v>
      </c>
      <c r="E530">
        <v>77</v>
      </c>
      <c r="F530" s="2">
        <v>0.53700000000000003</v>
      </c>
      <c r="G530" s="2">
        <v>0.746</v>
      </c>
      <c r="H530" s="2">
        <v>0.15</v>
      </c>
      <c r="I530" s="2">
        <v>2.3599999999999999E-2</v>
      </c>
      <c r="J530" s="2">
        <v>0.156</v>
      </c>
      <c r="K530" s="2">
        <v>0.252</v>
      </c>
      <c r="L530" s="2">
        <v>-5.5069999999999997</v>
      </c>
    </row>
    <row r="531" spans="1:12" x14ac:dyDescent="0.25">
      <c r="A531">
        <v>5</v>
      </c>
      <c r="B531">
        <v>53</v>
      </c>
      <c r="C531" s="3">
        <v>4994138</v>
      </c>
      <c r="D531" s="4">
        <v>48544923</v>
      </c>
      <c r="E531">
        <v>77</v>
      </c>
      <c r="F531" s="2">
        <v>0.80600000000000005</v>
      </c>
      <c r="G531" s="2">
        <v>0.54600000000000004</v>
      </c>
      <c r="H531" s="2">
        <v>5.7500000000000002E-2</v>
      </c>
      <c r="I531" s="2">
        <v>0.3</v>
      </c>
      <c r="J531" s="2">
        <v>0.10199999999999999</v>
      </c>
      <c r="K531" s="2">
        <v>0.874</v>
      </c>
      <c r="L531" s="2">
        <v>-6.6369999999999996</v>
      </c>
    </row>
    <row r="532" spans="1:12" x14ac:dyDescent="0.25">
      <c r="A532">
        <v>199</v>
      </c>
      <c r="B532">
        <v>1</v>
      </c>
      <c r="C532" s="3">
        <v>4950275</v>
      </c>
      <c r="D532" s="4">
        <v>1427540</v>
      </c>
      <c r="E532">
        <v>77</v>
      </c>
      <c r="F532" s="2">
        <v>0.96099999999999997</v>
      </c>
      <c r="G532" s="2">
        <v>0.502</v>
      </c>
      <c r="H532" s="2">
        <v>0.312</v>
      </c>
      <c r="I532" s="2">
        <v>0.28000000000000003</v>
      </c>
      <c r="J532" s="2">
        <v>0.14499999999999999</v>
      </c>
      <c r="K532" s="2">
        <v>0.53600000000000003</v>
      </c>
      <c r="L532" s="2">
        <v>-8.6050000000000004</v>
      </c>
    </row>
    <row r="533" spans="1:12" x14ac:dyDescent="0.25">
      <c r="A533">
        <v>42</v>
      </c>
      <c r="B533">
        <v>17</v>
      </c>
      <c r="C533" s="3">
        <v>4931163</v>
      </c>
      <c r="D533" s="4">
        <v>17097317</v>
      </c>
      <c r="E533">
        <v>77</v>
      </c>
      <c r="F533" s="2">
        <v>0.65300000000000002</v>
      </c>
      <c r="G533" s="2">
        <v>0.66700000000000004</v>
      </c>
      <c r="H533" s="2">
        <v>4.2299999999999997E-2</v>
      </c>
      <c r="I533" s="2">
        <v>0.154</v>
      </c>
      <c r="J533" s="2">
        <v>0.107</v>
      </c>
      <c r="K533" s="2">
        <v>0.55600000000000005</v>
      </c>
      <c r="L533" s="2">
        <v>-6.7640000000000002</v>
      </c>
    </row>
    <row r="534" spans="1:12" x14ac:dyDescent="0.25">
      <c r="A534">
        <v>4</v>
      </c>
      <c r="B534">
        <v>9</v>
      </c>
      <c r="C534" s="3">
        <v>4924533</v>
      </c>
      <c r="D534" s="4">
        <v>42227614</v>
      </c>
      <c r="E534">
        <v>77</v>
      </c>
      <c r="F534" s="2">
        <v>0.29799999999999999</v>
      </c>
      <c r="G534" s="2">
        <v>0.38</v>
      </c>
      <c r="H534" s="2">
        <v>2.87E-2</v>
      </c>
      <c r="I534" s="2">
        <v>0.77800000000000002</v>
      </c>
      <c r="J534" s="2">
        <v>0.11</v>
      </c>
      <c r="K534" s="2">
        <v>0.152</v>
      </c>
      <c r="L534" s="2">
        <v>-8.4260000000000002</v>
      </c>
    </row>
    <row r="535" spans="1:12" x14ac:dyDescent="0.25">
      <c r="A535">
        <v>126</v>
      </c>
      <c r="B535">
        <v>4</v>
      </c>
      <c r="C535" s="3">
        <v>4922369</v>
      </c>
      <c r="D535" s="4">
        <v>19102888</v>
      </c>
      <c r="E535">
        <v>77</v>
      </c>
      <c r="F535" s="2">
        <v>0.59399999999999997</v>
      </c>
      <c r="G535" s="2">
        <v>0.79800000000000004</v>
      </c>
      <c r="H535" s="2">
        <v>8.4400000000000003E-2</v>
      </c>
      <c r="I535" s="2">
        <v>0.115</v>
      </c>
      <c r="J535" s="2">
        <v>0.14299999999999999</v>
      </c>
      <c r="K535" s="2">
        <v>0.38100000000000001</v>
      </c>
      <c r="L535" s="2">
        <v>-5.2439999999999998</v>
      </c>
    </row>
    <row r="536" spans="1:12" x14ac:dyDescent="0.25">
      <c r="A536">
        <v>193</v>
      </c>
      <c r="B536">
        <v>1</v>
      </c>
      <c r="C536" s="3">
        <v>4884909</v>
      </c>
      <c r="D536" s="4">
        <v>42227614</v>
      </c>
      <c r="E536">
        <v>77</v>
      </c>
      <c r="F536" s="2">
        <v>0.61</v>
      </c>
      <c r="G536" s="2">
        <v>0.83</v>
      </c>
      <c r="H536" s="2">
        <v>5.7099999999999998E-2</v>
      </c>
      <c r="I536" s="2">
        <v>3.3000000000000002E-2</v>
      </c>
      <c r="J536" s="2">
        <v>0.11799999999999999</v>
      </c>
      <c r="K536" s="2">
        <v>0.72799999999999998</v>
      </c>
      <c r="L536" s="2">
        <v>-4.1050000000000004</v>
      </c>
    </row>
    <row r="537" spans="1:12" x14ac:dyDescent="0.25">
      <c r="A537">
        <v>9</v>
      </c>
      <c r="B537">
        <v>28</v>
      </c>
      <c r="C537" s="3">
        <v>4878286</v>
      </c>
      <c r="D537" s="4">
        <v>150587</v>
      </c>
      <c r="E537">
        <v>77</v>
      </c>
      <c r="F537" s="2">
        <v>0.72799999999999998</v>
      </c>
      <c r="G537" s="2">
        <v>0.43099999999999999</v>
      </c>
      <c r="H537" s="2">
        <v>6.2199999999999998E-2</v>
      </c>
      <c r="I537" s="2">
        <v>0.749</v>
      </c>
      <c r="J537" s="2">
        <v>9.9599999999999994E-2</v>
      </c>
      <c r="K537" s="2">
        <v>0.629</v>
      </c>
      <c r="L537" s="2">
        <v>-9.9659999999999993</v>
      </c>
    </row>
    <row r="538" spans="1:12" x14ac:dyDescent="0.25">
      <c r="A538">
        <v>197</v>
      </c>
      <c r="B538">
        <v>1</v>
      </c>
      <c r="C538" s="3">
        <v>4703672</v>
      </c>
      <c r="D538" s="4">
        <v>28335338</v>
      </c>
      <c r="E538">
        <v>77</v>
      </c>
      <c r="F538" s="2">
        <v>0.55600000000000005</v>
      </c>
      <c r="G538" s="2">
        <v>0.31900000000000001</v>
      </c>
      <c r="H538" s="2">
        <v>2.81E-2</v>
      </c>
      <c r="I538" s="2">
        <v>0.89300000000000002</v>
      </c>
      <c r="J538" s="2">
        <v>9.9599999999999994E-2</v>
      </c>
      <c r="K538" s="2">
        <v>0.29399999999999998</v>
      </c>
      <c r="L538" s="2">
        <v>-8.2509999999999994</v>
      </c>
    </row>
    <row r="539" spans="1:12" x14ac:dyDescent="0.25">
      <c r="A539">
        <v>25</v>
      </c>
      <c r="B539">
        <v>30</v>
      </c>
      <c r="C539" s="3">
        <v>4627026</v>
      </c>
      <c r="D539" s="4">
        <v>18306226</v>
      </c>
      <c r="E539">
        <v>77</v>
      </c>
      <c r="F539" s="2">
        <v>0.78600000000000003</v>
      </c>
      <c r="G539" s="2">
        <v>0.80800000000000005</v>
      </c>
      <c r="H539" s="2">
        <v>8.8200000000000001E-2</v>
      </c>
      <c r="I539" s="2">
        <v>8.4599999999999995E-2</v>
      </c>
      <c r="J539" s="2">
        <v>8.2199999999999995E-2</v>
      </c>
      <c r="K539" s="2">
        <v>0.60899999999999999</v>
      </c>
      <c r="L539" s="2">
        <v>-3.702</v>
      </c>
    </row>
    <row r="540" spans="1:12" x14ac:dyDescent="0.25">
      <c r="A540">
        <v>29</v>
      </c>
      <c r="B540">
        <v>30</v>
      </c>
      <c r="C540" s="3">
        <v>4617726</v>
      </c>
      <c r="D540" s="4">
        <v>3600989</v>
      </c>
      <c r="E540">
        <v>77</v>
      </c>
      <c r="F540" s="2">
        <v>0.65400000000000003</v>
      </c>
      <c r="G540" s="2">
        <v>0.67200000000000004</v>
      </c>
      <c r="H540" s="2">
        <v>0.311</v>
      </c>
      <c r="I540" s="2">
        <v>0.47099999999999997</v>
      </c>
      <c r="J540" s="2">
        <v>7.8100000000000003E-2</v>
      </c>
      <c r="K540" s="2">
        <v>0.34300000000000003</v>
      </c>
      <c r="L540" s="2">
        <v>-5.98</v>
      </c>
    </row>
    <row r="541" spans="1:12" x14ac:dyDescent="0.25">
      <c r="A541">
        <v>61</v>
      </c>
      <c r="B541">
        <v>39</v>
      </c>
      <c r="C541" s="3">
        <v>4606011</v>
      </c>
      <c r="D541" s="4">
        <v>29067437</v>
      </c>
      <c r="E541">
        <v>77</v>
      </c>
      <c r="F541" s="2">
        <v>0.84299999999999997</v>
      </c>
      <c r="G541" s="2">
        <v>0.83599999999999997</v>
      </c>
      <c r="H541" s="2">
        <v>6.9500000000000006E-2</v>
      </c>
      <c r="I541" s="2">
        <v>8.1600000000000006E-2</v>
      </c>
      <c r="J541" s="2">
        <v>5.3199999999999997E-2</v>
      </c>
      <c r="K541" s="2">
        <v>0.65</v>
      </c>
      <c r="L541" s="2">
        <v>-2.4740000000000002</v>
      </c>
    </row>
    <row r="542" spans="1:12" x14ac:dyDescent="0.25">
      <c r="A542">
        <v>12</v>
      </c>
      <c r="B542">
        <v>34</v>
      </c>
      <c r="C542" s="3">
        <v>4599807</v>
      </c>
      <c r="D542" s="4">
        <v>27167675</v>
      </c>
      <c r="E542">
        <v>77</v>
      </c>
      <c r="F542" s="2">
        <v>0.64700000000000002</v>
      </c>
      <c r="G542" s="2">
        <v>0.84399999999999997</v>
      </c>
      <c r="H542" s="2">
        <v>4.5699999999999998E-2</v>
      </c>
      <c r="I542" s="2">
        <v>1.37E-2</v>
      </c>
      <c r="J542" s="2">
        <v>0.10199999999999999</v>
      </c>
      <c r="K542" s="2">
        <v>0.746</v>
      </c>
      <c r="L542" s="2">
        <v>-3.7559999999999998</v>
      </c>
    </row>
    <row r="543" spans="1:12" x14ac:dyDescent="0.25">
      <c r="A543">
        <v>75</v>
      </c>
      <c r="B543">
        <v>14</v>
      </c>
      <c r="C543" s="3">
        <v>4598325</v>
      </c>
      <c r="D543" s="4">
        <v>38111</v>
      </c>
      <c r="E543">
        <v>77</v>
      </c>
      <c r="F543" s="2">
        <v>0.68200000000000005</v>
      </c>
      <c r="G543" s="2">
        <v>0.7</v>
      </c>
      <c r="H543" s="2">
        <v>3.9699999999999999E-2</v>
      </c>
      <c r="I543" s="2">
        <v>0.40600000000000003</v>
      </c>
      <c r="J543" s="2">
        <v>0.17399999999999999</v>
      </c>
      <c r="K543" s="2">
        <v>0.63700000000000001</v>
      </c>
      <c r="L543" s="2">
        <v>-5.5910000000000002</v>
      </c>
    </row>
    <row r="544" spans="1:12" x14ac:dyDescent="0.25">
      <c r="A544">
        <v>29</v>
      </c>
      <c r="B544">
        <v>28</v>
      </c>
      <c r="C544" s="3">
        <v>4592772</v>
      </c>
      <c r="D544" s="4">
        <v>6608815</v>
      </c>
      <c r="E544">
        <v>77</v>
      </c>
      <c r="F544" s="2">
        <v>0.83099999999999996</v>
      </c>
      <c r="G544" s="2">
        <v>0.499</v>
      </c>
      <c r="H544" s="2">
        <v>0.114</v>
      </c>
      <c r="I544" s="2">
        <v>0.26900000000000002</v>
      </c>
      <c r="J544" s="2">
        <v>0.3</v>
      </c>
      <c r="K544" s="2">
        <v>0.51100000000000001</v>
      </c>
      <c r="L544" s="2">
        <v>-8.4420000000000002</v>
      </c>
    </row>
    <row r="545" spans="1:12" x14ac:dyDescent="0.25">
      <c r="A545">
        <v>69</v>
      </c>
      <c r="B545">
        <v>19</v>
      </c>
      <c r="C545" s="3">
        <v>4565377</v>
      </c>
      <c r="D545" s="4">
        <v>8671649</v>
      </c>
      <c r="E545">
        <v>77</v>
      </c>
      <c r="F545" s="2">
        <v>0.879</v>
      </c>
      <c r="G545" s="2">
        <v>0.498</v>
      </c>
      <c r="H545" s="2">
        <v>0.18</v>
      </c>
      <c r="I545" s="2">
        <v>0.23899999999999999</v>
      </c>
      <c r="J545" s="2">
        <v>9.6699999999999994E-2</v>
      </c>
      <c r="K545" s="2">
        <v>0.40500000000000003</v>
      </c>
      <c r="L545" s="2">
        <v>-6.0270000000000001</v>
      </c>
    </row>
    <row r="546" spans="1:12" x14ac:dyDescent="0.25">
      <c r="A546">
        <v>46</v>
      </c>
      <c r="B546">
        <v>29</v>
      </c>
      <c r="C546" s="3">
        <v>4541965</v>
      </c>
      <c r="D546" s="4">
        <v>268766</v>
      </c>
      <c r="E546">
        <v>77</v>
      </c>
      <c r="F546" s="2">
        <v>0.84299999999999997</v>
      </c>
      <c r="G546" s="2">
        <v>0.39</v>
      </c>
      <c r="H546" s="2">
        <v>8.4599999999999995E-2</v>
      </c>
      <c r="I546" s="2">
        <v>0.17799999999999999</v>
      </c>
      <c r="J546" s="2">
        <v>0.13700000000000001</v>
      </c>
      <c r="K546" s="2">
        <v>0.495</v>
      </c>
      <c r="L546" s="2">
        <v>-7.899</v>
      </c>
    </row>
    <row r="547" spans="1:12" x14ac:dyDescent="0.25">
      <c r="A547">
        <v>55</v>
      </c>
      <c r="B547">
        <v>28</v>
      </c>
      <c r="C547" s="3">
        <v>4501188</v>
      </c>
      <c r="D547" s="4">
        <v>2435159</v>
      </c>
      <c r="E547">
        <v>77</v>
      </c>
      <c r="F547" s="2">
        <v>0.80600000000000005</v>
      </c>
      <c r="G547" s="2">
        <v>0.78600000000000003</v>
      </c>
      <c r="H547" s="2">
        <v>7.4099999999999999E-2</v>
      </c>
      <c r="I547" s="2">
        <v>0.14499999999999999</v>
      </c>
      <c r="J547" s="2">
        <v>9.35E-2</v>
      </c>
      <c r="K547" s="2">
        <v>0.57999999999999996</v>
      </c>
      <c r="L547" s="2">
        <v>-3.831</v>
      </c>
    </row>
    <row r="548" spans="1:12" x14ac:dyDescent="0.25">
      <c r="A548">
        <v>158</v>
      </c>
      <c r="B548">
        <v>5</v>
      </c>
      <c r="C548" s="3">
        <v>4488125</v>
      </c>
      <c r="D548" s="4">
        <v>1777797</v>
      </c>
      <c r="E548">
        <v>77</v>
      </c>
      <c r="F548" s="2">
        <v>0.61399999999999999</v>
      </c>
      <c r="G548" s="2">
        <v>0.93700000000000006</v>
      </c>
      <c r="H548" s="2">
        <v>0.115</v>
      </c>
      <c r="I548" s="2">
        <v>1.6100000000000001E-3</v>
      </c>
      <c r="J548" s="2">
        <v>0.10299999999999999</v>
      </c>
      <c r="K548" s="2">
        <v>0.38600000000000001</v>
      </c>
      <c r="L548" s="2">
        <v>-7.4429999999999996</v>
      </c>
    </row>
    <row r="549" spans="1:12" x14ac:dyDescent="0.25">
      <c r="A549">
        <v>156</v>
      </c>
      <c r="B549">
        <v>13</v>
      </c>
      <c r="C549" s="3">
        <v>4411998</v>
      </c>
      <c r="D549" s="4">
        <v>554042</v>
      </c>
      <c r="E549">
        <v>77</v>
      </c>
      <c r="F549" s="2">
        <v>0.81499999999999995</v>
      </c>
      <c r="G549" s="2">
        <v>0.51800000000000002</v>
      </c>
      <c r="H549" s="2">
        <v>8.9700000000000002E-2</v>
      </c>
      <c r="I549" s="2">
        <v>0.223</v>
      </c>
      <c r="J549" s="2">
        <v>0.104</v>
      </c>
      <c r="K549" s="2">
        <v>0.877</v>
      </c>
      <c r="L549" s="2">
        <v>-6.5940000000000003</v>
      </c>
    </row>
    <row r="550" spans="1:12" x14ac:dyDescent="0.25">
      <c r="A550">
        <v>124</v>
      </c>
      <c r="B550">
        <v>20</v>
      </c>
      <c r="C550" s="3">
        <v>4397708</v>
      </c>
      <c r="D550" s="4">
        <v>804613</v>
      </c>
      <c r="E550">
        <v>77</v>
      </c>
      <c r="F550" s="2">
        <v>0.56000000000000005</v>
      </c>
      <c r="G550" s="2">
        <v>0.68</v>
      </c>
      <c r="H550" s="2">
        <v>0.32100000000000001</v>
      </c>
      <c r="I550" s="2">
        <v>0.55500000000000005</v>
      </c>
      <c r="J550" s="2">
        <v>0.11600000000000001</v>
      </c>
      <c r="K550" s="2">
        <v>0.31900000000000001</v>
      </c>
      <c r="L550" s="2">
        <v>-7.6479999999999997</v>
      </c>
    </row>
    <row r="551" spans="1:12" x14ac:dyDescent="0.25">
      <c r="A551">
        <v>80</v>
      </c>
      <c r="B551">
        <v>18</v>
      </c>
      <c r="C551" s="3">
        <v>4395061</v>
      </c>
      <c r="D551" s="4">
        <v>29679430</v>
      </c>
      <c r="E551">
        <v>77</v>
      </c>
      <c r="F551" s="2">
        <v>0.67</v>
      </c>
      <c r="G551" s="2">
        <v>0.66800000000000004</v>
      </c>
      <c r="H551" s="2">
        <v>4.2200000000000001E-2</v>
      </c>
      <c r="I551" s="2">
        <v>0.53600000000000003</v>
      </c>
      <c r="J551" s="2">
        <v>0.13300000000000001</v>
      </c>
      <c r="K551" s="2">
        <v>0.60799999999999998</v>
      </c>
      <c r="L551" s="2">
        <v>-4.306</v>
      </c>
    </row>
    <row r="552" spans="1:12" x14ac:dyDescent="0.25">
      <c r="A552">
        <v>27</v>
      </c>
      <c r="B552">
        <v>21</v>
      </c>
      <c r="C552" s="3">
        <v>4360660</v>
      </c>
      <c r="D552" s="4">
        <v>5436999</v>
      </c>
      <c r="E552">
        <v>77</v>
      </c>
      <c r="F552" s="2">
        <v>0.85199999999999998</v>
      </c>
      <c r="G552" s="2">
        <v>0.69799999999999995</v>
      </c>
      <c r="H552" s="2">
        <v>6.2899999999999998E-2</v>
      </c>
      <c r="I552" s="2">
        <v>8.3899999999999999E-3</v>
      </c>
      <c r="J552" s="2">
        <v>7.7299999999999994E-2</v>
      </c>
      <c r="K552" s="2">
        <v>0.32400000000000001</v>
      </c>
      <c r="L552" s="2">
        <v>-7.2060000000000004</v>
      </c>
    </row>
    <row r="553" spans="1:12" x14ac:dyDescent="0.25">
      <c r="A553">
        <v>152</v>
      </c>
      <c r="B553">
        <v>13</v>
      </c>
      <c r="C553" s="3">
        <v>4359727</v>
      </c>
      <c r="D553" s="4">
        <v>18195884</v>
      </c>
      <c r="E553">
        <v>77</v>
      </c>
      <c r="F553" s="2">
        <v>0.52800000000000002</v>
      </c>
      <c r="G553" s="2">
        <v>0.51100000000000001</v>
      </c>
      <c r="H553" s="2">
        <v>3.2399999999999998E-2</v>
      </c>
      <c r="I553" s="2">
        <v>0.126</v>
      </c>
      <c r="J553" s="2">
        <v>0.10100000000000001</v>
      </c>
      <c r="K553" s="2">
        <v>0.35099999999999998</v>
      </c>
      <c r="L553" s="2">
        <v>-8.1440000000000001</v>
      </c>
    </row>
    <row r="554" spans="1:12" x14ac:dyDescent="0.25">
      <c r="A554">
        <v>125</v>
      </c>
      <c r="B554">
        <v>15</v>
      </c>
      <c r="C554" s="3">
        <v>4356213</v>
      </c>
      <c r="D554" s="4">
        <v>165504</v>
      </c>
      <c r="E554">
        <v>77</v>
      </c>
      <c r="F554" s="2">
        <v>0.60599999999999998</v>
      </c>
      <c r="G554" s="2">
        <v>0.79900000000000004</v>
      </c>
      <c r="H554" s="2">
        <v>2.6100000000000002E-2</v>
      </c>
      <c r="I554" s="2">
        <v>1.2800000000000001E-2</v>
      </c>
      <c r="J554" s="2">
        <v>0.15</v>
      </c>
      <c r="K554" s="2">
        <v>0.63800000000000001</v>
      </c>
      <c r="L554" s="2">
        <v>-4.452</v>
      </c>
    </row>
    <row r="555" spans="1:12" x14ac:dyDescent="0.25">
      <c r="A555">
        <v>43</v>
      </c>
      <c r="B555">
        <v>2</v>
      </c>
      <c r="C555" s="3">
        <v>11756283</v>
      </c>
      <c r="D555" s="4">
        <v>6777818</v>
      </c>
      <c r="E555">
        <v>76</v>
      </c>
      <c r="F555" s="2">
        <v>0.38600000000000001</v>
      </c>
      <c r="G555" s="2">
        <v>0.76200000000000001</v>
      </c>
      <c r="H555" s="2">
        <v>0.56399999999999995</v>
      </c>
      <c r="I555" s="2">
        <v>0.122</v>
      </c>
      <c r="J555" s="2">
        <v>0.52700000000000002</v>
      </c>
      <c r="K555" s="2">
        <v>0.433</v>
      </c>
      <c r="L555" s="2">
        <v>-6.3410000000000002</v>
      </c>
    </row>
    <row r="556" spans="1:12" x14ac:dyDescent="0.25">
      <c r="A556">
        <v>53</v>
      </c>
      <c r="B556">
        <v>1</v>
      </c>
      <c r="C556" s="3">
        <v>11298839</v>
      </c>
      <c r="D556" s="4">
        <v>36177712</v>
      </c>
      <c r="E556">
        <v>76</v>
      </c>
      <c r="F556" s="2">
        <v>0.69299999999999995</v>
      </c>
      <c r="G556" s="2">
        <v>0.54900000000000004</v>
      </c>
      <c r="H556" s="2">
        <v>5.7700000000000001E-2</v>
      </c>
      <c r="I556" s="2">
        <v>0.505</v>
      </c>
      <c r="J556" s="2">
        <v>0.32400000000000001</v>
      </c>
      <c r="K556" s="2">
        <v>0.47299999999999998</v>
      </c>
      <c r="L556" s="2">
        <v>-6.0979999999999999</v>
      </c>
    </row>
    <row r="557" spans="1:12" x14ac:dyDescent="0.25">
      <c r="A557">
        <v>16</v>
      </c>
      <c r="B557">
        <v>2</v>
      </c>
      <c r="C557" s="3">
        <v>8413330</v>
      </c>
      <c r="D557" s="4">
        <v>37151476</v>
      </c>
      <c r="E557">
        <v>76</v>
      </c>
      <c r="F557" s="2">
        <v>0.76400000000000001</v>
      </c>
      <c r="G557" s="2">
        <v>0.52600000000000002</v>
      </c>
      <c r="H557" s="2">
        <v>0.21199999999999999</v>
      </c>
      <c r="I557" s="2">
        <v>4.8399999999999999E-2</v>
      </c>
      <c r="J557" s="2">
        <v>7.1800000000000003E-2</v>
      </c>
      <c r="K557" s="2">
        <v>0.58799999999999997</v>
      </c>
      <c r="L557" s="2">
        <v>-7.3550000000000004</v>
      </c>
    </row>
    <row r="558" spans="1:12" x14ac:dyDescent="0.25">
      <c r="A558">
        <v>15</v>
      </c>
      <c r="B558">
        <v>3</v>
      </c>
      <c r="C558" s="3">
        <v>7880155</v>
      </c>
      <c r="D558" s="4">
        <v>14097410</v>
      </c>
      <c r="E558">
        <v>76</v>
      </c>
      <c r="F558" s="2">
        <v>0.77</v>
      </c>
      <c r="G558" s="2">
        <v>0.57399999999999995</v>
      </c>
      <c r="H558" s="2">
        <v>0.106</v>
      </c>
      <c r="I558" s="2">
        <v>6.1699999999999998E-2</v>
      </c>
      <c r="J558" s="2">
        <v>0.104</v>
      </c>
      <c r="K558" s="2">
        <v>0.104</v>
      </c>
      <c r="L558" s="2">
        <v>-5.5250000000000004</v>
      </c>
    </row>
    <row r="559" spans="1:12" x14ac:dyDescent="0.25">
      <c r="A559">
        <v>47</v>
      </c>
      <c r="B559">
        <v>2</v>
      </c>
      <c r="C559" s="3">
        <v>7347891</v>
      </c>
      <c r="D559" s="4">
        <v>6278835</v>
      </c>
      <c r="E559">
        <v>76</v>
      </c>
      <c r="F559" s="2">
        <v>0.75700000000000001</v>
      </c>
      <c r="G559" s="2">
        <v>0.72099999999999997</v>
      </c>
      <c r="H559" s="2">
        <v>6.9099999999999995E-2</v>
      </c>
      <c r="I559" s="2">
        <v>1.9599999999999999E-3</v>
      </c>
      <c r="J559" s="2">
        <v>0.64700000000000002</v>
      </c>
      <c r="K559" s="2">
        <v>0.36399999999999999</v>
      </c>
      <c r="L559" s="2">
        <v>-2.9060000000000001</v>
      </c>
    </row>
    <row r="560" spans="1:12" x14ac:dyDescent="0.25">
      <c r="A560">
        <v>27</v>
      </c>
      <c r="B560">
        <v>2</v>
      </c>
      <c r="C560" s="3">
        <v>7010227</v>
      </c>
      <c r="D560" s="4">
        <v>37151476</v>
      </c>
      <c r="E560">
        <v>76</v>
      </c>
      <c r="F560" s="2">
        <v>0.58199999999999996</v>
      </c>
      <c r="G560" s="2">
        <v>0.69299999999999995</v>
      </c>
      <c r="H560" s="2">
        <v>4.65E-2</v>
      </c>
      <c r="I560" s="2">
        <v>0.114</v>
      </c>
      <c r="J560" s="2">
        <v>0.13</v>
      </c>
      <c r="K560" s="2">
        <v>0.34100000000000003</v>
      </c>
      <c r="L560" s="2">
        <v>-5.048</v>
      </c>
    </row>
    <row r="561" spans="1:12" x14ac:dyDescent="0.25">
      <c r="A561">
        <v>113</v>
      </c>
      <c r="B561">
        <v>1</v>
      </c>
      <c r="C561" s="3">
        <v>6325080</v>
      </c>
      <c r="D561" s="4">
        <v>3864419</v>
      </c>
      <c r="E561">
        <v>76</v>
      </c>
      <c r="F561" s="2">
        <v>0.51700000000000002</v>
      </c>
      <c r="G561" s="2">
        <v>0.84799999999999998</v>
      </c>
      <c r="H561" s="2">
        <v>5.21E-2</v>
      </c>
      <c r="I561" s="2">
        <v>5.8100000000000001E-3</v>
      </c>
      <c r="J561" s="2">
        <v>0.214</v>
      </c>
      <c r="K561" s="2">
        <v>0.42899999999999999</v>
      </c>
      <c r="L561" s="2">
        <v>-4.0540000000000003</v>
      </c>
    </row>
    <row r="562" spans="1:12" x14ac:dyDescent="0.25">
      <c r="A562">
        <v>27</v>
      </c>
      <c r="B562">
        <v>4</v>
      </c>
      <c r="C562" s="3">
        <v>6011642</v>
      </c>
      <c r="D562" s="4">
        <v>19102888</v>
      </c>
      <c r="E562">
        <v>76</v>
      </c>
      <c r="F562" s="2">
        <v>0.69699999999999995</v>
      </c>
      <c r="G562" s="2">
        <v>0.67400000000000004</v>
      </c>
      <c r="H562" s="2">
        <v>5.33E-2</v>
      </c>
      <c r="I562" s="2">
        <v>2.15E-3</v>
      </c>
      <c r="J562" s="2">
        <v>0.13800000000000001</v>
      </c>
      <c r="K562" s="2">
        <v>0.19800000000000001</v>
      </c>
      <c r="L562" s="2">
        <v>-6.3259999999999996</v>
      </c>
    </row>
    <row r="563" spans="1:12" x14ac:dyDescent="0.25">
      <c r="A563">
        <v>128</v>
      </c>
      <c r="B563">
        <v>2</v>
      </c>
      <c r="C563" s="3">
        <v>6007541</v>
      </c>
      <c r="D563" s="4">
        <v>29067437</v>
      </c>
      <c r="E563">
        <v>76</v>
      </c>
      <c r="F563" s="2">
        <v>0.66400000000000003</v>
      </c>
      <c r="G563" s="2">
        <v>0.65900000000000003</v>
      </c>
      <c r="H563" s="2">
        <v>8.7300000000000003E-2</v>
      </c>
      <c r="I563" s="2">
        <v>6.25E-2</v>
      </c>
      <c r="J563" s="2">
        <v>8.7400000000000005E-2</v>
      </c>
      <c r="K563" s="2">
        <v>0.79700000000000004</v>
      </c>
      <c r="L563" s="2">
        <v>-4.2320000000000002</v>
      </c>
    </row>
    <row r="564" spans="1:12" x14ac:dyDescent="0.25">
      <c r="A564">
        <v>82</v>
      </c>
      <c r="B564">
        <v>18</v>
      </c>
      <c r="C564" s="3">
        <v>5528508</v>
      </c>
      <c r="D564" s="4">
        <v>14831925</v>
      </c>
      <c r="E564">
        <v>76</v>
      </c>
      <c r="F564" s="2">
        <v>0.76300000000000001</v>
      </c>
      <c r="G564" s="2">
        <v>0.621</v>
      </c>
      <c r="H564" s="2">
        <v>6.6000000000000003E-2</v>
      </c>
      <c r="I564" s="2">
        <v>1.0500000000000001E-2</v>
      </c>
      <c r="J564" s="2">
        <v>0.106</v>
      </c>
      <c r="K564" s="2">
        <v>0.58199999999999996</v>
      </c>
      <c r="L564" s="2">
        <v>-6.1689999999999996</v>
      </c>
    </row>
    <row r="565" spans="1:12" x14ac:dyDescent="0.25">
      <c r="A565">
        <v>50</v>
      </c>
      <c r="B565">
        <v>5</v>
      </c>
      <c r="C565" s="3">
        <v>5497942</v>
      </c>
      <c r="D565" s="4">
        <v>3689546</v>
      </c>
      <c r="E565">
        <v>76</v>
      </c>
      <c r="F565" s="2">
        <v>0.55700000000000005</v>
      </c>
      <c r="G565" s="2">
        <v>0.45700000000000002</v>
      </c>
      <c r="H565" s="2">
        <v>3.3500000000000002E-2</v>
      </c>
      <c r="I565" s="2">
        <v>0.42799999999999999</v>
      </c>
      <c r="J565" s="2">
        <v>5.67E-2</v>
      </c>
      <c r="K565" s="2">
        <v>0.32800000000000001</v>
      </c>
      <c r="L565" s="2">
        <v>-5.3719999999999999</v>
      </c>
    </row>
    <row r="566" spans="1:12" x14ac:dyDescent="0.25">
      <c r="A566">
        <v>164</v>
      </c>
      <c r="B566">
        <v>1</v>
      </c>
      <c r="C566" s="3">
        <v>5454994</v>
      </c>
      <c r="D566" s="4">
        <v>386757</v>
      </c>
      <c r="E566">
        <v>76</v>
      </c>
      <c r="F566" s="2">
        <v>0.78400000000000003</v>
      </c>
      <c r="G566" s="2">
        <v>0.47399999999999998</v>
      </c>
      <c r="H566" s="2">
        <v>5.2400000000000002E-2</v>
      </c>
      <c r="I566" s="2">
        <v>0.33300000000000002</v>
      </c>
      <c r="J566" s="2">
        <v>0.27800000000000002</v>
      </c>
      <c r="K566" s="2">
        <v>0.64</v>
      </c>
      <c r="L566" s="2">
        <v>-6.1390000000000002</v>
      </c>
    </row>
    <row r="567" spans="1:12" x14ac:dyDescent="0.25">
      <c r="A567">
        <v>46</v>
      </c>
      <c r="B567">
        <v>14</v>
      </c>
      <c r="C567" s="3">
        <v>5436450</v>
      </c>
      <c r="D567" s="4">
        <v>133998</v>
      </c>
      <c r="E567">
        <v>76</v>
      </c>
      <c r="F567" s="2">
        <v>0.73799999999999999</v>
      </c>
      <c r="G567" s="2">
        <v>0.621</v>
      </c>
      <c r="H567" s="2">
        <v>4.8599999999999997E-2</v>
      </c>
      <c r="I567" s="2">
        <v>0.42399999999999999</v>
      </c>
      <c r="J567" s="2">
        <v>0.69199999999999995</v>
      </c>
      <c r="K567" s="2">
        <v>0.71499999999999997</v>
      </c>
      <c r="L567" s="2">
        <v>-7.3129999999999997</v>
      </c>
    </row>
    <row r="568" spans="1:12" x14ac:dyDescent="0.25">
      <c r="A568">
        <v>170</v>
      </c>
      <c r="B568">
        <v>1</v>
      </c>
      <c r="C568" s="3">
        <v>5404939</v>
      </c>
      <c r="D568" s="4">
        <v>46785561</v>
      </c>
      <c r="E568">
        <v>76</v>
      </c>
      <c r="F568" s="2">
        <v>0.92400000000000004</v>
      </c>
      <c r="G568" s="2">
        <v>0.73</v>
      </c>
      <c r="H568" s="2">
        <v>0.27400000000000002</v>
      </c>
      <c r="I568" s="2">
        <v>5.2499999999999998E-2</v>
      </c>
      <c r="J568" s="2">
        <v>0.113</v>
      </c>
      <c r="K568" s="2">
        <v>0.84799999999999998</v>
      </c>
      <c r="L568" s="2">
        <v>-6.125</v>
      </c>
    </row>
    <row r="569" spans="1:12" x14ac:dyDescent="0.25">
      <c r="A569">
        <v>17</v>
      </c>
      <c r="B569">
        <v>4</v>
      </c>
      <c r="C569" s="3">
        <v>5365747</v>
      </c>
      <c r="D569" s="4">
        <v>56327031</v>
      </c>
      <c r="E569">
        <v>76</v>
      </c>
      <c r="F569" s="2">
        <v>0.77</v>
      </c>
      <c r="G569" s="2">
        <v>0.63700000000000001</v>
      </c>
      <c r="H569" s="2">
        <v>0.34499999999999997</v>
      </c>
      <c r="I569" s="2">
        <v>0.10299999999999999</v>
      </c>
      <c r="J569" s="2">
        <v>0.17100000000000001</v>
      </c>
      <c r="K569" s="2">
        <v>0.43099999999999999</v>
      </c>
      <c r="L569" s="2">
        <v>-5.53</v>
      </c>
    </row>
    <row r="570" spans="1:12" x14ac:dyDescent="0.25">
      <c r="A570">
        <v>169</v>
      </c>
      <c r="B570">
        <v>1</v>
      </c>
      <c r="C570" s="3">
        <v>5346005</v>
      </c>
      <c r="D570" s="4">
        <v>1605329</v>
      </c>
      <c r="E570">
        <v>76</v>
      </c>
      <c r="F570" s="2">
        <v>0.66400000000000003</v>
      </c>
      <c r="G570" s="2">
        <v>0.65500000000000003</v>
      </c>
      <c r="H570" s="2">
        <v>4.6100000000000002E-2</v>
      </c>
      <c r="I570" s="2">
        <v>5.8999999999999997E-2</v>
      </c>
      <c r="J570" s="2">
        <v>0.17</v>
      </c>
      <c r="K570" s="2">
        <v>0.13</v>
      </c>
      <c r="L570" s="2">
        <v>-7.327</v>
      </c>
    </row>
    <row r="571" spans="1:12" x14ac:dyDescent="0.25">
      <c r="A571">
        <v>168</v>
      </c>
      <c r="B571">
        <v>1</v>
      </c>
      <c r="C571" s="3">
        <v>5226940</v>
      </c>
      <c r="D571" s="4">
        <v>2238190</v>
      </c>
      <c r="E571">
        <v>76</v>
      </c>
      <c r="F571" s="2">
        <v>0.77900000000000003</v>
      </c>
      <c r="G571" s="2">
        <v>0.64200000000000002</v>
      </c>
      <c r="H571" s="2">
        <v>0.11600000000000001</v>
      </c>
      <c r="I571" s="2">
        <v>3.8300000000000001E-2</v>
      </c>
      <c r="J571" s="2">
        <v>0.2</v>
      </c>
      <c r="K571" s="2">
        <v>0.38800000000000001</v>
      </c>
      <c r="L571" s="2">
        <v>-6.3209999999999997</v>
      </c>
    </row>
    <row r="572" spans="1:12" x14ac:dyDescent="0.25">
      <c r="A572">
        <v>54</v>
      </c>
      <c r="B572">
        <v>3</v>
      </c>
      <c r="C572" s="3">
        <v>5209372</v>
      </c>
      <c r="D572" s="4">
        <v>5002317</v>
      </c>
      <c r="E572">
        <v>76</v>
      </c>
      <c r="F572" s="2">
        <v>0.61899999999999999</v>
      </c>
      <c r="G572" s="2">
        <v>0.58899999999999997</v>
      </c>
      <c r="H572" s="2">
        <v>0.124</v>
      </c>
      <c r="I572" s="2">
        <v>0.43</v>
      </c>
      <c r="J572" s="2">
        <v>0.378</v>
      </c>
      <c r="K572" s="2">
        <v>0.158</v>
      </c>
      <c r="L572" s="2">
        <v>-6.5309999999999997</v>
      </c>
    </row>
    <row r="573" spans="1:12" x14ac:dyDescent="0.25">
      <c r="A573">
        <v>14</v>
      </c>
      <c r="B573">
        <v>26</v>
      </c>
      <c r="C573" s="3">
        <v>5208100</v>
      </c>
      <c r="D573" s="4">
        <v>15778531</v>
      </c>
      <c r="E573">
        <v>76</v>
      </c>
      <c r="F573" s="2">
        <v>0.70499999999999996</v>
      </c>
      <c r="G573" s="2">
        <v>0.81399999999999995</v>
      </c>
      <c r="H573" s="2">
        <v>3.4599999999999999E-2</v>
      </c>
      <c r="I573" s="2">
        <v>1.15E-3</v>
      </c>
      <c r="J573" s="2">
        <v>0.20300000000000001</v>
      </c>
      <c r="K573" s="2">
        <v>0.25900000000000001</v>
      </c>
      <c r="L573" s="2">
        <v>-5.4660000000000002</v>
      </c>
    </row>
    <row r="574" spans="1:12" x14ac:dyDescent="0.25">
      <c r="A574">
        <v>175</v>
      </c>
      <c r="B574">
        <v>1</v>
      </c>
      <c r="C574" s="3">
        <v>5197587</v>
      </c>
      <c r="D574" s="4">
        <v>14921269</v>
      </c>
      <c r="E574">
        <v>76</v>
      </c>
      <c r="F574" s="2">
        <v>0.85899999999999999</v>
      </c>
      <c r="G574" s="2">
        <v>0.55800000000000005</v>
      </c>
      <c r="H574" s="2">
        <v>9.0200000000000002E-2</v>
      </c>
      <c r="I574" s="2">
        <v>0.65900000000000003</v>
      </c>
      <c r="J574" s="2">
        <v>0.124</v>
      </c>
      <c r="K574" s="2">
        <v>0.35699999999999998</v>
      </c>
      <c r="L574" s="2">
        <v>-8.9909999999999997</v>
      </c>
    </row>
    <row r="575" spans="1:12" x14ac:dyDescent="0.25">
      <c r="A575">
        <v>140</v>
      </c>
      <c r="B575">
        <v>3</v>
      </c>
      <c r="C575" s="3">
        <v>5196635</v>
      </c>
      <c r="D575" s="4">
        <v>2238190</v>
      </c>
      <c r="E575">
        <v>76</v>
      </c>
      <c r="F575" s="2">
        <v>0.76200000000000001</v>
      </c>
      <c r="G575" s="2">
        <v>0.42599999999999999</v>
      </c>
      <c r="H575" s="2">
        <v>0.113</v>
      </c>
      <c r="I575" s="2">
        <v>4.4200000000000003E-2</v>
      </c>
      <c r="J575" s="2">
        <v>8.5800000000000001E-2</v>
      </c>
      <c r="K575" s="2">
        <v>0.58199999999999996</v>
      </c>
      <c r="L575" s="2">
        <v>-6.8650000000000002</v>
      </c>
    </row>
    <row r="576" spans="1:12" x14ac:dyDescent="0.25">
      <c r="A576">
        <v>141</v>
      </c>
      <c r="B576">
        <v>6</v>
      </c>
      <c r="C576" s="3">
        <v>5187997</v>
      </c>
      <c r="D576" s="4">
        <v>47061119</v>
      </c>
      <c r="E576">
        <v>76</v>
      </c>
      <c r="F576" s="2">
        <v>0.85299999999999998</v>
      </c>
      <c r="G576" s="2">
        <v>0.35099999999999998</v>
      </c>
      <c r="H576" s="2">
        <v>0.24099999999999999</v>
      </c>
      <c r="I576" s="2">
        <v>0.39</v>
      </c>
      <c r="J576" s="2">
        <v>0.752</v>
      </c>
      <c r="K576" s="2">
        <v>0.28199999999999997</v>
      </c>
      <c r="L576" s="2">
        <v>-10.198</v>
      </c>
    </row>
    <row r="577" spans="1:12" x14ac:dyDescent="0.25">
      <c r="A577">
        <v>193</v>
      </c>
      <c r="B577">
        <v>1</v>
      </c>
      <c r="C577" s="3">
        <v>5173308</v>
      </c>
      <c r="D577" s="4">
        <v>5178156</v>
      </c>
      <c r="E577">
        <v>76</v>
      </c>
      <c r="F577" s="2">
        <v>0.74099999999999999</v>
      </c>
      <c r="G577" s="2">
        <v>0.55600000000000005</v>
      </c>
      <c r="H577" s="2">
        <v>2.6599999999999999E-2</v>
      </c>
      <c r="I577" s="2">
        <v>6.2899999999999998E-2</v>
      </c>
      <c r="J577" s="2">
        <v>0.10299999999999999</v>
      </c>
      <c r="K577" s="2">
        <v>0.58699999999999997</v>
      </c>
      <c r="L577" s="2">
        <v>-9.1839999999999993</v>
      </c>
    </row>
    <row r="578" spans="1:12" x14ac:dyDescent="0.25">
      <c r="A578">
        <v>62</v>
      </c>
      <c r="B578">
        <v>17</v>
      </c>
      <c r="C578" s="3">
        <v>5168107</v>
      </c>
      <c r="D578" s="4">
        <v>1053324</v>
      </c>
      <c r="E578">
        <v>76</v>
      </c>
      <c r="F578" s="2">
        <v>0.79400000000000004</v>
      </c>
      <c r="G578" s="2">
        <v>0.75600000000000001</v>
      </c>
      <c r="H578" s="2">
        <v>0.13600000000000001</v>
      </c>
      <c r="I578" s="2">
        <v>0.11</v>
      </c>
      <c r="J578" s="2">
        <v>0.247</v>
      </c>
      <c r="K578" s="2">
        <v>0.77500000000000002</v>
      </c>
      <c r="L578" s="2">
        <v>-7.16</v>
      </c>
    </row>
    <row r="579" spans="1:12" x14ac:dyDescent="0.25">
      <c r="A579">
        <v>198</v>
      </c>
      <c r="B579">
        <v>1</v>
      </c>
      <c r="C579" s="3">
        <v>5156496</v>
      </c>
      <c r="D579" s="4">
        <v>727731</v>
      </c>
      <c r="E579">
        <v>76</v>
      </c>
      <c r="F579" s="2">
        <v>0.63600000000000001</v>
      </c>
      <c r="G579" s="2">
        <v>0.749</v>
      </c>
      <c r="H579" s="2">
        <v>6.3100000000000003E-2</v>
      </c>
      <c r="I579" s="2">
        <v>0.19500000000000001</v>
      </c>
      <c r="J579" s="2">
        <v>0.107</v>
      </c>
      <c r="K579" s="2">
        <v>0.65300000000000002</v>
      </c>
      <c r="L579" s="2">
        <v>-4.1970000000000001</v>
      </c>
    </row>
    <row r="580" spans="1:12" x14ac:dyDescent="0.25">
      <c r="A580">
        <v>176</v>
      </c>
      <c r="B580">
        <v>1</v>
      </c>
      <c r="C580" s="3">
        <v>5136895</v>
      </c>
      <c r="D580" s="4">
        <v>1726216</v>
      </c>
      <c r="E580">
        <v>76</v>
      </c>
      <c r="F580" s="2">
        <v>0.53900000000000003</v>
      </c>
      <c r="G580" s="2">
        <v>0.61499999999999999</v>
      </c>
      <c r="H580" s="2">
        <v>0.252</v>
      </c>
      <c r="I580" s="2">
        <v>0.17299999999999999</v>
      </c>
      <c r="J580" s="2">
        <v>0.14399999999999999</v>
      </c>
      <c r="K580" s="2">
        <v>0.49299999999999999</v>
      </c>
      <c r="L580" s="2">
        <v>-8.7460000000000004</v>
      </c>
    </row>
    <row r="581" spans="1:12" x14ac:dyDescent="0.25">
      <c r="A581">
        <v>59</v>
      </c>
      <c r="B581">
        <v>3</v>
      </c>
      <c r="C581" s="3">
        <v>5132247</v>
      </c>
      <c r="D581" s="4">
        <v>36177712</v>
      </c>
      <c r="E581">
        <v>76</v>
      </c>
      <c r="F581" s="2">
        <v>0.75</v>
      </c>
      <c r="G581" s="2">
        <v>0.74099999999999999</v>
      </c>
      <c r="H581" s="2">
        <v>0.40200000000000002</v>
      </c>
      <c r="I581" s="2">
        <v>0.44700000000000001</v>
      </c>
      <c r="J581" s="2">
        <v>0.121</v>
      </c>
      <c r="K581" s="2">
        <v>0.495</v>
      </c>
      <c r="L581" s="2">
        <v>-4.43</v>
      </c>
    </row>
    <row r="582" spans="1:12" x14ac:dyDescent="0.25">
      <c r="A582">
        <v>141</v>
      </c>
      <c r="B582">
        <v>13</v>
      </c>
      <c r="C582" s="3">
        <v>5082870</v>
      </c>
      <c r="D582" s="4">
        <v>2897862</v>
      </c>
      <c r="E582">
        <v>76</v>
      </c>
      <c r="F582" s="2">
        <v>0.878</v>
      </c>
      <c r="G582" s="2">
        <v>0.71299999999999997</v>
      </c>
      <c r="H582" s="2">
        <v>9.4799999999999995E-2</v>
      </c>
      <c r="I582" s="2">
        <v>5.8099999999999999E-2</v>
      </c>
      <c r="J582" s="2">
        <v>8.2199999999999995E-2</v>
      </c>
      <c r="K582" s="2">
        <v>0.61499999999999999</v>
      </c>
      <c r="L582" s="2">
        <v>-4.5659999999999998</v>
      </c>
    </row>
    <row r="583" spans="1:12" x14ac:dyDescent="0.25">
      <c r="A583">
        <v>129</v>
      </c>
      <c r="B583">
        <v>14</v>
      </c>
      <c r="C583" s="3">
        <v>5068972</v>
      </c>
      <c r="D583" s="4">
        <v>2263960</v>
      </c>
      <c r="E583">
        <v>76</v>
      </c>
      <c r="F583" s="2">
        <v>0.86399999999999999</v>
      </c>
      <c r="G583" s="2">
        <v>0.495</v>
      </c>
      <c r="H583" s="2">
        <v>3.6999999999999998E-2</v>
      </c>
      <c r="I583" s="2">
        <v>0.59099999999999997</v>
      </c>
      <c r="J583" s="2">
        <v>9.9199999999999997E-2</v>
      </c>
      <c r="K583" s="2">
        <v>0.72</v>
      </c>
      <c r="L583" s="2">
        <v>-7.0359999999999996</v>
      </c>
    </row>
    <row r="584" spans="1:12" x14ac:dyDescent="0.25">
      <c r="A584">
        <v>66</v>
      </c>
      <c r="B584">
        <v>10</v>
      </c>
      <c r="C584" s="3">
        <v>5062404</v>
      </c>
      <c r="D584" s="4">
        <v>10561047</v>
      </c>
      <c r="E584">
        <v>76</v>
      </c>
      <c r="F584" s="2">
        <v>0.78800000000000003</v>
      </c>
      <c r="G584" s="2">
        <v>0.78900000000000003</v>
      </c>
      <c r="H584" s="2">
        <v>0.124</v>
      </c>
      <c r="I584" s="2">
        <v>0.39700000000000002</v>
      </c>
      <c r="J584" s="2">
        <v>0.22600000000000001</v>
      </c>
      <c r="K584" s="2">
        <v>0.86699999999999999</v>
      </c>
      <c r="L584" s="2">
        <v>-2.39</v>
      </c>
    </row>
    <row r="585" spans="1:12" x14ac:dyDescent="0.25">
      <c r="A585">
        <v>103</v>
      </c>
      <c r="B585">
        <v>12</v>
      </c>
      <c r="C585" s="3">
        <v>5052801</v>
      </c>
      <c r="D585" s="4">
        <v>6313514</v>
      </c>
      <c r="E585">
        <v>76</v>
      </c>
      <c r="F585" s="2">
        <v>0.376</v>
      </c>
      <c r="G585" s="2">
        <v>0.43</v>
      </c>
      <c r="H585" s="2">
        <v>3.2800000000000003E-2</v>
      </c>
      <c r="I585" s="2">
        <v>9.0200000000000002E-2</v>
      </c>
      <c r="J585" s="2">
        <v>9.1200000000000003E-2</v>
      </c>
      <c r="K585" s="2">
        <v>0.129</v>
      </c>
      <c r="L585" s="2">
        <v>-6.585</v>
      </c>
    </row>
    <row r="586" spans="1:12" x14ac:dyDescent="0.25">
      <c r="A586">
        <v>45</v>
      </c>
      <c r="B586">
        <v>20</v>
      </c>
      <c r="C586" s="3">
        <v>5030670</v>
      </c>
      <c r="D586" s="4">
        <v>1248499</v>
      </c>
      <c r="E586">
        <v>76</v>
      </c>
      <c r="F586" s="2">
        <v>0.83399999999999996</v>
      </c>
      <c r="G586" s="2">
        <v>0.66300000000000003</v>
      </c>
      <c r="H586" s="2">
        <v>0.13300000000000001</v>
      </c>
      <c r="I586" s="2">
        <v>0.23499999999999999</v>
      </c>
      <c r="J586" s="2">
        <v>0.372</v>
      </c>
      <c r="K586" s="2">
        <v>0.77400000000000002</v>
      </c>
      <c r="L586" s="2">
        <v>-6.1429999999999998</v>
      </c>
    </row>
    <row r="587" spans="1:12" x14ac:dyDescent="0.25">
      <c r="A587">
        <v>41</v>
      </c>
      <c r="B587">
        <v>7</v>
      </c>
      <c r="C587" s="3">
        <v>4995203</v>
      </c>
      <c r="D587" s="4">
        <v>100635</v>
      </c>
      <c r="E587">
        <v>76</v>
      </c>
      <c r="F587" s="2">
        <v>0.75800000000000001</v>
      </c>
      <c r="G587" s="2">
        <v>0.59799999999999998</v>
      </c>
      <c r="H587" s="2">
        <v>8.6800000000000002E-2</v>
      </c>
      <c r="I587" s="2">
        <v>0.16</v>
      </c>
      <c r="J587" s="2">
        <v>0.29499999999999998</v>
      </c>
      <c r="K587" s="2">
        <v>0.65800000000000003</v>
      </c>
      <c r="L587" s="2">
        <v>-5.6950000000000003</v>
      </c>
    </row>
    <row r="588" spans="1:12" x14ac:dyDescent="0.25">
      <c r="A588">
        <v>54</v>
      </c>
      <c r="B588">
        <v>7</v>
      </c>
      <c r="C588" s="3">
        <v>4991751</v>
      </c>
      <c r="D588" s="4">
        <v>5688315</v>
      </c>
      <c r="E588">
        <v>76</v>
      </c>
      <c r="F588" s="2">
        <v>0.66400000000000003</v>
      </c>
      <c r="G588" s="2">
        <v>0.66600000000000004</v>
      </c>
      <c r="H588" s="2">
        <v>4.4600000000000001E-2</v>
      </c>
      <c r="I588" s="2">
        <v>0.193</v>
      </c>
      <c r="J588" s="2">
        <v>8.5400000000000004E-2</v>
      </c>
      <c r="K588" s="2">
        <v>0.40500000000000003</v>
      </c>
      <c r="L588" s="2">
        <v>-2.2029999999999998</v>
      </c>
    </row>
    <row r="589" spans="1:12" x14ac:dyDescent="0.25">
      <c r="A589">
        <v>113</v>
      </c>
      <c r="B589">
        <v>7</v>
      </c>
      <c r="C589" s="3">
        <v>4986299</v>
      </c>
      <c r="D589" s="4">
        <v>7601122</v>
      </c>
      <c r="E589">
        <v>76</v>
      </c>
      <c r="F589" s="2">
        <v>0.876</v>
      </c>
      <c r="G589" s="2">
        <v>0.66200000000000003</v>
      </c>
      <c r="H589" s="2">
        <v>0.42599999999999999</v>
      </c>
      <c r="I589" s="2">
        <v>6.08E-2</v>
      </c>
      <c r="J589" s="2">
        <v>0.127</v>
      </c>
      <c r="K589" s="2">
        <v>0.84399999999999997</v>
      </c>
      <c r="L589" s="2">
        <v>-6.4820000000000002</v>
      </c>
    </row>
    <row r="590" spans="1:12" x14ac:dyDescent="0.25">
      <c r="A590">
        <v>83</v>
      </c>
      <c r="B590">
        <v>4</v>
      </c>
      <c r="C590" s="3">
        <v>4948563</v>
      </c>
      <c r="D590" s="4">
        <v>2147875</v>
      </c>
      <c r="E590">
        <v>76</v>
      </c>
      <c r="F590" s="2">
        <v>0.505</v>
      </c>
      <c r="G590" s="2">
        <v>0.65700000000000003</v>
      </c>
      <c r="H590" s="2">
        <v>3.1800000000000002E-2</v>
      </c>
      <c r="I590" s="2">
        <v>0.373</v>
      </c>
      <c r="J590" s="2">
        <v>0.126</v>
      </c>
      <c r="K590" s="2">
        <v>0.252</v>
      </c>
      <c r="L590" s="2">
        <v>-5.24</v>
      </c>
    </row>
    <row r="591" spans="1:12" x14ac:dyDescent="0.25">
      <c r="A591">
        <v>131</v>
      </c>
      <c r="B591">
        <v>6</v>
      </c>
      <c r="C591" s="3">
        <v>4925843</v>
      </c>
      <c r="D591" s="4">
        <v>83743</v>
      </c>
      <c r="E591">
        <v>76</v>
      </c>
      <c r="F591" s="2">
        <v>0.73699999999999999</v>
      </c>
      <c r="G591" s="2">
        <v>0.82799999999999996</v>
      </c>
      <c r="H591" s="2">
        <v>3.9600000000000003E-2</v>
      </c>
      <c r="I591" s="2">
        <v>1.49E-2</v>
      </c>
      <c r="J591" s="2">
        <v>8.6199999999999999E-2</v>
      </c>
      <c r="K591" s="2">
        <v>0.51700000000000002</v>
      </c>
      <c r="L591" s="2">
        <v>-4.7110000000000003</v>
      </c>
    </row>
    <row r="592" spans="1:12" x14ac:dyDescent="0.25">
      <c r="A592">
        <v>32</v>
      </c>
      <c r="B592">
        <v>25</v>
      </c>
      <c r="C592" s="3">
        <v>4899099</v>
      </c>
      <c r="D592" s="4">
        <v>18306226</v>
      </c>
      <c r="E592">
        <v>76</v>
      </c>
      <c r="F592" s="2">
        <v>0.69099999999999995</v>
      </c>
      <c r="G592" s="2">
        <v>0.76500000000000001</v>
      </c>
      <c r="H592" s="2">
        <v>0.111</v>
      </c>
      <c r="I592" s="2">
        <v>0.46400000000000002</v>
      </c>
      <c r="J592" s="2">
        <v>0.20300000000000001</v>
      </c>
      <c r="K592" s="2">
        <v>0.85499999999999998</v>
      </c>
      <c r="L592" s="2">
        <v>-4.7270000000000003</v>
      </c>
    </row>
    <row r="593" spans="1:12" x14ac:dyDescent="0.25">
      <c r="A593">
        <v>157</v>
      </c>
      <c r="B593">
        <v>4</v>
      </c>
      <c r="C593" s="3">
        <v>4891989</v>
      </c>
      <c r="D593" s="4">
        <v>26784251</v>
      </c>
      <c r="E593">
        <v>76</v>
      </c>
      <c r="F593" s="2">
        <v>0.77700000000000002</v>
      </c>
      <c r="G593" s="2">
        <v>0.71199999999999997</v>
      </c>
      <c r="H593" s="2">
        <v>0.27700000000000002</v>
      </c>
      <c r="I593" s="2">
        <v>0.217</v>
      </c>
      <c r="J593" s="2">
        <v>9.0999999999999998E-2</v>
      </c>
      <c r="K593" s="2">
        <v>0.68</v>
      </c>
      <c r="L593" s="2">
        <v>-4.84</v>
      </c>
    </row>
    <row r="594" spans="1:12" x14ac:dyDescent="0.25">
      <c r="A594">
        <v>174</v>
      </c>
      <c r="B594">
        <v>3</v>
      </c>
      <c r="C594" s="3">
        <v>4884711</v>
      </c>
      <c r="D594" s="4">
        <v>4794212</v>
      </c>
      <c r="E594">
        <v>76</v>
      </c>
      <c r="F594" s="2">
        <v>0.95699999999999996</v>
      </c>
      <c r="G594" s="2">
        <v>0.437</v>
      </c>
      <c r="H594" s="2">
        <v>0.35899999999999999</v>
      </c>
      <c r="I594" s="2">
        <v>4.0200000000000001E-3</v>
      </c>
      <c r="J594" s="2">
        <v>0.219</v>
      </c>
      <c r="K594" s="2">
        <v>0.61599999999999999</v>
      </c>
      <c r="L594" s="2">
        <v>-7.8819999999999997</v>
      </c>
    </row>
    <row r="595" spans="1:12" x14ac:dyDescent="0.25">
      <c r="A595">
        <v>133</v>
      </c>
      <c r="B595">
        <v>3</v>
      </c>
      <c r="C595" s="3">
        <v>4879713</v>
      </c>
      <c r="D595" s="4">
        <v>1353049</v>
      </c>
      <c r="E595">
        <v>76</v>
      </c>
      <c r="F595" s="2">
        <v>0.82599999999999996</v>
      </c>
      <c r="G595" s="2">
        <v>0.77300000000000002</v>
      </c>
      <c r="H595" s="2">
        <v>5.2400000000000002E-2</v>
      </c>
      <c r="I595" s="2">
        <v>0.32300000000000001</v>
      </c>
      <c r="J595" s="2">
        <v>0.14299999999999999</v>
      </c>
      <c r="K595" s="2">
        <v>0.76100000000000001</v>
      </c>
      <c r="L595" s="2">
        <v>-4.218</v>
      </c>
    </row>
    <row r="596" spans="1:12" x14ac:dyDescent="0.25">
      <c r="A596">
        <v>47</v>
      </c>
      <c r="B596">
        <v>25</v>
      </c>
      <c r="C596" s="3">
        <v>4873380</v>
      </c>
      <c r="D596" s="4">
        <v>149682</v>
      </c>
      <c r="E596">
        <v>76</v>
      </c>
      <c r="F596" s="2">
        <v>0.85399999999999998</v>
      </c>
      <c r="G596" s="2">
        <v>0.52500000000000002</v>
      </c>
      <c r="H596" s="2">
        <v>0.214</v>
      </c>
      <c r="I596" s="2">
        <v>0.81899999999999995</v>
      </c>
      <c r="J596" s="2">
        <v>0.14599999999999999</v>
      </c>
      <c r="K596" s="2">
        <v>0.63</v>
      </c>
      <c r="L596" s="2">
        <v>-4.4260000000000002</v>
      </c>
    </row>
    <row r="597" spans="1:12" x14ac:dyDescent="0.25">
      <c r="A597">
        <v>68</v>
      </c>
      <c r="B597">
        <v>13</v>
      </c>
      <c r="C597" s="3">
        <v>4776686</v>
      </c>
      <c r="D597" s="4">
        <v>7816213</v>
      </c>
      <c r="E597">
        <v>76</v>
      </c>
      <c r="F597" s="2">
        <v>0.92600000000000005</v>
      </c>
      <c r="G597" s="2">
        <v>0.54200000000000004</v>
      </c>
      <c r="H597" s="2">
        <v>0.29299999999999998</v>
      </c>
      <c r="I597" s="2">
        <v>0.13500000000000001</v>
      </c>
      <c r="J597" s="2">
        <v>8.77E-2</v>
      </c>
      <c r="K597" s="2">
        <v>0.56399999999999995</v>
      </c>
      <c r="L597" s="2">
        <v>-5.0640000000000001</v>
      </c>
    </row>
    <row r="598" spans="1:12" x14ac:dyDescent="0.25">
      <c r="A598">
        <v>16</v>
      </c>
      <c r="B598">
        <v>20</v>
      </c>
      <c r="C598" s="3">
        <v>4761908</v>
      </c>
      <c r="D598" s="4">
        <v>15663384</v>
      </c>
      <c r="E598">
        <v>76</v>
      </c>
      <c r="F598" s="2">
        <v>0.59099999999999997</v>
      </c>
      <c r="G598" s="2">
        <v>0.58499999999999996</v>
      </c>
      <c r="H598" s="2">
        <v>2.7699999999999999E-2</v>
      </c>
      <c r="I598" s="2">
        <v>0.14299999999999999</v>
      </c>
      <c r="J598" s="2">
        <v>0.109</v>
      </c>
      <c r="K598" s="2">
        <v>0.32400000000000001</v>
      </c>
      <c r="L598" s="2">
        <v>-6.35</v>
      </c>
    </row>
    <row r="599" spans="1:12" x14ac:dyDescent="0.25">
      <c r="A599">
        <v>163</v>
      </c>
      <c r="B599">
        <v>4</v>
      </c>
      <c r="C599" s="3">
        <v>4713873</v>
      </c>
      <c r="D599" s="4">
        <v>3152313</v>
      </c>
      <c r="E599">
        <v>76</v>
      </c>
      <c r="F599" s="2">
        <v>0.68400000000000005</v>
      </c>
      <c r="G599" s="2">
        <v>0.80800000000000005</v>
      </c>
      <c r="H599" s="2">
        <v>6.0999999999999999E-2</v>
      </c>
      <c r="I599" s="2">
        <v>5.1799999999999999E-2</v>
      </c>
      <c r="J599" s="2">
        <v>8.5800000000000001E-2</v>
      </c>
      <c r="K599" s="2">
        <v>0.71199999999999997</v>
      </c>
      <c r="L599" s="2">
        <v>-2.7370000000000001</v>
      </c>
    </row>
    <row r="600" spans="1:12" x14ac:dyDescent="0.25">
      <c r="A600">
        <v>187</v>
      </c>
      <c r="B600">
        <v>1</v>
      </c>
      <c r="C600" s="3">
        <v>4701532</v>
      </c>
      <c r="D600" s="4">
        <v>19102888</v>
      </c>
      <c r="E600">
        <v>76</v>
      </c>
      <c r="F600" s="2">
        <v>0.63500000000000001</v>
      </c>
      <c r="G600" s="2">
        <v>0.53700000000000003</v>
      </c>
      <c r="H600" s="2">
        <v>8.3199999999999996E-2</v>
      </c>
      <c r="I600" s="2">
        <v>0.17199999999999999</v>
      </c>
      <c r="J600" s="2">
        <v>0.41799999999999998</v>
      </c>
      <c r="K600" s="2">
        <v>0.38300000000000001</v>
      </c>
      <c r="L600" s="2">
        <v>-7.8949999999999996</v>
      </c>
    </row>
    <row r="601" spans="1:12" x14ac:dyDescent="0.25">
      <c r="A601">
        <v>79</v>
      </c>
      <c r="B601">
        <v>13</v>
      </c>
      <c r="C601" s="3">
        <v>4664281</v>
      </c>
      <c r="D601" s="4">
        <v>4849204</v>
      </c>
      <c r="E601">
        <v>76</v>
      </c>
      <c r="F601" s="2">
        <v>0.752</v>
      </c>
      <c r="G601" s="2">
        <v>0.67300000000000004</v>
      </c>
      <c r="H601" s="2">
        <v>0.153</v>
      </c>
      <c r="I601" s="2">
        <v>5.3800000000000001E-2</v>
      </c>
      <c r="J601" s="2">
        <v>0.13300000000000001</v>
      </c>
      <c r="K601" s="2">
        <v>0.35</v>
      </c>
      <c r="L601" s="2">
        <v>-5.7919999999999998</v>
      </c>
    </row>
    <row r="602" spans="1:12" x14ac:dyDescent="0.25">
      <c r="A602">
        <v>69</v>
      </c>
      <c r="B602">
        <v>22</v>
      </c>
      <c r="C602" s="3">
        <v>4652712</v>
      </c>
      <c r="D602" s="4">
        <v>3337982</v>
      </c>
      <c r="E602">
        <v>76</v>
      </c>
      <c r="F602" s="2">
        <v>0.82499999999999996</v>
      </c>
      <c r="G602" s="2">
        <v>0.45800000000000002</v>
      </c>
      <c r="H602" s="2">
        <v>5.7700000000000001E-2</v>
      </c>
      <c r="I602" s="2">
        <v>0.114</v>
      </c>
      <c r="J602" s="2">
        <v>0.10199999999999999</v>
      </c>
      <c r="K602" s="2">
        <v>0.161</v>
      </c>
      <c r="L602" s="2">
        <v>-7.47</v>
      </c>
    </row>
    <row r="603" spans="1:12" x14ac:dyDescent="0.25">
      <c r="A603">
        <v>54</v>
      </c>
      <c r="B603">
        <v>14</v>
      </c>
      <c r="C603" s="3">
        <v>4645541</v>
      </c>
      <c r="D603" s="4">
        <v>1276406</v>
      </c>
      <c r="E603">
        <v>76</v>
      </c>
      <c r="F603" s="2">
        <v>0.68600000000000005</v>
      </c>
      <c r="G603" s="2">
        <v>0.54100000000000004</v>
      </c>
      <c r="H603" s="2">
        <v>4.9299999999999997E-2</v>
      </c>
      <c r="I603" s="2">
        <v>4.2000000000000003E-2</v>
      </c>
      <c r="J603" s="2">
        <v>6.7500000000000004E-2</v>
      </c>
      <c r="K603" s="2">
        <v>0.72399999999999998</v>
      </c>
      <c r="L603" s="2">
        <v>-4.9930000000000003</v>
      </c>
    </row>
    <row r="604" spans="1:12" x14ac:dyDescent="0.25">
      <c r="A604">
        <v>154</v>
      </c>
      <c r="B604">
        <v>6</v>
      </c>
      <c r="C604" s="3">
        <v>4627942</v>
      </c>
      <c r="D604" s="4">
        <v>120208</v>
      </c>
      <c r="E604">
        <v>76</v>
      </c>
      <c r="F604" s="2">
        <v>0.39</v>
      </c>
      <c r="G604" s="2">
        <v>0.44800000000000001</v>
      </c>
      <c r="H604" s="2">
        <v>2.76E-2</v>
      </c>
      <c r="I604" s="2">
        <v>0.8</v>
      </c>
      <c r="J604" s="2">
        <v>0.107</v>
      </c>
      <c r="K604" s="2">
        <v>7.6999999999999999E-2</v>
      </c>
      <c r="L604" s="2">
        <v>-8.57</v>
      </c>
    </row>
    <row r="605" spans="1:12" x14ac:dyDescent="0.25">
      <c r="A605">
        <v>103</v>
      </c>
      <c r="B605">
        <v>12</v>
      </c>
      <c r="C605" s="3">
        <v>4593366</v>
      </c>
      <c r="D605" s="4">
        <v>177972</v>
      </c>
      <c r="E605">
        <v>76</v>
      </c>
      <c r="F605" s="2">
        <v>0.67600000000000005</v>
      </c>
      <c r="G605" s="2">
        <v>0.52500000000000002</v>
      </c>
      <c r="H605" s="2">
        <v>2.8000000000000001E-2</v>
      </c>
      <c r="I605" s="2">
        <v>0.61699999999999999</v>
      </c>
      <c r="J605" s="2">
        <v>0.35599999999999998</v>
      </c>
      <c r="K605" s="2">
        <v>0.42099999999999999</v>
      </c>
      <c r="L605" s="2">
        <v>-5.88</v>
      </c>
    </row>
    <row r="606" spans="1:12" x14ac:dyDescent="0.25">
      <c r="A606">
        <v>32</v>
      </c>
      <c r="B606">
        <v>16</v>
      </c>
      <c r="C606" s="3">
        <v>4593309</v>
      </c>
      <c r="D606" s="4">
        <v>11821805</v>
      </c>
      <c r="E606">
        <v>76</v>
      </c>
      <c r="F606" s="2">
        <v>0.77100000000000002</v>
      </c>
      <c r="G606" s="2">
        <v>0.65400000000000003</v>
      </c>
      <c r="H606" s="2">
        <v>0.29799999999999999</v>
      </c>
      <c r="I606" s="2">
        <v>5.5E-2</v>
      </c>
      <c r="J606" s="2">
        <v>0.214</v>
      </c>
      <c r="K606" s="2">
        <v>0.57299999999999995</v>
      </c>
      <c r="L606" s="2">
        <v>-6.976</v>
      </c>
    </row>
    <row r="607" spans="1:12" x14ac:dyDescent="0.25">
      <c r="A607">
        <v>11</v>
      </c>
      <c r="B607">
        <v>5</v>
      </c>
      <c r="C607" s="3">
        <v>4586236</v>
      </c>
      <c r="D607" s="4">
        <v>42227614</v>
      </c>
      <c r="E607">
        <v>76</v>
      </c>
      <c r="F607" s="2">
        <v>0.53200000000000003</v>
      </c>
      <c r="G607" s="2">
        <v>0.623</v>
      </c>
      <c r="H607" s="2">
        <v>3.3099999999999997E-2</v>
      </c>
      <c r="I607" s="2">
        <v>0.53800000000000003</v>
      </c>
      <c r="J607" s="2">
        <v>9.2499999999999999E-2</v>
      </c>
      <c r="K607" s="2">
        <v>0.40300000000000002</v>
      </c>
      <c r="L607" s="2">
        <v>-9.2080000000000002</v>
      </c>
    </row>
    <row r="608" spans="1:12" x14ac:dyDescent="0.25">
      <c r="A608">
        <v>68</v>
      </c>
      <c r="B608">
        <v>8</v>
      </c>
      <c r="C608" s="3">
        <v>4504304</v>
      </c>
      <c r="D608" s="4">
        <v>9998991</v>
      </c>
      <c r="E608">
        <v>76</v>
      </c>
      <c r="F608" s="2">
        <v>0.65700000000000003</v>
      </c>
      <c r="G608" s="2">
        <v>0.88</v>
      </c>
      <c r="H608" s="2">
        <v>0.10199999999999999</v>
      </c>
      <c r="I608" s="2">
        <v>0.121</v>
      </c>
      <c r="J608" s="2">
        <v>0.46300000000000002</v>
      </c>
      <c r="K608" s="2">
        <v>0.76900000000000002</v>
      </c>
      <c r="L608" s="2">
        <v>-3.6720000000000002</v>
      </c>
    </row>
    <row r="609" spans="1:12" x14ac:dyDescent="0.25">
      <c r="A609">
        <v>126</v>
      </c>
      <c r="B609">
        <v>9</v>
      </c>
      <c r="C609" s="3">
        <v>4500903</v>
      </c>
      <c r="D609" s="4">
        <v>1253138</v>
      </c>
      <c r="E609">
        <v>76</v>
      </c>
      <c r="F609" s="2">
        <v>0.88300000000000001</v>
      </c>
      <c r="G609" s="2">
        <v>0.80800000000000005</v>
      </c>
      <c r="H609" s="2">
        <v>0.182</v>
      </c>
      <c r="I609" s="2">
        <v>3.1300000000000001E-2</v>
      </c>
      <c r="J609" s="2">
        <v>0.20699999999999999</v>
      </c>
      <c r="K609" s="2">
        <v>0.80600000000000005</v>
      </c>
      <c r="L609" s="2">
        <v>-3.1579999999999999</v>
      </c>
    </row>
    <row r="610" spans="1:12" x14ac:dyDescent="0.25">
      <c r="A610">
        <v>46</v>
      </c>
      <c r="B610">
        <v>3</v>
      </c>
      <c r="C610" s="3">
        <v>4499820</v>
      </c>
      <c r="D610" s="4">
        <v>17732077</v>
      </c>
      <c r="E610">
        <v>76</v>
      </c>
      <c r="F610" s="2">
        <v>0.48699999999999999</v>
      </c>
      <c r="G610" s="2">
        <v>0.78900000000000003</v>
      </c>
      <c r="H610" s="2">
        <v>4.3999999999999997E-2</v>
      </c>
      <c r="I610" s="2">
        <v>9.4699999999999993E-3</v>
      </c>
      <c r="J610" s="2">
        <v>0.189</v>
      </c>
      <c r="K610" s="2">
        <v>5.6399999999999999E-2</v>
      </c>
      <c r="L610" s="2">
        <v>-3.69</v>
      </c>
    </row>
    <row r="611" spans="1:12" x14ac:dyDescent="0.25">
      <c r="A611">
        <v>100</v>
      </c>
      <c r="B611">
        <v>15</v>
      </c>
      <c r="C611" s="3">
        <v>4466143</v>
      </c>
      <c r="D611" s="4">
        <v>6096559</v>
      </c>
      <c r="E611">
        <v>76</v>
      </c>
      <c r="F611" s="2">
        <v>0.84899999999999998</v>
      </c>
      <c r="G611" s="2">
        <v>0.78100000000000003</v>
      </c>
      <c r="H611" s="2">
        <v>0.159</v>
      </c>
      <c r="I611" s="2">
        <v>0.40600000000000003</v>
      </c>
      <c r="J611" s="2">
        <v>8.0100000000000005E-2</v>
      </c>
      <c r="K611" s="2">
        <v>0.89300000000000002</v>
      </c>
      <c r="L611" s="2">
        <v>-4.6349999999999998</v>
      </c>
    </row>
    <row r="612" spans="1:12" x14ac:dyDescent="0.25">
      <c r="A612">
        <v>36</v>
      </c>
      <c r="B612">
        <v>21</v>
      </c>
      <c r="C612" s="3">
        <v>4374392</v>
      </c>
      <c r="D612" s="4">
        <v>14190858</v>
      </c>
      <c r="E612">
        <v>76</v>
      </c>
      <c r="F612" s="2">
        <v>0.79</v>
      </c>
      <c r="G612" s="2">
        <v>0.69399999999999995</v>
      </c>
      <c r="H612" s="2">
        <v>7.0800000000000002E-2</v>
      </c>
      <c r="I612" s="2">
        <v>0.14499999999999999</v>
      </c>
      <c r="J612" s="2">
        <v>0.28100000000000003</v>
      </c>
      <c r="K612" s="2">
        <v>0.50800000000000001</v>
      </c>
      <c r="L612" s="2">
        <v>-7.726</v>
      </c>
    </row>
    <row r="613" spans="1:12" x14ac:dyDescent="0.25">
      <c r="A613">
        <v>85</v>
      </c>
      <c r="B613">
        <v>17</v>
      </c>
      <c r="C613" s="3">
        <v>4367368</v>
      </c>
      <c r="D613" s="4">
        <v>9747805</v>
      </c>
      <c r="E613">
        <v>76</v>
      </c>
      <c r="F613" s="2">
        <v>0.65700000000000003</v>
      </c>
      <c r="G613" s="2">
        <v>0.76800000000000002</v>
      </c>
      <c r="H613" s="2">
        <v>5.0700000000000002E-2</v>
      </c>
      <c r="I613" s="2">
        <v>0.108</v>
      </c>
      <c r="J613" s="2">
        <v>0.14399999999999999</v>
      </c>
      <c r="K613" s="2">
        <v>0.75900000000000001</v>
      </c>
      <c r="L613" s="2">
        <v>-4.6280000000000001</v>
      </c>
    </row>
    <row r="614" spans="1:12" x14ac:dyDescent="0.25">
      <c r="A614">
        <v>145</v>
      </c>
      <c r="B614">
        <v>17</v>
      </c>
      <c r="C614" s="3">
        <v>4364166</v>
      </c>
      <c r="D614" s="4">
        <v>33893352</v>
      </c>
      <c r="E614">
        <v>76</v>
      </c>
      <c r="F614" s="2">
        <v>0.69199999999999995</v>
      </c>
      <c r="G614" s="2">
        <v>0.80900000000000005</v>
      </c>
      <c r="H614" s="2">
        <v>6.0199999999999997E-2</v>
      </c>
      <c r="I614" s="2">
        <v>0.52400000000000002</v>
      </c>
      <c r="J614" s="2">
        <v>0.14699999999999999</v>
      </c>
      <c r="K614" s="2">
        <v>0.86399999999999999</v>
      </c>
      <c r="L614" s="2">
        <v>-4.1980000000000004</v>
      </c>
    </row>
    <row r="615" spans="1:12" x14ac:dyDescent="0.25">
      <c r="A615">
        <v>196</v>
      </c>
      <c r="B615">
        <v>1</v>
      </c>
      <c r="C615" s="3">
        <v>4341050</v>
      </c>
      <c r="D615" s="4">
        <v>23848461</v>
      </c>
      <c r="E615">
        <v>76</v>
      </c>
      <c r="F615" s="2">
        <v>0.76300000000000001</v>
      </c>
      <c r="G615" s="2">
        <v>0.83499999999999996</v>
      </c>
      <c r="H615" s="2">
        <v>0.191</v>
      </c>
      <c r="I615" s="2">
        <v>0.32300000000000001</v>
      </c>
      <c r="J615" s="2">
        <v>0.22500000000000001</v>
      </c>
      <c r="K615" s="2">
        <v>0.64500000000000002</v>
      </c>
      <c r="L615" s="2">
        <v>-5.234</v>
      </c>
    </row>
    <row r="616" spans="1:12" x14ac:dyDescent="0.25">
      <c r="A616">
        <v>23</v>
      </c>
      <c r="B616">
        <v>20</v>
      </c>
      <c r="C616" s="3">
        <v>4320116</v>
      </c>
      <c r="D616" s="4">
        <v>6332535</v>
      </c>
      <c r="E616">
        <v>76</v>
      </c>
      <c r="F616" s="2">
        <v>0.65500000000000003</v>
      </c>
      <c r="G616" s="2">
        <v>0.441</v>
      </c>
      <c r="H616" s="2">
        <v>6.2899999999999998E-2</v>
      </c>
      <c r="I616" s="2">
        <v>0.47399999999999998</v>
      </c>
      <c r="J616" s="2">
        <v>9.9000000000000005E-2</v>
      </c>
      <c r="K616" s="2">
        <v>0.27300000000000002</v>
      </c>
      <c r="L616" s="2">
        <v>-5.2450000000000001</v>
      </c>
    </row>
    <row r="617" spans="1:12" x14ac:dyDescent="0.25">
      <c r="A617">
        <v>39</v>
      </c>
      <c r="B617">
        <v>20</v>
      </c>
      <c r="C617" s="3">
        <v>4313625</v>
      </c>
      <c r="D617" s="4">
        <v>17097317</v>
      </c>
      <c r="E617">
        <v>76</v>
      </c>
      <c r="F617" s="2">
        <v>0.47699999999999998</v>
      </c>
      <c r="G617" s="2">
        <v>0.68200000000000005</v>
      </c>
      <c r="H617" s="2">
        <v>9.2499999999999999E-2</v>
      </c>
      <c r="I617" s="2">
        <v>0.153</v>
      </c>
      <c r="J617" s="2">
        <v>7.6300000000000007E-2</v>
      </c>
      <c r="K617" s="2">
        <v>0.34499999999999997</v>
      </c>
      <c r="L617" s="2">
        <v>-4.931</v>
      </c>
    </row>
    <row r="618" spans="1:12" x14ac:dyDescent="0.25">
      <c r="A618">
        <v>109</v>
      </c>
      <c r="B618">
        <v>9</v>
      </c>
      <c r="C618" s="3">
        <v>4299422</v>
      </c>
      <c r="D618" s="4">
        <v>4894656</v>
      </c>
      <c r="E618">
        <v>76</v>
      </c>
      <c r="F618" s="2">
        <v>0.80300000000000005</v>
      </c>
      <c r="G618" s="2">
        <v>0.75900000000000001</v>
      </c>
      <c r="H618" s="2">
        <v>4.9399999999999999E-2</v>
      </c>
      <c r="I618" s="2">
        <v>5.0899999999999999E-3</v>
      </c>
      <c r="J618" s="2">
        <v>9.2100000000000001E-2</v>
      </c>
      <c r="K618" s="2">
        <v>0.28399999999999997</v>
      </c>
      <c r="L618" s="2">
        <v>-4.6920000000000002</v>
      </c>
    </row>
    <row r="619" spans="1:12" x14ac:dyDescent="0.25">
      <c r="A619">
        <v>66</v>
      </c>
      <c r="B619">
        <v>11</v>
      </c>
      <c r="C619" s="3">
        <v>4296154</v>
      </c>
      <c r="D619" s="4">
        <v>6332535</v>
      </c>
      <c r="E619">
        <v>76</v>
      </c>
      <c r="F619" s="2">
        <v>0.65500000000000003</v>
      </c>
      <c r="G619" s="2">
        <v>0.441</v>
      </c>
      <c r="H619" s="2">
        <v>6.2899999999999998E-2</v>
      </c>
      <c r="I619" s="2">
        <v>0.47399999999999998</v>
      </c>
      <c r="J619" s="2">
        <v>9.9000000000000005E-2</v>
      </c>
      <c r="K619" s="2">
        <v>0.27300000000000002</v>
      </c>
      <c r="L619" s="2">
        <v>-5.2450000000000001</v>
      </c>
    </row>
    <row r="620" spans="1:12" x14ac:dyDescent="0.25">
      <c r="A620">
        <v>170</v>
      </c>
      <c r="B620">
        <v>10</v>
      </c>
      <c r="C620" s="3">
        <v>4284951</v>
      </c>
      <c r="D620" s="4">
        <v>4421378</v>
      </c>
      <c r="E620">
        <v>76</v>
      </c>
      <c r="F620" s="2">
        <v>0.81200000000000006</v>
      </c>
      <c r="G620" s="2">
        <v>0.51900000000000002</v>
      </c>
      <c r="H620" s="2">
        <v>3.85E-2</v>
      </c>
      <c r="I620" s="2">
        <v>0.379</v>
      </c>
      <c r="J620" s="2">
        <v>0.13</v>
      </c>
      <c r="K620" s="2">
        <v>0.55400000000000005</v>
      </c>
      <c r="L620" s="2">
        <v>-4.8230000000000004</v>
      </c>
    </row>
    <row r="621" spans="1:12" x14ac:dyDescent="0.25">
      <c r="A621">
        <v>73</v>
      </c>
      <c r="B621">
        <v>1</v>
      </c>
      <c r="C621" s="3">
        <v>8884283</v>
      </c>
      <c r="D621" s="4">
        <v>6777818</v>
      </c>
      <c r="E621">
        <v>75</v>
      </c>
      <c r="F621" s="2">
        <v>0.46700000000000003</v>
      </c>
      <c r="G621" s="2">
        <v>0.63500000000000001</v>
      </c>
      <c r="H621" s="2">
        <v>0.154</v>
      </c>
      <c r="I621" s="2">
        <v>0.314</v>
      </c>
      <c r="J621" s="2">
        <v>0.84399999999999997</v>
      </c>
      <c r="K621" s="2">
        <v>0.51</v>
      </c>
      <c r="L621" s="2">
        <v>-6.1150000000000002</v>
      </c>
    </row>
    <row r="622" spans="1:12" x14ac:dyDescent="0.25">
      <c r="A622">
        <v>72</v>
      </c>
      <c r="B622">
        <v>1</v>
      </c>
      <c r="C622" s="3">
        <v>7939784</v>
      </c>
      <c r="D622" s="4">
        <v>279741</v>
      </c>
      <c r="E622">
        <v>75</v>
      </c>
      <c r="F622" s="2">
        <v>0.89</v>
      </c>
      <c r="G622" s="2">
        <v>0.70099999999999996</v>
      </c>
      <c r="H622" s="2">
        <v>0.34200000000000003</v>
      </c>
      <c r="I622" s="2">
        <v>3.0599999999999998E-3</v>
      </c>
      <c r="J622" s="2">
        <v>8.9499999999999996E-2</v>
      </c>
      <c r="K622" s="2">
        <v>0.505</v>
      </c>
      <c r="L622" s="2">
        <v>-5.7119999999999997</v>
      </c>
    </row>
    <row r="623" spans="1:12" x14ac:dyDescent="0.25">
      <c r="A623">
        <v>85</v>
      </c>
      <c r="B623">
        <v>1</v>
      </c>
      <c r="C623" s="3">
        <v>7917707</v>
      </c>
      <c r="D623" s="4">
        <v>6777818</v>
      </c>
      <c r="E623">
        <v>75</v>
      </c>
      <c r="F623" s="2">
        <v>0.66500000000000004</v>
      </c>
      <c r="G623" s="2">
        <v>0.46899999999999997</v>
      </c>
      <c r="H623" s="2">
        <v>0.13</v>
      </c>
      <c r="I623" s="2">
        <v>0.56499999999999995</v>
      </c>
      <c r="J623" s="2">
        <v>0.219</v>
      </c>
      <c r="K623" s="2">
        <v>0.14199999999999999</v>
      </c>
      <c r="L623" s="2">
        <v>-7.7779999999999996</v>
      </c>
    </row>
    <row r="624" spans="1:12" x14ac:dyDescent="0.25">
      <c r="A624">
        <v>26</v>
      </c>
      <c r="B624">
        <v>2</v>
      </c>
      <c r="C624" s="3">
        <v>7165808</v>
      </c>
      <c r="D624" s="4">
        <v>37151476</v>
      </c>
      <c r="E624">
        <v>75</v>
      </c>
      <c r="F624" s="2">
        <v>0.73099999999999998</v>
      </c>
      <c r="G624" s="2">
        <v>0.84499999999999997</v>
      </c>
      <c r="H624" s="2">
        <v>0.13200000000000001</v>
      </c>
      <c r="I624" s="2">
        <v>1.32E-2</v>
      </c>
      <c r="J624" s="2">
        <v>7.8200000000000006E-2</v>
      </c>
      <c r="K624" s="2">
        <v>0.48399999999999999</v>
      </c>
      <c r="L624" s="2">
        <v>-5.3520000000000003</v>
      </c>
    </row>
    <row r="625" spans="1:12" x14ac:dyDescent="0.25">
      <c r="A625">
        <v>38</v>
      </c>
      <c r="B625">
        <v>2</v>
      </c>
      <c r="C625" s="3">
        <v>7060589</v>
      </c>
      <c r="D625" s="4">
        <v>6189454</v>
      </c>
      <c r="E625">
        <v>75</v>
      </c>
      <c r="F625" s="2">
        <v>0.74199999999999999</v>
      </c>
      <c r="G625" s="2">
        <v>0.55300000000000005</v>
      </c>
      <c r="H625" s="2">
        <v>0.41899999999999998</v>
      </c>
      <c r="I625" s="2">
        <v>0.38900000000000001</v>
      </c>
      <c r="J625" s="2">
        <v>6.9400000000000003E-2</v>
      </c>
      <c r="K625" s="2">
        <v>0.50800000000000001</v>
      </c>
      <c r="L625" s="2">
        <v>-8.98</v>
      </c>
    </row>
    <row r="626" spans="1:12" x14ac:dyDescent="0.25">
      <c r="A626">
        <v>106</v>
      </c>
      <c r="B626">
        <v>1</v>
      </c>
      <c r="C626" s="3">
        <v>6989528</v>
      </c>
      <c r="D626" s="4">
        <v>4840346</v>
      </c>
      <c r="E626">
        <v>75</v>
      </c>
      <c r="F626" s="2">
        <v>0.50600000000000001</v>
      </c>
      <c r="G626" s="2">
        <v>0.56299999999999994</v>
      </c>
      <c r="H626" s="2">
        <v>0.41099999999999998</v>
      </c>
      <c r="I626" s="2">
        <v>3.2599999999999997E-2</v>
      </c>
      <c r="J626" s="2">
        <v>8.5599999999999996E-2</v>
      </c>
      <c r="K626" s="2">
        <v>0.153</v>
      </c>
      <c r="L626" s="2">
        <v>-7.6639999999999997</v>
      </c>
    </row>
    <row r="627" spans="1:12" x14ac:dyDescent="0.25">
      <c r="A627">
        <v>118</v>
      </c>
      <c r="B627">
        <v>1</v>
      </c>
      <c r="C627" s="3">
        <v>6628638</v>
      </c>
      <c r="D627" s="4">
        <v>20823062</v>
      </c>
      <c r="E627">
        <v>75</v>
      </c>
      <c r="F627" s="2">
        <v>0.68700000000000006</v>
      </c>
      <c r="G627" s="2">
        <v>0.89</v>
      </c>
      <c r="H627" s="2">
        <v>3.44E-2</v>
      </c>
      <c r="I627" s="2">
        <v>3.96E-3</v>
      </c>
      <c r="J627" s="2">
        <v>4.36E-2</v>
      </c>
      <c r="K627" s="2">
        <v>0.85399999999999998</v>
      </c>
      <c r="L627" s="2">
        <v>-5.99</v>
      </c>
    </row>
    <row r="628" spans="1:12" x14ac:dyDescent="0.25">
      <c r="A628">
        <v>117</v>
      </c>
      <c r="B628">
        <v>1</v>
      </c>
      <c r="C628" s="3">
        <v>6439718</v>
      </c>
      <c r="D628" s="4">
        <v>5178156</v>
      </c>
      <c r="E628">
        <v>75</v>
      </c>
      <c r="F628" s="2">
        <v>0.59099999999999997</v>
      </c>
      <c r="G628" s="2">
        <v>0.83099999999999996</v>
      </c>
      <c r="H628" s="2">
        <v>3.5499999999999997E-2</v>
      </c>
      <c r="I628" s="2">
        <v>0.23499999999999999</v>
      </c>
      <c r="J628" s="2">
        <v>5.7099999999999998E-2</v>
      </c>
      <c r="K628" s="2">
        <v>0.67800000000000005</v>
      </c>
      <c r="L628" s="2">
        <v>-6.6120000000000001</v>
      </c>
    </row>
    <row r="629" spans="1:12" x14ac:dyDescent="0.25">
      <c r="A629">
        <v>18</v>
      </c>
      <c r="B629">
        <v>2</v>
      </c>
      <c r="C629" s="3">
        <v>6333126</v>
      </c>
      <c r="D629" s="4">
        <v>14097410</v>
      </c>
      <c r="E629">
        <v>75</v>
      </c>
      <c r="F629" s="2">
        <v>0.71299999999999997</v>
      </c>
      <c r="G629" s="2">
        <v>0.79300000000000004</v>
      </c>
      <c r="H629" s="2">
        <v>0.39700000000000002</v>
      </c>
      <c r="I629" s="2">
        <v>0.27100000000000002</v>
      </c>
      <c r="J629" s="2">
        <v>0.72699999999999998</v>
      </c>
      <c r="K629" s="2">
        <v>0.20300000000000001</v>
      </c>
      <c r="L629" s="2">
        <v>-5.2770000000000001</v>
      </c>
    </row>
    <row r="630" spans="1:12" x14ac:dyDescent="0.25">
      <c r="A630">
        <v>137</v>
      </c>
      <c r="B630">
        <v>1</v>
      </c>
      <c r="C630" s="3">
        <v>6237019</v>
      </c>
      <c r="D630" s="4">
        <v>107553</v>
      </c>
      <c r="E630">
        <v>75</v>
      </c>
      <c r="F630" s="2">
        <v>0.52700000000000002</v>
      </c>
      <c r="G630" s="2">
        <v>0.73699999999999999</v>
      </c>
      <c r="H630" s="2">
        <v>6.4199999999999993E-2</v>
      </c>
      <c r="I630" s="2">
        <v>0.05</v>
      </c>
      <c r="J630" s="2">
        <v>0.105</v>
      </c>
      <c r="K630" s="2">
        <v>0.499</v>
      </c>
      <c r="L630" s="2">
        <v>-5.34</v>
      </c>
    </row>
    <row r="631" spans="1:12" x14ac:dyDescent="0.25">
      <c r="A631">
        <v>139</v>
      </c>
      <c r="B631">
        <v>1</v>
      </c>
      <c r="C631" s="3">
        <v>6152821</v>
      </c>
      <c r="D631" s="4">
        <v>8123757</v>
      </c>
      <c r="E631">
        <v>75</v>
      </c>
      <c r="F631" s="2">
        <v>0.83899999999999997</v>
      </c>
      <c r="G631" s="2">
        <v>0.66700000000000004</v>
      </c>
      <c r="H631" s="2">
        <v>3.1E-2</v>
      </c>
      <c r="I631" s="2">
        <v>0.32200000000000001</v>
      </c>
      <c r="J631" s="2">
        <v>0.24399999999999999</v>
      </c>
      <c r="K631" s="2">
        <v>0.878</v>
      </c>
      <c r="L631" s="2">
        <v>-3.9609999999999999</v>
      </c>
    </row>
    <row r="632" spans="1:12" x14ac:dyDescent="0.25">
      <c r="A632">
        <v>122</v>
      </c>
      <c r="B632">
        <v>1</v>
      </c>
      <c r="C632" s="3">
        <v>6083338</v>
      </c>
      <c r="D632" s="4">
        <v>6278835</v>
      </c>
      <c r="E632">
        <v>75</v>
      </c>
      <c r="F632" s="2">
        <v>0.877</v>
      </c>
      <c r="G632" s="2">
        <v>0.44400000000000001</v>
      </c>
      <c r="H632" s="2">
        <v>0.17199999999999999</v>
      </c>
      <c r="I632" s="2">
        <v>0.24</v>
      </c>
      <c r="J632" s="2">
        <v>0.16900000000000001</v>
      </c>
      <c r="K632" s="2">
        <v>0.65800000000000003</v>
      </c>
      <c r="L632" s="2">
        <v>-7.5469999999999997</v>
      </c>
    </row>
    <row r="633" spans="1:12" x14ac:dyDescent="0.25">
      <c r="A633">
        <v>73</v>
      </c>
      <c r="B633">
        <v>6</v>
      </c>
      <c r="C633" s="3">
        <v>5942551</v>
      </c>
      <c r="D633" s="4">
        <v>19102888</v>
      </c>
      <c r="E633">
        <v>75</v>
      </c>
      <c r="F633" s="2">
        <v>0.61299999999999999</v>
      </c>
      <c r="G633" s="2">
        <v>0.63100000000000001</v>
      </c>
      <c r="H633" s="2">
        <v>0.12</v>
      </c>
      <c r="I633" s="2">
        <v>6.6299999999999998E-2</v>
      </c>
      <c r="J633" s="2">
        <v>0.16900000000000001</v>
      </c>
      <c r="K633" s="2">
        <v>0.33</v>
      </c>
      <c r="L633" s="2">
        <v>-6.9649999999999999</v>
      </c>
    </row>
    <row r="634" spans="1:12" x14ac:dyDescent="0.25">
      <c r="A634">
        <v>42</v>
      </c>
      <c r="B634">
        <v>12</v>
      </c>
      <c r="C634" s="3">
        <v>5874460</v>
      </c>
      <c r="D634" s="4">
        <v>1453875</v>
      </c>
      <c r="E634">
        <v>75</v>
      </c>
      <c r="F634" s="2">
        <v>0.82299999999999995</v>
      </c>
      <c r="G634" s="2">
        <v>0.72299999999999998</v>
      </c>
      <c r="H634" s="2">
        <v>0.22900000000000001</v>
      </c>
      <c r="I634" s="2">
        <v>0.311</v>
      </c>
      <c r="J634" s="2">
        <v>9.98E-2</v>
      </c>
      <c r="K634" s="2">
        <v>0.505</v>
      </c>
      <c r="L634" s="2">
        <v>-4.7779999999999996</v>
      </c>
    </row>
    <row r="635" spans="1:12" x14ac:dyDescent="0.25">
      <c r="A635">
        <v>115</v>
      </c>
      <c r="B635">
        <v>1</v>
      </c>
      <c r="C635" s="3">
        <v>5686981</v>
      </c>
      <c r="D635" s="4">
        <v>17732077</v>
      </c>
      <c r="E635">
        <v>75</v>
      </c>
      <c r="F635" s="2">
        <v>0.78500000000000003</v>
      </c>
      <c r="G635" s="2">
        <v>0.55400000000000005</v>
      </c>
      <c r="H635" s="2">
        <v>4.0899999999999999E-2</v>
      </c>
      <c r="I635" s="2">
        <v>0.28299999999999997</v>
      </c>
      <c r="J635" s="2">
        <v>0.11600000000000001</v>
      </c>
      <c r="K635" s="2">
        <v>0.14399999999999999</v>
      </c>
      <c r="L635" s="2">
        <v>-6.5709999999999997</v>
      </c>
    </row>
    <row r="636" spans="1:12" x14ac:dyDescent="0.25">
      <c r="A636">
        <v>165</v>
      </c>
      <c r="B636">
        <v>1</v>
      </c>
      <c r="C636" s="3">
        <v>5527865</v>
      </c>
      <c r="D636" s="4">
        <v>8640063</v>
      </c>
      <c r="E636">
        <v>75</v>
      </c>
      <c r="F636" s="2">
        <v>0.73299999999999998</v>
      </c>
      <c r="G636" s="2">
        <v>0.86199999999999999</v>
      </c>
      <c r="H636" s="2">
        <v>0.19700000000000001</v>
      </c>
      <c r="I636" s="2">
        <v>0.374</v>
      </c>
      <c r="J636" s="2">
        <v>0.13100000000000001</v>
      </c>
      <c r="K636" s="2">
        <v>0.53600000000000003</v>
      </c>
      <c r="L636" s="2">
        <v>-5.7359999999999998</v>
      </c>
    </row>
    <row r="637" spans="1:12" x14ac:dyDescent="0.25">
      <c r="A637">
        <v>112</v>
      </c>
      <c r="B637">
        <v>5</v>
      </c>
      <c r="C637" s="3">
        <v>5463424</v>
      </c>
      <c r="D637" s="4">
        <v>2396662</v>
      </c>
      <c r="E637">
        <v>75</v>
      </c>
      <c r="F637" s="2">
        <v>0.74</v>
      </c>
      <c r="G637" s="2">
        <v>0.41499999999999998</v>
      </c>
      <c r="H637" s="2">
        <v>7.0699999999999999E-2</v>
      </c>
      <c r="I637" s="2">
        <v>0.24199999999999999</v>
      </c>
      <c r="J637" s="2">
        <v>0.31900000000000001</v>
      </c>
      <c r="K637" s="2">
        <v>0.156</v>
      </c>
      <c r="L637" s="2">
        <v>-8.9139999999999997</v>
      </c>
    </row>
    <row r="638" spans="1:12" x14ac:dyDescent="0.25">
      <c r="A638">
        <v>64</v>
      </c>
      <c r="B638">
        <v>2</v>
      </c>
      <c r="C638" s="3">
        <v>5462333</v>
      </c>
      <c r="D638" s="4">
        <v>6852509</v>
      </c>
      <c r="E638">
        <v>75</v>
      </c>
      <c r="F638" s="2">
        <v>0.751</v>
      </c>
      <c r="G638" s="2">
        <v>0.74399999999999999</v>
      </c>
      <c r="H638" s="2">
        <v>0.17699999999999999</v>
      </c>
      <c r="I638" s="2">
        <v>0.152</v>
      </c>
      <c r="J638" s="2">
        <v>0.252</v>
      </c>
      <c r="K638" s="2">
        <v>0.63400000000000001</v>
      </c>
      <c r="L638" s="2">
        <v>-6.859</v>
      </c>
    </row>
    <row r="639" spans="1:12" x14ac:dyDescent="0.25">
      <c r="A639">
        <v>158</v>
      </c>
      <c r="B639">
        <v>1</v>
      </c>
      <c r="C639" s="3">
        <v>5446609</v>
      </c>
      <c r="D639" s="4">
        <v>2147875</v>
      </c>
      <c r="E639">
        <v>75</v>
      </c>
      <c r="F639" s="2">
        <v>0.40300000000000002</v>
      </c>
      <c r="G639" s="2">
        <v>0.53700000000000003</v>
      </c>
      <c r="H639" s="2">
        <v>3.1E-2</v>
      </c>
      <c r="I639" s="2">
        <v>0.59</v>
      </c>
      <c r="J639" s="2">
        <v>0.112</v>
      </c>
      <c r="K639" s="2">
        <v>0.41399999999999998</v>
      </c>
      <c r="L639" s="2">
        <v>-6.6280000000000001</v>
      </c>
    </row>
    <row r="640" spans="1:12" x14ac:dyDescent="0.25">
      <c r="A640">
        <v>155</v>
      </c>
      <c r="B640">
        <v>22</v>
      </c>
      <c r="C640" s="3">
        <v>5382191</v>
      </c>
      <c r="D640" s="4">
        <v>6118063</v>
      </c>
      <c r="E640">
        <v>75</v>
      </c>
      <c r="F640" s="2">
        <v>0.35599999999999998</v>
      </c>
      <c r="G640" s="2">
        <v>0.92400000000000004</v>
      </c>
      <c r="H640" s="2">
        <v>8.0799999999999997E-2</v>
      </c>
      <c r="I640" s="2">
        <v>1.01E-3</v>
      </c>
      <c r="J640" s="2">
        <v>9.5299999999999996E-2</v>
      </c>
      <c r="K640" s="2">
        <v>0.23200000000000001</v>
      </c>
      <c r="L640" s="2">
        <v>-3.74</v>
      </c>
    </row>
    <row r="641" spans="1:12" x14ac:dyDescent="0.25">
      <c r="A641">
        <v>175</v>
      </c>
      <c r="B641">
        <v>1</v>
      </c>
      <c r="C641" s="3">
        <v>5368759</v>
      </c>
      <c r="D641" s="4">
        <v>19085118</v>
      </c>
      <c r="E641">
        <v>75</v>
      </c>
      <c r="F641" s="2">
        <v>0.66300000000000003</v>
      </c>
      <c r="G641" s="2">
        <v>0.54500000000000004</v>
      </c>
      <c r="H641" s="2">
        <v>3.5999999999999997E-2</v>
      </c>
      <c r="I641" s="2">
        <v>0.123</v>
      </c>
      <c r="J641" s="2">
        <v>0.106</v>
      </c>
      <c r="K641" s="2">
        <v>0.34399999999999997</v>
      </c>
      <c r="L641" s="2">
        <v>-3.93</v>
      </c>
    </row>
    <row r="642" spans="1:12" x14ac:dyDescent="0.25">
      <c r="A642">
        <v>110</v>
      </c>
      <c r="B642">
        <v>2</v>
      </c>
      <c r="C642" s="3">
        <v>5366242</v>
      </c>
      <c r="D642" s="4">
        <v>1304510</v>
      </c>
      <c r="E642">
        <v>75</v>
      </c>
      <c r="F642" s="2">
        <v>0.74</v>
      </c>
      <c r="G642" s="2">
        <v>0.57599999999999996</v>
      </c>
      <c r="H642" s="2">
        <v>0.14599999999999999</v>
      </c>
      <c r="I642" s="2">
        <v>2.4899999999999999E-2</v>
      </c>
      <c r="J642" s="2">
        <v>0.104</v>
      </c>
      <c r="K642" s="2">
        <v>0.315</v>
      </c>
      <c r="L642" s="2">
        <v>-6.7439999999999998</v>
      </c>
    </row>
    <row r="643" spans="1:12" x14ac:dyDescent="0.25">
      <c r="A643">
        <v>14</v>
      </c>
      <c r="B643">
        <v>6</v>
      </c>
      <c r="C643" s="3">
        <v>5210780</v>
      </c>
      <c r="D643" s="4">
        <v>6189454</v>
      </c>
      <c r="E643">
        <v>75</v>
      </c>
      <c r="F643" s="2">
        <v>0.79400000000000004</v>
      </c>
      <c r="G643" s="2">
        <v>0.32</v>
      </c>
      <c r="H643" s="2">
        <v>0.17299999999999999</v>
      </c>
      <c r="I643" s="2">
        <v>0.85299999999999998</v>
      </c>
      <c r="J643" s="2">
        <v>0.112</v>
      </c>
      <c r="K643" s="2">
        <v>0.24099999999999999</v>
      </c>
      <c r="L643" s="2">
        <v>-12.92</v>
      </c>
    </row>
    <row r="644" spans="1:12" x14ac:dyDescent="0.25">
      <c r="A644">
        <v>163</v>
      </c>
      <c r="B644">
        <v>1</v>
      </c>
      <c r="C644" s="3">
        <v>5204120</v>
      </c>
      <c r="D644" s="4">
        <v>7564659</v>
      </c>
      <c r="E644">
        <v>75</v>
      </c>
      <c r="F644" s="2">
        <v>0.443</v>
      </c>
      <c r="G644" s="2">
        <v>0.58199999999999996</v>
      </c>
      <c r="H644" s="2">
        <v>4.82E-2</v>
      </c>
      <c r="I644" s="2">
        <v>3.0099999999999998E-2</v>
      </c>
      <c r="J644" s="2">
        <v>0.127</v>
      </c>
      <c r="K644" s="2">
        <v>0.23899999999999999</v>
      </c>
      <c r="L644" s="2">
        <v>-6.02</v>
      </c>
    </row>
    <row r="645" spans="1:12" x14ac:dyDescent="0.25">
      <c r="A645">
        <v>138</v>
      </c>
      <c r="B645">
        <v>3</v>
      </c>
      <c r="C645" s="3">
        <v>5199618</v>
      </c>
      <c r="D645" s="4">
        <v>33663701</v>
      </c>
      <c r="E645">
        <v>75</v>
      </c>
      <c r="F645" s="2">
        <v>0.499</v>
      </c>
      <c r="G645" s="2">
        <v>0.8</v>
      </c>
      <c r="H645" s="2">
        <v>5.0200000000000002E-2</v>
      </c>
      <c r="I645" s="2">
        <v>9.06E-2</v>
      </c>
      <c r="J645" s="2">
        <v>0.14699999999999999</v>
      </c>
      <c r="K645" s="2">
        <v>0.27200000000000002</v>
      </c>
      <c r="L645" s="2">
        <v>-2.665</v>
      </c>
    </row>
    <row r="646" spans="1:12" x14ac:dyDescent="0.25">
      <c r="A646">
        <v>100</v>
      </c>
      <c r="B646">
        <v>11</v>
      </c>
      <c r="C646" s="3">
        <v>5198209</v>
      </c>
      <c r="D646" s="4">
        <v>423237</v>
      </c>
      <c r="E646">
        <v>75</v>
      </c>
      <c r="F646" s="2">
        <v>0.75900000000000001</v>
      </c>
      <c r="G646" s="2">
        <v>0.53800000000000003</v>
      </c>
      <c r="H646" s="2">
        <v>0.38400000000000001</v>
      </c>
      <c r="I646" s="2">
        <v>0.151</v>
      </c>
      <c r="J646" s="2">
        <v>0.126</v>
      </c>
      <c r="K646" s="2">
        <v>0.83099999999999996</v>
      </c>
      <c r="L646" s="2">
        <v>-8.2560000000000002</v>
      </c>
    </row>
    <row r="647" spans="1:12" x14ac:dyDescent="0.25">
      <c r="A647">
        <v>153</v>
      </c>
      <c r="B647">
        <v>2</v>
      </c>
      <c r="C647" s="3">
        <v>5172999</v>
      </c>
      <c r="D647" s="4">
        <v>3198705</v>
      </c>
      <c r="E647">
        <v>75</v>
      </c>
      <c r="F647" s="2">
        <v>0.73699999999999999</v>
      </c>
      <c r="G647" s="2">
        <v>0.63400000000000001</v>
      </c>
      <c r="H647" s="2">
        <v>4.24E-2</v>
      </c>
      <c r="I647" s="2">
        <v>0.34499999999999997</v>
      </c>
      <c r="J647" s="2">
        <v>0.111</v>
      </c>
      <c r="K647" s="2">
        <v>0.52800000000000002</v>
      </c>
      <c r="L647" s="2">
        <v>-4.25</v>
      </c>
    </row>
    <row r="648" spans="1:12" x14ac:dyDescent="0.25">
      <c r="A648">
        <v>7</v>
      </c>
      <c r="B648">
        <v>16</v>
      </c>
      <c r="C648" s="3">
        <v>5164187</v>
      </c>
      <c r="D648" s="4">
        <v>19102888</v>
      </c>
      <c r="E648">
        <v>75</v>
      </c>
      <c r="F648" s="2">
        <v>0.69399999999999995</v>
      </c>
      <c r="G648" s="2">
        <v>0.68500000000000005</v>
      </c>
      <c r="H648" s="2">
        <v>0.13300000000000001</v>
      </c>
      <c r="I648" s="2">
        <v>0.224</v>
      </c>
      <c r="J648" s="2">
        <v>0.124</v>
      </c>
      <c r="K648" s="2">
        <v>0.30599999999999999</v>
      </c>
      <c r="L648" s="2">
        <v>-6.5350000000000001</v>
      </c>
    </row>
    <row r="649" spans="1:12" x14ac:dyDescent="0.25">
      <c r="A649">
        <v>35</v>
      </c>
      <c r="B649">
        <v>27</v>
      </c>
      <c r="C649" s="3">
        <v>5145966</v>
      </c>
      <c r="D649" s="4">
        <v>2897862</v>
      </c>
      <c r="E649">
        <v>75</v>
      </c>
      <c r="F649" s="2">
        <v>0.80700000000000005</v>
      </c>
      <c r="G649" s="2">
        <v>0.65600000000000003</v>
      </c>
      <c r="H649" s="2">
        <v>0.105</v>
      </c>
      <c r="I649" s="2">
        <v>1.6500000000000001E-2</v>
      </c>
      <c r="J649" s="2">
        <v>6.93E-2</v>
      </c>
      <c r="K649" s="2">
        <v>0.89</v>
      </c>
      <c r="L649" s="2">
        <v>-4.3949999999999996</v>
      </c>
    </row>
    <row r="650" spans="1:12" x14ac:dyDescent="0.25">
      <c r="A650">
        <v>69</v>
      </c>
      <c r="B650">
        <v>11</v>
      </c>
      <c r="C650" s="3">
        <v>5121486</v>
      </c>
      <c r="D650" s="4">
        <v>7601122</v>
      </c>
      <c r="E650">
        <v>75</v>
      </c>
      <c r="F650" s="2">
        <v>0.76800000000000002</v>
      </c>
      <c r="G650" s="2">
        <v>0.65200000000000002</v>
      </c>
      <c r="H650" s="2">
        <v>0.307</v>
      </c>
      <c r="I650" s="2">
        <v>0.113</v>
      </c>
      <c r="J650" s="2">
        <v>0.107</v>
      </c>
      <c r="K650" s="2">
        <v>0.77700000000000002</v>
      </c>
      <c r="L650" s="2">
        <v>-2.7080000000000002</v>
      </c>
    </row>
    <row r="651" spans="1:12" x14ac:dyDescent="0.25">
      <c r="A651">
        <v>129</v>
      </c>
      <c r="B651">
        <v>3</v>
      </c>
      <c r="C651" s="3">
        <v>5118004</v>
      </c>
      <c r="D651" s="4">
        <v>46814751</v>
      </c>
      <c r="E651">
        <v>75</v>
      </c>
      <c r="F651" s="2">
        <v>0.69199999999999995</v>
      </c>
      <c r="G651" s="2">
        <v>0.74399999999999999</v>
      </c>
      <c r="H651" s="2">
        <v>0.25700000000000001</v>
      </c>
      <c r="I651" s="2">
        <v>8.6800000000000002E-3</v>
      </c>
      <c r="J651" s="2">
        <v>0.35899999999999999</v>
      </c>
      <c r="K651" s="2">
        <v>6.1199999999999997E-2</v>
      </c>
      <c r="L651" s="2">
        <v>-4.5650000000000004</v>
      </c>
    </row>
    <row r="652" spans="1:12" x14ac:dyDescent="0.25">
      <c r="A652">
        <v>106</v>
      </c>
      <c r="B652">
        <v>10</v>
      </c>
      <c r="C652" s="3">
        <v>5078459</v>
      </c>
      <c r="D652" s="4">
        <v>4963516</v>
      </c>
      <c r="E652">
        <v>75</v>
      </c>
      <c r="F652" s="2">
        <v>0.79500000000000004</v>
      </c>
      <c r="G652" s="2">
        <v>0.78300000000000003</v>
      </c>
      <c r="H652" s="2">
        <v>4.3200000000000002E-2</v>
      </c>
      <c r="I652" s="2">
        <v>0.36099999999999999</v>
      </c>
      <c r="J652" s="2">
        <v>0.437</v>
      </c>
      <c r="K652" s="2">
        <v>0.79900000000000004</v>
      </c>
      <c r="L652" s="2">
        <v>-4.2709999999999999</v>
      </c>
    </row>
    <row r="653" spans="1:12" x14ac:dyDescent="0.25">
      <c r="A653">
        <v>118</v>
      </c>
      <c r="B653">
        <v>8</v>
      </c>
      <c r="C653" s="3">
        <v>5074485</v>
      </c>
      <c r="D653" s="4">
        <v>47061119</v>
      </c>
      <c r="E653">
        <v>75</v>
      </c>
      <c r="F653" s="2">
        <v>0.72599999999999998</v>
      </c>
      <c r="G653" s="2">
        <v>0.44400000000000001</v>
      </c>
      <c r="H653" s="2">
        <v>0.372</v>
      </c>
      <c r="I653" s="2">
        <v>0.28299999999999997</v>
      </c>
      <c r="J653" s="2">
        <v>0.17699999999999999</v>
      </c>
      <c r="K653" s="2">
        <v>0.56899999999999995</v>
      </c>
      <c r="L653" s="2">
        <v>-8.9220000000000006</v>
      </c>
    </row>
    <row r="654" spans="1:12" x14ac:dyDescent="0.25">
      <c r="A654">
        <v>167</v>
      </c>
      <c r="B654">
        <v>2</v>
      </c>
      <c r="C654" s="3">
        <v>5072462</v>
      </c>
      <c r="D654" s="4">
        <v>26784251</v>
      </c>
      <c r="E654">
        <v>75</v>
      </c>
      <c r="F654" s="2">
        <v>0.66400000000000003</v>
      </c>
      <c r="G654" s="2">
        <v>0.66500000000000004</v>
      </c>
      <c r="H654" s="2">
        <v>8.7900000000000006E-2</v>
      </c>
      <c r="I654" s="2">
        <v>0.123</v>
      </c>
      <c r="J654" s="2">
        <v>0.41099999999999998</v>
      </c>
      <c r="K654" s="2">
        <v>0.72599999999999998</v>
      </c>
      <c r="L654" s="2">
        <v>-3.6160000000000001</v>
      </c>
    </row>
    <row r="655" spans="1:12" x14ac:dyDescent="0.25">
      <c r="A655">
        <v>37</v>
      </c>
      <c r="B655">
        <v>3</v>
      </c>
      <c r="C655" s="3">
        <v>5047752</v>
      </c>
      <c r="D655" s="4">
        <v>19102888</v>
      </c>
      <c r="E655">
        <v>75</v>
      </c>
      <c r="F655" s="2">
        <v>0.745</v>
      </c>
      <c r="G655" s="2">
        <v>0.5</v>
      </c>
      <c r="H655" s="2">
        <v>0.13500000000000001</v>
      </c>
      <c r="I655" s="2">
        <v>0.439</v>
      </c>
      <c r="J655" s="2">
        <v>9.4299999999999995E-2</v>
      </c>
      <c r="K655" s="2">
        <v>0.433</v>
      </c>
      <c r="L655" s="2">
        <v>-6.1840000000000002</v>
      </c>
    </row>
    <row r="656" spans="1:12" x14ac:dyDescent="0.25">
      <c r="A656">
        <v>22</v>
      </c>
      <c r="B656">
        <v>8</v>
      </c>
      <c r="C656" s="3">
        <v>5039047</v>
      </c>
      <c r="D656" s="4">
        <v>23848461</v>
      </c>
      <c r="E656">
        <v>75</v>
      </c>
      <c r="F656" s="2">
        <v>0.70099999999999996</v>
      </c>
      <c r="G656" s="2">
        <v>0.55600000000000005</v>
      </c>
      <c r="H656" s="2">
        <v>4.1399999999999999E-2</v>
      </c>
      <c r="I656" s="2">
        <v>8.8599999999999998E-3</v>
      </c>
      <c r="J656" s="2">
        <v>0.106</v>
      </c>
      <c r="K656" s="2">
        <v>0.33300000000000002</v>
      </c>
      <c r="L656" s="2">
        <v>-7.42</v>
      </c>
    </row>
    <row r="657" spans="1:12" x14ac:dyDescent="0.25">
      <c r="A657">
        <v>37</v>
      </c>
      <c r="B657">
        <v>25</v>
      </c>
      <c r="C657" s="3">
        <v>5004462</v>
      </c>
      <c r="D657" s="4">
        <v>29238936</v>
      </c>
      <c r="E657">
        <v>75</v>
      </c>
      <c r="F657" s="2">
        <v>0.73399999999999999</v>
      </c>
      <c r="G657" s="2">
        <v>0.77500000000000002</v>
      </c>
      <c r="H657" s="2">
        <v>6.1400000000000003E-2</v>
      </c>
      <c r="I657" s="2">
        <v>0.186</v>
      </c>
      <c r="J657" s="2">
        <v>0.123</v>
      </c>
      <c r="K657" s="2">
        <v>0.72</v>
      </c>
      <c r="L657" s="2">
        <v>-3.855</v>
      </c>
    </row>
    <row r="658" spans="1:12" x14ac:dyDescent="0.25">
      <c r="A658">
        <v>37</v>
      </c>
      <c r="B658">
        <v>3</v>
      </c>
      <c r="C658" s="3">
        <v>5004111</v>
      </c>
      <c r="D658" s="4">
        <v>48544923</v>
      </c>
      <c r="E658">
        <v>75</v>
      </c>
      <c r="F658" s="2">
        <v>0.50900000000000001</v>
      </c>
      <c r="G658" s="2">
        <v>0.22800000000000001</v>
      </c>
      <c r="H658" s="2">
        <v>3.32E-2</v>
      </c>
      <c r="I658" s="2">
        <v>0.92</v>
      </c>
      <c r="J658" s="2">
        <v>0.104</v>
      </c>
      <c r="K658" s="2">
        <v>0.58599999999999997</v>
      </c>
      <c r="L658" s="2">
        <v>-8.68</v>
      </c>
    </row>
    <row r="659" spans="1:12" x14ac:dyDescent="0.25">
      <c r="A659">
        <v>101</v>
      </c>
      <c r="B659">
        <v>7</v>
      </c>
      <c r="C659" s="3">
        <v>4961249</v>
      </c>
      <c r="D659" s="4">
        <v>4769627</v>
      </c>
      <c r="E659">
        <v>75</v>
      </c>
      <c r="F659" s="2">
        <v>0.88200000000000001</v>
      </c>
      <c r="G659" s="2">
        <v>0.68899999999999995</v>
      </c>
      <c r="H659" s="2">
        <v>0.124</v>
      </c>
      <c r="I659" s="2">
        <v>0.39</v>
      </c>
      <c r="J659" s="2">
        <v>5.0099999999999999E-2</v>
      </c>
      <c r="K659" s="2">
        <v>0.746</v>
      </c>
      <c r="L659" s="2">
        <v>-4.0270000000000001</v>
      </c>
    </row>
    <row r="660" spans="1:12" x14ac:dyDescent="0.25">
      <c r="A660">
        <v>25</v>
      </c>
      <c r="B660">
        <v>6</v>
      </c>
      <c r="C660" s="3">
        <v>4951481</v>
      </c>
      <c r="D660" s="4">
        <v>9949044</v>
      </c>
      <c r="E660">
        <v>75</v>
      </c>
      <c r="F660" s="2">
        <v>0.64700000000000002</v>
      </c>
      <c r="G660" s="2">
        <v>0.66700000000000004</v>
      </c>
      <c r="H660" s="2">
        <v>0.30399999999999999</v>
      </c>
      <c r="I660" s="2">
        <v>0.23100000000000001</v>
      </c>
      <c r="J660" s="2">
        <v>0.13300000000000001</v>
      </c>
      <c r="K660" s="2">
        <v>0.70399999999999996</v>
      </c>
      <c r="L660" s="2">
        <v>-5.5629999999999997</v>
      </c>
    </row>
    <row r="661" spans="1:12" x14ac:dyDescent="0.25">
      <c r="A661">
        <v>44</v>
      </c>
      <c r="B661">
        <v>5</v>
      </c>
      <c r="C661" s="3">
        <v>4946613</v>
      </c>
      <c r="D661" s="4">
        <v>36177712</v>
      </c>
      <c r="E661">
        <v>75</v>
      </c>
      <c r="F661" s="2">
        <v>0.73699999999999999</v>
      </c>
      <c r="G661" s="2">
        <v>0.76600000000000001</v>
      </c>
      <c r="H661" s="2">
        <v>4.58E-2</v>
      </c>
      <c r="I661" s="2">
        <v>0.31</v>
      </c>
      <c r="J661" s="2">
        <v>0.114</v>
      </c>
      <c r="K661" s="2">
        <v>0.66200000000000003</v>
      </c>
      <c r="L661" s="2">
        <v>-4.242</v>
      </c>
    </row>
    <row r="662" spans="1:12" x14ac:dyDescent="0.25">
      <c r="A662">
        <v>13</v>
      </c>
      <c r="B662">
        <v>38</v>
      </c>
      <c r="C662" s="3">
        <v>4942545</v>
      </c>
      <c r="D662" s="4">
        <v>2127531</v>
      </c>
      <c r="E662">
        <v>75</v>
      </c>
      <c r="F662" s="2">
        <v>0.81499999999999995</v>
      </c>
      <c r="G662" s="2">
        <v>0.71499999999999997</v>
      </c>
      <c r="H662" s="2">
        <v>0.20699999999999999</v>
      </c>
      <c r="I662" s="2">
        <v>0.3</v>
      </c>
      <c r="J662" s="2">
        <v>9.0999999999999998E-2</v>
      </c>
      <c r="K662" s="2">
        <v>0.78600000000000003</v>
      </c>
      <c r="L662" s="2">
        <v>-4.6500000000000004</v>
      </c>
    </row>
    <row r="663" spans="1:12" x14ac:dyDescent="0.25">
      <c r="A663">
        <v>188</v>
      </c>
      <c r="B663">
        <v>1</v>
      </c>
      <c r="C663" s="3">
        <v>4879971</v>
      </c>
      <c r="D663" s="4">
        <v>2147875</v>
      </c>
      <c r="E663">
        <v>75</v>
      </c>
      <c r="F663" s="2">
        <v>0.62</v>
      </c>
      <c r="G663" s="2">
        <v>0.86899999999999999</v>
      </c>
      <c r="H663" s="2">
        <v>4.6199999999999998E-2</v>
      </c>
      <c r="I663" s="2">
        <v>0.61499999999999999</v>
      </c>
      <c r="J663" s="2">
        <v>0.13100000000000001</v>
      </c>
      <c r="K663" s="2">
        <v>0.59699999999999998</v>
      </c>
      <c r="L663" s="2">
        <v>-5.4790000000000001</v>
      </c>
    </row>
    <row r="664" spans="1:12" x14ac:dyDescent="0.25">
      <c r="A664">
        <v>10</v>
      </c>
      <c r="B664">
        <v>7</v>
      </c>
      <c r="C664" s="3">
        <v>4848954</v>
      </c>
      <c r="D664" s="4">
        <v>42227614</v>
      </c>
      <c r="E664">
        <v>75</v>
      </c>
      <c r="F664" s="2">
        <v>0.46200000000000002</v>
      </c>
      <c r="G664" s="2">
        <v>0.24</v>
      </c>
      <c r="H664" s="2">
        <v>3.7699999999999997E-2</v>
      </c>
      <c r="I664" s="2">
        <v>0.92</v>
      </c>
      <c r="J664" s="2">
        <v>0.113</v>
      </c>
      <c r="K664" s="2">
        <v>0.32</v>
      </c>
      <c r="L664" s="2">
        <v>-12.077</v>
      </c>
    </row>
    <row r="665" spans="1:12" x14ac:dyDescent="0.25">
      <c r="A665">
        <v>37</v>
      </c>
      <c r="B665">
        <v>14</v>
      </c>
      <c r="C665" s="3">
        <v>4817969</v>
      </c>
      <c r="D665" s="4">
        <v>2172969</v>
      </c>
      <c r="E665">
        <v>75</v>
      </c>
      <c r="F665" s="2">
        <v>0.69599999999999995</v>
      </c>
      <c r="G665" s="2">
        <v>0.67800000000000005</v>
      </c>
      <c r="H665" s="2">
        <v>7.3499999999999996E-2</v>
      </c>
      <c r="I665" s="2">
        <v>0.58199999999999996</v>
      </c>
      <c r="J665" s="2">
        <v>0.13400000000000001</v>
      </c>
      <c r="K665" s="2">
        <v>0.34599999999999997</v>
      </c>
      <c r="L665" s="2">
        <v>-5.8929999999999998</v>
      </c>
    </row>
    <row r="666" spans="1:12" x14ac:dyDescent="0.25">
      <c r="A666">
        <v>9</v>
      </c>
      <c r="B666">
        <v>11</v>
      </c>
      <c r="C666" s="3">
        <v>4805366</v>
      </c>
      <c r="D666" s="4">
        <v>19102888</v>
      </c>
      <c r="E666">
        <v>75</v>
      </c>
      <c r="F666" s="2">
        <v>0.747</v>
      </c>
      <c r="G666" s="2">
        <v>0.622</v>
      </c>
      <c r="H666" s="2">
        <v>8.3799999999999999E-2</v>
      </c>
      <c r="I666" s="2">
        <v>0.17599999999999999</v>
      </c>
      <c r="J666" s="2">
        <v>0.151</v>
      </c>
      <c r="K666" s="2">
        <v>0.56999999999999995</v>
      </c>
      <c r="L666" s="2">
        <v>-5.8250000000000002</v>
      </c>
    </row>
    <row r="667" spans="1:12" x14ac:dyDescent="0.25">
      <c r="A667">
        <v>6</v>
      </c>
      <c r="B667">
        <v>15</v>
      </c>
      <c r="C667" s="3">
        <v>4796365</v>
      </c>
      <c r="D667" s="4">
        <v>23848461</v>
      </c>
      <c r="E667">
        <v>75</v>
      </c>
      <c r="F667" s="2">
        <v>0.65400000000000003</v>
      </c>
      <c r="G667" s="2">
        <v>0.70699999999999996</v>
      </c>
      <c r="H667" s="2">
        <v>6.6400000000000001E-2</v>
      </c>
      <c r="I667" s="2">
        <v>5.5900000000000004E-3</v>
      </c>
      <c r="J667" s="2">
        <v>8.7300000000000003E-2</v>
      </c>
      <c r="K667" s="2">
        <v>0.44800000000000001</v>
      </c>
      <c r="L667" s="2">
        <v>-5.6609999999999996</v>
      </c>
    </row>
    <row r="668" spans="1:12" x14ac:dyDescent="0.25">
      <c r="A668">
        <v>61</v>
      </c>
      <c r="B668">
        <v>12</v>
      </c>
      <c r="C668" s="3">
        <v>4785720</v>
      </c>
      <c r="D668" s="4">
        <v>509411</v>
      </c>
      <c r="E668">
        <v>75</v>
      </c>
      <c r="F668" s="2">
        <v>0.73399999999999999</v>
      </c>
      <c r="G668" s="2">
        <v>0.83599999999999997</v>
      </c>
      <c r="H668" s="2">
        <v>7.3499999999999996E-2</v>
      </c>
      <c r="I668" s="2">
        <v>1.7000000000000001E-2</v>
      </c>
      <c r="J668" s="2">
        <v>0.17899999999999999</v>
      </c>
      <c r="K668" s="2">
        <v>0.623</v>
      </c>
      <c r="L668" s="2">
        <v>-4.8029999999999999</v>
      </c>
    </row>
    <row r="669" spans="1:12" x14ac:dyDescent="0.25">
      <c r="A669">
        <v>172</v>
      </c>
      <c r="B669">
        <v>14</v>
      </c>
      <c r="C669" s="3">
        <v>4765198</v>
      </c>
      <c r="D669" s="4">
        <v>2819406</v>
      </c>
      <c r="E669">
        <v>75</v>
      </c>
      <c r="F669" s="2">
        <v>0.47899999999999998</v>
      </c>
      <c r="G669" s="2">
        <v>0.54500000000000004</v>
      </c>
      <c r="H669" s="2">
        <v>6.88E-2</v>
      </c>
      <c r="I669" s="2">
        <v>0.36499999999999999</v>
      </c>
      <c r="J669" s="2">
        <v>9.6299999999999997E-2</v>
      </c>
      <c r="K669" s="2">
        <v>0.24299999999999999</v>
      </c>
      <c r="L669" s="2">
        <v>-7.3460000000000001</v>
      </c>
    </row>
    <row r="670" spans="1:12" x14ac:dyDescent="0.25">
      <c r="A670">
        <v>62</v>
      </c>
      <c r="B670">
        <v>4</v>
      </c>
      <c r="C670" s="3">
        <v>4764954</v>
      </c>
      <c r="D670" s="4">
        <v>4939593</v>
      </c>
      <c r="E670">
        <v>75</v>
      </c>
      <c r="F670" s="2">
        <v>0.67600000000000005</v>
      </c>
      <c r="G670" s="2">
        <v>0.86899999999999999</v>
      </c>
      <c r="H670" s="2">
        <v>4.2299999999999997E-2</v>
      </c>
      <c r="I670" s="2">
        <v>0.115</v>
      </c>
      <c r="J670" s="2">
        <v>0.13200000000000001</v>
      </c>
      <c r="K670" s="2">
        <v>0.59399999999999997</v>
      </c>
      <c r="L670" s="2">
        <v>-1.573</v>
      </c>
    </row>
    <row r="671" spans="1:12" x14ac:dyDescent="0.25">
      <c r="A671">
        <v>15</v>
      </c>
      <c r="B671">
        <v>21</v>
      </c>
      <c r="C671" s="3">
        <v>4752289</v>
      </c>
      <c r="D671" s="4">
        <v>4769627</v>
      </c>
      <c r="E671">
        <v>75</v>
      </c>
      <c r="F671" s="2">
        <v>0.77600000000000002</v>
      </c>
      <c r="G671" s="2">
        <v>0.50900000000000001</v>
      </c>
      <c r="H671" s="2">
        <v>0.46700000000000003</v>
      </c>
      <c r="I671" s="2">
        <v>0.192</v>
      </c>
      <c r="J671" s="2">
        <v>0.115</v>
      </c>
      <c r="K671" s="2">
        <v>0.48499999999999999</v>
      </c>
      <c r="L671" s="2">
        <v>-6.266</v>
      </c>
    </row>
    <row r="672" spans="1:12" x14ac:dyDescent="0.25">
      <c r="A672">
        <v>170</v>
      </c>
      <c r="B672">
        <v>1</v>
      </c>
      <c r="C672" s="3">
        <v>4736059</v>
      </c>
      <c r="D672" s="4">
        <v>8671649</v>
      </c>
      <c r="E672">
        <v>75</v>
      </c>
      <c r="F672" s="2">
        <v>0.68799999999999994</v>
      </c>
      <c r="G672" s="2">
        <v>0.71599999999999997</v>
      </c>
      <c r="H672" s="2">
        <v>3.85E-2</v>
      </c>
      <c r="I672" s="2">
        <v>9.69E-2</v>
      </c>
      <c r="J672" s="2">
        <v>9.8900000000000002E-2</v>
      </c>
      <c r="K672" s="2">
        <v>0.373</v>
      </c>
      <c r="L672" s="2">
        <v>-5.702</v>
      </c>
    </row>
    <row r="673" spans="1:12" x14ac:dyDescent="0.25">
      <c r="A673">
        <v>32</v>
      </c>
      <c r="B673">
        <v>23</v>
      </c>
      <c r="C673" s="3">
        <v>4709053</v>
      </c>
      <c r="D673" s="4">
        <v>7593792</v>
      </c>
      <c r="E673">
        <v>75</v>
      </c>
      <c r="F673" s="2">
        <v>0.57999999999999996</v>
      </c>
      <c r="G673" s="2">
        <v>0.58599999999999997</v>
      </c>
      <c r="H673" s="2">
        <v>3.5700000000000003E-2</v>
      </c>
      <c r="I673" s="2">
        <v>0.34399999999999997</v>
      </c>
      <c r="J673" s="2">
        <v>7.5499999999999998E-2</v>
      </c>
      <c r="K673" s="2">
        <v>0.50700000000000001</v>
      </c>
      <c r="L673" s="2">
        <v>-6.883</v>
      </c>
    </row>
    <row r="674" spans="1:12" x14ac:dyDescent="0.25">
      <c r="A674">
        <v>135</v>
      </c>
      <c r="B674">
        <v>15</v>
      </c>
      <c r="C674" s="3">
        <v>4705484</v>
      </c>
      <c r="D674" s="4">
        <v>10580764</v>
      </c>
      <c r="E674">
        <v>75</v>
      </c>
      <c r="F674" s="2">
        <v>0.48299999999999998</v>
      </c>
      <c r="G674" s="2">
        <v>0.49199999999999999</v>
      </c>
      <c r="H674" s="2">
        <v>0.29499999999999998</v>
      </c>
      <c r="I674" s="2">
        <v>0.60299999999999998</v>
      </c>
      <c r="J674" s="2">
        <v>0.32300000000000001</v>
      </c>
      <c r="K674" s="2">
        <v>0.66</v>
      </c>
      <c r="L674" s="2">
        <v>-6.5910000000000002</v>
      </c>
    </row>
    <row r="675" spans="1:12" x14ac:dyDescent="0.25">
      <c r="A675">
        <v>143</v>
      </c>
      <c r="B675">
        <v>7</v>
      </c>
      <c r="C675" s="3">
        <v>4632724</v>
      </c>
      <c r="D675" s="4">
        <v>17931101</v>
      </c>
      <c r="E675">
        <v>75</v>
      </c>
      <c r="F675" s="2">
        <v>0.71599999999999997</v>
      </c>
      <c r="G675" s="2">
        <v>0.53100000000000003</v>
      </c>
      <c r="H675" s="2">
        <v>0.122</v>
      </c>
      <c r="I675" s="2">
        <v>7.0300000000000001E-2</v>
      </c>
      <c r="J675" s="2">
        <v>0.224</v>
      </c>
      <c r="K675" s="2">
        <v>0.34399999999999997</v>
      </c>
      <c r="L675" s="2">
        <v>-7.3550000000000004</v>
      </c>
    </row>
    <row r="676" spans="1:12" x14ac:dyDescent="0.25">
      <c r="A676">
        <v>42</v>
      </c>
      <c r="B676">
        <v>12</v>
      </c>
      <c r="C676" s="3">
        <v>4609358</v>
      </c>
      <c r="D676" s="4">
        <v>644479</v>
      </c>
      <c r="E676">
        <v>75</v>
      </c>
      <c r="F676" s="2">
        <v>0.57199999999999995</v>
      </c>
      <c r="G676" s="2">
        <v>0.40600000000000003</v>
      </c>
      <c r="H676" s="2">
        <v>4.2700000000000002E-2</v>
      </c>
      <c r="I676" s="2">
        <v>0.58699999999999997</v>
      </c>
      <c r="J676" s="2">
        <v>0.10199999999999999</v>
      </c>
      <c r="K676" s="2">
        <v>0.26500000000000001</v>
      </c>
      <c r="L676" s="2">
        <v>-8.6240000000000006</v>
      </c>
    </row>
    <row r="677" spans="1:12" x14ac:dyDescent="0.25">
      <c r="A677">
        <v>54</v>
      </c>
      <c r="B677">
        <v>29</v>
      </c>
      <c r="C677" s="3">
        <v>4607003</v>
      </c>
      <c r="D677" s="4">
        <v>6096559</v>
      </c>
      <c r="E677">
        <v>75</v>
      </c>
      <c r="F677" s="2">
        <v>0.82399999999999995</v>
      </c>
      <c r="G677" s="2">
        <v>0.63100000000000001</v>
      </c>
      <c r="H677" s="2">
        <v>8.09E-2</v>
      </c>
      <c r="I677" s="2">
        <v>0.23699999999999999</v>
      </c>
      <c r="J677" s="2">
        <v>5.3100000000000001E-2</v>
      </c>
      <c r="K677" s="2">
        <v>0.67800000000000005</v>
      </c>
      <c r="L677" s="2">
        <v>-2.7909999999999999</v>
      </c>
    </row>
    <row r="678" spans="1:12" x14ac:dyDescent="0.25">
      <c r="A678">
        <v>5</v>
      </c>
      <c r="B678">
        <v>7</v>
      </c>
      <c r="C678" s="3">
        <v>4587573</v>
      </c>
      <c r="D678" s="4">
        <v>42227614</v>
      </c>
      <c r="E678">
        <v>75</v>
      </c>
      <c r="F678" s="2">
        <v>0.77700000000000002</v>
      </c>
      <c r="G678" s="2">
        <v>0.35699999999999998</v>
      </c>
      <c r="H678" s="2">
        <v>5.2200000000000003E-2</v>
      </c>
      <c r="I678" s="2">
        <v>0.75700000000000001</v>
      </c>
      <c r="J678" s="2">
        <v>0.108</v>
      </c>
      <c r="K678" s="2">
        <v>0.17199999999999999</v>
      </c>
      <c r="L678" s="2">
        <v>-6.9420000000000002</v>
      </c>
    </row>
    <row r="679" spans="1:12" x14ac:dyDescent="0.25">
      <c r="A679">
        <v>7</v>
      </c>
      <c r="B679">
        <v>15</v>
      </c>
      <c r="C679" s="3">
        <v>4559855</v>
      </c>
      <c r="D679" s="4">
        <v>35340069</v>
      </c>
      <c r="E679">
        <v>75</v>
      </c>
      <c r="F679" s="2">
        <v>0.66400000000000003</v>
      </c>
      <c r="G679" s="2">
        <v>0.57199999999999995</v>
      </c>
      <c r="H679" s="2">
        <v>3.0499999999999999E-2</v>
      </c>
      <c r="I679" s="2">
        <v>8.1100000000000005E-2</v>
      </c>
      <c r="J679" s="2">
        <v>0.121</v>
      </c>
      <c r="K679" s="2">
        <v>0.14299999999999999</v>
      </c>
      <c r="L679" s="2">
        <v>-6.0990000000000002</v>
      </c>
    </row>
    <row r="680" spans="1:12" x14ac:dyDescent="0.25">
      <c r="A680">
        <v>16</v>
      </c>
      <c r="B680">
        <v>20</v>
      </c>
      <c r="C680" s="3">
        <v>4510218</v>
      </c>
      <c r="D680" s="4">
        <v>4794212</v>
      </c>
      <c r="E680">
        <v>75</v>
      </c>
      <c r="F680" s="2">
        <v>0.84299999999999997</v>
      </c>
      <c r="G680" s="2">
        <v>0.74099999999999999</v>
      </c>
      <c r="H680" s="2">
        <v>0.33400000000000002</v>
      </c>
      <c r="I680" s="2">
        <v>2.52E-2</v>
      </c>
      <c r="J680" s="2">
        <v>9.6000000000000002E-2</v>
      </c>
      <c r="K680" s="2">
        <v>0.68</v>
      </c>
      <c r="L680" s="2">
        <v>-5.609</v>
      </c>
    </row>
    <row r="681" spans="1:12" x14ac:dyDescent="0.25">
      <c r="A681">
        <v>21</v>
      </c>
      <c r="B681">
        <v>30</v>
      </c>
      <c r="C681" s="3">
        <v>4485060</v>
      </c>
      <c r="D681" s="4">
        <v>231580</v>
      </c>
      <c r="E681">
        <v>75</v>
      </c>
      <c r="F681" s="2">
        <v>0.88300000000000001</v>
      </c>
      <c r="G681" s="2">
        <v>0.66800000000000004</v>
      </c>
      <c r="H681" s="2">
        <v>0.113</v>
      </c>
      <c r="I681" s="2">
        <v>0.11</v>
      </c>
      <c r="J681" s="2">
        <v>7.3400000000000007E-2</v>
      </c>
      <c r="K681" s="2">
        <v>0.67600000000000005</v>
      </c>
      <c r="L681" s="2">
        <v>-2.9569999999999999</v>
      </c>
    </row>
    <row r="682" spans="1:12" x14ac:dyDescent="0.25">
      <c r="A682">
        <v>33</v>
      </c>
      <c r="B682">
        <v>24</v>
      </c>
      <c r="C682" s="3">
        <v>4432324</v>
      </c>
      <c r="D682" s="4">
        <v>6096559</v>
      </c>
      <c r="E682">
        <v>75</v>
      </c>
      <c r="F682" s="2">
        <v>0.879</v>
      </c>
      <c r="G682" s="2">
        <v>0.70299999999999996</v>
      </c>
      <c r="H682" s="2">
        <v>7.0099999999999996E-2</v>
      </c>
      <c r="I682" s="2">
        <v>0.14299999999999999</v>
      </c>
      <c r="J682" s="2">
        <v>5.6899999999999999E-2</v>
      </c>
      <c r="K682" s="2">
        <v>0.78800000000000003</v>
      </c>
      <c r="L682" s="2">
        <v>-4.2190000000000003</v>
      </c>
    </row>
    <row r="683" spans="1:12" x14ac:dyDescent="0.25">
      <c r="A683">
        <v>109</v>
      </c>
      <c r="B683">
        <v>5</v>
      </c>
      <c r="C683" s="3">
        <v>4402281</v>
      </c>
      <c r="D683" s="4">
        <v>3828418</v>
      </c>
      <c r="E683">
        <v>75</v>
      </c>
      <c r="F683" s="2">
        <v>0.92900000000000005</v>
      </c>
      <c r="G683" s="2">
        <v>0.7</v>
      </c>
      <c r="H683" s="2">
        <v>9.06E-2</v>
      </c>
      <c r="I683" s="2">
        <v>0.14399999999999999</v>
      </c>
      <c r="J683" s="2">
        <v>0.34899999999999998</v>
      </c>
      <c r="K683" s="2">
        <v>0.80200000000000005</v>
      </c>
      <c r="L683" s="2">
        <v>-5.5949999999999998</v>
      </c>
    </row>
    <row r="684" spans="1:12" x14ac:dyDescent="0.25">
      <c r="A684">
        <v>86</v>
      </c>
      <c r="B684">
        <v>5</v>
      </c>
      <c r="C684" s="3">
        <v>4383521</v>
      </c>
      <c r="D684" s="4">
        <v>2384076</v>
      </c>
      <c r="E684">
        <v>75</v>
      </c>
      <c r="F684" s="2">
        <v>0.80900000000000005</v>
      </c>
      <c r="G684" s="2">
        <v>0.91100000000000003</v>
      </c>
      <c r="H684" s="2">
        <v>6.1699999999999998E-2</v>
      </c>
      <c r="I684" s="2">
        <v>7.9500000000000005E-3</v>
      </c>
      <c r="J684" s="2">
        <v>0.18099999999999999</v>
      </c>
      <c r="K684" s="2">
        <v>0.64</v>
      </c>
      <c r="L684" s="2">
        <v>-4.41</v>
      </c>
    </row>
    <row r="685" spans="1:12" x14ac:dyDescent="0.25">
      <c r="A685">
        <v>38</v>
      </c>
      <c r="B685">
        <v>18</v>
      </c>
      <c r="C685" s="3">
        <v>4362442</v>
      </c>
      <c r="D685" s="4">
        <v>1836564</v>
      </c>
      <c r="E685">
        <v>75</v>
      </c>
      <c r="F685" s="2">
        <v>0.45300000000000001</v>
      </c>
      <c r="G685" s="2">
        <v>0.53800000000000003</v>
      </c>
      <c r="H685" s="2">
        <v>6.3799999999999996E-2</v>
      </c>
      <c r="I685" s="2">
        <v>0.44900000000000001</v>
      </c>
      <c r="J685" s="2">
        <v>0.19</v>
      </c>
      <c r="K685" s="2">
        <v>0.51600000000000001</v>
      </c>
      <c r="L685" s="2">
        <v>-8.2119999999999997</v>
      </c>
    </row>
    <row r="686" spans="1:12" x14ac:dyDescent="0.25">
      <c r="A686">
        <v>68</v>
      </c>
      <c r="B686">
        <v>24</v>
      </c>
      <c r="C686" s="3">
        <v>4325411</v>
      </c>
      <c r="D686" s="4">
        <v>16127908</v>
      </c>
      <c r="E686">
        <v>75</v>
      </c>
      <c r="F686" s="2">
        <v>0.57499999999999996</v>
      </c>
      <c r="G686" s="2">
        <v>0.621</v>
      </c>
      <c r="H686" s="2">
        <v>3.2000000000000001E-2</v>
      </c>
      <c r="I686" s="2">
        <v>3.9199999999999999E-2</v>
      </c>
      <c r="J686" s="2">
        <v>0.14099999999999999</v>
      </c>
      <c r="K686" s="2">
        <v>0.27</v>
      </c>
      <c r="L686" s="2">
        <v>-8.1649999999999991</v>
      </c>
    </row>
    <row r="687" spans="1:12" x14ac:dyDescent="0.25">
      <c r="A687">
        <v>4</v>
      </c>
      <c r="B687">
        <v>13</v>
      </c>
      <c r="C687" s="3">
        <v>4293009</v>
      </c>
      <c r="D687" s="4">
        <v>47061119</v>
      </c>
      <c r="E687">
        <v>75</v>
      </c>
      <c r="F687" s="2">
        <v>0.38</v>
      </c>
      <c r="G687" s="2">
        <v>0.219</v>
      </c>
      <c r="H687" s="2">
        <v>3.5799999999999998E-2</v>
      </c>
      <c r="I687" s="2">
        <v>0.91700000000000004</v>
      </c>
      <c r="J687" s="2">
        <v>8.2699999999999996E-2</v>
      </c>
      <c r="K687" s="2">
        <v>5.1700000000000003E-2</v>
      </c>
      <c r="L687" s="2">
        <v>-13.273</v>
      </c>
    </row>
    <row r="688" spans="1:12" x14ac:dyDescent="0.25">
      <c r="A688">
        <v>82</v>
      </c>
      <c r="B688">
        <v>1</v>
      </c>
      <c r="C688" s="3">
        <v>8218423</v>
      </c>
      <c r="D688" s="4">
        <v>6777818</v>
      </c>
      <c r="E688">
        <v>74</v>
      </c>
      <c r="F688" s="2">
        <v>0.68500000000000005</v>
      </c>
      <c r="G688" s="2">
        <v>0.85499999999999998</v>
      </c>
      <c r="H688" s="2">
        <v>0.438</v>
      </c>
      <c r="I688" s="2">
        <v>0.32900000000000001</v>
      </c>
      <c r="J688" s="2">
        <v>0.30099999999999999</v>
      </c>
      <c r="K688" s="2">
        <v>0.46</v>
      </c>
      <c r="L688" s="2">
        <v>-6.7240000000000002</v>
      </c>
    </row>
    <row r="689" spans="1:12" x14ac:dyDescent="0.25">
      <c r="A689">
        <v>113</v>
      </c>
      <c r="B689">
        <v>5</v>
      </c>
      <c r="C689" s="3">
        <v>6350496</v>
      </c>
      <c r="D689" s="4">
        <v>621200</v>
      </c>
      <c r="E689">
        <v>74</v>
      </c>
      <c r="F689" s="2">
        <v>0.82199999999999995</v>
      </c>
      <c r="G689" s="2">
        <v>0.57499999999999996</v>
      </c>
      <c r="H689" s="2">
        <v>9.3399999999999997E-2</v>
      </c>
      <c r="I689" s="2">
        <v>0.113</v>
      </c>
      <c r="J689" s="2">
        <v>0.106</v>
      </c>
      <c r="K689" s="2">
        <v>0.61599999999999999</v>
      </c>
      <c r="L689" s="2">
        <v>-5.95</v>
      </c>
    </row>
    <row r="690" spans="1:12" x14ac:dyDescent="0.25">
      <c r="A690">
        <v>56</v>
      </c>
      <c r="B690">
        <v>2</v>
      </c>
      <c r="C690" s="3">
        <v>6020785</v>
      </c>
      <c r="D690" s="4">
        <v>7408249</v>
      </c>
      <c r="E690">
        <v>74</v>
      </c>
      <c r="F690" s="2">
        <v>0.72299999999999998</v>
      </c>
      <c r="G690" s="2">
        <v>0.64600000000000002</v>
      </c>
      <c r="H690" s="2">
        <v>0.10199999999999999</v>
      </c>
      <c r="I690" s="2">
        <v>2.06E-2</v>
      </c>
      <c r="J690" s="2">
        <v>9.9400000000000002E-2</v>
      </c>
      <c r="K690" s="2">
        <v>0.443</v>
      </c>
      <c r="L690" s="2">
        <v>-7.9729999999999999</v>
      </c>
    </row>
    <row r="691" spans="1:12" x14ac:dyDescent="0.25">
      <c r="A691">
        <v>108</v>
      </c>
      <c r="B691">
        <v>37</v>
      </c>
      <c r="C691" s="3">
        <v>5907750</v>
      </c>
      <c r="D691" s="4">
        <v>4781906</v>
      </c>
      <c r="E691">
        <v>74</v>
      </c>
      <c r="F691" s="2">
        <v>0.56599999999999995</v>
      </c>
      <c r="G691" s="2">
        <v>0.66400000000000003</v>
      </c>
      <c r="H691" s="2">
        <v>4.6399999999999997E-2</v>
      </c>
      <c r="I691" s="2">
        <v>0.63400000000000001</v>
      </c>
      <c r="J691" s="2">
        <v>0.11600000000000001</v>
      </c>
      <c r="K691" s="2">
        <v>0.437</v>
      </c>
      <c r="L691" s="2">
        <v>-5.3029999999999999</v>
      </c>
    </row>
    <row r="692" spans="1:12" x14ac:dyDescent="0.25">
      <c r="A692">
        <v>172</v>
      </c>
      <c r="B692">
        <v>1</v>
      </c>
      <c r="C692" s="3">
        <v>5816739</v>
      </c>
      <c r="D692" s="4">
        <v>15778531</v>
      </c>
      <c r="E692">
        <v>74</v>
      </c>
      <c r="F692" s="2">
        <v>0.55100000000000005</v>
      </c>
      <c r="G692" s="2">
        <v>0.75600000000000001</v>
      </c>
      <c r="H692" s="2">
        <v>6.5199999999999994E-2</v>
      </c>
      <c r="I692" s="2">
        <v>5.11E-2</v>
      </c>
      <c r="J692" s="2">
        <v>7.6499999999999999E-2</v>
      </c>
      <c r="K692" s="2">
        <v>0.61799999999999999</v>
      </c>
      <c r="L692" s="2">
        <v>-4.9480000000000004</v>
      </c>
    </row>
    <row r="693" spans="1:12" x14ac:dyDescent="0.25">
      <c r="A693">
        <v>81</v>
      </c>
      <c r="B693">
        <v>81</v>
      </c>
      <c r="C693" s="3">
        <v>5756583</v>
      </c>
      <c r="D693" s="4">
        <v>35888760</v>
      </c>
      <c r="E693">
        <v>74</v>
      </c>
      <c r="F693" s="2">
        <v>0.39200000000000002</v>
      </c>
      <c r="G693" s="2">
        <v>0.40200000000000002</v>
      </c>
      <c r="H693" s="2">
        <v>5.3600000000000002E-2</v>
      </c>
      <c r="I693" s="2">
        <v>0.28799999999999998</v>
      </c>
      <c r="J693" s="2">
        <v>0.24299999999999999</v>
      </c>
      <c r="K693" s="2">
        <v>0.22800000000000001</v>
      </c>
      <c r="L693" s="2">
        <v>-9.9610000000000003</v>
      </c>
    </row>
    <row r="694" spans="1:12" x14ac:dyDescent="0.25">
      <c r="A694">
        <v>102</v>
      </c>
      <c r="B694">
        <v>3</v>
      </c>
      <c r="C694" s="3">
        <v>5705999</v>
      </c>
      <c r="D694" s="4">
        <v>1251372</v>
      </c>
      <c r="E694">
        <v>74</v>
      </c>
      <c r="F694" s="2">
        <v>0.32300000000000001</v>
      </c>
      <c r="G694" s="2">
        <v>0.40500000000000003</v>
      </c>
      <c r="H694" s="2">
        <v>4.1300000000000003E-2</v>
      </c>
      <c r="I694" s="2">
        <v>0.84899999999999998</v>
      </c>
      <c r="J694" s="2">
        <v>0.13800000000000001</v>
      </c>
      <c r="K694" s="2">
        <v>0.27400000000000002</v>
      </c>
      <c r="L694" s="2">
        <v>-8.5329999999999995</v>
      </c>
    </row>
    <row r="695" spans="1:12" x14ac:dyDescent="0.25">
      <c r="A695">
        <v>10</v>
      </c>
      <c r="B695">
        <v>8</v>
      </c>
      <c r="C695" s="3">
        <v>5655879</v>
      </c>
      <c r="D695" s="4">
        <v>1094731</v>
      </c>
      <c r="E695">
        <v>74</v>
      </c>
      <c r="F695" s="2">
        <v>0.311</v>
      </c>
      <c r="G695" s="2">
        <v>0.60699999999999998</v>
      </c>
      <c r="H695" s="2">
        <v>0.11</v>
      </c>
      <c r="I695" s="2">
        <v>1.7399999999999999E-2</v>
      </c>
      <c r="J695" s="2">
        <v>0.13100000000000001</v>
      </c>
      <c r="K695" s="2">
        <v>0.28599999999999998</v>
      </c>
      <c r="L695" s="2">
        <v>-6.5780000000000003</v>
      </c>
    </row>
    <row r="696" spans="1:12" x14ac:dyDescent="0.25">
      <c r="A696">
        <v>147</v>
      </c>
      <c r="B696">
        <v>24</v>
      </c>
      <c r="C696" s="3">
        <v>5647568</v>
      </c>
      <c r="D696" s="4">
        <v>12169108</v>
      </c>
      <c r="E696">
        <v>74</v>
      </c>
      <c r="F696" s="2">
        <v>0.66400000000000003</v>
      </c>
      <c r="G696" s="2">
        <v>0.70499999999999996</v>
      </c>
      <c r="H696" s="2">
        <v>3.8199999999999998E-2</v>
      </c>
      <c r="I696" s="2">
        <v>6.54E-2</v>
      </c>
      <c r="J696" s="2">
        <v>0.115</v>
      </c>
      <c r="K696" s="2">
        <v>0.47699999999999998</v>
      </c>
      <c r="L696" s="2">
        <v>-4.9720000000000004</v>
      </c>
    </row>
    <row r="697" spans="1:12" x14ac:dyDescent="0.25">
      <c r="A697">
        <v>150</v>
      </c>
      <c r="B697">
        <v>1</v>
      </c>
      <c r="C697" s="3">
        <v>5531998</v>
      </c>
      <c r="D697" s="4">
        <v>4138951</v>
      </c>
      <c r="E697">
        <v>74</v>
      </c>
      <c r="F697" s="2">
        <v>0.61499999999999999</v>
      </c>
      <c r="G697" s="2">
        <v>0.42199999999999999</v>
      </c>
      <c r="H697" s="2">
        <v>5.04E-2</v>
      </c>
      <c r="I697" s="2">
        <v>0.60399999999999998</v>
      </c>
      <c r="J697" s="2">
        <v>0.112</v>
      </c>
      <c r="K697" s="2">
        <v>0.185</v>
      </c>
      <c r="L697" s="2">
        <v>-8.0190000000000001</v>
      </c>
    </row>
    <row r="698" spans="1:12" x14ac:dyDescent="0.25">
      <c r="A698">
        <v>20</v>
      </c>
      <c r="B698">
        <v>5</v>
      </c>
      <c r="C698" s="3">
        <v>5480722</v>
      </c>
      <c r="D698" s="4">
        <v>42227614</v>
      </c>
      <c r="E698">
        <v>74</v>
      </c>
      <c r="F698" s="2">
        <v>0.66</v>
      </c>
      <c r="G698" s="2">
        <v>0.81699999999999995</v>
      </c>
      <c r="H698" s="2">
        <v>5.21E-2</v>
      </c>
      <c r="I698" s="2">
        <v>0.16200000000000001</v>
      </c>
      <c r="J698" s="2">
        <v>6.6699999999999995E-2</v>
      </c>
      <c r="K698" s="2">
        <v>0.71399999999999997</v>
      </c>
      <c r="L698" s="2">
        <v>-6.2690000000000001</v>
      </c>
    </row>
    <row r="699" spans="1:12" x14ac:dyDescent="0.25">
      <c r="A699">
        <v>128</v>
      </c>
      <c r="B699">
        <v>1</v>
      </c>
      <c r="C699" s="3">
        <v>5464816</v>
      </c>
      <c r="D699" s="4">
        <v>4849204</v>
      </c>
      <c r="E699">
        <v>74</v>
      </c>
      <c r="F699" s="2">
        <v>0.92</v>
      </c>
      <c r="G699" s="2">
        <v>0.83299999999999996</v>
      </c>
      <c r="H699" s="2">
        <v>0.253</v>
      </c>
      <c r="I699" s="2">
        <v>2.7699999999999999E-2</v>
      </c>
      <c r="J699" s="2">
        <v>5.96E-2</v>
      </c>
      <c r="K699" s="2">
        <v>0.64500000000000002</v>
      </c>
      <c r="L699" s="2">
        <v>-3.18</v>
      </c>
    </row>
    <row r="700" spans="1:12" x14ac:dyDescent="0.25">
      <c r="A700">
        <v>46</v>
      </c>
      <c r="B700">
        <v>19</v>
      </c>
      <c r="C700" s="3">
        <v>5440707</v>
      </c>
      <c r="D700" s="4">
        <v>2238190</v>
      </c>
      <c r="E700">
        <v>74</v>
      </c>
      <c r="F700" s="2">
        <v>0.71899999999999997</v>
      </c>
      <c r="G700" s="2">
        <v>0.59799999999999998</v>
      </c>
      <c r="H700" s="2">
        <v>7.6999999999999999E-2</v>
      </c>
      <c r="I700" s="2">
        <v>0.23200000000000001</v>
      </c>
      <c r="J700" s="2">
        <v>0.115</v>
      </c>
      <c r="K700" s="2">
        <v>0.30299999999999999</v>
      </c>
      <c r="L700" s="2">
        <v>-6.2539999999999996</v>
      </c>
    </row>
    <row r="701" spans="1:12" x14ac:dyDescent="0.25">
      <c r="A701">
        <v>168</v>
      </c>
      <c r="B701">
        <v>1</v>
      </c>
      <c r="C701" s="3">
        <v>5439646</v>
      </c>
      <c r="D701" s="4">
        <v>3868320</v>
      </c>
      <c r="E701">
        <v>74</v>
      </c>
      <c r="F701" s="2">
        <v>0.63200000000000001</v>
      </c>
      <c r="G701" s="2">
        <v>0.92200000000000004</v>
      </c>
      <c r="H701" s="2">
        <v>7.9399999999999998E-2</v>
      </c>
      <c r="I701" s="2">
        <v>5.5799999999999999E-3</v>
      </c>
      <c r="J701" s="2">
        <v>9.2700000000000005E-2</v>
      </c>
      <c r="K701" s="2">
        <v>0.497</v>
      </c>
      <c r="L701" s="2">
        <v>-2.173</v>
      </c>
    </row>
    <row r="702" spans="1:12" x14ac:dyDescent="0.25">
      <c r="A702">
        <v>132</v>
      </c>
      <c r="B702">
        <v>9</v>
      </c>
      <c r="C702" s="3">
        <v>5427534</v>
      </c>
      <c r="D702" s="4">
        <v>114348</v>
      </c>
      <c r="E702">
        <v>74</v>
      </c>
      <c r="F702" s="2">
        <v>0.72</v>
      </c>
      <c r="G702" s="2">
        <v>0.61299999999999999</v>
      </c>
      <c r="H702" s="2">
        <v>5.7200000000000001E-2</v>
      </c>
      <c r="I702" s="2">
        <v>0.185</v>
      </c>
      <c r="J702" s="2">
        <v>0.155</v>
      </c>
      <c r="K702" s="2">
        <v>0.85699999999999998</v>
      </c>
      <c r="L702" s="2">
        <v>-6.899</v>
      </c>
    </row>
    <row r="703" spans="1:12" x14ac:dyDescent="0.25">
      <c r="A703">
        <v>179</v>
      </c>
      <c r="B703">
        <v>1</v>
      </c>
      <c r="C703" s="3">
        <v>5362817</v>
      </c>
      <c r="D703" s="4">
        <v>8640063</v>
      </c>
      <c r="E703">
        <v>74</v>
      </c>
      <c r="F703" s="2">
        <v>0.67800000000000005</v>
      </c>
      <c r="G703" s="2">
        <v>0.53100000000000003</v>
      </c>
      <c r="H703" s="2">
        <v>3.7400000000000003E-2</v>
      </c>
      <c r="I703" s="2">
        <v>0.126</v>
      </c>
      <c r="J703" s="2">
        <v>0.377</v>
      </c>
      <c r="K703" s="2">
        <v>0.17599999999999999</v>
      </c>
      <c r="L703" s="2">
        <v>-5.0289999999999999</v>
      </c>
    </row>
    <row r="704" spans="1:12" x14ac:dyDescent="0.25">
      <c r="A704">
        <v>179</v>
      </c>
      <c r="B704">
        <v>1</v>
      </c>
      <c r="C704" s="3">
        <v>5335308</v>
      </c>
      <c r="D704" s="4">
        <v>4840346</v>
      </c>
      <c r="E704">
        <v>74</v>
      </c>
      <c r="F704" s="2">
        <v>0.73399999999999999</v>
      </c>
      <c r="G704" s="2">
        <v>0.71199999999999997</v>
      </c>
      <c r="H704" s="2">
        <v>0.20100000000000001</v>
      </c>
      <c r="I704" s="2">
        <v>0.39100000000000001</v>
      </c>
      <c r="J704" s="2">
        <v>0.10299999999999999</v>
      </c>
      <c r="K704" s="2">
        <v>0.67400000000000004</v>
      </c>
      <c r="L704" s="2">
        <v>-6.2169999999999996</v>
      </c>
    </row>
    <row r="705" spans="1:12" x14ac:dyDescent="0.25">
      <c r="A705">
        <v>123</v>
      </c>
      <c r="B705">
        <v>8</v>
      </c>
      <c r="C705" s="3">
        <v>5286044</v>
      </c>
      <c r="D705" s="4">
        <v>313480</v>
      </c>
      <c r="E705">
        <v>74</v>
      </c>
      <c r="F705" s="2">
        <v>0.90700000000000003</v>
      </c>
      <c r="G705" s="2">
        <v>0.53900000000000003</v>
      </c>
      <c r="H705" s="2">
        <v>0.36</v>
      </c>
      <c r="I705" s="2">
        <v>4.0800000000000003E-2</v>
      </c>
      <c r="J705" s="2">
        <v>0.253</v>
      </c>
      <c r="K705" s="2">
        <v>0.66400000000000003</v>
      </c>
      <c r="L705" s="2">
        <v>-7.782</v>
      </c>
    </row>
    <row r="706" spans="1:12" x14ac:dyDescent="0.25">
      <c r="A706">
        <v>191</v>
      </c>
      <c r="B706">
        <v>1</v>
      </c>
      <c r="C706" s="3">
        <v>5226991</v>
      </c>
      <c r="D706" s="4">
        <v>4442273</v>
      </c>
      <c r="E706">
        <v>74</v>
      </c>
      <c r="F706" s="2">
        <v>0.80600000000000005</v>
      </c>
      <c r="G706" s="2">
        <v>0.55800000000000005</v>
      </c>
      <c r="H706" s="2">
        <v>6.83E-2</v>
      </c>
      <c r="I706" s="2">
        <v>0.48199999999999998</v>
      </c>
      <c r="J706" s="2">
        <v>6.1800000000000001E-2</v>
      </c>
      <c r="K706" s="2">
        <v>0.67800000000000005</v>
      </c>
      <c r="L706" s="2">
        <v>-6.46</v>
      </c>
    </row>
    <row r="707" spans="1:12" x14ac:dyDescent="0.25">
      <c r="A707">
        <v>58</v>
      </c>
      <c r="B707">
        <v>2</v>
      </c>
      <c r="C707" s="3">
        <v>5212053</v>
      </c>
      <c r="D707" s="4">
        <v>37151476</v>
      </c>
      <c r="E707">
        <v>74</v>
      </c>
      <c r="F707" s="2">
        <v>0.67400000000000004</v>
      </c>
      <c r="G707" s="2">
        <v>0.64</v>
      </c>
      <c r="H707" s="2">
        <v>3.39E-2</v>
      </c>
      <c r="I707" s="2">
        <v>0.151</v>
      </c>
      <c r="J707" s="2">
        <v>9.2499999999999999E-2</v>
      </c>
      <c r="K707" s="2">
        <v>0.66400000000000003</v>
      </c>
      <c r="L707" s="2">
        <v>-5.1390000000000002</v>
      </c>
    </row>
    <row r="708" spans="1:12" x14ac:dyDescent="0.25">
      <c r="A708">
        <v>138</v>
      </c>
      <c r="B708">
        <v>22</v>
      </c>
      <c r="C708" s="3">
        <v>5204983</v>
      </c>
      <c r="D708" s="4">
        <v>35888760</v>
      </c>
      <c r="E708">
        <v>74</v>
      </c>
      <c r="F708" s="2">
        <v>0.93300000000000005</v>
      </c>
      <c r="G708" s="2">
        <v>0.52800000000000002</v>
      </c>
      <c r="H708" s="2">
        <v>0.16200000000000001</v>
      </c>
      <c r="I708" s="2">
        <v>0.112</v>
      </c>
      <c r="J708" s="2">
        <v>0.16300000000000001</v>
      </c>
      <c r="K708" s="2">
        <v>0.75600000000000001</v>
      </c>
      <c r="L708" s="2">
        <v>-6.4720000000000004</v>
      </c>
    </row>
    <row r="709" spans="1:12" x14ac:dyDescent="0.25">
      <c r="A709">
        <v>95</v>
      </c>
      <c r="B709">
        <v>7</v>
      </c>
      <c r="C709" s="3">
        <v>5202210</v>
      </c>
      <c r="D709" s="4">
        <v>4769627</v>
      </c>
      <c r="E709">
        <v>74</v>
      </c>
      <c r="F709" s="2">
        <v>0.78</v>
      </c>
      <c r="G709" s="2">
        <v>0.75900000000000001</v>
      </c>
      <c r="H709" s="2">
        <v>0.22500000000000001</v>
      </c>
      <c r="I709" s="2">
        <v>0.46200000000000002</v>
      </c>
      <c r="J709" s="2">
        <v>0.14299999999999999</v>
      </c>
      <c r="K709" s="2">
        <v>0.57899999999999996</v>
      </c>
      <c r="L709" s="2">
        <v>-3.2919999999999998</v>
      </c>
    </row>
    <row r="710" spans="1:12" x14ac:dyDescent="0.25">
      <c r="A710">
        <v>185</v>
      </c>
      <c r="B710">
        <v>1</v>
      </c>
      <c r="C710" s="3">
        <v>5186141</v>
      </c>
      <c r="D710" s="4">
        <v>14921269</v>
      </c>
      <c r="E710">
        <v>74</v>
      </c>
      <c r="F710" s="2">
        <v>0.57299999999999995</v>
      </c>
      <c r="G710" s="2">
        <v>0.73899999999999999</v>
      </c>
      <c r="H710" s="2">
        <v>5.8099999999999999E-2</v>
      </c>
      <c r="I710" s="2">
        <v>0.21199999999999999</v>
      </c>
      <c r="J710" s="2">
        <v>0.17499999999999999</v>
      </c>
      <c r="K710" s="2">
        <v>0.36299999999999999</v>
      </c>
      <c r="L710" s="2">
        <v>-5.4550000000000001</v>
      </c>
    </row>
    <row r="711" spans="1:12" x14ac:dyDescent="0.25">
      <c r="A711">
        <v>180</v>
      </c>
      <c r="B711">
        <v>1</v>
      </c>
      <c r="C711" s="3">
        <v>5170861</v>
      </c>
      <c r="D711" s="4">
        <v>7816213</v>
      </c>
      <c r="E711">
        <v>74</v>
      </c>
      <c r="F711" s="2">
        <v>0.77900000000000003</v>
      </c>
      <c r="G711" s="2">
        <v>0.70499999999999996</v>
      </c>
      <c r="H711" s="2">
        <v>0.16300000000000001</v>
      </c>
      <c r="I711" s="2">
        <v>4.7099999999999998E-3</v>
      </c>
      <c r="J711" s="2">
        <v>9.7100000000000006E-2</v>
      </c>
      <c r="K711" s="2">
        <v>0.19600000000000001</v>
      </c>
      <c r="L711" s="2">
        <v>-5.891</v>
      </c>
    </row>
    <row r="712" spans="1:12" x14ac:dyDescent="0.25">
      <c r="A712">
        <v>86</v>
      </c>
      <c r="B712">
        <v>12</v>
      </c>
      <c r="C712" s="3">
        <v>5156937</v>
      </c>
      <c r="D712" s="4">
        <v>2786366</v>
      </c>
      <c r="E712">
        <v>74</v>
      </c>
      <c r="F712" s="2">
        <v>0.504</v>
      </c>
      <c r="G712" s="2">
        <v>0.76</v>
      </c>
      <c r="H712" s="2">
        <v>4.2599999999999999E-2</v>
      </c>
      <c r="I712" s="2">
        <v>0.28599999999999998</v>
      </c>
      <c r="J712" s="2">
        <v>0.151</v>
      </c>
      <c r="K712" s="2">
        <v>0.64</v>
      </c>
      <c r="L712" s="2">
        <v>-4.2460000000000004</v>
      </c>
    </row>
    <row r="713" spans="1:12" x14ac:dyDescent="0.25">
      <c r="A713">
        <v>28</v>
      </c>
      <c r="B713">
        <v>3</v>
      </c>
      <c r="C713" s="3">
        <v>5137645</v>
      </c>
      <c r="D713" s="4">
        <v>48544923</v>
      </c>
      <c r="E713">
        <v>74</v>
      </c>
      <c r="F713" s="2">
        <v>0.495</v>
      </c>
      <c r="G713" s="2">
        <v>0.33300000000000002</v>
      </c>
      <c r="H713" s="2">
        <v>2.8799999999999999E-2</v>
      </c>
      <c r="I713" s="2">
        <v>0.73699999999999999</v>
      </c>
      <c r="J713" s="2">
        <v>0.112</v>
      </c>
      <c r="K713" s="2">
        <v>0.37</v>
      </c>
      <c r="L713" s="2">
        <v>-10.109</v>
      </c>
    </row>
    <row r="714" spans="1:12" x14ac:dyDescent="0.25">
      <c r="A714">
        <v>157</v>
      </c>
      <c r="B714">
        <v>7</v>
      </c>
      <c r="C714" s="3">
        <v>5066711</v>
      </c>
      <c r="D714" s="4">
        <v>7226268</v>
      </c>
      <c r="E714">
        <v>74</v>
      </c>
      <c r="F714" s="2">
        <v>0.72799999999999998</v>
      </c>
      <c r="G714" s="2">
        <v>0.54200000000000004</v>
      </c>
      <c r="H714" s="2">
        <v>5.1400000000000001E-2</v>
      </c>
      <c r="I714" s="2">
        <v>0.25900000000000001</v>
      </c>
      <c r="J714" s="2">
        <v>0.13600000000000001</v>
      </c>
      <c r="K714" s="2">
        <v>0.63700000000000001</v>
      </c>
      <c r="L714" s="2">
        <v>-5.1950000000000003</v>
      </c>
    </row>
    <row r="715" spans="1:12" x14ac:dyDescent="0.25">
      <c r="A715">
        <v>193</v>
      </c>
      <c r="B715">
        <v>3</v>
      </c>
      <c r="C715" s="3">
        <v>5052717</v>
      </c>
      <c r="D715" s="4">
        <v>32279979</v>
      </c>
      <c r="E715">
        <v>74</v>
      </c>
      <c r="F715" s="2">
        <v>0.73899999999999999</v>
      </c>
      <c r="G715" s="2">
        <v>0.75600000000000001</v>
      </c>
      <c r="H715" s="2">
        <v>3.9399999999999998E-2</v>
      </c>
      <c r="I715" s="2">
        <v>1.3599999999999999E-2</v>
      </c>
      <c r="J715" s="2">
        <v>0.37</v>
      </c>
      <c r="K715" s="2">
        <v>0.52300000000000002</v>
      </c>
      <c r="L715" s="2">
        <v>-4.8280000000000003</v>
      </c>
    </row>
    <row r="716" spans="1:12" x14ac:dyDescent="0.25">
      <c r="A716">
        <v>72</v>
      </c>
      <c r="B716">
        <v>2</v>
      </c>
      <c r="C716" s="3">
        <v>5049863</v>
      </c>
      <c r="D716" s="4">
        <v>5888533</v>
      </c>
      <c r="E716">
        <v>74</v>
      </c>
      <c r="F716" s="2">
        <v>0.67900000000000005</v>
      </c>
      <c r="G716" s="2">
        <v>0.51600000000000001</v>
      </c>
      <c r="H716" s="2">
        <v>4.5199999999999997E-2</v>
      </c>
      <c r="I716" s="2">
        <v>0.19900000000000001</v>
      </c>
      <c r="J716" s="2">
        <v>9.6500000000000002E-2</v>
      </c>
      <c r="K716" s="2">
        <v>0.71599999999999997</v>
      </c>
      <c r="L716" s="2">
        <v>-6.3710000000000004</v>
      </c>
    </row>
    <row r="717" spans="1:12" x14ac:dyDescent="0.25">
      <c r="A717">
        <v>37</v>
      </c>
      <c r="B717">
        <v>12</v>
      </c>
      <c r="C717" s="3">
        <v>5046905</v>
      </c>
      <c r="D717" s="4">
        <v>6298789</v>
      </c>
      <c r="E717">
        <v>74</v>
      </c>
      <c r="F717" s="2">
        <v>0.81599999999999995</v>
      </c>
      <c r="G717" s="2">
        <v>0.629</v>
      </c>
      <c r="H717" s="2">
        <v>0.22600000000000001</v>
      </c>
      <c r="I717" s="2">
        <v>0.13300000000000001</v>
      </c>
      <c r="J717" s="2">
        <v>6.9199999999999998E-2</v>
      </c>
      <c r="K717" s="2">
        <v>0.71399999999999997</v>
      </c>
      <c r="L717" s="2">
        <v>-5.5679999999999996</v>
      </c>
    </row>
    <row r="718" spans="1:12" x14ac:dyDescent="0.25">
      <c r="A718">
        <v>19</v>
      </c>
      <c r="B718">
        <v>28</v>
      </c>
      <c r="C718" s="3">
        <v>5016343</v>
      </c>
      <c r="D718" s="4">
        <v>5966748</v>
      </c>
      <c r="E718">
        <v>74</v>
      </c>
      <c r="F718" s="2">
        <v>0.89400000000000002</v>
      </c>
      <c r="G718" s="2">
        <v>0.63500000000000001</v>
      </c>
      <c r="H718" s="2">
        <v>4.7300000000000002E-2</v>
      </c>
      <c r="I718" s="2">
        <v>0.193</v>
      </c>
      <c r="J718" s="2">
        <v>8.2299999999999998E-2</v>
      </c>
      <c r="K718" s="2">
        <v>0.42799999999999999</v>
      </c>
      <c r="L718" s="2">
        <v>-6.9290000000000003</v>
      </c>
    </row>
    <row r="719" spans="1:12" x14ac:dyDescent="0.25">
      <c r="A719">
        <v>113</v>
      </c>
      <c r="B719">
        <v>2</v>
      </c>
      <c r="C719" s="3">
        <v>5004752</v>
      </c>
      <c r="D719" s="4">
        <v>4442273</v>
      </c>
      <c r="E719">
        <v>74</v>
      </c>
      <c r="F719" s="2">
        <v>0.63200000000000001</v>
      </c>
      <c r="G719" s="2">
        <v>0.34499999999999997</v>
      </c>
      <c r="H719" s="2">
        <v>3.49E-2</v>
      </c>
      <c r="I719" s="2">
        <v>0.55100000000000005</v>
      </c>
      <c r="J719" s="2">
        <v>0.104</v>
      </c>
      <c r="K719" s="2">
        <v>8.1799999999999998E-2</v>
      </c>
      <c r="L719" s="2">
        <v>-8</v>
      </c>
    </row>
    <row r="720" spans="1:12" x14ac:dyDescent="0.25">
      <c r="A720">
        <v>140</v>
      </c>
      <c r="B720">
        <v>7</v>
      </c>
      <c r="C720" s="3">
        <v>4953866</v>
      </c>
      <c r="D720" s="4">
        <v>5436999</v>
      </c>
      <c r="E720">
        <v>74</v>
      </c>
      <c r="F720" s="2">
        <v>0.79500000000000004</v>
      </c>
      <c r="G720" s="2">
        <v>0.496</v>
      </c>
      <c r="H720" s="2">
        <v>7.22E-2</v>
      </c>
      <c r="I720" s="2">
        <v>0.108</v>
      </c>
      <c r="J720" s="2">
        <v>6.4500000000000002E-2</v>
      </c>
      <c r="K720" s="2">
        <v>0.874</v>
      </c>
      <c r="L720" s="2">
        <v>-5.883</v>
      </c>
    </row>
    <row r="721" spans="1:12" x14ac:dyDescent="0.25">
      <c r="A721">
        <v>169</v>
      </c>
      <c r="B721">
        <v>2</v>
      </c>
      <c r="C721" s="3">
        <v>4935492</v>
      </c>
      <c r="D721" s="4">
        <v>1276406</v>
      </c>
      <c r="E721">
        <v>74</v>
      </c>
      <c r="F721" s="2">
        <v>0.746</v>
      </c>
      <c r="G721" s="2">
        <v>0.71699999999999997</v>
      </c>
      <c r="H721" s="2">
        <v>0.17899999999999999</v>
      </c>
      <c r="I721" s="2">
        <v>0.19900000000000001</v>
      </c>
      <c r="J721" s="2">
        <v>0.13200000000000001</v>
      </c>
      <c r="K721" s="2">
        <v>0.52300000000000002</v>
      </c>
      <c r="L721" s="2">
        <v>-4.8410000000000002</v>
      </c>
    </row>
    <row r="722" spans="1:12" x14ac:dyDescent="0.25">
      <c r="A722">
        <v>133</v>
      </c>
      <c r="B722">
        <v>8</v>
      </c>
      <c r="C722" s="3">
        <v>4904772</v>
      </c>
      <c r="D722" s="4">
        <v>345027</v>
      </c>
      <c r="E722">
        <v>74</v>
      </c>
      <c r="F722" s="2">
        <v>0.86799999999999999</v>
      </c>
      <c r="G722" s="2">
        <v>0.63800000000000001</v>
      </c>
      <c r="H722" s="2">
        <v>7.3599999999999999E-2</v>
      </c>
      <c r="I722" s="2">
        <v>0.14599999999999999</v>
      </c>
      <c r="J722" s="2">
        <v>9.3100000000000002E-2</v>
      </c>
      <c r="K722" s="2">
        <v>0.45900000000000002</v>
      </c>
      <c r="L722" s="2">
        <v>-7.7460000000000004</v>
      </c>
    </row>
    <row r="723" spans="1:12" x14ac:dyDescent="0.25">
      <c r="A723">
        <v>129</v>
      </c>
      <c r="B723">
        <v>14</v>
      </c>
      <c r="C723" s="3">
        <v>4899440</v>
      </c>
      <c r="D723" s="4">
        <v>7909963</v>
      </c>
      <c r="E723">
        <v>74</v>
      </c>
      <c r="F723" s="2">
        <v>0.79300000000000004</v>
      </c>
      <c r="G723" s="2">
        <v>0.78200000000000003</v>
      </c>
      <c r="H723" s="2">
        <v>5.8200000000000002E-2</v>
      </c>
      <c r="I723" s="2">
        <v>0.44700000000000001</v>
      </c>
      <c r="J723" s="2">
        <v>0.124</v>
      </c>
      <c r="K723" s="2">
        <v>0.81</v>
      </c>
      <c r="L723" s="2">
        <v>-3.9449999999999998</v>
      </c>
    </row>
    <row r="724" spans="1:12" x14ac:dyDescent="0.25">
      <c r="A724">
        <v>8</v>
      </c>
      <c r="B724">
        <v>8</v>
      </c>
      <c r="C724" s="3">
        <v>4883202</v>
      </c>
      <c r="D724" s="4">
        <v>19102888</v>
      </c>
      <c r="E724">
        <v>74</v>
      </c>
      <c r="F724" s="2">
        <v>0.63</v>
      </c>
      <c r="G724" s="2">
        <v>0.44600000000000001</v>
      </c>
      <c r="H724" s="2">
        <v>3.5099999999999999E-2</v>
      </c>
      <c r="I724" s="2">
        <v>0.33700000000000002</v>
      </c>
      <c r="J724" s="2">
        <v>0.16600000000000001</v>
      </c>
      <c r="K724" s="2">
        <v>0.17699999999999999</v>
      </c>
      <c r="L724" s="2">
        <v>-8.9</v>
      </c>
    </row>
    <row r="725" spans="1:12" x14ac:dyDescent="0.25">
      <c r="A725">
        <v>122</v>
      </c>
      <c r="B725">
        <v>29</v>
      </c>
      <c r="C725" s="3">
        <v>4877753</v>
      </c>
      <c r="D725" s="4">
        <v>2168452</v>
      </c>
      <c r="E725">
        <v>74</v>
      </c>
      <c r="F725" s="2">
        <v>0.86099999999999999</v>
      </c>
      <c r="G725" s="2">
        <v>0.67800000000000005</v>
      </c>
      <c r="H725" s="2">
        <v>5.3600000000000002E-2</v>
      </c>
      <c r="I725" s="2">
        <v>0.253</v>
      </c>
      <c r="J725" s="2">
        <v>0.106</v>
      </c>
      <c r="K725" s="2">
        <v>0.72299999999999998</v>
      </c>
      <c r="L725" s="2">
        <v>-4.157</v>
      </c>
    </row>
    <row r="726" spans="1:12" x14ac:dyDescent="0.25">
      <c r="A726">
        <v>49</v>
      </c>
      <c r="B726">
        <v>23</v>
      </c>
      <c r="C726" s="3">
        <v>4868180</v>
      </c>
      <c r="D726" s="4">
        <v>6161098</v>
      </c>
      <c r="E726">
        <v>74</v>
      </c>
      <c r="F726" s="2">
        <v>0.80100000000000005</v>
      </c>
      <c r="G726" s="2">
        <v>0.745</v>
      </c>
      <c r="H726" s="2">
        <v>6.3E-2</v>
      </c>
      <c r="I726" s="2">
        <v>0.39800000000000002</v>
      </c>
      <c r="J726" s="2">
        <v>0.153</v>
      </c>
      <c r="K726" s="2">
        <v>0.245</v>
      </c>
      <c r="L726" s="2">
        <v>-3.7330000000000001</v>
      </c>
    </row>
    <row r="727" spans="1:12" x14ac:dyDescent="0.25">
      <c r="A727">
        <v>134</v>
      </c>
      <c r="B727">
        <v>5</v>
      </c>
      <c r="C727" s="3">
        <v>4867723</v>
      </c>
      <c r="D727" s="4">
        <v>5488666</v>
      </c>
      <c r="E727">
        <v>74</v>
      </c>
      <c r="F727" s="2">
        <v>0.70299999999999996</v>
      </c>
      <c r="G727" s="2">
        <v>0.59399999999999997</v>
      </c>
      <c r="H727" s="2">
        <v>7.5200000000000003E-2</v>
      </c>
      <c r="I727" s="2">
        <v>0.34200000000000003</v>
      </c>
      <c r="J727" s="2">
        <v>0.123</v>
      </c>
      <c r="K727" s="2">
        <v>0.47499999999999998</v>
      </c>
      <c r="L727" s="2">
        <v>-6.1459999999999999</v>
      </c>
    </row>
    <row r="728" spans="1:12" x14ac:dyDescent="0.25">
      <c r="A728">
        <v>162</v>
      </c>
      <c r="B728">
        <v>4</v>
      </c>
      <c r="C728" s="3">
        <v>4863053</v>
      </c>
      <c r="D728" s="4">
        <v>486194</v>
      </c>
      <c r="E728">
        <v>74</v>
      </c>
      <c r="F728" s="2">
        <v>0.92800000000000005</v>
      </c>
      <c r="G728" s="2">
        <v>0.34100000000000003</v>
      </c>
      <c r="H728" s="2">
        <v>0.10299999999999999</v>
      </c>
      <c r="I728" s="2">
        <v>6.1400000000000003E-2</v>
      </c>
      <c r="J728" s="2">
        <v>0.16200000000000001</v>
      </c>
      <c r="K728" s="2">
        <v>0.745</v>
      </c>
      <c r="L728" s="2">
        <v>-10.196</v>
      </c>
    </row>
    <row r="729" spans="1:12" x14ac:dyDescent="0.25">
      <c r="A729">
        <v>14</v>
      </c>
      <c r="B729">
        <v>6</v>
      </c>
      <c r="C729" s="3">
        <v>4821213</v>
      </c>
      <c r="D729" s="4">
        <v>17732077</v>
      </c>
      <c r="E729">
        <v>74</v>
      </c>
      <c r="F729" s="2">
        <v>0.83499999999999996</v>
      </c>
      <c r="G729" s="2">
        <v>0.69899999999999995</v>
      </c>
      <c r="H729" s="2">
        <v>0.27700000000000002</v>
      </c>
      <c r="I729" s="2">
        <v>6.7099999999999998E-3</v>
      </c>
      <c r="J729" s="2">
        <v>0.19500000000000001</v>
      </c>
      <c r="K729" s="2">
        <v>0.54700000000000004</v>
      </c>
      <c r="L729" s="2">
        <v>-5.4050000000000002</v>
      </c>
    </row>
    <row r="730" spans="1:12" x14ac:dyDescent="0.25">
      <c r="A730">
        <v>136</v>
      </c>
      <c r="B730">
        <v>7</v>
      </c>
      <c r="C730" s="3">
        <v>4803294</v>
      </c>
      <c r="D730" s="4">
        <v>8766508</v>
      </c>
      <c r="E730">
        <v>74</v>
      </c>
      <c r="F730" s="2">
        <v>0.72499999999999998</v>
      </c>
      <c r="G730" s="2">
        <v>0.79</v>
      </c>
      <c r="H730" s="2">
        <v>0.19700000000000001</v>
      </c>
      <c r="I730" s="2">
        <v>7.1099999999999997E-2</v>
      </c>
      <c r="J730" s="2">
        <v>6.0199999999999997E-2</v>
      </c>
      <c r="K730" s="2">
        <v>0.76300000000000001</v>
      </c>
      <c r="L730" s="2">
        <v>-2.331</v>
      </c>
    </row>
    <row r="731" spans="1:12" x14ac:dyDescent="0.25">
      <c r="A731">
        <v>17</v>
      </c>
      <c r="B731">
        <v>31</v>
      </c>
      <c r="C731" s="3">
        <v>4790233</v>
      </c>
      <c r="D731" s="4">
        <v>29238936</v>
      </c>
      <c r="E731">
        <v>74</v>
      </c>
      <c r="F731" s="2">
        <v>0.72799999999999998</v>
      </c>
      <c r="G731" s="2">
        <v>0.80600000000000005</v>
      </c>
      <c r="H731" s="2">
        <v>6.2300000000000001E-2</v>
      </c>
      <c r="I731" s="2">
        <v>5.3100000000000001E-2</v>
      </c>
      <c r="J731" s="2">
        <v>0.153</v>
      </c>
      <c r="K731" s="2">
        <v>0.69799999999999995</v>
      </c>
      <c r="L731" s="2">
        <v>-3.766</v>
      </c>
    </row>
    <row r="732" spans="1:12" x14ac:dyDescent="0.25">
      <c r="A732">
        <v>187</v>
      </c>
      <c r="B732">
        <v>1</v>
      </c>
      <c r="C732" s="3">
        <v>4679948</v>
      </c>
      <c r="D732" s="4">
        <v>18936929</v>
      </c>
      <c r="E732">
        <v>74</v>
      </c>
      <c r="F732" s="2">
        <v>0.77</v>
      </c>
      <c r="G732" s="2">
        <v>0.88200000000000001</v>
      </c>
      <c r="H732" s="2">
        <v>6.0199999999999997E-2</v>
      </c>
      <c r="I732" s="2">
        <v>0.19400000000000001</v>
      </c>
      <c r="J732" s="2">
        <v>0.316</v>
      </c>
      <c r="K732" s="2">
        <v>0.38500000000000001</v>
      </c>
      <c r="L732" s="2">
        <v>-4.7919999999999998</v>
      </c>
    </row>
    <row r="733" spans="1:12" x14ac:dyDescent="0.25">
      <c r="A733">
        <v>138</v>
      </c>
      <c r="B733">
        <v>13</v>
      </c>
      <c r="C733" s="3">
        <v>4630572</v>
      </c>
      <c r="D733" s="4">
        <v>35910149</v>
      </c>
      <c r="E733">
        <v>74</v>
      </c>
      <c r="F733" s="2">
        <v>0.56299999999999994</v>
      </c>
      <c r="G733" s="2">
        <v>0.86499999999999999</v>
      </c>
      <c r="H733" s="2">
        <v>0.16</v>
      </c>
      <c r="I733" s="2">
        <v>4.7199999999999999E-2</v>
      </c>
      <c r="J733" s="2">
        <v>0.77</v>
      </c>
      <c r="K733" s="2">
        <v>0.60099999999999998</v>
      </c>
      <c r="L733" s="2">
        <v>-5.2770000000000001</v>
      </c>
    </row>
    <row r="734" spans="1:12" x14ac:dyDescent="0.25">
      <c r="A734">
        <v>6</v>
      </c>
      <c r="B734">
        <v>23</v>
      </c>
      <c r="C734" s="3">
        <v>4613982</v>
      </c>
      <c r="D734" s="4">
        <v>36177712</v>
      </c>
      <c r="E734">
        <v>74</v>
      </c>
      <c r="F734" s="2">
        <v>0.85</v>
      </c>
      <c r="G734" s="2">
        <v>0.53600000000000003</v>
      </c>
      <c r="H734" s="2">
        <v>5.9900000000000002E-2</v>
      </c>
      <c r="I734" s="2">
        <v>0.26700000000000002</v>
      </c>
      <c r="J734" s="2">
        <v>9.9599999999999994E-2</v>
      </c>
      <c r="K734" s="2">
        <v>0.505</v>
      </c>
      <c r="L734" s="2">
        <v>-5.1609999999999996</v>
      </c>
    </row>
    <row r="735" spans="1:12" x14ac:dyDescent="0.25">
      <c r="A735">
        <v>49</v>
      </c>
      <c r="B735">
        <v>4</v>
      </c>
      <c r="C735" s="3">
        <v>4540781</v>
      </c>
      <c r="D735" s="4">
        <v>5002317</v>
      </c>
      <c r="E735">
        <v>74</v>
      </c>
      <c r="F735" s="2">
        <v>0.71199999999999997</v>
      </c>
      <c r="G735" s="2">
        <v>0.55600000000000005</v>
      </c>
      <c r="H735" s="2">
        <v>5.3100000000000001E-2</v>
      </c>
      <c r="I735" s="2">
        <v>8.4000000000000005E-2</v>
      </c>
      <c r="J735" s="2">
        <v>0.52700000000000002</v>
      </c>
      <c r="K735" s="2">
        <v>0.22</v>
      </c>
      <c r="L735" s="2">
        <v>-7.2140000000000004</v>
      </c>
    </row>
    <row r="736" spans="1:12" x14ac:dyDescent="0.25">
      <c r="A736">
        <v>86</v>
      </c>
      <c r="B736">
        <v>8</v>
      </c>
      <c r="C736" s="3">
        <v>4538382</v>
      </c>
      <c r="D736" s="4">
        <v>7593792</v>
      </c>
      <c r="E736">
        <v>74</v>
      </c>
      <c r="F736" s="2">
        <v>0.75</v>
      </c>
      <c r="G736" s="2">
        <v>0.66400000000000003</v>
      </c>
      <c r="H736" s="2">
        <v>0.154</v>
      </c>
      <c r="I736" s="2">
        <v>0.27500000000000002</v>
      </c>
      <c r="J736" s="2">
        <v>6.3200000000000006E-2</v>
      </c>
      <c r="K736" s="2">
        <v>0.61699999999999999</v>
      </c>
      <c r="L736" s="2">
        <v>-5.9080000000000004</v>
      </c>
    </row>
    <row r="737" spans="1:12" x14ac:dyDescent="0.25">
      <c r="A737">
        <v>97</v>
      </c>
      <c r="B737">
        <v>11</v>
      </c>
      <c r="C737" s="3">
        <v>4393037</v>
      </c>
      <c r="D737" s="4">
        <v>10580764</v>
      </c>
      <c r="E737">
        <v>74</v>
      </c>
      <c r="F737" s="2">
        <v>0.73099999999999998</v>
      </c>
      <c r="G737" s="2">
        <v>0.83199999999999996</v>
      </c>
      <c r="H737" s="2">
        <v>5.0299999999999997E-2</v>
      </c>
      <c r="I737" s="2">
        <v>0.27300000000000002</v>
      </c>
      <c r="J737" s="2">
        <v>6.6500000000000004E-2</v>
      </c>
      <c r="K737" s="2">
        <v>0.94</v>
      </c>
      <c r="L737" s="2">
        <v>-2.5920000000000001</v>
      </c>
    </row>
    <row r="738" spans="1:12" x14ac:dyDescent="0.25">
      <c r="A738">
        <v>50</v>
      </c>
      <c r="B738">
        <v>22</v>
      </c>
      <c r="C738" s="3">
        <v>4371370</v>
      </c>
      <c r="D738" s="4">
        <v>6608815</v>
      </c>
      <c r="E738">
        <v>74</v>
      </c>
      <c r="F738" s="2">
        <v>0.86699999999999999</v>
      </c>
      <c r="G738" s="2">
        <v>0.74399999999999999</v>
      </c>
      <c r="H738" s="2">
        <v>0.22700000000000001</v>
      </c>
      <c r="I738" s="2">
        <v>0.26800000000000002</v>
      </c>
      <c r="J738" s="2">
        <v>7.1300000000000002E-2</v>
      </c>
      <c r="K738" s="2">
        <v>0.64500000000000002</v>
      </c>
      <c r="L738" s="2">
        <v>-5.1710000000000003</v>
      </c>
    </row>
    <row r="739" spans="1:12" x14ac:dyDescent="0.25">
      <c r="A739">
        <v>22</v>
      </c>
      <c r="B739">
        <v>12</v>
      </c>
      <c r="C739" s="3">
        <v>4361970</v>
      </c>
      <c r="D739" s="4">
        <v>3129968</v>
      </c>
      <c r="E739">
        <v>74</v>
      </c>
      <c r="F739" s="2">
        <v>0.43</v>
      </c>
      <c r="G739" s="2">
        <v>0.7</v>
      </c>
      <c r="H739" s="2">
        <v>0.26400000000000001</v>
      </c>
      <c r="I739" s="2">
        <v>9.0200000000000002E-2</v>
      </c>
      <c r="J739" s="2">
        <v>0.216</v>
      </c>
      <c r="K739" s="2">
        <v>0.73099999999999998</v>
      </c>
      <c r="L739" s="2">
        <v>-5.35</v>
      </c>
    </row>
    <row r="740" spans="1:12" x14ac:dyDescent="0.25">
      <c r="A740">
        <v>52</v>
      </c>
      <c r="B740">
        <v>1</v>
      </c>
      <c r="C740" s="3">
        <v>9872084</v>
      </c>
      <c r="D740" s="4">
        <v>42227614</v>
      </c>
      <c r="E740">
        <v>73</v>
      </c>
      <c r="F740" s="2">
        <v>0.63200000000000001</v>
      </c>
      <c r="G740" s="2">
        <v>0.77300000000000002</v>
      </c>
      <c r="H740" s="2">
        <v>3.4599999999999999E-2</v>
      </c>
      <c r="I740" s="2">
        <v>6.2300000000000001E-2</v>
      </c>
      <c r="J740" s="2">
        <v>8.8499999999999995E-2</v>
      </c>
      <c r="K740" s="2">
        <v>0.47399999999999998</v>
      </c>
      <c r="L740" s="2">
        <v>-4.8559999999999999</v>
      </c>
    </row>
    <row r="741" spans="1:12" x14ac:dyDescent="0.25">
      <c r="A741">
        <v>65</v>
      </c>
      <c r="B741">
        <v>1</v>
      </c>
      <c r="C741" s="3">
        <v>9129562</v>
      </c>
      <c r="D741" s="4">
        <v>9949044</v>
      </c>
      <c r="E741">
        <v>73</v>
      </c>
      <c r="F741" s="2">
        <v>0.82499999999999996</v>
      </c>
      <c r="G741" s="2">
        <v>0.73299999999999998</v>
      </c>
      <c r="H741" s="2">
        <v>9.69E-2</v>
      </c>
      <c r="I741" s="2">
        <v>0.34899999999999998</v>
      </c>
      <c r="J741" s="2">
        <v>0.112</v>
      </c>
      <c r="K741" s="2">
        <v>0.62</v>
      </c>
      <c r="L741" s="2">
        <v>-5.625</v>
      </c>
    </row>
    <row r="742" spans="1:12" x14ac:dyDescent="0.25">
      <c r="A742">
        <v>59</v>
      </c>
      <c r="B742">
        <v>1</v>
      </c>
      <c r="C742" s="3">
        <v>8896030</v>
      </c>
      <c r="D742" s="4">
        <v>139434</v>
      </c>
      <c r="E742">
        <v>73</v>
      </c>
      <c r="F742" s="2">
        <v>0.61899999999999999</v>
      </c>
      <c r="G742" s="2">
        <v>0.45900000000000002</v>
      </c>
      <c r="H742" s="2">
        <v>3.3399999999999999E-2</v>
      </c>
      <c r="I742" s="2">
        <v>0.56000000000000005</v>
      </c>
      <c r="J742" s="2">
        <v>0.13700000000000001</v>
      </c>
      <c r="K742" s="2">
        <v>0.498</v>
      </c>
      <c r="L742" s="2">
        <v>-5.782</v>
      </c>
    </row>
    <row r="743" spans="1:12" x14ac:dyDescent="0.25">
      <c r="A743">
        <v>68</v>
      </c>
      <c r="B743">
        <v>1</v>
      </c>
      <c r="C743" s="3">
        <v>8638360</v>
      </c>
      <c r="D743" s="4">
        <v>2815928</v>
      </c>
      <c r="E743">
        <v>73</v>
      </c>
      <c r="F743" s="2">
        <v>0.76100000000000001</v>
      </c>
      <c r="G743" s="2">
        <v>0.89900000000000002</v>
      </c>
      <c r="H743" s="2">
        <v>0.183</v>
      </c>
      <c r="I743" s="2">
        <v>1.35E-2</v>
      </c>
      <c r="J743" s="2">
        <v>7.1900000000000006E-2</v>
      </c>
      <c r="K743" s="2">
        <v>0.67300000000000004</v>
      </c>
      <c r="L743" s="2">
        <v>-3.09</v>
      </c>
    </row>
    <row r="744" spans="1:12" x14ac:dyDescent="0.25">
      <c r="A744">
        <v>108</v>
      </c>
      <c r="B744">
        <v>1</v>
      </c>
      <c r="C744" s="3">
        <v>6988886</v>
      </c>
      <c r="D744" s="4">
        <v>6777818</v>
      </c>
      <c r="E744">
        <v>73</v>
      </c>
      <c r="F744" s="2">
        <v>0.45400000000000001</v>
      </c>
      <c r="G744" s="2">
        <v>0.86599999999999999</v>
      </c>
      <c r="H744" s="2">
        <v>0.39100000000000001</v>
      </c>
      <c r="I744" s="2">
        <v>0.121</v>
      </c>
      <c r="J744" s="2">
        <v>0.16700000000000001</v>
      </c>
      <c r="K744" s="2">
        <v>0.51800000000000002</v>
      </c>
      <c r="L744" s="2">
        <v>-5.3479999999999999</v>
      </c>
    </row>
    <row r="745" spans="1:12" x14ac:dyDescent="0.25">
      <c r="A745">
        <v>17</v>
      </c>
      <c r="B745">
        <v>3</v>
      </c>
      <c r="C745" s="3">
        <v>6388079</v>
      </c>
      <c r="D745" s="4">
        <v>36177712</v>
      </c>
      <c r="E745">
        <v>73</v>
      </c>
      <c r="F745" s="2">
        <v>0.68799999999999994</v>
      </c>
      <c r="G745" s="2">
        <v>0.88100000000000001</v>
      </c>
      <c r="H745" s="2">
        <v>4.7399999999999998E-2</v>
      </c>
      <c r="I745" s="2">
        <v>9.4700000000000006E-2</v>
      </c>
      <c r="J745" s="2">
        <v>8.0399999999999999E-2</v>
      </c>
      <c r="K745" s="2">
        <v>0.67700000000000005</v>
      </c>
      <c r="L745" s="2">
        <v>-4.8890000000000002</v>
      </c>
    </row>
    <row r="746" spans="1:12" x14ac:dyDescent="0.25">
      <c r="A746">
        <v>132</v>
      </c>
      <c r="B746">
        <v>1</v>
      </c>
      <c r="C746" s="3">
        <v>6268542</v>
      </c>
      <c r="D746" s="4">
        <v>6777818</v>
      </c>
      <c r="E746">
        <v>73</v>
      </c>
      <c r="F746" s="2">
        <v>0.55500000000000005</v>
      </c>
      <c r="G746" s="2">
        <v>0.71199999999999997</v>
      </c>
      <c r="H746" s="2">
        <v>0.32300000000000001</v>
      </c>
      <c r="I746" s="2">
        <v>4.5100000000000001E-2</v>
      </c>
      <c r="J746" s="2">
        <v>0.182</v>
      </c>
      <c r="K746" s="2">
        <v>0.55500000000000005</v>
      </c>
      <c r="L746" s="2">
        <v>-7.4459999999999997</v>
      </c>
    </row>
    <row r="747" spans="1:12" x14ac:dyDescent="0.25">
      <c r="A747">
        <v>46</v>
      </c>
      <c r="B747">
        <v>2</v>
      </c>
      <c r="C747" s="3">
        <v>6223001</v>
      </c>
      <c r="D747" s="4">
        <v>19102888</v>
      </c>
      <c r="E747">
        <v>73</v>
      </c>
      <c r="F747" s="2">
        <v>0.621</v>
      </c>
      <c r="G747" s="2">
        <v>0.69499999999999995</v>
      </c>
      <c r="H747" s="2">
        <v>9.11E-2</v>
      </c>
      <c r="I747" s="2">
        <v>5.8399999999999997E-3</v>
      </c>
      <c r="J747" s="2">
        <v>8.5999999999999993E-2</v>
      </c>
      <c r="K747" s="2">
        <v>0.29799999999999999</v>
      </c>
      <c r="L747" s="2">
        <v>-5.1239999999999997</v>
      </c>
    </row>
    <row r="748" spans="1:12" x14ac:dyDescent="0.25">
      <c r="A748">
        <v>8</v>
      </c>
      <c r="B748">
        <v>5</v>
      </c>
      <c r="C748" s="3">
        <v>6202933</v>
      </c>
      <c r="D748" s="4">
        <v>42227614</v>
      </c>
      <c r="E748">
        <v>73</v>
      </c>
      <c r="F748" s="2">
        <v>0.627</v>
      </c>
      <c r="G748" s="2">
        <v>0.79200000000000004</v>
      </c>
      <c r="H748" s="2">
        <v>3.1E-2</v>
      </c>
      <c r="I748" s="2">
        <v>0.13</v>
      </c>
      <c r="J748" s="2">
        <v>8.4500000000000006E-2</v>
      </c>
      <c r="K748" s="2">
        <v>0.41499999999999998</v>
      </c>
      <c r="L748" s="2">
        <v>-4.3109999999999999</v>
      </c>
    </row>
    <row r="749" spans="1:12" x14ac:dyDescent="0.25">
      <c r="A749">
        <v>141</v>
      </c>
      <c r="B749">
        <v>1</v>
      </c>
      <c r="C749" s="3">
        <v>6034281</v>
      </c>
      <c r="D749" s="4">
        <v>6777818</v>
      </c>
      <c r="E749">
        <v>73</v>
      </c>
      <c r="F749" s="2">
        <v>0.76600000000000001</v>
      </c>
      <c r="G749" s="2">
        <v>0.81399999999999995</v>
      </c>
      <c r="H749" s="2">
        <v>7.3300000000000004E-2</v>
      </c>
      <c r="I749" s="2">
        <v>4.3999999999999997E-2</v>
      </c>
      <c r="J749" s="2">
        <v>0.19500000000000001</v>
      </c>
      <c r="K749" s="2">
        <v>0.48099999999999998</v>
      </c>
      <c r="L749" s="2">
        <v>-3.367</v>
      </c>
    </row>
    <row r="750" spans="1:12" x14ac:dyDescent="0.25">
      <c r="A750">
        <v>137</v>
      </c>
      <c r="B750">
        <v>1</v>
      </c>
      <c r="C750" s="3">
        <v>5929507</v>
      </c>
      <c r="D750" s="4">
        <v>18306226</v>
      </c>
      <c r="E750">
        <v>73</v>
      </c>
      <c r="F750" s="2">
        <v>0.81699999999999995</v>
      </c>
      <c r="G750" s="2">
        <v>0.73699999999999999</v>
      </c>
      <c r="H750" s="2">
        <v>0.10199999999999999</v>
      </c>
      <c r="I750" s="2">
        <v>4.5999999999999999E-2</v>
      </c>
      <c r="J750" s="2">
        <v>9.1999999999999998E-2</v>
      </c>
      <c r="K750" s="2">
        <v>0.67</v>
      </c>
      <c r="L750" s="2">
        <v>-5.4530000000000003</v>
      </c>
    </row>
    <row r="751" spans="1:12" x14ac:dyDescent="0.25">
      <c r="A751">
        <v>74</v>
      </c>
      <c r="B751">
        <v>3</v>
      </c>
      <c r="C751" s="3">
        <v>5602168</v>
      </c>
      <c r="D751" s="4">
        <v>1245965</v>
      </c>
      <c r="E751">
        <v>73</v>
      </c>
      <c r="F751" s="2">
        <v>0.66</v>
      </c>
      <c r="G751" s="2">
        <v>0.78700000000000003</v>
      </c>
      <c r="H751" s="2">
        <v>3.2000000000000001E-2</v>
      </c>
      <c r="I751" s="2">
        <v>2.5699999999999998E-3</v>
      </c>
      <c r="J751" s="2">
        <v>0.32300000000000001</v>
      </c>
      <c r="K751" s="2">
        <v>0.19900000000000001</v>
      </c>
      <c r="L751" s="2">
        <v>-4.5919999999999996</v>
      </c>
    </row>
    <row r="752" spans="1:12" x14ac:dyDescent="0.25">
      <c r="A752">
        <v>138</v>
      </c>
      <c r="B752">
        <v>2</v>
      </c>
      <c r="C752" s="3">
        <v>5418816</v>
      </c>
      <c r="D752" s="4">
        <v>13697048</v>
      </c>
      <c r="E752">
        <v>73</v>
      </c>
      <c r="F752" s="2">
        <v>0.33400000000000002</v>
      </c>
      <c r="G752" s="2">
        <v>0.27600000000000002</v>
      </c>
      <c r="H752" s="2">
        <v>6.4299999999999996E-2</v>
      </c>
      <c r="I752" s="2">
        <v>0.877</v>
      </c>
      <c r="J752" s="2">
        <v>0.113</v>
      </c>
      <c r="K752" s="2">
        <v>0.42899999999999999</v>
      </c>
      <c r="L752" s="2">
        <v>-13.125</v>
      </c>
    </row>
    <row r="753" spans="1:12" x14ac:dyDescent="0.25">
      <c r="A753">
        <v>176</v>
      </c>
      <c r="B753">
        <v>1</v>
      </c>
      <c r="C753" s="3">
        <v>5393789</v>
      </c>
      <c r="D753" s="4">
        <v>8640063</v>
      </c>
      <c r="E753">
        <v>73</v>
      </c>
      <c r="F753" s="2">
        <v>0.61899999999999999</v>
      </c>
      <c r="G753" s="2">
        <v>0.70699999999999996</v>
      </c>
      <c r="H753" s="2">
        <v>4.99E-2</v>
      </c>
      <c r="I753" s="2">
        <v>3.6600000000000001E-2</v>
      </c>
      <c r="J753" s="2">
        <v>0.13</v>
      </c>
      <c r="K753" s="2">
        <v>0.55800000000000005</v>
      </c>
      <c r="L753" s="2">
        <v>-5.7910000000000004</v>
      </c>
    </row>
    <row r="754" spans="1:12" x14ac:dyDescent="0.25">
      <c r="A754">
        <v>27</v>
      </c>
      <c r="B754">
        <v>2</v>
      </c>
      <c r="C754" s="3">
        <v>5393643</v>
      </c>
      <c r="D754" s="4">
        <v>14097410</v>
      </c>
      <c r="E754">
        <v>73</v>
      </c>
      <c r="F754" s="2">
        <v>0.58299999999999996</v>
      </c>
      <c r="G754" s="2">
        <v>0.625</v>
      </c>
      <c r="H754" s="2">
        <v>0.27700000000000002</v>
      </c>
      <c r="I754" s="2">
        <v>0.50600000000000001</v>
      </c>
      <c r="J754" s="2">
        <v>0.19600000000000001</v>
      </c>
      <c r="K754" s="2">
        <v>0.51600000000000001</v>
      </c>
      <c r="L754" s="2">
        <v>-8.0109999999999992</v>
      </c>
    </row>
    <row r="755" spans="1:12" x14ac:dyDescent="0.25">
      <c r="A755">
        <v>107</v>
      </c>
      <c r="B755">
        <v>14</v>
      </c>
      <c r="C755" s="3">
        <v>5380517</v>
      </c>
      <c r="D755" s="4">
        <v>9907270</v>
      </c>
      <c r="E755">
        <v>73</v>
      </c>
      <c r="F755" s="2">
        <v>0.75800000000000001</v>
      </c>
      <c r="G755" s="2">
        <v>0.76300000000000001</v>
      </c>
      <c r="H755" s="2">
        <v>7.6799999999999993E-2</v>
      </c>
      <c r="I755" s="2">
        <v>0.23</v>
      </c>
      <c r="J755" s="2">
        <v>7.0300000000000001E-2</v>
      </c>
      <c r="K755" s="2">
        <v>0.85399999999999998</v>
      </c>
      <c r="L755" s="2">
        <v>-8.7539999999999996</v>
      </c>
    </row>
    <row r="756" spans="1:12" x14ac:dyDescent="0.25">
      <c r="A756">
        <v>148</v>
      </c>
      <c r="B756">
        <v>7</v>
      </c>
      <c r="C756" s="3">
        <v>5375782</v>
      </c>
      <c r="D756" s="4">
        <v>2918229</v>
      </c>
      <c r="E756">
        <v>73</v>
      </c>
      <c r="F756" s="2">
        <v>0.495</v>
      </c>
      <c r="G756" s="2">
        <v>0.85599999999999998</v>
      </c>
      <c r="H756" s="2">
        <v>3.1099999999999999E-2</v>
      </c>
      <c r="I756" s="2">
        <v>2.1900000000000001E-4</v>
      </c>
      <c r="J756" s="2">
        <v>0.10299999999999999</v>
      </c>
      <c r="K756" s="2">
        <v>0.60899999999999999</v>
      </c>
      <c r="L756" s="2">
        <v>-5.1230000000000002</v>
      </c>
    </row>
    <row r="757" spans="1:12" x14ac:dyDescent="0.25">
      <c r="A757">
        <v>117</v>
      </c>
      <c r="B757">
        <v>4</v>
      </c>
      <c r="C757" s="3">
        <v>5361669</v>
      </c>
      <c r="D757" s="4">
        <v>213344</v>
      </c>
      <c r="E757">
        <v>73</v>
      </c>
      <c r="F757" s="2">
        <v>0.86599999999999999</v>
      </c>
      <c r="G757" s="2">
        <v>0.56299999999999994</v>
      </c>
      <c r="H757" s="2">
        <v>0.108</v>
      </c>
      <c r="I757" s="2">
        <v>0.185</v>
      </c>
      <c r="J757" s="2">
        <v>8.8900000000000007E-2</v>
      </c>
      <c r="K757" s="2">
        <v>0.307</v>
      </c>
      <c r="L757" s="2">
        <v>-6.9640000000000004</v>
      </c>
    </row>
    <row r="758" spans="1:12" x14ac:dyDescent="0.25">
      <c r="A758">
        <v>97</v>
      </c>
      <c r="B758">
        <v>9</v>
      </c>
      <c r="C758" s="3">
        <v>5356696</v>
      </c>
      <c r="D758" s="4">
        <v>342930</v>
      </c>
      <c r="E758">
        <v>73</v>
      </c>
      <c r="F758" s="2">
        <v>0.67600000000000005</v>
      </c>
      <c r="G758" s="2">
        <v>0.82299999999999995</v>
      </c>
      <c r="H758" s="2">
        <v>0.10199999999999999</v>
      </c>
      <c r="I758" s="2">
        <v>0.24199999999999999</v>
      </c>
      <c r="J758" s="2">
        <v>7.7299999999999994E-2</v>
      </c>
      <c r="K758" s="2">
        <v>0.90700000000000003</v>
      </c>
      <c r="L758" s="2">
        <v>-4.3860000000000001</v>
      </c>
    </row>
    <row r="759" spans="1:12" x14ac:dyDescent="0.25">
      <c r="A759">
        <v>89</v>
      </c>
      <c r="B759">
        <v>2</v>
      </c>
      <c r="C759" s="3">
        <v>5342938</v>
      </c>
      <c r="D759" s="4">
        <v>804613</v>
      </c>
      <c r="E759">
        <v>73</v>
      </c>
      <c r="F759" s="2">
        <v>0.66800000000000004</v>
      </c>
      <c r="G759" s="2">
        <v>0.56299999999999994</v>
      </c>
      <c r="H759" s="2">
        <v>5.2200000000000003E-2</v>
      </c>
      <c r="I759" s="2">
        <v>4.9299999999999997E-2</v>
      </c>
      <c r="J759" s="2">
        <v>0.11899999999999999</v>
      </c>
      <c r="K759" s="2">
        <v>0.30499999999999999</v>
      </c>
      <c r="L759" s="2">
        <v>-6.4329999999999998</v>
      </c>
    </row>
    <row r="760" spans="1:12" x14ac:dyDescent="0.25">
      <c r="A760">
        <v>120</v>
      </c>
      <c r="B760">
        <v>3</v>
      </c>
      <c r="C760" s="3">
        <v>5312936</v>
      </c>
      <c r="D760" s="4">
        <v>30386</v>
      </c>
      <c r="E760">
        <v>73</v>
      </c>
      <c r="F760" s="2">
        <v>0.91700000000000004</v>
      </c>
      <c r="G760" s="2">
        <v>0.58799999999999997</v>
      </c>
      <c r="H760" s="2">
        <v>6.0699999999999997E-2</v>
      </c>
      <c r="I760" s="2">
        <v>0.19500000000000001</v>
      </c>
      <c r="J760" s="2">
        <v>9.1399999999999995E-2</v>
      </c>
      <c r="K760" s="2">
        <v>0.82799999999999996</v>
      </c>
      <c r="L760" s="2">
        <v>-11.047000000000001</v>
      </c>
    </row>
    <row r="761" spans="1:12" x14ac:dyDescent="0.25">
      <c r="A761">
        <v>131</v>
      </c>
      <c r="B761">
        <v>3</v>
      </c>
      <c r="C761" s="3">
        <v>5258047</v>
      </c>
      <c r="D761" s="4">
        <v>3818503</v>
      </c>
      <c r="E761">
        <v>73</v>
      </c>
      <c r="F761" s="2">
        <v>0.748</v>
      </c>
      <c r="G761" s="2">
        <v>0.64800000000000002</v>
      </c>
      <c r="H761" s="2">
        <v>8.1600000000000006E-2</v>
      </c>
      <c r="I761" s="2">
        <v>0.48399999999999999</v>
      </c>
      <c r="J761" s="2">
        <v>0.126</v>
      </c>
      <c r="K761" s="2">
        <v>0.72599999999999998</v>
      </c>
      <c r="L761" s="2">
        <v>-6.4450000000000003</v>
      </c>
    </row>
    <row r="762" spans="1:12" x14ac:dyDescent="0.25">
      <c r="A762">
        <v>40</v>
      </c>
      <c r="B762">
        <v>9</v>
      </c>
      <c r="C762" s="3">
        <v>5249427</v>
      </c>
      <c r="D762" s="4">
        <v>10580764</v>
      </c>
      <c r="E762">
        <v>73</v>
      </c>
      <c r="F762" s="2">
        <v>0.81299999999999994</v>
      </c>
      <c r="G762" s="2">
        <v>0.52600000000000002</v>
      </c>
      <c r="H762" s="2">
        <v>0.125</v>
      </c>
      <c r="I762" s="2">
        <v>0.105</v>
      </c>
      <c r="J762" s="2">
        <v>0.11</v>
      </c>
      <c r="K762" s="2">
        <v>0.60799999999999998</v>
      </c>
      <c r="L762" s="2">
        <v>-4.7869999999999999</v>
      </c>
    </row>
    <row r="763" spans="1:12" x14ac:dyDescent="0.25">
      <c r="A763">
        <v>54</v>
      </c>
      <c r="B763">
        <v>7</v>
      </c>
      <c r="C763" s="3">
        <v>5232377</v>
      </c>
      <c r="D763" s="4">
        <v>18306226</v>
      </c>
      <c r="E763">
        <v>73</v>
      </c>
      <c r="F763" s="2">
        <v>0.81699999999999995</v>
      </c>
      <c r="G763" s="2">
        <v>0.73699999999999999</v>
      </c>
      <c r="H763" s="2">
        <v>0.10199999999999999</v>
      </c>
      <c r="I763" s="2">
        <v>4.5999999999999999E-2</v>
      </c>
      <c r="J763" s="2">
        <v>9.1999999999999998E-2</v>
      </c>
      <c r="K763" s="2">
        <v>0.67</v>
      </c>
      <c r="L763" s="2">
        <v>-5.4530000000000003</v>
      </c>
    </row>
    <row r="764" spans="1:12" x14ac:dyDescent="0.25">
      <c r="A764">
        <v>86</v>
      </c>
      <c r="B764">
        <v>8</v>
      </c>
      <c r="C764" s="3">
        <v>5220309</v>
      </c>
      <c r="D764" s="4">
        <v>1255573</v>
      </c>
      <c r="E764">
        <v>73</v>
      </c>
      <c r="F764" s="2">
        <v>0.95399999999999996</v>
      </c>
      <c r="G764" s="2">
        <v>0.69599999999999995</v>
      </c>
      <c r="H764" s="2">
        <v>0.20399999999999999</v>
      </c>
      <c r="I764" s="2">
        <v>5.7600000000000004E-3</v>
      </c>
      <c r="J764" s="2">
        <v>7.5399999999999995E-2</v>
      </c>
      <c r="K764" s="2">
        <v>0.432</v>
      </c>
      <c r="L764" s="2">
        <v>-7.117</v>
      </c>
    </row>
    <row r="765" spans="1:12" x14ac:dyDescent="0.25">
      <c r="A765">
        <v>124</v>
      </c>
      <c r="B765">
        <v>3</v>
      </c>
      <c r="C765" s="3">
        <v>5201322</v>
      </c>
      <c r="D765" s="4">
        <v>9398941</v>
      </c>
      <c r="E765">
        <v>73</v>
      </c>
      <c r="F765" s="2">
        <v>0.44800000000000001</v>
      </c>
      <c r="G765" s="2">
        <v>0.82399999999999995</v>
      </c>
      <c r="H765" s="2">
        <v>5.7000000000000002E-2</v>
      </c>
      <c r="I765" s="2">
        <v>7.3899999999999993E-2</v>
      </c>
      <c r="J765" s="2">
        <v>0.113</v>
      </c>
      <c r="K765" s="2">
        <v>0.41899999999999998</v>
      </c>
      <c r="L765" s="2">
        <v>-4.2489999999999997</v>
      </c>
    </row>
    <row r="766" spans="1:12" x14ac:dyDescent="0.25">
      <c r="A766">
        <v>177</v>
      </c>
      <c r="B766">
        <v>1</v>
      </c>
      <c r="C766" s="3">
        <v>5119828</v>
      </c>
      <c r="D766" s="4">
        <v>8153871</v>
      </c>
      <c r="E766">
        <v>73</v>
      </c>
      <c r="F766" s="2">
        <v>0.69499999999999995</v>
      </c>
      <c r="G766" s="2">
        <v>0.78400000000000003</v>
      </c>
      <c r="H766" s="2">
        <v>4.02E-2</v>
      </c>
      <c r="I766" s="2">
        <v>8.8900000000000007E-2</v>
      </c>
      <c r="J766" s="2">
        <v>8.43E-2</v>
      </c>
      <c r="K766" s="2">
        <v>0.52</v>
      </c>
      <c r="L766" s="2">
        <v>-6.5640000000000001</v>
      </c>
    </row>
    <row r="767" spans="1:12" x14ac:dyDescent="0.25">
      <c r="A767">
        <v>90</v>
      </c>
      <c r="B767">
        <v>10</v>
      </c>
      <c r="C767" s="3">
        <v>5112244</v>
      </c>
      <c r="D767" s="4">
        <v>206225</v>
      </c>
      <c r="E767">
        <v>73</v>
      </c>
      <c r="F767" s="2">
        <v>0.72699999999999998</v>
      </c>
      <c r="G767" s="2">
        <v>0.81499999999999995</v>
      </c>
      <c r="H767" s="2">
        <v>0.153</v>
      </c>
      <c r="I767" s="2">
        <v>2.58E-2</v>
      </c>
      <c r="J767" s="2">
        <v>0.23100000000000001</v>
      </c>
      <c r="K767" s="2">
        <v>0.67700000000000005</v>
      </c>
      <c r="L767" s="2">
        <v>-2.4540000000000002</v>
      </c>
    </row>
    <row r="768" spans="1:12" x14ac:dyDescent="0.25">
      <c r="A768">
        <v>191</v>
      </c>
      <c r="B768">
        <v>1</v>
      </c>
      <c r="C768" s="3">
        <v>5078174</v>
      </c>
      <c r="D768" s="4">
        <v>342930</v>
      </c>
      <c r="E768">
        <v>73</v>
      </c>
      <c r="F768" s="2">
        <v>0.67600000000000005</v>
      </c>
      <c r="G768" s="2">
        <v>0.82299999999999995</v>
      </c>
      <c r="H768" s="2">
        <v>0.10199999999999999</v>
      </c>
      <c r="I768" s="2">
        <v>0.24199999999999999</v>
      </c>
      <c r="J768" s="2">
        <v>7.7299999999999994E-2</v>
      </c>
      <c r="K768" s="2">
        <v>0.90700000000000003</v>
      </c>
      <c r="L768" s="2">
        <v>-4.3860000000000001</v>
      </c>
    </row>
    <row r="769" spans="1:12" x14ac:dyDescent="0.25">
      <c r="A769">
        <v>46</v>
      </c>
      <c r="B769">
        <v>9</v>
      </c>
      <c r="C769" s="3">
        <v>5075520</v>
      </c>
      <c r="D769" s="4">
        <v>139434</v>
      </c>
      <c r="E769">
        <v>73</v>
      </c>
      <c r="F769" s="2">
        <v>0.61899999999999999</v>
      </c>
      <c r="G769" s="2">
        <v>0.45900000000000002</v>
      </c>
      <c r="H769" s="2">
        <v>3.3399999999999999E-2</v>
      </c>
      <c r="I769" s="2">
        <v>0.56000000000000005</v>
      </c>
      <c r="J769" s="2">
        <v>0.13700000000000001</v>
      </c>
      <c r="K769" s="2">
        <v>0.498</v>
      </c>
      <c r="L769" s="2">
        <v>-5.782</v>
      </c>
    </row>
    <row r="770" spans="1:12" x14ac:dyDescent="0.25">
      <c r="A770">
        <v>53</v>
      </c>
      <c r="B770">
        <v>5</v>
      </c>
      <c r="C770" s="3">
        <v>5064504</v>
      </c>
      <c r="D770" s="4">
        <v>2147875</v>
      </c>
      <c r="E770">
        <v>73</v>
      </c>
      <c r="F770" s="2">
        <v>0.46600000000000003</v>
      </c>
      <c r="G770" s="2">
        <v>0.78600000000000003</v>
      </c>
      <c r="H770" s="2">
        <v>3.2800000000000003E-2</v>
      </c>
      <c r="I770" s="2">
        <v>0.41699999999999998</v>
      </c>
      <c r="J770" s="2">
        <v>0.125</v>
      </c>
      <c r="K770" s="2">
        <v>0.57099999999999995</v>
      </c>
      <c r="L770" s="2">
        <v>-5.13</v>
      </c>
    </row>
    <row r="771" spans="1:12" x14ac:dyDescent="0.25">
      <c r="A771">
        <v>119</v>
      </c>
      <c r="B771">
        <v>11</v>
      </c>
      <c r="C771" s="3">
        <v>5064484</v>
      </c>
      <c r="D771" s="4">
        <v>26784251</v>
      </c>
      <c r="E771">
        <v>73</v>
      </c>
      <c r="F771" s="2">
        <v>0.76400000000000001</v>
      </c>
      <c r="G771" s="2">
        <v>0.74099999999999999</v>
      </c>
      <c r="H771" s="2">
        <v>0.10100000000000001</v>
      </c>
      <c r="I771" s="2">
        <v>0.23899999999999999</v>
      </c>
      <c r="J771" s="2">
        <v>0.107</v>
      </c>
      <c r="K771" s="2">
        <v>0.80200000000000005</v>
      </c>
      <c r="L771" s="2">
        <v>-3.617</v>
      </c>
    </row>
    <row r="772" spans="1:12" x14ac:dyDescent="0.25">
      <c r="A772">
        <v>56</v>
      </c>
      <c r="B772">
        <v>4</v>
      </c>
      <c r="C772" s="3">
        <v>5031845</v>
      </c>
      <c r="D772" s="4">
        <v>359133</v>
      </c>
      <c r="E772">
        <v>73</v>
      </c>
      <c r="F772" s="2">
        <v>0.45700000000000002</v>
      </c>
      <c r="G772" s="2">
        <v>0.621</v>
      </c>
      <c r="H772" s="2">
        <v>0.13800000000000001</v>
      </c>
      <c r="I772" s="2">
        <v>0.218</v>
      </c>
      <c r="J772" s="2">
        <v>9.4399999999999998E-2</v>
      </c>
      <c r="K772" s="2">
        <v>0.63400000000000001</v>
      </c>
      <c r="L772" s="2">
        <v>-5.923</v>
      </c>
    </row>
    <row r="773" spans="1:12" x14ac:dyDescent="0.25">
      <c r="A773">
        <v>137</v>
      </c>
      <c r="B773">
        <v>2</v>
      </c>
      <c r="C773" s="3">
        <v>5010179</v>
      </c>
      <c r="D773" s="4">
        <v>4442273</v>
      </c>
      <c r="E773">
        <v>73</v>
      </c>
      <c r="F773" s="2">
        <v>0.70299999999999996</v>
      </c>
      <c r="G773" s="2">
        <v>0.65700000000000003</v>
      </c>
      <c r="H773" s="2">
        <v>7.8299999999999995E-2</v>
      </c>
      <c r="I773" s="2">
        <v>0.13900000000000001</v>
      </c>
      <c r="J773" s="2">
        <v>9.2999999999999999E-2</v>
      </c>
      <c r="K773" s="2">
        <v>0.45500000000000002</v>
      </c>
      <c r="L773" s="2">
        <v>-5.3630000000000004</v>
      </c>
    </row>
    <row r="774" spans="1:12" x14ac:dyDescent="0.25">
      <c r="A774">
        <v>91</v>
      </c>
      <c r="B774">
        <v>3</v>
      </c>
      <c r="C774" s="3">
        <v>4982232</v>
      </c>
      <c r="D774" s="4">
        <v>2384076</v>
      </c>
      <c r="E774">
        <v>73</v>
      </c>
      <c r="F774" s="2">
        <v>0.77600000000000002</v>
      </c>
      <c r="G774" s="2">
        <v>0.91100000000000003</v>
      </c>
      <c r="H774" s="2">
        <v>0.13100000000000001</v>
      </c>
      <c r="I774" s="2">
        <v>0.155</v>
      </c>
      <c r="J774" s="2">
        <v>0.26800000000000002</v>
      </c>
      <c r="K774" s="2">
        <v>0.56000000000000005</v>
      </c>
      <c r="L774" s="2">
        <v>-3.08</v>
      </c>
    </row>
    <row r="775" spans="1:12" x14ac:dyDescent="0.25">
      <c r="A775">
        <v>25</v>
      </c>
      <c r="B775">
        <v>4</v>
      </c>
      <c r="C775" s="3">
        <v>4978899</v>
      </c>
      <c r="D775" s="4">
        <v>19102888</v>
      </c>
      <c r="E775">
        <v>73</v>
      </c>
      <c r="F775" s="2">
        <v>0.86799999999999999</v>
      </c>
      <c r="G775" s="2">
        <v>0.55000000000000004</v>
      </c>
      <c r="H775" s="2">
        <v>0.22600000000000001</v>
      </c>
      <c r="I775" s="2">
        <v>0.183</v>
      </c>
      <c r="J775" s="2">
        <v>0.109</v>
      </c>
      <c r="K775" s="2">
        <v>0.46400000000000002</v>
      </c>
      <c r="L775" s="2">
        <v>-6.4169999999999998</v>
      </c>
    </row>
    <row r="776" spans="1:12" x14ac:dyDescent="0.25">
      <c r="A776">
        <v>140</v>
      </c>
      <c r="B776">
        <v>13</v>
      </c>
      <c r="C776" s="3">
        <v>4972518</v>
      </c>
      <c r="D776" s="4">
        <v>1053324</v>
      </c>
      <c r="E776">
        <v>73</v>
      </c>
      <c r="F776" s="2">
        <v>0.90400000000000003</v>
      </c>
      <c r="G776" s="2">
        <v>0.72299999999999998</v>
      </c>
      <c r="H776" s="2">
        <v>0.26</v>
      </c>
      <c r="I776" s="2">
        <v>6.3100000000000003E-2</v>
      </c>
      <c r="J776" s="2">
        <v>0.185</v>
      </c>
      <c r="K776" s="2">
        <v>0.83499999999999996</v>
      </c>
      <c r="L776" s="2">
        <v>-5.2240000000000002</v>
      </c>
    </row>
    <row r="777" spans="1:12" x14ac:dyDescent="0.25">
      <c r="A777">
        <v>65</v>
      </c>
      <c r="B777">
        <v>8</v>
      </c>
      <c r="C777" s="3">
        <v>4957966</v>
      </c>
      <c r="D777" s="4">
        <v>32279979</v>
      </c>
      <c r="E777">
        <v>73</v>
      </c>
      <c r="F777" s="2">
        <v>0.48499999999999999</v>
      </c>
      <c r="G777" s="2">
        <v>0.56699999999999995</v>
      </c>
      <c r="H777" s="2">
        <v>3.8800000000000001E-2</v>
      </c>
      <c r="I777" s="2">
        <v>0.316</v>
      </c>
      <c r="J777" s="2">
        <v>9.4899999999999998E-2</v>
      </c>
      <c r="K777" s="2">
        <v>0.157</v>
      </c>
      <c r="L777" s="2">
        <v>-6.4560000000000004</v>
      </c>
    </row>
    <row r="778" spans="1:12" x14ac:dyDescent="0.25">
      <c r="A778">
        <v>135</v>
      </c>
      <c r="B778">
        <v>6</v>
      </c>
      <c r="C778" s="3">
        <v>4940984</v>
      </c>
      <c r="D778" s="4">
        <v>14190858</v>
      </c>
      <c r="E778">
        <v>73</v>
      </c>
      <c r="F778" s="2">
        <v>0.9</v>
      </c>
      <c r="G778" s="2">
        <v>0.4</v>
      </c>
      <c r="H778" s="2">
        <v>0.127</v>
      </c>
      <c r="I778" s="2">
        <v>5.16E-2</v>
      </c>
      <c r="J778" s="2">
        <v>5.9900000000000002E-2</v>
      </c>
      <c r="K778" s="2">
        <v>0.34599999999999997</v>
      </c>
      <c r="L778" s="2">
        <v>-8.5749999999999993</v>
      </c>
    </row>
    <row r="779" spans="1:12" x14ac:dyDescent="0.25">
      <c r="A779">
        <v>65</v>
      </c>
      <c r="B779">
        <v>12</v>
      </c>
      <c r="C779" s="3">
        <v>4878903</v>
      </c>
      <c r="D779" s="4">
        <v>7601122</v>
      </c>
      <c r="E779">
        <v>73</v>
      </c>
      <c r="F779" s="2">
        <v>0.81599999999999995</v>
      </c>
      <c r="G779" s="2">
        <v>0.58199999999999996</v>
      </c>
      <c r="H779" s="2">
        <v>0.34100000000000003</v>
      </c>
      <c r="I779" s="2">
        <v>7.9399999999999998E-2</v>
      </c>
      <c r="J779" s="2">
        <v>9.1600000000000001E-2</v>
      </c>
      <c r="K779" s="2">
        <v>0.54200000000000004</v>
      </c>
      <c r="L779" s="2">
        <v>-4.141</v>
      </c>
    </row>
    <row r="780" spans="1:12" x14ac:dyDescent="0.25">
      <c r="A780">
        <v>116</v>
      </c>
      <c r="B780">
        <v>8</v>
      </c>
      <c r="C780" s="3">
        <v>4864544</v>
      </c>
      <c r="D780" s="4">
        <v>6096559</v>
      </c>
      <c r="E780">
        <v>73</v>
      </c>
      <c r="F780" s="2">
        <v>0.81100000000000005</v>
      </c>
      <c r="G780" s="2">
        <v>0.68300000000000005</v>
      </c>
      <c r="H780" s="2">
        <v>0.24099999999999999</v>
      </c>
      <c r="I780" s="2">
        <v>0.46</v>
      </c>
      <c r="J780" s="2">
        <v>0.128</v>
      </c>
      <c r="K780" s="2">
        <v>0.57099999999999995</v>
      </c>
      <c r="L780" s="2">
        <v>-2.028</v>
      </c>
    </row>
    <row r="781" spans="1:12" x14ac:dyDescent="0.25">
      <c r="A781">
        <v>182</v>
      </c>
      <c r="B781">
        <v>3</v>
      </c>
      <c r="C781" s="3">
        <v>4855270</v>
      </c>
      <c r="D781" s="4">
        <v>639516</v>
      </c>
      <c r="E781">
        <v>73</v>
      </c>
      <c r="F781" s="2">
        <v>0.59</v>
      </c>
      <c r="G781" s="2">
        <v>0.64200000000000002</v>
      </c>
      <c r="H781" s="2">
        <v>0.122</v>
      </c>
      <c r="I781" s="2">
        <v>7.7100000000000002E-2</v>
      </c>
      <c r="J781" s="2">
        <v>0.105</v>
      </c>
      <c r="K781" s="2">
        <v>0.65100000000000002</v>
      </c>
      <c r="L781" s="2">
        <v>-3.87</v>
      </c>
    </row>
    <row r="782" spans="1:12" x14ac:dyDescent="0.25">
      <c r="A782">
        <v>29</v>
      </c>
      <c r="B782">
        <v>32</v>
      </c>
      <c r="C782" s="3">
        <v>4787127</v>
      </c>
      <c r="D782" s="4">
        <v>10580764</v>
      </c>
      <c r="E782">
        <v>73</v>
      </c>
      <c r="F782" s="2">
        <v>0.61099999999999999</v>
      </c>
      <c r="G782" s="2">
        <v>0.85099999999999998</v>
      </c>
      <c r="H782" s="2">
        <v>5.9799999999999999E-2</v>
      </c>
      <c r="I782" s="2">
        <v>0.22900000000000001</v>
      </c>
      <c r="J782" s="2">
        <v>0.23200000000000001</v>
      </c>
      <c r="K782" s="2">
        <v>0.82299999999999995</v>
      </c>
      <c r="L782" s="2">
        <v>-2.9820000000000002</v>
      </c>
    </row>
    <row r="783" spans="1:12" x14ac:dyDescent="0.25">
      <c r="A783">
        <v>21</v>
      </c>
      <c r="B783">
        <v>15</v>
      </c>
      <c r="C783" s="3">
        <v>4769996</v>
      </c>
      <c r="D783" s="4">
        <v>11821805</v>
      </c>
      <c r="E783">
        <v>73</v>
      </c>
      <c r="F783" s="2">
        <v>0.77500000000000002</v>
      </c>
      <c r="G783" s="2">
        <v>0.72</v>
      </c>
      <c r="H783" s="2">
        <v>0.193</v>
      </c>
      <c r="I783" s="2">
        <v>2.3599999999999999E-2</v>
      </c>
      <c r="J783" s="2">
        <v>0.114</v>
      </c>
      <c r="K783" s="2">
        <v>0.49</v>
      </c>
      <c r="L783" s="2">
        <v>-5.3529999999999998</v>
      </c>
    </row>
    <row r="784" spans="1:12" x14ac:dyDescent="0.25">
      <c r="A784">
        <v>76</v>
      </c>
      <c r="B784">
        <v>8</v>
      </c>
      <c r="C784" s="3">
        <v>4769618</v>
      </c>
      <c r="D784" s="4">
        <v>27167675</v>
      </c>
      <c r="E784">
        <v>73</v>
      </c>
      <c r="F784" s="2">
        <v>0.86799999999999999</v>
      </c>
      <c r="G784" s="2">
        <v>0.69299999999999995</v>
      </c>
      <c r="H784" s="2">
        <v>0.18099999999999999</v>
      </c>
      <c r="I784" s="2">
        <v>5.9700000000000003E-2</v>
      </c>
      <c r="J784" s="2">
        <v>0.106</v>
      </c>
      <c r="K784" s="2">
        <v>0.39600000000000002</v>
      </c>
      <c r="L784" s="2">
        <v>-7.0519999999999996</v>
      </c>
    </row>
    <row r="785" spans="1:12" x14ac:dyDescent="0.25">
      <c r="A785">
        <v>26</v>
      </c>
      <c r="B785">
        <v>20</v>
      </c>
      <c r="C785" s="3">
        <v>4695091</v>
      </c>
      <c r="D785" s="4">
        <v>29067437</v>
      </c>
      <c r="E785">
        <v>73</v>
      </c>
      <c r="F785" s="2">
        <v>0.64100000000000001</v>
      </c>
      <c r="G785" s="2">
        <v>0.85699999999999998</v>
      </c>
      <c r="H785" s="2">
        <v>0.30099999999999999</v>
      </c>
      <c r="I785" s="2">
        <v>1.2999999999999999E-2</v>
      </c>
      <c r="J785" s="2">
        <v>6.9500000000000006E-2</v>
      </c>
      <c r="K785" s="2">
        <v>0.96099999999999997</v>
      </c>
      <c r="L785" s="2">
        <v>-5.7249999999999996</v>
      </c>
    </row>
    <row r="786" spans="1:12" x14ac:dyDescent="0.25">
      <c r="A786">
        <v>31</v>
      </c>
      <c r="B786">
        <v>20</v>
      </c>
      <c r="C786" s="3">
        <v>4669248</v>
      </c>
      <c r="D786" s="4">
        <v>92356</v>
      </c>
      <c r="E786">
        <v>73</v>
      </c>
      <c r="F786" s="2">
        <v>0.90300000000000002</v>
      </c>
      <c r="G786" s="2">
        <v>0.32700000000000001</v>
      </c>
      <c r="H786" s="2">
        <v>8.77E-2</v>
      </c>
      <c r="I786" s="2">
        <v>0.26</v>
      </c>
      <c r="J786" s="2">
        <v>0.108</v>
      </c>
      <c r="K786" s="2">
        <v>0.27400000000000002</v>
      </c>
      <c r="L786" s="2">
        <v>-9.7270000000000003</v>
      </c>
    </row>
    <row r="787" spans="1:12" x14ac:dyDescent="0.25">
      <c r="A787">
        <v>13</v>
      </c>
      <c r="B787">
        <v>21</v>
      </c>
      <c r="C787" s="3">
        <v>4568308</v>
      </c>
      <c r="D787" s="4">
        <v>28335112</v>
      </c>
      <c r="E787">
        <v>73</v>
      </c>
      <c r="F787" s="2">
        <v>0.82199999999999995</v>
      </c>
      <c r="G787" s="2">
        <v>0.74299999999999999</v>
      </c>
      <c r="H787" s="2">
        <v>0.28000000000000003</v>
      </c>
      <c r="I787" s="2">
        <v>1.6E-2</v>
      </c>
      <c r="J787" s="2">
        <v>0.127</v>
      </c>
      <c r="K787" s="2">
        <v>0.63600000000000001</v>
      </c>
      <c r="L787" s="2">
        <v>-4.7720000000000002</v>
      </c>
    </row>
    <row r="788" spans="1:12" x14ac:dyDescent="0.25">
      <c r="A788">
        <v>197</v>
      </c>
      <c r="B788">
        <v>1</v>
      </c>
      <c r="C788" s="3">
        <v>4526982</v>
      </c>
      <c r="D788" s="4">
        <v>3916979</v>
      </c>
      <c r="E788">
        <v>73</v>
      </c>
      <c r="F788" s="2">
        <v>0.64800000000000002</v>
      </c>
      <c r="G788" s="2">
        <v>0.64100000000000001</v>
      </c>
      <c r="H788" s="2">
        <v>3.8899999999999997E-2</v>
      </c>
      <c r="I788" s="2">
        <v>5.6499999999999996E-3</v>
      </c>
      <c r="J788" s="2">
        <v>0.109</v>
      </c>
      <c r="K788" s="2">
        <v>0.505</v>
      </c>
      <c r="L788" s="2">
        <v>-5.5209999999999999</v>
      </c>
    </row>
    <row r="789" spans="1:12" x14ac:dyDescent="0.25">
      <c r="A789">
        <v>117</v>
      </c>
      <c r="B789">
        <v>16</v>
      </c>
      <c r="C789" s="3">
        <v>4501441</v>
      </c>
      <c r="D789" s="4">
        <v>2897862</v>
      </c>
      <c r="E789">
        <v>73</v>
      </c>
      <c r="F789" s="2">
        <v>0.88900000000000001</v>
      </c>
      <c r="G789" s="2">
        <v>0.86299999999999999</v>
      </c>
      <c r="H789" s="2">
        <v>7.5700000000000003E-2</v>
      </c>
      <c r="I789" s="2">
        <v>0.28899999999999998</v>
      </c>
      <c r="J789" s="2">
        <v>7.9799999999999996E-2</v>
      </c>
      <c r="K789" s="2">
        <v>0.77600000000000002</v>
      </c>
      <c r="L789" s="2">
        <v>-3.0110000000000001</v>
      </c>
    </row>
    <row r="790" spans="1:12" x14ac:dyDescent="0.25">
      <c r="A790">
        <v>77</v>
      </c>
      <c r="B790">
        <v>14</v>
      </c>
      <c r="C790" s="3">
        <v>4488631</v>
      </c>
      <c r="D790" s="4">
        <v>46992</v>
      </c>
      <c r="E790">
        <v>73</v>
      </c>
      <c r="F790" s="2">
        <v>0.61299999999999999</v>
      </c>
      <c r="G790" s="2">
        <v>0.624</v>
      </c>
      <c r="H790" s="2">
        <v>0.20599999999999999</v>
      </c>
      <c r="I790" s="2">
        <v>0.496</v>
      </c>
      <c r="J790" s="2">
        <v>0.28299999999999997</v>
      </c>
      <c r="K790" s="2">
        <v>0.80400000000000005</v>
      </c>
      <c r="L790" s="2">
        <v>-6.66</v>
      </c>
    </row>
    <row r="791" spans="1:12" x14ac:dyDescent="0.25">
      <c r="A791">
        <v>158</v>
      </c>
      <c r="B791">
        <v>9</v>
      </c>
      <c r="C791" s="3">
        <v>4433384</v>
      </c>
      <c r="D791" s="4">
        <v>6096559</v>
      </c>
      <c r="E791">
        <v>73</v>
      </c>
      <c r="F791" s="2">
        <v>0.77100000000000002</v>
      </c>
      <c r="G791" s="2">
        <v>0.76900000000000002</v>
      </c>
      <c r="H791" s="2">
        <v>6.9400000000000003E-2</v>
      </c>
      <c r="I791" s="2">
        <v>0.18</v>
      </c>
      <c r="J791" s="2">
        <v>0.34499999999999997</v>
      </c>
      <c r="K791" s="2">
        <v>0.93100000000000005</v>
      </c>
      <c r="L791" s="2">
        <v>-3.504</v>
      </c>
    </row>
    <row r="792" spans="1:12" x14ac:dyDescent="0.25">
      <c r="A792">
        <v>72</v>
      </c>
      <c r="B792">
        <v>4</v>
      </c>
      <c r="C792" s="3">
        <v>4405338</v>
      </c>
      <c r="D792" s="4">
        <v>37151476</v>
      </c>
      <c r="E792">
        <v>73</v>
      </c>
      <c r="F792" s="2">
        <v>0.72299999999999998</v>
      </c>
      <c r="G792" s="2">
        <v>0.63400000000000001</v>
      </c>
      <c r="H792" s="2">
        <v>5.4199999999999998E-2</v>
      </c>
      <c r="I792" s="2">
        <v>8.9200000000000002E-2</v>
      </c>
      <c r="J792" s="2">
        <v>7.8700000000000006E-2</v>
      </c>
      <c r="K792" s="2">
        <v>0.58199999999999996</v>
      </c>
      <c r="L792" s="2">
        <v>-5.415</v>
      </c>
    </row>
    <row r="793" spans="1:12" x14ac:dyDescent="0.25">
      <c r="A793">
        <v>163</v>
      </c>
      <c r="B793">
        <v>5</v>
      </c>
      <c r="C793" s="3">
        <v>4394195</v>
      </c>
      <c r="D793" s="4">
        <v>3828418</v>
      </c>
      <c r="E793">
        <v>73</v>
      </c>
      <c r="F793" s="2">
        <v>0.46400000000000002</v>
      </c>
      <c r="G793" s="2">
        <v>0.54700000000000004</v>
      </c>
      <c r="H793" s="2">
        <v>0.33900000000000002</v>
      </c>
      <c r="I793" s="2">
        <v>5.11E-2</v>
      </c>
      <c r="J793" s="2">
        <v>0.155</v>
      </c>
      <c r="K793" s="2">
        <v>0.42299999999999999</v>
      </c>
      <c r="L793" s="2">
        <v>-8.1370000000000005</v>
      </c>
    </row>
    <row r="794" spans="1:12" x14ac:dyDescent="0.25">
      <c r="A794">
        <v>192</v>
      </c>
      <c r="B794">
        <v>3</v>
      </c>
      <c r="C794" s="3">
        <v>4218201</v>
      </c>
      <c r="D794" s="4">
        <v>908351</v>
      </c>
      <c r="E794">
        <v>73</v>
      </c>
      <c r="F794" s="2">
        <v>0.53400000000000003</v>
      </c>
      <c r="G794" s="2">
        <v>0.58899999999999997</v>
      </c>
      <c r="H794" s="2">
        <v>0.32500000000000001</v>
      </c>
      <c r="I794" s="2">
        <v>0.25600000000000001</v>
      </c>
      <c r="J794" s="2">
        <v>0.17599999999999999</v>
      </c>
      <c r="K794" s="2">
        <v>0.63200000000000001</v>
      </c>
      <c r="L794" s="2">
        <v>-1.865</v>
      </c>
    </row>
    <row r="795" spans="1:12" x14ac:dyDescent="0.25">
      <c r="A795">
        <v>30</v>
      </c>
      <c r="B795">
        <v>1</v>
      </c>
      <c r="C795" s="3">
        <v>15171655</v>
      </c>
      <c r="D795" s="4">
        <v>14097410</v>
      </c>
      <c r="E795">
        <v>72</v>
      </c>
      <c r="F795" s="2">
        <v>0.71099999999999997</v>
      </c>
      <c r="G795" s="2">
        <v>0.64700000000000002</v>
      </c>
      <c r="H795" s="2">
        <v>8.2199999999999995E-2</v>
      </c>
      <c r="I795" s="2">
        <v>0.33400000000000002</v>
      </c>
      <c r="J795" s="2">
        <v>0.312</v>
      </c>
      <c r="K795" s="2">
        <v>0.22700000000000001</v>
      </c>
      <c r="L795" s="2">
        <v>-5.6669999999999998</v>
      </c>
    </row>
    <row r="796" spans="1:12" x14ac:dyDescent="0.25">
      <c r="A796">
        <v>63</v>
      </c>
      <c r="B796">
        <v>1</v>
      </c>
      <c r="C796" s="3">
        <v>10957181</v>
      </c>
      <c r="D796" s="4">
        <v>36177712</v>
      </c>
      <c r="E796">
        <v>72</v>
      </c>
      <c r="F796" s="2">
        <v>0.63600000000000001</v>
      </c>
      <c r="G796" s="2">
        <v>0.65600000000000003</v>
      </c>
      <c r="H796" s="2">
        <v>6.7599999999999993E-2</v>
      </c>
      <c r="I796" s="2">
        <v>0.45100000000000001</v>
      </c>
      <c r="J796" s="2">
        <v>0.28699999999999998</v>
      </c>
      <c r="K796" s="2">
        <v>0.439</v>
      </c>
      <c r="L796" s="2">
        <v>-5.5419999999999998</v>
      </c>
    </row>
    <row r="797" spans="1:12" x14ac:dyDescent="0.25">
      <c r="A797">
        <v>54</v>
      </c>
      <c r="B797">
        <v>1</v>
      </c>
      <c r="C797" s="3">
        <v>10016907</v>
      </c>
      <c r="D797" s="4">
        <v>37151476</v>
      </c>
      <c r="E797">
        <v>72</v>
      </c>
      <c r="F797" s="2">
        <v>0.64300000000000002</v>
      </c>
      <c r="G797" s="2">
        <v>0.66700000000000004</v>
      </c>
      <c r="H797" s="2">
        <v>0.152</v>
      </c>
      <c r="I797" s="2">
        <v>4.3299999999999998E-2</v>
      </c>
      <c r="J797" s="2">
        <v>9.0399999999999994E-2</v>
      </c>
      <c r="K797" s="2">
        <v>0.48499999999999999</v>
      </c>
      <c r="L797" s="2">
        <v>-6.9930000000000003</v>
      </c>
    </row>
    <row r="798" spans="1:12" x14ac:dyDescent="0.25">
      <c r="A798">
        <v>56</v>
      </c>
      <c r="B798">
        <v>1</v>
      </c>
      <c r="C798" s="3">
        <v>9991177</v>
      </c>
      <c r="D798" s="4">
        <v>37151476</v>
      </c>
      <c r="E798">
        <v>72</v>
      </c>
      <c r="F798" s="2">
        <v>0.72</v>
      </c>
      <c r="G798" s="2">
        <v>0.82399999999999995</v>
      </c>
      <c r="H798" s="2">
        <v>0.128</v>
      </c>
      <c r="I798" s="2">
        <v>3.9399999999999998E-2</v>
      </c>
      <c r="J798" s="2">
        <v>5.0900000000000001E-2</v>
      </c>
      <c r="K798" s="2">
        <v>0.33300000000000002</v>
      </c>
      <c r="L798" s="2">
        <v>-5.0860000000000003</v>
      </c>
    </row>
    <row r="799" spans="1:12" x14ac:dyDescent="0.25">
      <c r="A799">
        <v>67</v>
      </c>
      <c r="B799">
        <v>1</v>
      </c>
      <c r="C799" s="3">
        <v>9372219</v>
      </c>
      <c r="D799" s="4">
        <v>37151476</v>
      </c>
      <c r="E799">
        <v>72</v>
      </c>
      <c r="F799" s="2">
        <v>0.56599999999999995</v>
      </c>
      <c r="G799" s="2">
        <v>0.54800000000000004</v>
      </c>
      <c r="H799" s="2">
        <v>5.79E-2</v>
      </c>
      <c r="I799" s="2">
        <v>8.0199999999999994E-2</v>
      </c>
      <c r="J799" s="2">
        <v>0.11</v>
      </c>
      <c r="K799" s="2">
        <v>0.19600000000000001</v>
      </c>
      <c r="L799" s="2">
        <v>-6.4560000000000004</v>
      </c>
    </row>
    <row r="800" spans="1:12" x14ac:dyDescent="0.25">
      <c r="A800">
        <v>74</v>
      </c>
      <c r="B800">
        <v>1</v>
      </c>
      <c r="C800" s="3">
        <v>8822365</v>
      </c>
      <c r="D800" s="4">
        <v>37151476</v>
      </c>
      <c r="E800">
        <v>72</v>
      </c>
      <c r="F800" s="2">
        <v>0.55000000000000004</v>
      </c>
      <c r="G800" s="2">
        <v>0.747</v>
      </c>
      <c r="H800" s="2">
        <v>4.07E-2</v>
      </c>
      <c r="I800" s="2">
        <v>6.6799999999999998E-2</v>
      </c>
      <c r="J800" s="2">
        <v>5.3600000000000002E-2</v>
      </c>
      <c r="K800" s="2">
        <v>0.64800000000000002</v>
      </c>
      <c r="L800" s="2">
        <v>-5.2110000000000003</v>
      </c>
    </row>
    <row r="801" spans="1:12" x14ac:dyDescent="0.25">
      <c r="A801">
        <v>75</v>
      </c>
      <c r="B801">
        <v>1</v>
      </c>
      <c r="C801" s="3">
        <v>8516710</v>
      </c>
      <c r="D801" s="4">
        <v>37151476</v>
      </c>
      <c r="E801">
        <v>72</v>
      </c>
      <c r="F801" s="2">
        <v>0.52600000000000002</v>
      </c>
      <c r="G801" s="2">
        <v>0.57499999999999996</v>
      </c>
      <c r="H801" s="2">
        <v>3.09E-2</v>
      </c>
      <c r="I801" s="2">
        <v>0.22500000000000001</v>
      </c>
      <c r="J801" s="2">
        <v>0.108</v>
      </c>
      <c r="K801" s="2">
        <v>0.19</v>
      </c>
      <c r="L801" s="2">
        <v>-5.2149999999999999</v>
      </c>
    </row>
    <row r="802" spans="1:12" x14ac:dyDescent="0.25">
      <c r="A802">
        <v>84</v>
      </c>
      <c r="B802">
        <v>1</v>
      </c>
      <c r="C802" s="3">
        <v>7850129</v>
      </c>
      <c r="D802" s="4">
        <v>37151476</v>
      </c>
      <c r="E802">
        <v>72</v>
      </c>
      <c r="F802" s="2">
        <v>0.70299999999999996</v>
      </c>
      <c r="G802" s="2">
        <v>0.64600000000000002</v>
      </c>
      <c r="H802" s="2">
        <v>5.96E-2</v>
      </c>
      <c r="I802" s="2">
        <v>1.04E-2</v>
      </c>
      <c r="J802" s="2">
        <v>0.191</v>
      </c>
      <c r="K802" s="2">
        <v>0.64</v>
      </c>
      <c r="L802" s="2">
        <v>-6.6580000000000004</v>
      </c>
    </row>
    <row r="803" spans="1:12" x14ac:dyDescent="0.25">
      <c r="A803">
        <v>84</v>
      </c>
      <c r="B803">
        <v>1</v>
      </c>
      <c r="C803" s="3">
        <v>7736262</v>
      </c>
      <c r="D803" s="4">
        <v>42227614</v>
      </c>
      <c r="E803">
        <v>72</v>
      </c>
      <c r="F803" s="2">
        <v>0.40200000000000002</v>
      </c>
      <c r="G803" s="2">
        <v>0.73199999999999998</v>
      </c>
      <c r="H803" s="2">
        <v>4.8399999999999999E-2</v>
      </c>
      <c r="I803" s="2">
        <v>3.3E-3</v>
      </c>
      <c r="J803" s="2">
        <v>0.108</v>
      </c>
      <c r="K803" s="2">
        <v>0.47199999999999998</v>
      </c>
      <c r="L803" s="2">
        <v>-4.665</v>
      </c>
    </row>
    <row r="804" spans="1:12" x14ac:dyDescent="0.25">
      <c r="A804">
        <v>74</v>
      </c>
      <c r="B804">
        <v>1</v>
      </c>
      <c r="C804" s="3">
        <v>7464020</v>
      </c>
      <c r="D804" s="4">
        <v>33663701</v>
      </c>
      <c r="E804">
        <v>72</v>
      </c>
      <c r="F804" s="2">
        <v>0.47</v>
      </c>
      <c r="G804" s="2">
        <v>0.70899999999999996</v>
      </c>
      <c r="H804" s="2">
        <v>2.9899999999999999E-2</v>
      </c>
      <c r="I804" s="2">
        <v>1.24E-3</v>
      </c>
      <c r="J804" s="2">
        <v>0.30199999999999999</v>
      </c>
      <c r="K804" s="2">
        <v>0.247</v>
      </c>
      <c r="L804" s="2">
        <v>-4.5629999999999997</v>
      </c>
    </row>
    <row r="805" spans="1:12" x14ac:dyDescent="0.25">
      <c r="A805">
        <v>106</v>
      </c>
      <c r="B805">
        <v>1</v>
      </c>
      <c r="C805" s="3">
        <v>6935400</v>
      </c>
      <c r="D805" s="4">
        <v>75496</v>
      </c>
      <c r="E805">
        <v>72</v>
      </c>
      <c r="F805" s="2">
        <v>0.44700000000000001</v>
      </c>
      <c r="G805" s="2">
        <v>0.33700000000000002</v>
      </c>
      <c r="H805" s="2">
        <v>6.3100000000000003E-2</v>
      </c>
      <c r="I805" s="2">
        <v>0.77300000000000002</v>
      </c>
      <c r="J805" s="2">
        <v>0.29799999999999999</v>
      </c>
      <c r="K805" s="2">
        <v>0.60299999999999998</v>
      </c>
      <c r="L805" s="2">
        <v>-8.6649999999999991</v>
      </c>
    </row>
    <row r="806" spans="1:12" x14ac:dyDescent="0.25">
      <c r="A806">
        <v>99</v>
      </c>
      <c r="B806">
        <v>2</v>
      </c>
      <c r="C806" s="3">
        <v>6819838</v>
      </c>
      <c r="D806" s="4">
        <v>4759367</v>
      </c>
      <c r="E806">
        <v>72</v>
      </c>
      <c r="F806" s="2">
        <v>0.52800000000000002</v>
      </c>
      <c r="G806" s="2">
        <v>0.749</v>
      </c>
      <c r="H806" s="2">
        <v>4.7899999999999998E-2</v>
      </c>
      <c r="I806" s="2">
        <v>4.8799999999999998E-3</v>
      </c>
      <c r="J806" s="2">
        <v>9.4899999999999998E-2</v>
      </c>
      <c r="K806" s="2">
        <v>0.72899999999999998</v>
      </c>
      <c r="L806" s="2">
        <v>-7.5709999999999997</v>
      </c>
    </row>
    <row r="807" spans="1:12" x14ac:dyDescent="0.25">
      <c r="A807">
        <v>3</v>
      </c>
      <c r="B807">
        <v>83</v>
      </c>
      <c r="C807" s="3">
        <v>6653690</v>
      </c>
      <c r="D807" s="4">
        <v>742692</v>
      </c>
      <c r="E807">
        <v>72</v>
      </c>
      <c r="F807" s="2">
        <v>0.76900000000000002</v>
      </c>
      <c r="G807" s="2">
        <v>0.71899999999999997</v>
      </c>
      <c r="H807" s="2">
        <v>4.7399999999999998E-2</v>
      </c>
      <c r="I807" s="2">
        <v>1.43E-2</v>
      </c>
      <c r="J807" s="2">
        <v>0.35899999999999999</v>
      </c>
      <c r="K807" s="2">
        <v>0.86299999999999999</v>
      </c>
      <c r="L807" s="2">
        <v>-5.4720000000000004</v>
      </c>
    </row>
    <row r="808" spans="1:12" x14ac:dyDescent="0.25">
      <c r="A808">
        <v>134</v>
      </c>
      <c r="B808">
        <v>1</v>
      </c>
      <c r="C808" s="3">
        <v>6277641</v>
      </c>
      <c r="D808" s="4">
        <v>121225</v>
      </c>
      <c r="E808">
        <v>72</v>
      </c>
      <c r="F808" s="2">
        <v>0.57099999999999995</v>
      </c>
      <c r="G808" s="2">
        <v>0.95499999999999996</v>
      </c>
      <c r="H808" s="2">
        <v>0.105</v>
      </c>
      <c r="I808" s="2">
        <v>2.5400000000000002E-3</v>
      </c>
      <c r="J808" s="2">
        <v>0.27400000000000002</v>
      </c>
      <c r="K808" s="2">
        <v>0.437</v>
      </c>
      <c r="L808" s="2">
        <v>-3.7949999999999999</v>
      </c>
    </row>
    <row r="809" spans="1:12" x14ac:dyDescent="0.25">
      <c r="A809">
        <v>43</v>
      </c>
      <c r="B809">
        <v>2</v>
      </c>
      <c r="C809" s="3">
        <v>6229316</v>
      </c>
      <c r="D809" s="4">
        <v>19102888</v>
      </c>
      <c r="E809">
        <v>72</v>
      </c>
      <c r="F809" s="2">
        <v>0.66100000000000003</v>
      </c>
      <c r="G809" s="2">
        <v>0.66500000000000004</v>
      </c>
      <c r="H809" s="2">
        <v>5.2999999999999999E-2</v>
      </c>
      <c r="I809" s="2">
        <v>0.53800000000000003</v>
      </c>
      <c r="J809" s="2">
        <v>9.8100000000000007E-2</v>
      </c>
      <c r="K809" s="2">
        <v>0.48599999999999999</v>
      </c>
      <c r="L809" s="2">
        <v>-6.3559999999999999</v>
      </c>
    </row>
    <row r="810" spans="1:12" x14ac:dyDescent="0.25">
      <c r="A810">
        <v>139</v>
      </c>
      <c r="B810">
        <v>1</v>
      </c>
      <c r="C810" s="3">
        <v>5988511</v>
      </c>
      <c r="D810" s="4">
        <v>2815928</v>
      </c>
      <c r="E810">
        <v>72</v>
      </c>
      <c r="F810" s="2">
        <v>0.88</v>
      </c>
      <c r="G810" s="2">
        <v>0.57699999999999996</v>
      </c>
      <c r="H810" s="2">
        <v>0.30199999999999999</v>
      </c>
      <c r="I810" s="2">
        <v>5.6399999999999999E-2</v>
      </c>
      <c r="J810" s="2">
        <v>0.20100000000000001</v>
      </c>
      <c r="K810" s="2">
        <v>0.74</v>
      </c>
      <c r="L810" s="2">
        <v>-8.093</v>
      </c>
    </row>
    <row r="811" spans="1:12" x14ac:dyDescent="0.25">
      <c r="A811">
        <v>9</v>
      </c>
      <c r="B811">
        <v>6</v>
      </c>
      <c r="C811" s="3">
        <v>5896065</v>
      </c>
      <c r="D811" s="4">
        <v>48544923</v>
      </c>
      <c r="E811">
        <v>72</v>
      </c>
      <c r="F811" s="2">
        <v>0.59499999999999997</v>
      </c>
      <c r="G811" s="2">
        <v>0.54300000000000004</v>
      </c>
      <c r="H811" s="2">
        <v>3.7999999999999999E-2</v>
      </c>
      <c r="I811" s="2">
        <v>0.127</v>
      </c>
      <c r="J811" s="2">
        <v>9.7500000000000003E-2</v>
      </c>
      <c r="K811" s="2">
        <v>0.109</v>
      </c>
      <c r="L811" s="2">
        <v>-8.1489999999999991</v>
      </c>
    </row>
    <row r="812" spans="1:12" x14ac:dyDescent="0.25">
      <c r="A812">
        <v>67</v>
      </c>
      <c r="B812">
        <v>13</v>
      </c>
      <c r="C812" s="3">
        <v>5622565</v>
      </c>
      <c r="D812" s="4">
        <v>411262</v>
      </c>
      <c r="E812">
        <v>72</v>
      </c>
      <c r="F812" s="2">
        <v>0.86799999999999999</v>
      </c>
      <c r="G812" s="2">
        <v>0.47899999999999998</v>
      </c>
      <c r="H812" s="2">
        <v>0.44500000000000001</v>
      </c>
      <c r="I812" s="2">
        <v>0.70299999999999996</v>
      </c>
      <c r="J812" s="2">
        <v>0.10199999999999999</v>
      </c>
      <c r="K812" s="2">
        <v>0.77600000000000002</v>
      </c>
      <c r="L812" s="2">
        <v>-6.6870000000000003</v>
      </c>
    </row>
    <row r="813" spans="1:12" x14ac:dyDescent="0.25">
      <c r="A813">
        <v>139</v>
      </c>
      <c r="B813">
        <v>9</v>
      </c>
      <c r="C813" s="3">
        <v>5490386</v>
      </c>
      <c r="D813" s="4">
        <v>6671084</v>
      </c>
      <c r="E813">
        <v>72</v>
      </c>
      <c r="F813" s="2">
        <v>0.71299999999999997</v>
      </c>
      <c r="G813" s="2">
        <v>0.79800000000000004</v>
      </c>
      <c r="H813" s="2">
        <v>0.219</v>
      </c>
      <c r="I813" s="2">
        <v>0.36599999999999999</v>
      </c>
      <c r="J813" s="2">
        <v>0.246</v>
      </c>
      <c r="K813" s="2">
        <v>0.72099999999999997</v>
      </c>
      <c r="L813" s="2">
        <v>-3.1469999999999998</v>
      </c>
    </row>
    <row r="814" spans="1:12" x14ac:dyDescent="0.25">
      <c r="A814">
        <v>166</v>
      </c>
      <c r="B814">
        <v>1</v>
      </c>
      <c r="C814" s="3">
        <v>5456648</v>
      </c>
      <c r="D814" s="4">
        <v>11690201</v>
      </c>
      <c r="E814">
        <v>72</v>
      </c>
      <c r="F814" s="2">
        <v>0.83099999999999996</v>
      </c>
      <c r="G814" s="2">
        <v>0.71899999999999997</v>
      </c>
      <c r="H814" s="2">
        <v>0.23499999999999999</v>
      </c>
      <c r="I814" s="2">
        <v>0.51400000000000001</v>
      </c>
      <c r="J814" s="2">
        <v>6.7500000000000004E-2</v>
      </c>
      <c r="K814" s="2">
        <v>0.85899999999999999</v>
      </c>
      <c r="L814" s="2">
        <v>-6.8360000000000003</v>
      </c>
    </row>
    <row r="815" spans="1:12" x14ac:dyDescent="0.25">
      <c r="A815">
        <v>60</v>
      </c>
      <c r="B815">
        <v>10</v>
      </c>
      <c r="C815" s="3">
        <v>5436773</v>
      </c>
      <c r="D815" s="4">
        <v>23936368</v>
      </c>
      <c r="E815">
        <v>72</v>
      </c>
      <c r="F815" s="2">
        <v>0.65800000000000003</v>
      </c>
      <c r="G815" s="2">
        <v>0.90100000000000002</v>
      </c>
      <c r="H815" s="2">
        <v>3.5700000000000003E-2</v>
      </c>
      <c r="I815" s="2">
        <v>4.7800000000000002E-2</v>
      </c>
      <c r="J815" s="2">
        <v>0.12</v>
      </c>
      <c r="K815" s="2">
        <v>0.70799999999999996</v>
      </c>
      <c r="L815" s="2">
        <v>-2.8140000000000001</v>
      </c>
    </row>
    <row r="816" spans="1:12" x14ac:dyDescent="0.25">
      <c r="A816">
        <v>105</v>
      </c>
      <c r="B816">
        <v>6</v>
      </c>
      <c r="C816" s="3">
        <v>5434180</v>
      </c>
      <c r="D816" s="4">
        <v>6161098</v>
      </c>
      <c r="E816">
        <v>72</v>
      </c>
      <c r="F816" s="2">
        <v>0.73299999999999998</v>
      </c>
      <c r="G816" s="2">
        <v>0.70799999999999996</v>
      </c>
      <c r="H816" s="2">
        <v>9.3700000000000006E-2</v>
      </c>
      <c r="I816" s="2">
        <v>3.2500000000000001E-2</v>
      </c>
      <c r="J816" s="2">
        <v>0.32400000000000001</v>
      </c>
      <c r="K816" s="2">
        <v>0.69399999999999995</v>
      </c>
      <c r="L816" s="2">
        <v>-4.9569999999999999</v>
      </c>
    </row>
    <row r="817" spans="1:12" x14ac:dyDescent="0.25">
      <c r="A817">
        <v>166</v>
      </c>
      <c r="B817">
        <v>1</v>
      </c>
      <c r="C817" s="3">
        <v>5393459</v>
      </c>
      <c r="D817" s="4">
        <v>19102888</v>
      </c>
      <c r="E817">
        <v>72</v>
      </c>
      <c r="F817" s="2">
        <v>0.53</v>
      </c>
      <c r="G817" s="2">
        <v>0.37</v>
      </c>
      <c r="H817" s="2">
        <v>2.7900000000000001E-2</v>
      </c>
      <c r="I817" s="2">
        <v>0.80600000000000005</v>
      </c>
      <c r="J817" s="2">
        <v>0.112</v>
      </c>
      <c r="K817" s="2">
        <v>0.70099999999999996</v>
      </c>
      <c r="L817" s="2">
        <v>-9.9890000000000008</v>
      </c>
    </row>
    <row r="818" spans="1:12" x14ac:dyDescent="0.25">
      <c r="A818">
        <v>180</v>
      </c>
      <c r="B818">
        <v>2</v>
      </c>
      <c r="C818" s="3">
        <v>5364223</v>
      </c>
      <c r="D818" s="4">
        <v>181236</v>
      </c>
      <c r="E818">
        <v>72</v>
      </c>
      <c r="F818" s="2">
        <v>0.66800000000000004</v>
      </c>
      <c r="G818" s="2">
        <v>0.79800000000000004</v>
      </c>
      <c r="H818" s="2">
        <v>3.3399999999999999E-2</v>
      </c>
      <c r="I818" s="2">
        <v>3.0500000000000002E-3</v>
      </c>
      <c r="J818" s="2">
        <v>0.27700000000000002</v>
      </c>
      <c r="K818" s="2">
        <v>0.57499999999999996</v>
      </c>
      <c r="L818" s="2">
        <v>-5.7009999999999996</v>
      </c>
    </row>
    <row r="819" spans="1:12" x14ac:dyDescent="0.25">
      <c r="A819">
        <v>72</v>
      </c>
      <c r="B819">
        <v>8</v>
      </c>
      <c r="C819" s="3">
        <v>5280810</v>
      </c>
      <c r="D819" s="4">
        <v>411262</v>
      </c>
      <c r="E819">
        <v>72</v>
      </c>
      <c r="F819" s="2">
        <v>0.86799999999999999</v>
      </c>
      <c r="G819" s="2">
        <v>0.47899999999999998</v>
      </c>
      <c r="H819" s="2">
        <v>0.44500000000000001</v>
      </c>
      <c r="I819" s="2">
        <v>0.70299999999999996</v>
      </c>
      <c r="J819" s="2">
        <v>0.10199999999999999</v>
      </c>
      <c r="K819" s="2">
        <v>0.77600000000000002</v>
      </c>
      <c r="L819" s="2">
        <v>-6.6870000000000003</v>
      </c>
    </row>
    <row r="820" spans="1:12" x14ac:dyDescent="0.25">
      <c r="A820">
        <v>58</v>
      </c>
      <c r="B820">
        <v>10</v>
      </c>
      <c r="C820" s="3">
        <v>5273046</v>
      </c>
      <c r="D820" s="4">
        <v>2317758</v>
      </c>
      <c r="E820">
        <v>72</v>
      </c>
      <c r="F820" s="2">
        <v>0.81699999999999995</v>
      </c>
      <c r="G820" s="2">
        <v>0.78100000000000003</v>
      </c>
      <c r="H820" s="2">
        <v>0.112</v>
      </c>
      <c r="I820" s="2">
        <v>8.3800000000000003E-3</v>
      </c>
      <c r="J820" s="2">
        <v>0.123</v>
      </c>
      <c r="K820" s="2">
        <v>0.35899999999999999</v>
      </c>
      <c r="L820" s="2">
        <v>-4.1779999999999999</v>
      </c>
    </row>
    <row r="821" spans="1:12" x14ac:dyDescent="0.25">
      <c r="A821">
        <v>175</v>
      </c>
      <c r="B821">
        <v>1</v>
      </c>
      <c r="C821" s="3">
        <v>5208787</v>
      </c>
      <c r="D821" s="4">
        <v>2161609</v>
      </c>
      <c r="E821">
        <v>72</v>
      </c>
      <c r="F821" s="2">
        <v>0.78400000000000003</v>
      </c>
      <c r="G821" s="2">
        <v>0.52900000000000003</v>
      </c>
      <c r="H821" s="2">
        <v>7.4200000000000002E-2</v>
      </c>
      <c r="I821" s="2">
        <v>0.68300000000000005</v>
      </c>
      <c r="J821" s="2">
        <v>0.11799999999999999</v>
      </c>
      <c r="K821" s="2">
        <v>0.246</v>
      </c>
      <c r="L821" s="2">
        <v>-7.681</v>
      </c>
    </row>
    <row r="822" spans="1:12" x14ac:dyDescent="0.25">
      <c r="A822">
        <v>36</v>
      </c>
      <c r="B822">
        <v>22</v>
      </c>
      <c r="C822" s="3">
        <v>5203423</v>
      </c>
      <c r="D822" s="4">
        <v>2953525</v>
      </c>
      <c r="E822">
        <v>72</v>
      </c>
      <c r="F822" s="2">
        <v>0.79100000000000004</v>
      </c>
      <c r="G822" s="2">
        <v>0.68200000000000005</v>
      </c>
      <c r="H822" s="2">
        <v>0.158</v>
      </c>
      <c r="I822" s="2">
        <v>0.17499999999999999</v>
      </c>
      <c r="J822" s="2">
        <v>9.2600000000000002E-2</v>
      </c>
      <c r="K822" s="2">
        <v>0.67200000000000004</v>
      </c>
      <c r="L822" s="2">
        <v>-7.3280000000000003</v>
      </c>
    </row>
    <row r="823" spans="1:12" x14ac:dyDescent="0.25">
      <c r="A823">
        <v>33</v>
      </c>
      <c r="B823">
        <v>5</v>
      </c>
      <c r="C823" s="3">
        <v>5200695</v>
      </c>
      <c r="D823" s="4">
        <v>20331923</v>
      </c>
      <c r="E823">
        <v>72</v>
      </c>
      <c r="F823" s="2">
        <v>0.53800000000000003</v>
      </c>
      <c r="G823" s="2">
        <v>0.51200000000000001</v>
      </c>
      <c r="H823" s="2">
        <v>2.6200000000000001E-2</v>
      </c>
      <c r="I823" s="2">
        <v>0.22</v>
      </c>
      <c r="J823" s="2">
        <v>0.10100000000000001</v>
      </c>
      <c r="K823" s="2">
        <v>0.12</v>
      </c>
      <c r="L823" s="2">
        <v>-4.548</v>
      </c>
    </row>
    <row r="824" spans="1:12" x14ac:dyDescent="0.25">
      <c r="A824">
        <v>166</v>
      </c>
      <c r="B824">
        <v>11</v>
      </c>
      <c r="C824" s="3">
        <v>5191001</v>
      </c>
      <c r="D824" s="4">
        <v>1293055</v>
      </c>
      <c r="E824">
        <v>72</v>
      </c>
      <c r="F824" s="2">
        <v>0.63200000000000001</v>
      </c>
      <c r="G824" s="2">
        <v>0.95299999999999996</v>
      </c>
      <c r="H824" s="2">
        <v>3.2500000000000001E-2</v>
      </c>
      <c r="I824" s="2">
        <v>0.317</v>
      </c>
      <c r="J824" s="2">
        <v>0.125</v>
      </c>
      <c r="K824" s="2">
        <v>0.79800000000000004</v>
      </c>
      <c r="L824" s="2">
        <v>-1.2829999999999999</v>
      </c>
    </row>
    <row r="825" spans="1:12" x14ac:dyDescent="0.25">
      <c r="A825">
        <v>144</v>
      </c>
      <c r="B825">
        <v>4</v>
      </c>
      <c r="C825" s="3">
        <v>5158896</v>
      </c>
      <c r="D825" s="4">
        <v>689627</v>
      </c>
      <c r="E825">
        <v>72</v>
      </c>
      <c r="F825" s="2">
        <v>0.746</v>
      </c>
      <c r="G825" s="2">
        <v>0.61099999999999999</v>
      </c>
      <c r="H825" s="2">
        <v>0.10100000000000001</v>
      </c>
      <c r="I825" s="2">
        <v>0.45400000000000001</v>
      </c>
      <c r="J825" s="2">
        <v>0.13300000000000001</v>
      </c>
      <c r="K825" s="2">
        <v>0.41099999999999998</v>
      </c>
      <c r="L825" s="2">
        <v>-7.0339999999999998</v>
      </c>
    </row>
    <row r="826" spans="1:12" x14ac:dyDescent="0.25">
      <c r="A826">
        <v>197</v>
      </c>
      <c r="B826">
        <v>1</v>
      </c>
      <c r="C826" s="3">
        <v>5152906</v>
      </c>
      <c r="D826" s="4">
        <v>15019109</v>
      </c>
      <c r="E826">
        <v>72</v>
      </c>
      <c r="F826" s="2">
        <v>0.752</v>
      </c>
      <c r="G826" s="2">
        <v>0.62</v>
      </c>
      <c r="H826" s="2">
        <v>5.0900000000000001E-2</v>
      </c>
      <c r="I826" s="2">
        <v>0.309</v>
      </c>
      <c r="J826" s="2">
        <v>7.4999999999999997E-2</v>
      </c>
      <c r="K826" s="2">
        <v>0.96199999999999997</v>
      </c>
      <c r="L826" s="2">
        <v>-5.5359999999999996</v>
      </c>
    </row>
    <row r="827" spans="1:12" x14ac:dyDescent="0.25">
      <c r="A827">
        <v>127</v>
      </c>
      <c r="B827">
        <v>2</v>
      </c>
      <c r="C827" s="3">
        <v>5150176</v>
      </c>
      <c r="D827" s="4">
        <v>20823062</v>
      </c>
      <c r="E827">
        <v>72</v>
      </c>
      <c r="F827" s="2">
        <v>0.7</v>
      </c>
      <c r="G827" s="2">
        <v>0.66400000000000003</v>
      </c>
      <c r="H827" s="2">
        <v>3.9399999999999998E-2</v>
      </c>
      <c r="I827" s="2">
        <v>0.30599999999999999</v>
      </c>
      <c r="J827" s="2">
        <v>0.249</v>
      </c>
      <c r="K827" s="2">
        <v>0.58499999999999996</v>
      </c>
      <c r="L827" s="2">
        <v>-8.2110000000000003</v>
      </c>
    </row>
    <row r="828" spans="1:12" x14ac:dyDescent="0.25">
      <c r="A828">
        <v>161</v>
      </c>
      <c r="B828">
        <v>7</v>
      </c>
      <c r="C828" s="3">
        <v>5148516</v>
      </c>
      <c r="D828" s="4">
        <v>2897862</v>
      </c>
      <c r="E828">
        <v>72</v>
      </c>
      <c r="F828" s="2">
        <v>0.74299999999999999</v>
      </c>
      <c r="G828" s="2">
        <v>0.70899999999999996</v>
      </c>
      <c r="H828" s="2">
        <v>8.7900000000000006E-2</v>
      </c>
      <c r="I828" s="2">
        <v>4.5100000000000001E-2</v>
      </c>
      <c r="J828" s="2">
        <v>8.09E-2</v>
      </c>
      <c r="K828" s="2">
        <v>0.83099999999999996</v>
      </c>
      <c r="L828" s="2">
        <v>-3.9220000000000002</v>
      </c>
    </row>
    <row r="829" spans="1:12" x14ac:dyDescent="0.25">
      <c r="A829">
        <v>195</v>
      </c>
      <c r="B829">
        <v>1</v>
      </c>
      <c r="C829" s="3">
        <v>5119845</v>
      </c>
      <c r="D829" s="4">
        <v>4840346</v>
      </c>
      <c r="E829">
        <v>72</v>
      </c>
      <c r="F829" s="2">
        <v>0.52200000000000002</v>
      </c>
      <c r="G829" s="2">
        <v>0.46600000000000003</v>
      </c>
      <c r="H829" s="2">
        <v>0.45800000000000002</v>
      </c>
      <c r="I829" s="2">
        <v>0.33100000000000002</v>
      </c>
      <c r="J829" s="2">
        <v>0.11</v>
      </c>
      <c r="K829" s="2">
        <v>0.45900000000000002</v>
      </c>
      <c r="L829" s="2">
        <v>-8.0500000000000007</v>
      </c>
    </row>
    <row r="830" spans="1:12" x14ac:dyDescent="0.25">
      <c r="A830">
        <v>89</v>
      </c>
      <c r="B830">
        <v>9</v>
      </c>
      <c r="C830" s="3">
        <v>5112572</v>
      </c>
      <c r="D830" s="4">
        <v>249910</v>
      </c>
      <c r="E830">
        <v>72</v>
      </c>
      <c r="F830" s="2">
        <v>0.90100000000000002</v>
      </c>
      <c r="G830" s="2">
        <v>0.93899999999999995</v>
      </c>
      <c r="H830" s="2">
        <v>0.27400000000000002</v>
      </c>
      <c r="I830" s="2">
        <v>0.11700000000000001</v>
      </c>
      <c r="J830" s="2">
        <v>6.4299999999999996E-2</v>
      </c>
      <c r="K830" s="2">
        <v>0.80500000000000005</v>
      </c>
      <c r="L830" s="2">
        <v>-2.762</v>
      </c>
    </row>
    <row r="831" spans="1:12" x14ac:dyDescent="0.25">
      <c r="A831">
        <v>69</v>
      </c>
      <c r="B831">
        <v>7</v>
      </c>
      <c r="C831" s="3">
        <v>5110064</v>
      </c>
      <c r="D831" s="4">
        <v>4442273</v>
      </c>
      <c r="E831">
        <v>72</v>
      </c>
      <c r="F831" s="2">
        <v>0.746</v>
      </c>
      <c r="G831" s="2">
        <v>0.45</v>
      </c>
      <c r="H831" s="2">
        <v>8.72E-2</v>
      </c>
      <c r="I831" s="2">
        <v>4.07E-2</v>
      </c>
      <c r="J831" s="2">
        <v>0.17199999999999999</v>
      </c>
      <c r="K831" s="2">
        <v>0.33600000000000002</v>
      </c>
      <c r="L831" s="2">
        <v>-8.5429999999999993</v>
      </c>
    </row>
    <row r="832" spans="1:12" x14ac:dyDescent="0.25">
      <c r="A832">
        <v>162</v>
      </c>
      <c r="B832">
        <v>3</v>
      </c>
      <c r="C832" s="3">
        <v>5046418</v>
      </c>
      <c r="D832" s="4">
        <v>444736</v>
      </c>
      <c r="E832">
        <v>72</v>
      </c>
      <c r="F832" s="2">
        <v>0.88500000000000001</v>
      </c>
      <c r="G832" s="2">
        <v>0.56100000000000005</v>
      </c>
      <c r="H832" s="2">
        <v>0.249</v>
      </c>
      <c r="I832" s="2">
        <v>0.26100000000000001</v>
      </c>
      <c r="J832" s="2">
        <v>0.121</v>
      </c>
      <c r="K832" s="2">
        <v>0.64400000000000002</v>
      </c>
      <c r="L832" s="2">
        <v>-5.3310000000000004</v>
      </c>
    </row>
    <row r="833" spans="1:12" x14ac:dyDescent="0.25">
      <c r="A833">
        <v>85</v>
      </c>
      <c r="B833">
        <v>12</v>
      </c>
      <c r="C833" s="3">
        <v>5033798</v>
      </c>
      <c r="D833" s="4">
        <v>29238936</v>
      </c>
      <c r="E833">
        <v>72</v>
      </c>
      <c r="F833" s="2">
        <v>0.754</v>
      </c>
      <c r="G833" s="2">
        <v>0.79600000000000004</v>
      </c>
      <c r="H833" s="2">
        <v>0.13900000000000001</v>
      </c>
      <c r="I833" s="2">
        <v>6.2E-2</v>
      </c>
      <c r="J833" s="2">
        <v>0.20399999999999999</v>
      </c>
      <c r="K833" s="2">
        <v>0.62</v>
      </c>
      <c r="L833" s="2">
        <v>-3.7429999999999999</v>
      </c>
    </row>
    <row r="834" spans="1:12" x14ac:dyDescent="0.25">
      <c r="A834">
        <v>199</v>
      </c>
      <c r="B834">
        <v>1</v>
      </c>
      <c r="C834" s="3">
        <v>5018076</v>
      </c>
      <c r="D834" s="4">
        <v>15013645</v>
      </c>
      <c r="E834">
        <v>72</v>
      </c>
      <c r="F834" s="2">
        <v>0.68600000000000005</v>
      </c>
      <c r="G834" s="2">
        <v>0.78900000000000003</v>
      </c>
      <c r="H834" s="2">
        <v>0.126</v>
      </c>
      <c r="I834" s="2">
        <v>0.32200000000000001</v>
      </c>
      <c r="J834" s="2">
        <v>0.4</v>
      </c>
      <c r="K834" s="2">
        <v>0.82199999999999995</v>
      </c>
      <c r="L834" s="2">
        <v>-4.1029999999999998</v>
      </c>
    </row>
    <row r="835" spans="1:12" x14ac:dyDescent="0.25">
      <c r="A835">
        <v>186</v>
      </c>
      <c r="B835">
        <v>2</v>
      </c>
      <c r="C835" s="3">
        <v>4984764</v>
      </c>
      <c r="D835" s="4">
        <v>17097317</v>
      </c>
      <c r="E835">
        <v>72</v>
      </c>
      <c r="F835" s="2">
        <v>0.68100000000000005</v>
      </c>
      <c r="G835" s="2">
        <v>0.372</v>
      </c>
      <c r="H835" s="2">
        <v>4.3200000000000002E-2</v>
      </c>
      <c r="I835" s="2">
        <v>0.64</v>
      </c>
      <c r="J835" s="2">
        <v>0.16900000000000001</v>
      </c>
      <c r="K835" s="2">
        <v>0.47599999999999998</v>
      </c>
      <c r="L835" s="2">
        <v>-8.2370000000000001</v>
      </c>
    </row>
    <row r="836" spans="1:12" x14ac:dyDescent="0.25">
      <c r="A836">
        <v>121</v>
      </c>
      <c r="B836">
        <v>7</v>
      </c>
      <c r="C836" s="3">
        <v>4962949</v>
      </c>
      <c r="D836" s="4">
        <v>1053324</v>
      </c>
      <c r="E836">
        <v>72</v>
      </c>
      <c r="F836" s="2">
        <v>0.94499999999999995</v>
      </c>
      <c r="G836" s="2">
        <v>0.58199999999999996</v>
      </c>
      <c r="H836" s="2">
        <v>7.1900000000000006E-2</v>
      </c>
      <c r="I836" s="2">
        <v>0.114</v>
      </c>
      <c r="J836" s="2">
        <v>0.10299999999999999</v>
      </c>
      <c r="K836" s="2">
        <v>0.90700000000000003</v>
      </c>
      <c r="L836" s="2">
        <v>-8.3569999999999993</v>
      </c>
    </row>
    <row r="837" spans="1:12" x14ac:dyDescent="0.25">
      <c r="A837">
        <v>191</v>
      </c>
      <c r="B837">
        <v>1</v>
      </c>
      <c r="C837" s="3">
        <v>4915403</v>
      </c>
      <c r="D837" s="4">
        <v>41551</v>
      </c>
      <c r="E837">
        <v>72</v>
      </c>
      <c r="F837" s="2">
        <v>0.95599999999999996</v>
      </c>
      <c r="G837" s="2">
        <v>0.502</v>
      </c>
      <c r="H837" s="2">
        <v>0.21299999999999999</v>
      </c>
      <c r="I837" s="2">
        <v>5.9299999999999999E-2</v>
      </c>
      <c r="J837" s="2">
        <v>0.23799999999999999</v>
      </c>
      <c r="K837" s="2">
        <v>0.79500000000000004</v>
      </c>
      <c r="L837" s="2">
        <v>-5.9950000000000001</v>
      </c>
    </row>
    <row r="838" spans="1:12" x14ac:dyDescent="0.25">
      <c r="A838">
        <v>38</v>
      </c>
      <c r="B838">
        <v>7</v>
      </c>
      <c r="C838" s="3">
        <v>4914412</v>
      </c>
      <c r="D838" s="4">
        <v>10741972</v>
      </c>
      <c r="E838">
        <v>72</v>
      </c>
      <c r="F838" s="2">
        <v>0.91</v>
      </c>
      <c r="G838" s="2">
        <v>0.60399999999999998</v>
      </c>
      <c r="H838" s="2">
        <v>8.2000000000000003E-2</v>
      </c>
      <c r="I838" s="2">
        <v>0.44800000000000001</v>
      </c>
      <c r="J838" s="2">
        <v>8.6300000000000002E-2</v>
      </c>
      <c r="K838" s="2">
        <v>0.80700000000000005</v>
      </c>
      <c r="L838" s="2">
        <v>-4.3920000000000003</v>
      </c>
    </row>
    <row r="839" spans="1:12" x14ac:dyDescent="0.25">
      <c r="A839">
        <v>24</v>
      </c>
      <c r="B839">
        <v>5</v>
      </c>
      <c r="C839" s="3">
        <v>4867620</v>
      </c>
      <c r="D839" s="4">
        <v>21946934</v>
      </c>
      <c r="E839">
        <v>72</v>
      </c>
      <c r="F839" s="2">
        <v>0.61199999999999999</v>
      </c>
      <c r="G839" s="2">
        <v>0.88400000000000001</v>
      </c>
      <c r="H839" s="2">
        <v>4.5400000000000003E-2</v>
      </c>
      <c r="I839" s="2">
        <v>7.5899999999999995E-2</v>
      </c>
      <c r="J839" s="2">
        <v>0.247</v>
      </c>
      <c r="K839" s="2">
        <v>0.67900000000000005</v>
      </c>
      <c r="L839" s="2">
        <v>-4.1130000000000004</v>
      </c>
    </row>
    <row r="840" spans="1:12" x14ac:dyDescent="0.25">
      <c r="A840">
        <v>188</v>
      </c>
      <c r="B840">
        <v>1</v>
      </c>
      <c r="C840" s="3">
        <v>4834258</v>
      </c>
      <c r="D840" s="4">
        <v>3868320</v>
      </c>
      <c r="E840">
        <v>72</v>
      </c>
      <c r="F840" s="2">
        <v>0.69099999999999995</v>
      </c>
      <c r="G840" s="2">
        <v>0.77</v>
      </c>
      <c r="H840" s="2">
        <v>3.6700000000000003E-2</v>
      </c>
      <c r="I840" s="2">
        <v>2.8199999999999999E-2</v>
      </c>
      <c r="J840" s="2">
        <v>0.497</v>
      </c>
      <c r="K840" s="2">
        <v>0.34399999999999997</v>
      </c>
      <c r="L840" s="2">
        <v>-4.5780000000000003</v>
      </c>
    </row>
    <row r="841" spans="1:12" x14ac:dyDescent="0.25">
      <c r="A841">
        <v>35</v>
      </c>
      <c r="B841">
        <v>6</v>
      </c>
      <c r="C841" s="3">
        <v>4798078</v>
      </c>
      <c r="D841" s="4">
        <v>19102888</v>
      </c>
      <c r="E841">
        <v>72</v>
      </c>
      <c r="F841" s="2">
        <v>0.66</v>
      </c>
      <c r="G841" s="2">
        <v>0.76</v>
      </c>
      <c r="H841" s="2">
        <v>7.8700000000000006E-2</v>
      </c>
      <c r="I841" s="2">
        <v>0.29099999999999998</v>
      </c>
      <c r="J841" s="2">
        <v>0.63200000000000001</v>
      </c>
      <c r="K841" s="2">
        <v>0.39400000000000002</v>
      </c>
      <c r="L841" s="2">
        <v>-5.726</v>
      </c>
    </row>
    <row r="842" spans="1:12" x14ac:dyDescent="0.25">
      <c r="A842">
        <v>158</v>
      </c>
      <c r="B842">
        <v>5</v>
      </c>
      <c r="C842" s="3">
        <v>4791732</v>
      </c>
      <c r="D842" s="4">
        <v>6383275</v>
      </c>
      <c r="E842">
        <v>72</v>
      </c>
      <c r="F842" s="2">
        <v>0.79600000000000004</v>
      </c>
      <c r="G842" s="2">
        <v>0.58599999999999997</v>
      </c>
      <c r="H842" s="2">
        <v>0.14699999999999999</v>
      </c>
      <c r="I842" s="2">
        <v>2.47E-2</v>
      </c>
      <c r="J842" s="2">
        <v>0.13200000000000001</v>
      </c>
      <c r="K842" s="2">
        <v>0.17899999999999999</v>
      </c>
      <c r="L842" s="2">
        <v>-6.9459999999999997</v>
      </c>
    </row>
    <row r="843" spans="1:12" x14ac:dyDescent="0.25">
      <c r="A843">
        <v>27</v>
      </c>
      <c r="B843">
        <v>3</v>
      </c>
      <c r="C843" s="3">
        <v>4761155</v>
      </c>
      <c r="D843" s="4">
        <v>19102888</v>
      </c>
      <c r="E843">
        <v>72</v>
      </c>
      <c r="F843" s="2">
        <v>0.65400000000000003</v>
      </c>
      <c r="G843" s="2">
        <v>0.45200000000000001</v>
      </c>
      <c r="H843" s="2">
        <v>4.3900000000000002E-2</v>
      </c>
      <c r="I843" s="2">
        <v>0.17</v>
      </c>
      <c r="J843" s="2">
        <v>0.114</v>
      </c>
      <c r="K843" s="2">
        <v>0.53200000000000003</v>
      </c>
      <c r="L843" s="2">
        <v>-6.36</v>
      </c>
    </row>
    <row r="844" spans="1:12" x14ac:dyDescent="0.25">
      <c r="A844">
        <v>152</v>
      </c>
      <c r="B844">
        <v>3</v>
      </c>
      <c r="C844" s="3">
        <v>4737291</v>
      </c>
      <c r="D844" s="4">
        <v>26784251</v>
      </c>
      <c r="E844">
        <v>72</v>
      </c>
      <c r="F844" s="2">
        <v>0.56499999999999995</v>
      </c>
      <c r="G844" s="2">
        <v>0.39</v>
      </c>
      <c r="H844" s="2">
        <v>5.5599999999999997E-2</v>
      </c>
      <c r="I844" s="2">
        <v>0.81699999999999995</v>
      </c>
      <c r="J844" s="2">
        <v>0.126</v>
      </c>
      <c r="K844" s="2">
        <v>0.70799999999999996</v>
      </c>
      <c r="L844" s="2">
        <v>-4.9589999999999996</v>
      </c>
    </row>
    <row r="845" spans="1:12" x14ac:dyDescent="0.25">
      <c r="A845">
        <v>29</v>
      </c>
      <c r="B845">
        <v>6</v>
      </c>
      <c r="C845" s="3">
        <v>4666658</v>
      </c>
      <c r="D845" s="4">
        <v>36177712</v>
      </c>
      <c r="E845">
        <v>72</v>
      </c>
      <c r="F845" s="2">
        <v>0.88200000000000001</v>
      </c>
      <c r="G845" s="2">
        <v>0.61199999999999999</v>
      </c>
      <c r="H845" s="2">
        <v>0.11799999999999999</v>
      </c>
      <c r="I845" s="2">
        <v>4.7500000000000001E-2</v>
      </c>
      <c r="J845" s="2">
        <v>0.182</v>
      </c>
      <c r="K845" s="2">
        <v>0.74199999999999999</v>
      </c>
      <c r="L845" s="2">
        <v>-6.1029999999999998</v>
      </c>
    </row>
    <row r="846" spans="1:12" x14ac:dyDescent="0.25">
      <c r="A846">
        <v>2</v>
      </c>
      <c r="B846">
        <v>29</v>
      </c>
      <c r="C846" s="3">
        <v>4599349</v>
      </c>
      <c r="D846" s="4">
        <v>48544923</v>
      </c>
      <c r="E846">
        <v>72</v>
      </c>
      <c r="F846" s="2">
        <v>0.68700000000000006</v>
      </c>
      <c r="G846" s="2">
        <v>0.51400000000000001</v>
      </c>
      <c r="H846" s="2">
        <v>8.9700000000000002E-2</v>
      </c>
      <c r="I846" s="2">
        <v>0.36599999999999999</v>
      </c>
      <c r="J846" s="2">
        <v>0.11600000000000001</v>
      </c>
      <c r="K846" s="2">
        <v>0.49399999999999999</v>
      </c>
      <c r="L846" s="2">
        <v>-6.6120000000000001</v>
      </c>
    </row>
    <row r="847" spans="1:12" x14ac:dyDescent="0.25">
      <c r="A847">
        <v>166</v>
      </c>
      <c r="B847">
        <v>1</v>
      </c>
      <c r="C847" s="3">
        <v>4577209</v>
      </c>
      <c r="D847" s="4">
        <v>4794212</v>
      </c>
      <c r="E847">
        <v>72</v>
      </c>
      <c r="F847" s="2">
        <v>0.82099999999999995</v>
      </c>
      <c r="G847" s="2">
        <v>0.86299999999999999</v>
      </c>
      <c r="H847" s="2">
        <v>0.35299999999999998</v>
      </c>
      <c r="I847" s="2">
        <v>8.2400000000000008E-3</v>
      </c>
      <c r="J847" s="2">
        <v>3.7699999999999997E-2</v>
      </c>
      <c r="K847" s="2">
        <v>0.874</v>
      </c>
      <c r="L847" s="2">
        <v>-3.1589999999999998</v>
      </c>
    </row>
    <row r="848" spans="1:12" x14ac:dyDescent="0.25">
      <c r="A848">
        <v>99</v>
      </c>
      <c r="B848">
        <v>2</v>
      </c>
      <c r="C848" s="3">
        <v>4573723</v>
      </c>
      <c r="D848" s="4">
        <v>7593792</v>
      </c>
      <c r="E848">
        <v>72</v>
      </c>
      <c r="F848" s="2">
        <v>0.71499999999999997</v>
      </c>
      <c r="G848" s="2">
        <v>0.63500000000000001</v>
      </c>
      <c r="H848" s="2">
        <v>7.9100000000000004E-2</v>
      </c>
      <c r="I848" s="2">
        <v>0.127</v>
      </c>
      <c r="J848" s="2">
        <v>8.6199999999999999E-2</v>
      </c>
      <c r="K848" s="2">
        <v>0.39</v>
      </c>
      <c r="L848" s="2">
        <v>-6.5910000000000002</v>
      </c>
    </row>
    <row r="849" spans="1:12" x14ac:dyDescent="0.25">
      <c r="A849">
        <v>48</v>
      </c>
      <c r="B849">
        <v>6</v>
      </c>
      <c r="C849" s="3">
        <v>4567732</v>
      </c>
      <c r="D849" s="4">
        <v>36177712</v>
      </c>
      <c r="E849">
        <v>72</v>
      </c>
      <c r="F849" s="2">
        <v>0.71199999999999997</v>
      </c>
      <c r="G849" s="2">
        <v>0.59899999999999998</v>
      </c>
      <c r="H849" s="2">
        <v>0.112</v>
      </c>
      <c r="I849" s="2">
        <v>0.41199999999999998</v>
      </c>
      <c r="J849" s="2">
        <v>0.10299999999999999</v>
      </c>
      <c r="K849" s="2">
        <v>0.58799999999999997</v>
      </c>
      <c r="L849" s="2">
        <v>-6.3419999999999996</v>
      </c>
    </row>
    <row r="850" spans="1:12" x14ac:dyDescent="0.25">
      <c r="A850">
        <v>130</v>
      </c>
      <c r="B850">
        <v>3</v>
      </c>
      <c r="C850" s="3">
        <v>4557817</v>
      </c>
      <c r="D850" s="4">
        <v>4720858</v>
      </c>
      <c r="E850">
        <v>72</v>
      </c>
      <c r="F850" s="2">
        <v>0.61699999999999999</v>
      </c>
      <c r="G850" s="2">
        <v>0.52500000000000002</v>
      </c>
      <c r="H850" s="2">
        <v>0.12</v>
      </c>
      <c r="I850" s="2">
        <v>0.55400000000000005</v>
      </c>
      <c r="J850" s="2">
        <v>0.13500000000000001</v>
      </c>
      <c r="K850" s="2">
        <v>0.377</v>
      </c>
      <c r="L850" s="2">
        <v>-10.426</v>
      </c>
    </row>
    <row r="851" spans="1:12" x14ac:dyDescent="0.25">
      <c r="A851">
        <v>79</v>
      </c>
      <c r="B851">
        <v>2</v>
      </c>
      <c r="C851" s="3">
        <v>4535580</v>
      </c>
      <c r="D851" s="4">
        <v>6852509</v>
      </c>
      <c r="E851">
        <v>72</v>
      </c>
      <c r="F851" s="2">
        <v>0.73899999999999999</v>
      </c>
      <c r="G851" s="2">
        <v>0.61599999999999999</v>
      </c>
      <c r="H851" s="2">
        <v>3.3799999999999997E-2</v>
      </c>
      <c r="I851" s="2">
        <v>0.252</v>
      </c>
      <c r="J851" s="2">
        <v>0.10100000000000001</v>
      </c>
      <c r="K851" s="2">
        <v>0.65400000000000003</v>
      </c>
      <c r="L851" s="2">
        <v>-6.9630000000000001</v>
      </c>
    </row>
    <row r="852" spans="1:12" x14ac:dyDescent="0.25">
      <c r="A852">
        <v>45</v>
      </c>
      <c r="B852">
        <v>4</v>
      </c>
      <c r="C852" s="3">
        <v>4516243</v>
      </c>
      <c r="D852" s="4">
        <v>36177712</v>
      </c>
      <c r="E852">
        <v>72</v>
      </c>
      <c r="F852" s="2">
        <v>0.71</v>
      </c>
      <c r="G852" s="2">
        <v>0.81</v>
      </c>
      <c r="H852" s="2">
        <v>8.5400000000000004E-2</v>
      </c>
      <c r="I852" s="2">
        <v>0.11700000000000001</v>
      </c>
      <c r="J852" s="2">
        <v>0.154</v>
      </c>
      <c r="K852" s="2">
        <v>0.184</v>
      </c>
      <c r="L852" s="2">
        <v>-5.5069999999999997</v>
      </c>
    </row>
    <row r="853" spans="1:12" x14ac:dyDescent="0.25">
      <c r="A853">
        <v>55</v>
      </c>
      <c r="B853">
        <v>4</v>
      </c>
      <c r="C853" s="3">
        <v>4472669</v>
      </c>
      <c r="D853" s="4">
        <v>27167675</v>
      </c>
      <c r="E853">
        <v>72</v>
      </c>
      <c r="F853" s="2">
        <v>0.627</v>
      </c>
      <c r="G853" s="2">
        <v>0.69</v>
      </c>
      <c r="H853" s="2">
        <v>0.13900000000000001</v>
      </c>
      <c r="I853" s="2">
        <v>3.3000000000000002E-2</v>
      </c>
      <c r="J853" s="2">
        <v>7.4200000000000002E-2</v>
      </c>
      <c r="K853" s="2">
        <v>0.627</v>
      </c>
      <c r="L853" s="2">
        <v>-5.3959999999999999</v>
      </c>
    </row>
    <row r="854" spans="1:12" x14ac:dyDescent="0.25">
      <c r="A854">
        <v>47</v>
      </c>
      <c r="B854">
        <v>15</v>
      </c>
      <c r="C854" s="3">
        <v>4440661</v>
      </c>
      <c r="D854" s="4">
        <v>22136717</v>
      </c>
      <c r="E854">
        <v>72</v>
      </c>
      <c r="F854" s="2">
        <v>0.77500000000000002</v>
      </c>
      <c r="G854" s="2">
        <v>0.69599999999999995</v>
      </c>
      <c r="H854" s="2">
        <v>6.8099999999999994E-2</v>
      </c>
      <c r="I854" s="2">
        <v>5.5899999999999998E-2</v>
      </c>
      <c r="J854" s="2">
        <v>0.157</v>
      </c>
      <c r="K854" s="2">
        <v>0.77500000000000002</v>
      </c>
      <c r="L854" s="2">
        <v>-5.1840000000000002</v>
      </c>
    </row>
    <row r="855" spans="1:12" x14ac:dyDescent="0.25">
      <c r="A855">
        <v>197</v>
      </c>
      <c r="B855">
        <v>1</v>
      </c>
      <c r="C855" s="3">
        <v>4435538</v>
      </c>
      <c r="D855" s="4">
        <v>799682</v>
      </c>
      <c r="E855">
        <v>72</v>
      </c>
      <c r="F855" s="2">
        <v>0.55400000000000005</v>
      </c>
      <c r="G855" s="2">
        <v>0.8</v>
      </c>
      <c r="H855" s="2">
        <v>3.95E-2</v>
      </c>
      <c r="I855" s="2">
        <v>0.11899999999999999</v>
      </c>
      <c r="J855" s="2">
        <v>0.629</v>
      </c>
      <c r="K855" s="2">
        <v>0.46300000000000002</v>
      </c>
      <c r="L855" s="2">
        <v>-3.9359999999999999</v>
      </c>
    </row>
    <row r="856" spans="1:12" x14ac:dyDescent="0.25">
      <c r="A856">
        <v>44</v>
      </c>
      <c r="B856">
        <v>20</v>
      </c>
      <c r="C856" s="3">
        <v>4407165</v>
      </c>
      <c r="D856" s="4">
        <v>14831925</v>
      </c>
      <c r="E856">
        <v>72</v>
      </c>
      <c r="F856" s="2">
        <v>0.59399999999999997</v>
      </c>
      <c r="G856" s="2">
        <v>0.80800000000000005</v>
      </c>
      <c r="H856" s="2">
        <v>4.8899999999999999E-2</v>
      </c>
      <c r="I856" s="2">
        <v>0.41499999999999998</v>
      </c>
      <c r="J856" s="2">
        <v>0.56499999999999995</v>
      </c>
      <c r="K856" s="2">
        <v>0.91900000000000004</v>
      </c>
      <c r="L856" s="2">
        <v>-2.4089999999999998</v>
      </c>
    </row>
    <row r="857" spans="1:12" x14ac:dyDescent="0.25">
      <c r="A857">
        <v>47</v>
      </c>
      <c r="B857">
        <v>8</v>
      </c>
      <c r="C857" s="3">
        <v>4312675</v>
      </c>
      <c r="D857" s="4">
        <v>36177712</v>
      </c>
      <c r="E857">
        <v>72</v>
      </c>
      <c r="F857" s="2">
        <v>0.77200000000000002</v>
      </c>
      <c r="G857" s="2">
        <v>0.83</v>
      </c>
      <c r="H857" s="2">
        <v>5.9900000000000002E-2</v>
      </c>
      <c r="I857" s="2">
        <v>1.6E-2</v>
      </c>
      <c r="J857" s="2">
        <v>8.43E-2</v>
      </c>
      <c r="K857" s="2">
        <v>0.69699999999999995</v>
      </c>
      <c r="L857" s="2">
        <v>-5.0190000000000001</v>
      </c>
    </row>
    <row r="858" spans="1:12" x14ac:dyDescent="0.25">
      <c r="A858">
        <v>30</v>
      </c>
      <c r="B858">
        <v>9</v>
      </c>
      <c r="C858" s="3">
        <v>4252898</v>
      </c>
      <c r="D858" s="4">
        <v>20829526</v>
      </c>
      <c r="E858">
        <v>72</v>
      </c>
      <c r="F858" s="2">
        <v>0.754</v>
      </c>
      <c r="G858" s="2">
        <v>0.58299999999999996</v>
      </c>
      <c r="H858" s="2">
        <v>4.3200000000000002E-2</v>
      </c>
      <c r="I858" s="2">
        <v>0.32</v>
      </c>
      <c r="J858" s="2">
        <v>0.14399999999999999</v>
      </c>
      <c r="K858" s="2">
        <v>0.77</v>
      </c>
      <c r="L858" s="2">
        <v>-7.34</v>
      </c>
    </row>
    <row r="859" spans="1:12" x14ac:dyDescent="0.25">
      <c r="A859">
        <v>25</v>
      </c>
      <c r="B859">
        <v>1</v>
      </c>
      <c r="C859" s="3">
        <v>15967986</v>
      </c>
      <c r="D859" s="4">
        <v>14097410</v>
      </c>
      <c r="E859">
        <v>71</v>
      </c>
      <c r="F859" s="2">
        <v>0.69899999999999995</v>
      </c>
      <c r="G859" s="2">
        <v>0.75900000000000001</v>
      </c>
      <c r="H859" s="2">
        <v>0.311</v>
      </c>
      <c r="I859" s="2">
        <v>8.14E-2</v>
      </c>
      <c r="J859" s="2">
        <v>0.312</v>
      </c>
      <c r="K859" s="2">
        <v>0.40400000000000003</v>
      </c>
      <c r="L859" s="2">
        <v>-5.3019999999999996</v>
      </c>
    </row>
    <row r="860" spans="1:12" x14ac:dyDescent="0.25">
      <c r="A860">
        <v>48</v>
      </c>
      <c r="B860">
        <v>1</v>
      </c>
      <c r="C860" s="3">
        <v>11647489</v>
      </c>
      <c r="D860" s="4">
        <v>14097410</v>
      </c>
      <c r="E860">
        <v>71</v>
      </c>
      <c r="F860" s="2">
        <v>0.56299999999999994</v>
      </c>
      <c r="G860" s="2">
        <v>0.70299999999999996</v>
      </c>
      <c r="H860" s="2">
        <v>7.0199999999999999E-2</v>
      </c>
      <c r="I860" s="2">
        <v>0.126</v>
      </c>
      <c r="J860" s="2">
        <v>0.21299999999999999</v>
      </c>
      <c r="K860" s="2">
        <v>0.29399999999999998</v>
      </c>
      <c r="L860" s="2">
        <v>-5.7560000000000002</v>
      </c>
    </row>
    <row r="861" spans="1:12" x14ac:dyDescent="0.25">
      <c r="A861">
        <v>51</v>
      </c>
      <c r="B861">
        <v>1</v>
      </c>
      <c r="C861" s="3">
        <v>9904749</v>
      </c>
      <c r="D861" s="4">
        <v>56327031</v>
      </c>
      <c r="E861">
        <v>71</v>
      </c>
      <c r="F861" s="2">
        <v>0.86399999999999999</v>
      </c>
      <c r="G861" s="2">
        <v>0.47699999999999998</v>
      </c>
      <c r="H861" s="2">
        <v>0.224</v>
      </c>
      <c r="I861" s="2">
        <v>0.20100000000000001</v>
      </c>
      <c r="J861" s="2">
        <v>0.182</v>
      </c>
      <c r="K861" s="2">
        <v>0.5</v>
      </c>
      <c r="L861" s="2">
        <v>-5.7859999999999996</v>
      </c>
    </row>
    <row r="862" spans="1:12" x14ac:dyDescent="0.25">
      <c r="A862">
        <v>79</v>
      </c>
      <c r="B862">
        <v>1</v>
      </c>
      <c r="C862" s="3">
        <v>8312399</v>
      </c>
      <c r="D862" s="4">
        <v>37151476</v>
      </c>
      <c r="E862">
        <v>71</v>
      </c>
      <c r="F862" s="2">
        <v>0.58899999999999997</v>
      </c>
      <c r="G862" s="2">
        <v>0.69599999999999995</v>
      </c>
      <c r="H862" s="2">
        <v>7.2499999999999995E-2</v>
      </c>
      <c r="I862" s="2">
        <v>1.7000000000000001E-2</v>
      </c>
      <c r="J862" s="2">
        <v>8.0799999999999997E-2</v>
      </c>
      <c r="K862" s="2">
        <v>0.33200000000000002</v>
      </c>
      <c r="L862" s="2">
        <v>-7.9809999999999999</v>
      </c>
    </row>
    <row r="863" spans="1:12" x14ac:dyDescent="0.25">
      <c r="A863">
        <v>38</v>
      </c>
      <c r="B863">
        <v>2</v>
      </c>
      <c r="C863" s="3">
        <v>6591829</v>
      </c>
      <c r="D863" s="4">
        <v>67208170</v>
      </c>
      <c r="E863">
        <v>71</v>
      </c>
      <c r="F863" s="2">
        <v>0.69799999999999995</v>
      </c>
      <c r="G863" s="2">
        <v>0.70799999999999996</v>
      </c>
      <c r="H863" s="2">
        <v>4.5400000000000003E-2</v>
      </c>
      <c r="I863" s="2">
        <v>2.5100000000000001E-2</v>
      </c>
      <c r="J863" s="2">
        <v>0.124</v>
      </c>
      <c r="K863" s="2">
        <v>0.32200000000000001</v>
      </c>
      <c r="L863" s="2">
        <v>-4.9429999999999996</v>
      </c>
    </row>
    <row r="864" spans="1:12" x14ac:dyDescent="0.25">
      <c r="A864">
        <v>75</v>
      </c>
      <c r="B864">
        <v>6</v>
      </c>
      <c r="C864" s="3">
        <v>6497610</v>
      </c>
      <c r="D864" s="4">
        <v>7816213</v>
      </c>
      <c r="E864">
        <v>71</v>
      </c>
      <c r="F864" s="2">
        <v>0.82299999999999995</v>
      </c>
      <c r="G864" s="2">
        <v>0.55200000000000005</v>
      </c>
      <c r="H864" s="2">
        <v>0.32400000000000001</v>
      </c>
      <c r="I864" s="2">
        <v>1.7399999999999999E-2</v>
      </c>
      <c r="J864" s="2">
        <v>0.122</v>
      </c>
      <c r="K864" s="2">
        <v>0.41799999999999998</v>
      </c>
      <c r="L864" s="2">
        <v>-7.57</v>
      </c>
    </row>
    <row r="865" spans="1:12" x14ac:dyDescent="0.25">
      <c r="A865">
        <v>128</v>
      </c>
      <c r="B865">
        <v>1</v>
      </c>
      <c r="C865" s="3">
        <v>6323268</v>
      </c>
      <c r="D865" s="4">
        <v>11690201</v>
      </c>
      <c r="E865">
        <v>71</v>
      </c>
      <c r="F865" s="2">
        <v>0.91700000000000004</v>
      </c>
      <c r="G865" s="2">
        <v>0.623</v>
      </c>
      <c r="H865" s="2">
        <v>0.13500000000000001</v>
      </c>
      <c r="I865" s="2">
        <v>9.8500000000000004E-2</v>
      </c>
      <c r="J865" s="2">
        <v>8.3299999999999999E-2</v>
      </c>
      <c r="K865" s="2">
        <v>0.68700000000000006</v>
      </c>
      <c r="L865" s="2">
        <v>-8.2309999999999999</v>
      </c>
    </row>
    <row r="866" spans="1:12" x14ac:dyDescent="0.25">
      <c r="A866">
        <v>116</v>
      </c>
      <c r="B866">
        <v>1</v>
      </c>
      <c r="C866" s="3">
        <v>6292620</v>
      </c>
      <c r="D866" s="4">
        <v>4849204</v>
      </c>
      <c r="E866">
        <v>71</v>
      </c>
      <c r="F866" s="2">
        <v>0.61599999999999999</v>
      </c>
      <c r="G866" s="2">
        <v>0.61699999999999999</v>
      </c>
      <c r="H866" s="2">
        <v>0.52</v>
      </c>
      <c r="I866" s="2">
        <v>0.128</v>
      </c>
      <c r="J866" s="2">
        <v>0.17699999999999999</v>
      </c>
      <c r="K866" s="2">
        <v>0.47599999999999998</v>
      </c>
      <c r="L866" s="2">
        <v>-8.4309999999999992</v>
      </c>
    </row>
    <row r="867" spans="1:12" x14ac:dyDescent="0.25">
      <c r="A867">
        <v>121</v>
      </c>
      <c r="B867">
        <v>1</v>
      </c>
      <c r="C867" s="3">
        <v>6155698</v>
      </c>
      <c r="D867" s="4">
        <v>2010879</v>
      </c>
      <c r="E867">
        <v>71</v>
      </c>
      <c r="F867" s="2">
        <v>0.61599999999999999</v>
      </c>
      <c r="G867" s="2">
        <v>0.74099999999999999</v>
      </c>
      <c r="H867" s="2">
        <v>4.2599999999999999E-2</v>
      </c>
      <c r="I867" s="2">
        <v>2.5100000000000001E-3</v>
      </c>
      <c r="J867" s="2">
        <v>0.307</v>
      </c>
      <c r="K867" s="2">
        <v>0.43099999999999999</v>
      </c>
      <c r="L867" s="2">
        <v>-4.2720000000000002</v>
      </c>
    </row>
    <row r="868" spans="1:12" x14ac:dyDescent="0.25">
      <c r="A868">
        <v>65</v>
      </c>
      <c r="B868">
        <v>7</v>
      </c>
      <c r="C868" s="3">
        <v>6066001</v>
      </c>
      <c r="D868" s="4">
        <v>3991674</v>
      </c>
      <c r="E868">
        <v>71</v>
      </c>
      <c r="F868" s="2">
        <v>0.66800000000000004</v>
      </c>
      <c r="G868" s="2">
        <v>0.89200000000000002</v>
      </c>
      <c r="H868" s="2">
        <v>6.4500000000000002E-2</v>
      </c>
      <c r="I868" s="2">
        <v>0.29799999999999999</v>
      </c>
      <c r="J868" s="2">
        <v>0.73499999999999999</v>
      </c>
      <c r="K868" s="2">
        <v>0.47799999999999998</v>
      </c>
      <c r="L868" s="2">
        <v>-3.0009999999999999</v>
      </c>
    </row>
    <row r="869" spans="1:12" x14ac:dyDescent="0.25">
      <c r="A869">
        <v>151</v>
      </c>
      <c r="B869">
        <v>5</v>
      </c>
      <c r="C869" s="3">
        <v>6006877</v>
      </c>
      <c r="D869" s="4">
        <v>15778531</v>
      </c>
      <c r="E869">
        <v>71</v>
      </c>
      <c r="F869" s="2">
        <v>0.57999999999999996</v>
      </c>
      <c r="G869" s="2">
        <v>0.90800000000000003</v>
      </c>
      <c r="H869" s="2">
        <v>3.4099999999999998E-2</v>
      </c>
      <c r="I869" s="2">
        <v>3.3500000000000001E-4</v>
      </c>
      <c r="J869" s="2">
        <v>8.6999999999999994E-2</v>
      </c>
      <c r="K869" s="2">
        <v>0.42699999999999999</v>
      </c>
      <c r="L869" s="2">
        <v>-5.3029999999999999</v>
      </c>
    </row>
    <row r="870" spans="1:12" x14ac:dyDescent="0.25">
      <c r="A870">
        <v>49</v>
      </c>
      <c r="B870">
        <v>2</v>
      </c>
      <c r="C870" s="3">
        <v>5777859</v>
      </c>
      <c r="D870" s="4">
        <v>19102888</v>
      </c>
      <c r="E870">
        <v>71</v>
      </c>
      <c r="F870" s="2">
        <v>0.65200000000000002</v>
      </c>
      <c r="G870" s="2">
        <v>0.67100000000000004</v>
      </c>
      <c r="H870" s="2">
        <v>7.5600000000000001E-2</v>
      </c>
      <c r="I870" s="2">
        <v>2.2200000000000001E-2</v>
      </c>
      <c r="J870" s="2">
        <v>0.107</v>
      </c>
      <c r="K870" s="2">
        <v>0.27400000000000002</v>
      </c>
      <c r="L870" s="2">
        <v>-5.89</v>
      </c>
    </row>
    <row r="871" spans="1:12" x14ac:dyDescent="0.25">
      <c r="A871">
        <v>128</v>
      </c>
      <c r="B871">
        <v>1</v>
      </c>
      <c r="C871" s="3">
        <v>5632102</v>
      </c>
      <c r="D871" s="4">
        <v>8671649</v>
      </c>
      <c r="E871">
        <v>71</v>
      </c>
      <c r="F871" s="2">
        <v>0.68899999999999995</v>
      </c>
      <c r="G871" s="2">
        <v>0.51600000000000001</v>
      </c>
      <c r="H871" s="2">
        <v>4.4400000000000002E-2</v>
      </c>
      <c r="I871" s="2">
        <v>0.51300000000000001</v>
      </c>
      <c r="J871" s="2">
        <v>0.16300000000000001</v>
      </c>
      <c r="K871" s="2">
        <v>0.20899999999999999</v>
      </c>
      <c r="L871" s="2">
        <v>-5.8570000000000002</v>
      </c>
    </row>
    <row r="872" spans="1:12" x14ac:dyDescent="0.25">
      <c r="A872">
        <v>167</v>
      </c>
      <c r="B872">
        <v>1</v>
      </c>
      <c r="C872" s="3">
        <v>5578323</v>
      </c>
      <c r="D872" s="4">
        <v>4421378</v>
      </c>
      <c r="E872">
        <v>71</v>
      </c>
      <c r="F872" s="2">
        <v>0.71599999999999997</v>
      </c>
      <c r="G872" s="2">
        <v>0.56299999999999994</v>
      </c>
      <c r="H872" s="2">
        <v>4.2500000000000003E-2</v>
      </c>
      <c r="I872" s="2">
        <v>0.32600000000000001</v>
      </c>
      <c r="J872" s="2">
        <v>0.11899999999999999</v>
      </c>
      <c r="K872" s="2">
        <v>0.495</v>
      </c>
      <c r="L872" s="2">
        <v>-5.4859999999999998</v>
      </c>
    </row>
    <row r="873" spans="1:12" x14ac:dyDescent="0.25">
      <c r="A873">
        <v>26</v>
      </c>
      <c r="B873">
        <v>4</v>
      </c>
      <c r="C873" s="3">
        <v>5427638</v>
      </c>
      <c r="D873" s="4">
        <v>1099480</v>
      </c>
      <c r="E873">
        <v>71</v>
      </c>
      <c r="F873" s="2">
        <v>0.64700000000000002</v>
      </c>
      <c r="G873" s="2">
        <v>0.377</v>
      </c>
      <c r="H873" s="2">
        <v>3.7499999999999999E-2</v>
      </c>
      <c r="I873" s="2">
        <v>0.59399999999999997</v>
      </c>
      <c r="J873" s="2">
        <v>7.6799999999999993E-2</v>
      </c>
      <c r="K873" s="2">
        <v>0.65300000000000002</v>
      </c>
      <c r="L873" s="2">
        <v>-6.0030000000000001</v>
      </c>
    </row>
    <row r="874" spans="1:12" x14ac:dyDescent="0.25">
      <c r="A874">
        <v>49</v>
      </c>
      <c r="B874">
        <v>12</v>
      </c>
      <c r="C874" s="3">
        <v>5220504</v>
      </c>
      <c r="D874" s="4">
        <v>3198705</v>
      </c>
      <c r="E874">
        <v>71</v>
      </c>
      <c r="F874" s="2">
        <v>0.752</v>
      </c>
      <c r="G874" s="2">
        <v>0.71599999999999997</v>
      </c>
      <c r="H874" s="2">
        <v>3.2500000000000001E-2</v>
      </c>
      <c r="I874" s="2">
        <v>0.254</v>
      </c>
      <c r="J874" s="2">
        <v>0.24299999999999999</v>
      </c>
      <c r="K874" s="2">
        <v>0.55300000000000005</v>
      </c>
      <c r="L874" s="2">
        <v>-5.2</v>
      </c>
    </row>
    <row r="875" spans="1:12" x14ac:dyDescent="0.25">
      <c r="A875">
        <v>103</v>
      </c>
      <c r="B875">
        <v>7</v>
      </c>
      <c r="C875" s="3">
        <v>5184069</v>
      </c>
      <c r="D875" s="4">
        <v>4272745</v>
      </c>
      <c r="E875">
        <v>71</v>
      </c>
      <c r="F875" s="2">
        <v>0.74199999999999999</v>
      </c>
      <c r="G875" s="2">
        <v>0.67900000000000005</v>
      </c>
      <c r="H875" s="2">
        <v>2.5899999999999999E-2</v>
      </c>
      <c r="I875" s="2">
        <v>4.8800000000000003E-2</v>
      </c>
      <c r="J875" s="2">
        <v>7.5399999999999995E-2</v>
      </c>
      <c r="K875" s="2">
        <v>0.85599999999999998</v>
      </c>
      <c r="L875" s="2">
        <v>-4.5940000000000003</v>
      </c>
    </row>
    <row r="876" spans="1:12" x14ac:dyDescent="0.25">
      <c r="A876">
        <v>181</v>
      </c>
      <c r="B876">
        <v>4</v>
      </c>
      <c r="C876" s="3">
        <v>5145493</v>
      </c>
      <c r="D876" s="4">
        <v>180723</v>
      </c>
      <c r="E876">
        <v>71</v>
      </c>
      <c r="F876" s="2">
        <v>0.42199999999999999</v>
      </c>
      <c r="G876" s="2">
        <v>0.25</v>
      </c>
      <c r="H876" s="2">
        <v>3.5099999999999999E-2</v>
      </c>
      <c r="I876" s="2">
        <v>0.441</v>
      </c>
      <c r="J876" s="2">
        <v>0.35</v>
      </c>
      <c r="K876" s="2">
        <v>0.246</v>
      </c>
      <c r="L876" s="2">
        <v>-6.8360000000000003</v>
      </c>
    </row>
    <row r="877" spans="1:12" x14ac:dyDescent="0.25">
      <c r="A877">
        <v>24</v>
      </c>
      <c r="B877">
        <v>3</v>
      </c>
      <c r="C877" s="3">
        <v>5112180</v>
      </c>
      <c r="D877" s="4">
        <v>42227614</v>
      </c>
      <c r="E877">
        <v>71</v>
      </c>
      <c r="F877" s="2">
        <v>0.59299999999999997</v>
      </c>
      <c r="G877" s="2">
        <v>0.377</v>
      </c>
      <c r="H877" s="2">
        <v>2.53E-2</v>
      </c>
      <c r="I877" s="2">
        <v>0.6</v>
      </c>
      <c r="J877" s="2">
        <v>9.7600000000000006E-2</v>
      </c>
      <c r="K877" s="2">
        <v>0.502</v>
      </c>
      <c r="L877" s="2">
        <v>-8.7609999999999992</v>
      </c>
    </row>
    <row r="878" spans="1:12" x14ac:dyDescent="0.25">
      <c r="A878">
        <v>10</v>
      </c>
      <c r="B878">
        <v>4</v>
      </c>
      <c r="C878" s="3">
        <v>5111416</v>
      </c>
      <c r="D878" s="4">
        <v>42227614</v>
      </c>
      <c r="E878">
        <v>71</v>
      </c>
      <c r="F878" s="2">
        <v>0.45600000000000002</v>
      </c>
      <c r="G878" s="2">
        <v>0.26300000000000001</v>
      </c>
      <c r="H878" s="2">
        <v>3.32E-2</v>
      </c>
      <c r="I878" s="2">
        <v>0.80600000000000005</v>
      </c>
      <c r="J878" s="2">
        <v>7.4899999999999994E-2</v>
      </c>
      <c r="K878" s="2">
        <v>0.111</v>
      </c>
      <c r="L878" s="2">
        <v>-10.63</v>
      </c>
    </row>
    <row r="879" spans="1:12" x14ac:dyDescent="0.25">
      <c r="A879">
        <v>53</v>
      </c>
      <c r="B879">
        <v>2</v>
      </c>
      <c r="C879" s="3">
        <v>5104422</v>
      </c>
      <c r="D879" s="4">
        <v>6852509</v>
      </c>
      <c r="E879">
        <v>71</v>
      </c>
      <c r="F879" s="2">
        <v>0.54800000000000004</v>
      </c>
      <c r="G879" s="2">
        <v>0.50600000000000001</v>
      </c>
      <c r="H879" s="2">
        <v>0.10199999999999999</v>
      </c>
      <c r="I879" s="2">
        <v>0.20300000000000001</v>
      </c>
      <c r="J879" s="2">
        <v>7.8799999999999995E-2</v>
      </c>
      <c r="K879" s="2">
        <v>0.55700000000000005</v>
      </c>
      <c r="L879" s="2">
        <v>-7.4340000000000002</v>
      </c>
    </row>
    <row r="880" spans="1:12" x14ac:dyDescent="0.25">
      <c r="A880">
        <v>163</v>
      </c>
      <c r="B880">
        <v>1</v>
      </c>
      <c r="C880" s="3">
        <v>5056986</v>
      </c>
      <c r="D880" s="4">
        <v>2238190</v>
      </c>
      <c r="E880">
        <v>71</v>
      </c>
      <c r="F880" s="2">
        <v>0.6</v>
      </c>
      <c r="G880" s="2">
        <v>0.72299999999999998</v>
      </c>
      <c r="H880" s="2">
        <v>0.158</v>
      </c>
      <c r="I880" s="2">
        <v>0.109</v>
      </c>
      <c r="J880" s="2">
        <v>0.16700000000000001</v>
      </c>
      <c r="K880" s="2">
        <v>0.46300000000000002</v>
      </c>
      <c r="L880" s="2">
        <v>-4.9279999999999999</v>
      </c>
    </row>
    <row r="881" spans="1:12" x14ac:dyDescent="0.25">
      <c r="A881">
        <v>86</v>
      </c>
      <c r="B881">
        <v>6</v>
      </c>
      <c r="C881" s="3">
        <v>5044853</v>
      </c>
      <c r="D881" s="4">
        <v>15663384</v>
      </c>
      <c r="E881">
        <v>71</v>
      </c>
      <c r="F881" s="2">
        <v>0.66700000000000004</v>
      </c>
      <c r="G881" s="2">
        <v>0.58299999999999996</v>
      </c>
      <c r="H881" s="2">
        <v>7.4700000000000003E-2</v>
      </c>
      <c r="I881" s="2">
        <v>0.23100000000000001</v>
      </c>
      <c r="J881" s="2">
        <v>0.18099999999999999</v>
      </c>
      <c r="K881" s="2">
        <v>0.187</v>
      </c>
      <c r="L881" s="2">
        <v>-5.1269999999999998</v>
      </c>
    </row>
    <row r="882" spans="1:12" x14ac:dyDescent="0.25">
      <c r="A882">
        <v>50</v>
      </c>
      <c r="B882">
        <v>3</v>
      </c>
      <c r="C882" s="3">
        <v>5013450</v>
      </c>
      <c r="D882" s="4">
        <v>48544923</v>
      </c>
      <c r="E882">
        <v>71</v>
      </c>
      <c r="F882" s="2">
        <v>0.60099999999999998</v>
      </c>
      <c r="G882" s="2">
        <v>0.74099999999999999</v>
      </c>
      <c r="H882" s="2">
        <v>4.7800000000000002E-2</v>
      </c>
      <c r="I882" s="2">
        <v>0.185</v>
      </c>
      <c r="J882" s="2">
        <v>0.41499999999999998</v>
      </c>
      <c r="K882" s="2">
        <v>0.441</v>
      </c>
      <c r="L882" s="2">
        <v>-5.569</v>
      </c>
    </row>
    <row r="883" spans="1:12" x14ac:dyDescent="0.25">
      <c r="A883">
        <v>159</v>
      </c>
      <c r="B883">
        <v>1</v>
      </c>
      <c r="C883" s="3">
        <v>4861870</v>
      </c>
      <c r="D883" s="4">
        <v>20528724</v>
      </c>
      <c r="E883">
        <v>71</v>
      </c>
      <c r="F883" s="2">
        <v>0.52100000000000002</v>
      </c>
      <c r="G883" s="2">
        <v>0.877</v>
      </c>
      <c r="H883" s="2">
        <v>6.83E-2</v>
      </c>
      <c r="I883" s="2">
        <v>1.32E-2</v>
      </c>
      <c r="J883" s="2">
        <v>9.2899999999999996E-2</v>
      </c>
      <c r="K883" s="2">
        <v>0.19900000000000001</v>
      </c>
      <c r="L883" s="2">
        <v>-5.444</v>
      </c>
    </row>
    <row r="884" spans="1:12" x14ac:dyDescent="0.25">
      <c r="A884">
        <v>153</v>
      </c>
      <c r="B884">
        <v>3</v>
      </c>
      <c r="C884" s="3">
        <v>4816702</v>
      </c>
      <c r="D884" s="4">
        <v>7408249</v>
      </c>
      <c r="E884">
        <v>71</v>
      </c>
      <c r="F884" s="2">
        <v>0.84199999999999997</v>
      </c>
      <c r="G884" s="2">
        <v>0.80100000000000005</v>
      </c>
      <c r="H884" s="2">
        <v>0.22800000000000001</v>
      </c>
      <c r="I884" s="2">
        <v>0.157</v>
      </c>
      <c r="J884" s="2">
        <v>6.4199999999999993E-2</v>
      </c>
      <c r="K884" s="2">
        <v>0.61699999999999999</v>
      </c>
      <c r="L884" s="2">
        <v>-4.1669999999999998</v>
      </c>
    </row>
    <row r="885" spans="1:12" x14ac:dyDescent="0.25">
      <c r="A885">
        <v>5</v>
      </c>
      <c r="B885">
        <v>19</v>
      </c>
      <c r="C885" s="3">
        <v>4812765</v>
      </c>
      <c r="D885" s="4">
        <v>23848461</v>
      </c>
      <c r="E885">
        <v>71</v>
      </c>
      <c r="F885" s="2">
        <v>0.79</v>
      </c>
      <c r="G885" s="2">
        <v>0.70099999999999996</v>
      </c>
      <c r="H885" s="2">
        <v>0.36499999999999999</v>
      </c>
      <c r="I885" s="2">
        <v>3.1699999999999999E-2</v>
      </c>
      <c r="J885" s="2">
        <v>3.1099999999999999E-2</v>
      </c>
      <c r="K885" s="2">
        <v>0.91</v>
      </c>
      <c r="L885" s="2">
        <v>-4.8099999999999996</v>
      </c>
    </row>
    <row r="886" spans="1:12" x14ac:dyDescent="0.25">
      <c r="A886">
        <v>76</v>
      </c>
      <c r="B886">
        <v>17</v>
      </c>
      <c r="C886" s="3">
        <v>4761286</v>
      </c>
      <c r="D886" s="4">
        <v>134339</v>
      </c>
      <c r="E886">
        <v>71</v>
      </c>
      <c r="F886" s="2">
        <v>0.80100000000000005</v>
      </c>
      <c r="G886" s="2">
        <v>0.57899999999999996</v>
      </c>
      <c r="H886" s="2">
        <v>8.1299999999999997E-2</v>
      </c>
      <c r="I886" s="2">
        <v>0.33300000000000002</v>
      </c>
      <c r="J886" s="2">
        <v>0.17199999999999999</v>
      </c>
      <c r="K886" s="2">
        <v>0.23100000000000001</v>
      </c>
      <c r="L886" s="2">
        <v>-4.78</v>
      </c>
    </row>
    <row r="887" spans="1:12" x14ac:dyDescent="0.25">
      <c r="A887">
        <v>63</v>
      </c>
      <c r="B887">
        <v>2</v>
      </c>
      <c r="C887" s="3">
        <v>4727415</v>
      </c>
      <c r="D887" s="4">
        <v>8099554</v>
      </c>
      <c r="E887">
        <v>71</v>
      </c>
      <c r="F887" s="2">
        <v>0.85399999999999998</v>
      </c>
      <c r="G887" s="2">
        <v>0.46300000000000002</v>
      </c>
      <c r="H887" s="2">
        <v>0.13700000000000001</v>
      </c>
      <c r="I887" s="2">
        <v>0.11700000000000001</v>
      </c>
      <c r="J887" s="2">
        <v>0.35399999999999998</v>
      </c>
      <c r="K887" s="2">
        <v>0.54900000000000004</v>
      </c>
      <c r="L887" s="2">
        <v>-6.1589999999999998</v>
      </c>
    </row>
    <row r="888" spans="1:12" x14ac:dyDescent="0.25">
      <c r="A888">
        <v>24</v>
      </c>
      <c r="B888">
        <v>3</v>
      </c>
      <c r="C888" s="3">
        <v>4687464</v>
      </c>
      <c r="D888" s="4">
        <v>19102888</v>
      </c>
      <c r="E888">
        <v>71</v>
      </c>
      <c r="F888" s="2">
        <v>0.56699999999999995</v>
      </c>
      <c r="G888" s="2">
        <v>0.54500000000000004</v>
      </c>
      <c r="H888" s="2">
        <v>4.48E-2</v>
      </c>
      <c r="I888" s="2">
        <v>0.16800000000000001</v>
      </c>
      <c r="J888" s="2">
        <v>0.112</v>
      </c>
      <c r="K888" s="2">
        <v>0.23400000000000001</v>
      </c>
      <c r="L888" s="2">
        <v>-6.6680000000000001</v>
      </c>
    </row>
    <row r="889" spans="1:12" x14ac:dyDescent="0.25">
      <c r="A889">
        <v>63</v>
      </c>
      <c r="B889">
        <v>4</v>
      </c>
      <c r="C889" s="3">
        <v>4684378</v>
      </c>
      <c r="D889" s="4">
        <v>36177712</v>
      </c>
      <c r="E889">
        <v>71</v>
      </c>
      <c r="F889" s="2">
        <v>0.76100000000000001</v>
      </c>
      <c r="G889" s="2">
        <v>0.73199999999999998</v>
      </c>
      <c r="H889" s="2">
        <v>5.4899999999999997E-2</v>
      </c>
      <c r="I889" s="2">
        <v>9.1999999999999998E-2</v>
      </c>
      <c r="J889" s="2">
        <v>7.1599999999999997E-2</v>
      </c>
      <c r="K889" s="2">
        <v>0.54200000000000004</v>
      </c>
      <c r="L889" s="2">
        <v>-5.4690000000000003</v>
      </c>
    </row>
    <row r="890" spans="1:12" x14ac:dyDescent="0.25">
      <c r="A890">
        <v>84</v>
      </c>
      <c r="B890">
        <v>15</v>
      </c>
      <c r="C890" s="3">
        <v>4654587</v>
      </c>
      <c r="D890" s="4">
        <v>2786366</v>
      </c>
      <c r="E890">
        <v>71</v>
      </c>
      <c r="F890" s="2">
        <v>0.56999999999999995</v>
      </c>
      <c r="G890" s="2">
        <v>0.67200000000000004</v>
      </c>
      <c r="H890" s="2">
        <v>7.1599999999999997E-2</v>
      </c>
      <c r="I890" s="2">
        <v>0.17199999999999999</v>
      </c>
      <c r="J890" s="2">
        <v>7.6799999999999993E-2</v>
      </c>
      <c r="K890" s="2">
        <v>0.46100000000000002</v>
      </c>
      <c r="L890" s="2">
        <v>-5.8879999999999999</v>
      </c>
    </row>
    <row r="891" spans="1:12" x14ac:dyDescent="0.25">
      <c r="A891">
        <v>98</v>
      </c>
      <c r="B891">
        <v>8</v>
      </c>
      <c r="C891" s="3">
        <v>4642284</v>
      </c>
      <c r="D891" s="4">
        <v>378114</v>
      </c>
      <c r="E891">
        <v>71</v>
      </c>
      <c r="F891" s="2">
        <v>0.65300000000000002</v>
      </c>
      <c r="G891" s="2">
        <v>0.94499999999999995</v>
      </c>
      <c r="H891" s="2">
        <v>9.6000000000000002E-2</v>
      </c>
      <c r="I891" s="2">
        <v>5.6100000000000004E-3</v>
      </c>
      <c r="J891" s="2">
        <v>0.439</v>
      </c>
      <c r="K891" s="2">
        <v>0.32600000000000001</v>
      </c>
      <c r="L891" s="2">
        <v>-2.6339999999999999</v>
      </c>
    </row>
    <row r="892" spans="1:12" x14ac:dyDescent="0.25">
      <c r="A892">
        <v>142</v>
      </c>
      <c r="B892">
        <v>3</v>
      </c>
      <c r="C892" s="3">
        <v>4633237</v>
      </c>
      <c r="D892" s="4">
        <v>7816213</v>
      </c>
      <c r="E892">
        <v>71</v>
      </c>
      <c r="F892" s="2">
        <v>0.58499999999999996</v>
      </c>
      <c r="G892" s="2">
        <v>0.64100000000000001</v>
      </c>
      <c r="H892" s="2">
        <v>0.13300000000000001</v>
      </c>
      <c r="I892" s="2">
        <v>2.86E-2</v>
      </c>
      <c r="J892" s="2">
        <v>0.316</v>
      </c>
      <c r="K892" s="2">
        <v>0.26600000000000001</v>
      </c>
      <c r="L892" s="2">
        <v>-4.2690000000000001</v>
      </c>
    </row>
    <row r="893" spans="1:12" x14ac:dyDescent="0.25">
      <c r="A893">
        <v>81</v>
      </c>
      <c r="B893">
        <v>3</v>
      </c>
      <c r="C893" s="3">
        <v>4591194</v>
      </c>
      <c r="D893" s="4">
        <v>8123757</v>
      </c>
      <c r="E893">
        <v>71</v>
      </c>
      <c r="F893" s="2">
        <v>0.65</v>
      </c>
      <c r="G893" s="2">
        <v>0.55800000000000005</v>
      </c>
      <c r="H893" s="2">
        <v>3.09E-2</v>
      </c>
      <c r="I893" s="2">
        <v>0.36799999999999999</v>
      </c>
      <c r="J893" s="2">
        <v>0.30299999999999999</v>
      </c>
      <c r="K893" s="2">
        <v>0.72499999999999998</v>
      </c>
      <c r="L893" s="2">
        <v>-3.0819999999999999</v>
      </c>
    </row>
    <row r="894" spans="1:12" x14ac:dyDescent="0.25">
      <c r="A894">
        <v>86</v>
      </c>
      <c r="B894">
        <v>5</v>
      </c>
      <c r="C894" s="3">
        <v>4583475</v>
      </c>
      <c r="D894" s="4">
        <v>3866304</v>
      </c>
      <c r="E894">
        <v>71</v>
      </c>
      <c r="F894" s="2">
        <v>0.81799999999999995</v>
      </c>
      <c r="G894" s="2">
        <v>0.59799999999999998</v>
      </c>
      <c r="H894" s="2">
        <v>0.113</v>
      </c>
      <c r="I894" s="2">
        <v>5.7299999999999997E-2</v>
      </c>
      <c r="J894" s="2">
        <v>0.63400000000000001</v>
      </c>
      <c r="K894" s="2">
        <v>0.33100000000000002</v>
      </c>
      <c r="L894" s="2">
        <v>-5.9480000000000004</v>
      </c>
    </row>
    <row r="895" spans="1:12" x14ac:dyDescent="0.25">
      <c r="A895">
        <v>194</v>
      </c>
      <c r="B895">
        <v>1</v>
      </c>
      <c r="C895" s="3">
        <v>4569978</v>
      </c>
      <c r="D895" s="4">
        <v>7593792</v>
      </c>
      <c r="E895">
        <v>71</v>
      </c>
      <c r="F895" s="2">
        <v>0.68100000000000005</v>
      </c>
      <c r="G895" s="2">
        <v>0.77300000000000002</v>
      </c>
      <c r="H895" s="2">
        <v>0.14799999999999999</v>
      </c>
      <c r="I895" s="2">
        <v>1.9E-2</v>
      </c>
      <c r="J895" s="2">
        <v>0.11</v>
      </c>
      <c r="K895" s="2">
        <v>0.42899999999999999</v>
      </c>
      <c r="L895" s="2">
        <v>-5.7489999999999997</v>
      </c>
    </row>
    <row r="896" spans="1:12" x14ac:dyDescent="0.25">
      <c r="A896">
        <v>33</v>
      </c>
      <c r="B896">
        <v>30</v>
      </c>
      <c r="C896" s="3">
        <v>4561936</v>
      </c>
      <c r="D896" s="4">
        <v>29067437</v>
      </c>
      <c r="E896">
        <v>71</v>
      </c>
      <c r="F896" s="2">
        <v>0.88100000000000001</v>
      </c>
      <c r="G896" s="2">
        <v>0.69599999999999995</v>
      </c>
      <c r="H896" s="2">
        <v>7.9699999999999993E-2</v>
      </c>
      <c r="I896" s="2">
        <v>0.13700000000000001</v>
      </c>
      <c r="J896" s="2">
        <v>9.2700000000000005E-2</v>
      </c>
      <c r="K896" s="2">
        <v>0.78100000000000003</v>
      </c>
      <c r="L896" s="2">
        <v>-3.8380000000000001</v>
      </c>
    </row>
    <row r="897" spans="1:12" x14ac:dyDescent="0.25">
      <c r="A897">
        <v>60</v>
      </c>
      <c r="B897">
        <v>5</v>
      </c>
      <c r="C897" s="3">
        <v>4432210</v>
      </c>
      <c r="D897" s="4">
        <v>36177712</v>
      </c>
      <c r="E897">
        <v>71</v>
      </c>
      <c r="F897" s="2">
        <v>0.59</v>
      </c>
      <c r="G897" s="2">
        <v>0.72899999999999998</v>
      </c>
      <c r="H897" s="2">
        <v>8.9300000000000004E-2</v>
      </c>
      <c r="I897" s="2">
        <v>0.32100000000000001</v>
      </c>
      <c r="J897" s="2">
        <v>0.65900000000000003</v>
      </c>
      <c r="K897" s="2">
        <v>0.71199999999999997</v>
      </c>
      <c r="L897" s="2">
        <v>-4.95</v>
      </c>
    </row>
    <row r="898" spans="1:12" x14ac:dyDescent="0.25">
      <c r="A898">
        <v>17</v>
      </c>
      <c r="B898">
        <v>4</v>
      </c>
      <c r="C898" s="3">
        <v>4424118</v>
      </c>
      <c r="D898" s="4">
        <v>42227614</v>
      </c>
      <c r="E898">
        <v>71</v>
      </c>
      <c r="F898" s="2">
        <v>0.65300000000000002</v>
      </c>
      <c r="G898" s="2">
        <v>0.45200000000000001</v>
      </c>
      <c r="H898" s="2">
        <v>5.5E-2</v>
      </c>
      <c r="I898" s="2">
        <v>0.83799999999999997</v>
      </c>
      <c r="J898" s="2">
        <v>0.108</v>
      </c>
      <c r="K898" s="2">
        <v>0.45</v>
      </c>
      <c r="L898" s="2">
        <v>-11.143000000000001</v>
      </c>
    </row>
    <row r="899" spans="1:12" x14ac:dyDescent="0.25">
      <c r="A899">
        <v>8</v>
      </c>
      <c r="B899">
        <v>5</v>
      </c>
      <c r="C899" s="3">
        <v>4389670</v>
      </c>
      <c r="D899" s="4">
        <v>42227614</v>
      </c>
      <c r="E899">
        <v>71</v>
      </c>
      <c r="F899" s="2">
        <v>0.68600000000000005</v>
      </c>
      <c r="G899" s="2">
        <v>0.66200000000000003</v>
      </c>
      <c r="H899" s="2">
        <v>4.1300000000000003E-2</v>
      </c>
      <c r="I899" s="2">
        <v>0.46700000000000003</v>
      </c>
      <c r="J899" s="2">
        <v>0.109</v>
      </c>
      <c r="K899" s="2">
        <v>0.70599999999999996</v>
      </c>
      <c r="L899" s="2">
        <v>-8.5050000000000008</v>
      </c>
    </row>
    <row r="900" spans="1:12" x14ac:dyDescent="0.25">
      <c r="A900">
        <v>145</v>
      </c>
      <c r="B900">
        <v>7</v>
      </c>
      <c r="C900" s="3">
        <v>4352767</v>
      </c>
      <c r="D900" s="4">
        <v>208926</v>
      </c>
      <c r="E900">
        <v>71</v>
      </c>
      <c r="F900" s="2">
        <v>0.88500000000000001</v>
      </c>
      <c r="G900" s="2">
        <v>0.57799999999999996</v>
      </c>
      <c r="H900" s="2">
        <v>7.8299999999999995E-2</v>
      </c>
      <c r="I900" s="2">
        <v>7.3899999999999993E-2</v>
      </c>
      <c r="J900" s="2">
        <v>0.10199999999999999</v>
      </c>
      <c r="K900" s="2">
        <v>0.38800000000000001</v>
      </c>
      <c r="L900" s="2">
        <v>-7.4160000000000004</v>
      </c>
    </row>
    <row r="901" spans="1:12" x14ac:dyDescent="0.25">
      <c r="A901">
        <v>117</v>
      </c>
      <c r="B901">
        <v>8</v>
      </c>
      <c r="C901" s="3">
        <v>4176083</v>
      </c>
      <c r="D901" s="4">
        <v>3991674</v>
      </c>
      <c r="E901">
        <v>71</v>
      </c>
      <c r="F901" s="2">
        <v>0.66800000000000004</v>
      </c>
      <c r="G901" s="2">
        <v>0.89200000000000002</v>
      </c>
      <c r="H901" s="2">
        <v>6.4500000000000002E-2</v>
      </c>
      <c r="I901" s="2">
        <v>0.29799999999999999</v>
      </c>
      <c r="J901" s="2">
        <v>0.73499999999999999</v>
      </c>
      <c r="K901" s="2">
        <v>0.47799999999999998</v>
      </c>
      <c r="L901" s="2">
        <v>-3.0009999999999999</v>
      </c>
    </row>
    <row r="902" spans="1:12" x14ac:dyDescent="0.25">
      <c r="A902">
        <v>32</v>
      </c>
      <c r="B902">
        <v>1</v>
      </c>
      <c r="C902" s="3">
        <v>14051831</v>
      </c>
      <c r="D902" s="4">
        <v>14097410</v>
      </c>
      <c r="E902">
        <v>70</v>
      </c>
      <c r="F902" s="2">
        <v>0.76900000000000002</v>
      </c>
      <c r="G902" s="2">
        <v>0.74</v>
      </c>
      <c r="H902" s="2">
        <v>0.378</v>
      </c>
      <c r="I902" s="2">
        <v>0.19700000000000001</v>
      </c>
      <c r="J902" s="2">
        <v>0.17100000000000001</v>
      </c>
      <c r="K902" s="2">
        <v>0.69199999999999995</v>
      </c>
      <c r="L902" s="2">
        <v>-6.5789999999999997</v>
      </c>
    </row>
    <row r="903" spans="1:12" x14ac:dyDescent="0.25">
      <c r="A903">
        <v>41</v>
      </c>
      <c r="B903">
        <v>1</v>
      </c>
      <c r="C903" s="3">
        <v>12914431</v>
      </c>
      <c r="D903" s="4">
        <v>36177712</v>
      </c>
      <c r="E903">
        <v>70</v>
      </c>
      <c r="F903" s="2">
        <v>0.86</v>
      </c>
      <c r="G903" s="2">
        <v>0.72499999999999998</v>
      </c>
      <c r="H903" s="2">
        <v>0.249</v>
      </c>
      <c r="I903" s="2">
        <v>4.6399999999999997E-2</v>
      </c>
      <c r="J903" s="2">
        <v>9.9400000000000002E-2</v>
      </c>
      <c r="K903" s="2">
        <v>0.375</v>
      </c>
      <c r="L903" s="2">
        <v>-6.7</v>
      </c>
    </row>
    <row r="904" spans="1:12" x14ac:dyDescent="0.25">
      <c r="A904">
        <v>36</v>
      </c>
      <c r="B904">
        <v>2</v>
      </c>
      <c r="C904" s="3">
        <v>12648655</v>
      </c>
      <c r="D904" s="4">
        <v>14097410</v>
      </c>
      <c r="E904">
        <v>70</v>
      </c>
      <c r="F904" s="2">
        <v>0.61799999999999999</v>
      </c>
      <c r="G904" s="2">
        <v>0.63200000000000001</v>
      </c>
      <c r="H904" s="2">
        <v>0.34599999999999997</v>
      </c>
      <c r="I904" s="2">
        <v>5.2600000000000001E-2</v>
      </c>
      <c r="J904" s="2">
        <v>0.35299999999999998</v>
      </c>
      <c r="K904" s="2">
        <v>0.31900000000000001</v>
      </c>
      <c r="L904" s="2">
        <v>-6.9729999999999999</v>
      </c>
    </row>
    <row r="905" spans="1:12" x14ac:dyDescent="0.25">
      <c r="A905">
        <v>59</v>
      </c>
      <c r="B905">
        <v>1</v>
      </c>
      <c r="C905" s="3">
        <v>11066606</v>
      </c>
      <c r="D905" s="4">
        <v>36177712</v>
      </c>
      <c r="E905">
        <v>70</v>
      </c>
      <c r="F905" s="2">
        <v>0.61199999999999999</v>
      </c>
      <c r="G905" s="2">
        <v>0.56100000000000005</v>
      </c>
      <c r="H905" s="2">
        <v>8.5099999999999995E-2</v>
      </c>
      <c r="I905" s="2">
        <v>6.0100000000000001E-2</v>
      </c>
      <c r="J905" s="2">
        <v>0.14499999999999999</v>
      </c>
      <c r="K905" s="2">
        <v>0.39300000000000002</v>
      </c>
      <c r="L905" s="2">
        <v>-6.0540000000000003</v>
      </c>
    </row>
    <row r="906" spans="1:12" x14ac:dyDescent="0.25">
      <c r="A906">
        <v>74</v>
      </c>
      <c r="B906">
        <v>1</v>
      </c>
      <c r="C906" s="3">
        <v>9325928</v>
      </c>
      <c r="D906" s="4">
        <v>19102888</v>
      </c>
      <c r="E906">
        <v>70</v>
      </c>
      <c r="F906" s="2">
        <v>0.70299999999999996</v>
      </c>
      <c r="G906" s="2">
        <v>0.70299999999999996</v>
      </c>
      <c r="H906" s="2">
        <v>0.13300000000000001</v>
      </c>
      <c r="I906" s="2">
        <v>0.60499999999999998</v>
      </c>
      <c r="J906" s="2">
        <v>0.12</v>
      </c>
      <c r="K906" s="2">
        <v>0.69699999999999995</v>
      </c>
      <c r="L906" s="2">
        <v>-4.6719999999999997</v>
      </c>
    </row>
    <row r="907" spans="1:12" x14ac:dyDescent="0.25">
      <c r="A907">
        <v>107</v>
      </c>
      <c r="B907">
        <v>1</v>
      </c>
      <c r="C907" s="3">
        <v>8614955</v>
      </c>
      <c r="D907" s="4">
        <v>46814751</v>
      </c>
      <c r="E907">
        <v>70</v>
      </c>
      <c r="F907" s="2">
        <v>0.83499999999999996</v>
      </c>
      <c r="G907" s="2">
        <v>0.86899999999999999</v>
      </c>
      <c r="H907" s="2">
        <v>0.27</v>
      </c>
      <c r="I907" s="2">
        <v>0.248</v>
      </c>
      <c r="J907" s="2">
        <v>0.46200000000000002</v>
      </c>
      <c r="K907" s="2">
        <v>0.82</v>
      </c>
      <c r="L907" s="2">
        <v>-4.5819999999999999</v>
      </c>
    </row>
    <row r="908" spans="1:12" x14ac:dyDescent="0.25">
      <c r="A908">
        <v>68</v>
      </c>
      <c r="B908">
        <v>1</v>
      </c>
      <c r="C908" s="3">
        <v>8374259</v>
      </c>
      <c r="D908" s="4">
        <v>11821805</v>
      </c>
      <c r="E908">
        <v>70</v>
      </c>
      <c r="F908" s="2">
        <v>0.89500000000000002</v>
      </c>
      <c r="G908" s="2">
        <v>0.73899999999999999</v>
      </c>
      <c r="H908" s="2">
        <v>0.28299999999999997</v>
      </c>
      <c r="I908" s="2">
        <v>1.83E-2</v>
      </c>
      <c r="J908" s="2">
        <v>0.10199999999999999</v>
      </c>
      <c r="K908" s="2">
        <v>0.76300000000000001</v>
      </c>
      <c r="L908" s="2">
        <v>-6.633</v>
      </c>
    </row>
    <row r="909" spans="1:12" x14ac:dyDescent="0.25">
      <c r="A909">
        <v>19</v>
      </c>
      <c r="B909">
        <v>2</v>
      </c>
      <c r="C909" s="3">
        <v>7901968</v>
      </c>
      <c r="D909" s="4">
        <v>42227614</v>
      </c>
      <c r="E909">
        <v>70</v>
      </c>
      <c r="F909" s="2">
        <v>0.51200000000000001</v>
      </c>
      <c r="G909" s="2">
        <v>0.46200000000000002</v>
      </c>
      <c r="H909" s="2">
        <v>4.0800000000000003E-2</v>
      </c>
      <c r="I909" s="2">
        <v>0.83</v>
      </c>
      <c r="J909" s="2">
        <v>0.121</v>
      </c>
      <c r="K909" s="2">
        <v>0.35299999999999998</v>
      </c>
      <c r="L909" s="2">
        <v>-10.491</v>
      </c>
    </row>
    <row r="910" spans="1:12" x14ac:dyDescent="0.25">
      <c r="A910">
        <v>95</v>
      </c>
      <c r="B910">
        <v>1</v>
      </c>
      <c r="C910" s="3">
        <v>7450126</v>
      </c>
      <c r="D910" s="4">
        <v>37106176</v>
      </c>
      <c r="E910">
        <v>70</v>
      </c>
      <c r="F910" s="2">
        <v>0.42899999999999999</v>
      </c>
      <c r="G910" s="2">
        <v>0.38700000000000001</v>
      </c>
      <c r="H910" s="2">
        <v>7.5300000000000006E-2</v>
      </c>
      <c r="I910" s="2">
        <v>1.7799999999999999E-4</v>
      </c>
      <c r="J910" s="2">
        <v>0.14199999999999999</v>
      </c>
      <c r="K910" s="2">
        <v>0.41</v>
      </c>
      <c r="L910" s="2">
        <v>-7.4859999999999998</v>
      </c>
    </row>
    <row r="911" spans="1:12" x14ac:dyDescent="0.25">
      <c r="A911">
        <v>100</v>
      </c>
      <c r="B911">
        <v>1</v>
      </c>
      <c r="C911" s="3">
        <v>6620040</v>
      </c>
      <c r="D911" s="4">
        <v>6852509</v>
      </c>
      <c r="E911">
        <v>70</v>
      </c>
      <c r="F911" s="2">
        <v>0.76400000000000001</v>
      </c>
      <c r="G911" s="2">
        <v>0.67600000000000005</v>
      </c>
      <c r="H911" s="2">
        <v>9.2700000000000005E-2</v>
      </c>
      <c r="I911" s="2">
        <v>0.38900000000000001</v>
      </c>
      <c r="J911" s="2">
        <v>0.215</v>
      </c>
      <c r="K911" s="2">
        <v>0.46100000000000002</v>
      </c>
      <c r="L911" s="2">
        <v>-6.7610000000000001</v>
      </c>
    </row>
    <row r="912" spans="1:12" x14ac:dyDescent="0.25">
      <c r="A912">
        <v>104</v>
      </c>
      <c r="B912">
        <v>1</v>
      </c>
      <c r="C912" s="3">
        <v>6586204</v>
      </c>
      <c r="D912" s="4">
        <v>1606884</v>
      </c>
      <c r="E912">
        <v>70</v>
      </c>
      <c r="F912" s="2">
        <v>0.747</v>
      </c>
      <c r="G912" s="2">
        <v>0.497</v>
      </c>
      <c r="H912" s="2">
        <v>4.0099999999999997E-2</v>
      </c>
      <c r="I912" s="2">
        <v>0.248</v>
      </c>
      <c r="J912" s="2">
        <v>0.13800000000000001</v>
      </c>
      <c r="K912" s="2">
        <v>6.6299999999999998E-2</v>
      </c>
      <c r="L912" s="2">
        <v>-6.5419999999999998</v>
      </c>
    </row>
    <row r="913" spans="1:12" x14ac:dyDescent="0.25">
      <c r="A913">
        <v>105</v>
      </c>
      <c r="B913">
        <v>1</v>
      </c>
      <c r="C913" s="3">
        <v>6561188</v>
      </c>
      <c r="D913" s="4">
        <v>22170982</v>
      </c>
      <c r="E913">
        <v>70</v>
      </c>
      <c r="F913" s="2">
        <v>0.91100000000000003</v>
      </c>
      <c r="G913" s="2">
        <v>0.63700000000000001</v>
      </c>
      <c r="H913" s="2">
        <v>0.44700000000000001</v>
      </c>
      <c r="I913" s="2">
        <v>4.0899999999999999E-2</v>
      </c>
      <c r="J913" s="2">
        <v>0.23799999999999999</v>
      </c>
      <c r="K913" s="2">
        <v>0.66</v>
      </c>
      <c r="L913" s="2">
        <v>-8.3810000000000002</v>
      </c>
    </row>
    <row r="914" spans="1:12" x14ac:dyDescent="0.25">
      <c r="A914">
        <v>66</v>
      </c>
      <c r="B914">
        <v>7</v>
      </c>
      <c r="C914" s="3">
        <v>6554824</v>
      </c>
      <c r="D914" s="4">
        <v>82522</v>
      </c>
      <c r="E914">
        <v>70</v>
      </c>
      <c r="F914" s="2">
        <v>0.86599999999999999</v>
      </c>
      <c r="G914" s="2">
        <v>0.438</v>
      </c>
      <c r="H914" s="2">
        <v>7.1900000000000006E-2</v>
      </c>
      <c r="I914" s="2">
        <v>0.17699999999999999</v>
      </c>
      <c r="J914" s="2">
        <v>7.4300000000000005E-2</v>
      </c>
      <c r="K914" s="2">
        <v>0.69499999999999995</v>
      </c>
      <c r="L914" s="2">
        <v>-8.9429999999999996</v>
      </c>
    </row>
    <row r="915" spans="1:12" x14ac:dyDescent="0.25">
      <c r="A915">
        <v>29</v>
      </c>
      <c r="B915">
        <v>2</v>
      </c>
      <c r="C915" s="3">
        <v>6204228</v>
      </c>
      <c r="D915" s="4">
        <v>36177712</v>
      </c>
      <c r="E915">
        <v>70</v>
      </c>
      <c r="F915" s="2">
        <v>0.76300000000000001</v>
      </c>
      <c r="G915" s="2">
        <v>0.59699999999999998</v>
      </c>
      <c r="H915" s="2">
        <v>4.1599999999999998E-2</v>
      </c>
      <c r="I915" s="2">
        <v>0.158</v>
      </c>
      <c r="J915" s="2">
        <v>0.111</v>
      </c>
      <c r="K915" s="2">
        <v>0.19400000000000001</v>
      </c>
      <c r="L915" s="2">
        <v>-5.0540000000000003</v>
      </c>
    </row>
    <row r="916" spans="1:12" x14ac:dyDescent="0.25">
      <c r="A916">
        <v>36</v>
      </c>
      <c r="B916">
        <v>2</v>
      </c>
      <c r="C916" s="3">
        <v>5946573</v>
      </c>
      <c r="D916" s="4">
        <v>19102888</v>
      </c>
      <c r="E916">
        <v>70</v>
      </c>
      <c r="F916" s="2">
        <v>0.70699999999999996</v>
      </c>
      <c r="G916" s="2">
        <v>0.67</v>
      </c>
      <c r="H916" s="2">
        <v>0.25700000000000001</v>
      </c>
      <c r="I916" s="2">
        <v>8.1299999999999997E-2</v>
      </c>
      <c r="J916" s="2">
        <v>9.8000000000000004E-2</v>
      </c>
      <c r="K916" s="2">
        <v>0.23499999999999999</v>
      </c>
      <c r="L916" s="2">
        <v>-6.3280000000000003</v>
      </c>
    </row>
    <row r="917" spans="1:12" x14ac:dyDescent="0.25">
      <c r="A917">
        <v>38</v>
      </c>
      <c r="B917">
        <v>2</v>
      </c>
      <c r="C917" s="3">
        <v>5798744</v>
      </c>
      <c r="D917" s="4">
        <v>67208170</v>
      </c>
      <c r="E917">
        <v>70</v>
      </c>
      <c r="F917" s="2">
        <v>0.55200000000000005</v>
      </c>
      <c r="G917" s="2">
        <v>0.59899999999999998</v>
      </c>
      <c r="H917" s="2">
        <v>4.0399999999999998E-2</v>
      </c>
      <c r="I917" s="2">
        <v>7.0300000000000001E-2</v>
      </c>
      <c r="J917" s="2">
        <v>9.8599999999999993E-2</v>
      </c>
      <c r="K917" s="2">
        <v>9.1600000000000001E-2</v>
      </c>
      <c r="L917" s="2">
        <v>-5.75</v>
      </c>
    </row>
    <row r="918" spans="1:12" x14ac:dyDescent="0.25">
      <c r="A918">
        <v>44</v>
      </c>
      <c r="B918">
        <v>2</v>
      </c>
      <c r="C918" s="3">
        <v>5794583</v>
      </c>
      <c r="D918" s="4">
        <v>48544923</v>
      </c>
      <c r="E918">
        <v>70</v>
      </c>
      <c r="F918" s="2">
        <v>0.58299999999999996</v>
      </c>
      <c r="G918" s="2">
        <v>0.44400000000000001</v>
      </c>
      <c r="H918" s="2">
        <v>4.5600000000000002E-2</v>
      </c>
      <c r="I918" s="2">
        <v>0.59299999999999997</v>
      </c>
      <c r="J918" s="2">
        <v>0.35299999999999998</v>
      </c>
      <c r="K918" s="2">
        <v>0.16700000000000001</v>
      </c>
      <c r="L918" s="2">
        <v>-8.6010000000000009</v>
      </c>
    </row>
    <row r="919" spans="1:12" x14ac:dyDescent="0.25">
      <c r="A919">
        <v>25</v>
      </c>
      <c r="B919">
        <v>6</v>
      </c>
      <c r="C919" s="3">
        <v>5594561</v>
      </c>
      <c r="D919" s="4">
        <v>2613211</v>
      </c>
      <c r="E919">
        <v>70</v>
      </c>
      <c r="F919" s="2">
        <v>0.89300000000000002</v>
      </c>
      <c r="G919" s="2">
        <v>0.61799999999999999</v>
      </c>
      <c r="H919" s="2">
        <v>0.112</v>
      </c>
      <c r="I919" s="2">
        <v>8.2699999999999996E-2</v>
      </c>
      <c r="J919" s="2">
        <v>0.54200000000000004</v>
      </c>
      <c r="K919" s="2">
        <v>0.38900000000000001</v>
      </c>
      <c r="L919" s="2">
        <v>-4.4249999999999998</v>
      </c>
    </row>
    <row r="920" spans="1:12" x14ac:dyDescent="0.25">
      <c r="A920">
        <v>38</v>
      </c>
      <c r="B920">
        <v>2</v>
      </c>
      <c r="C920" s="3">
        <v>5586351</v>
      </c>
      <c r="D920" s="4">
        <v>437907</v>
      </c>
      <c r="E920">
        <v>70</v>
      </c>
      <c r="F920" s="2">
        <v>0.64300000000000002</v>
      </c>
      <c r="G920" s="2">
        <v>0.59399999999999997</v>
      </c>
      <c r="H920" s="2">
        <v>3.1199999999999999E-2</v>
      </c>
      <c r="I920" s="2">
        <v>6.9500000000000006E-2</v>
      </c>
      <c r="J920" s="2">
        <v>0.115</v>
      </c>
      <c r="K920" s="2">
        <v>0.19500000000000001</v>
      </c>
      <c r="L920" s="2">
        <v>-5.1909999999999998</v>
      </c>
    </row>
    <row r="921" spans="1:12" x14ac:dyDescent="0.25">
      <c r="A921">
        <v>13</v>
      </c>
      <c r="B921">
        <v>3</v>
      </c>
      <c r="C921" s="3">
        <v>5564072</v>
      </c>
      <c r="D921" s="4">
        <v>42227614</v>
      </c>
      <c r="E921">
        <v>70</v>
      </c>
      <c r="F921" s="2">
        <v>0.55300000000000005</v>
      </c>
      <c r="G921" s="2">
        <v>0.41299999999999998</v>
      </c>
      <c r="H921" s="2">
        <v>3.3399999999999999E-2</v>
      </c>
      <c r="I921" s="2">
        <v>0.68700000000000006</v>
      </c>
      <c r="J921" s="2">
        <v>5.9400000000000001E-2</v>
      </c>
      <c r="K921" s="2">
        <v>0.379</v>
      </c>
      <c r="L921" s="2">
        <v>-10.037000000000001</v>
      </c>
    </row>
    <row r="922" spans="1:12" x14ac:dyDescent="0.25">
      <c r="A922">
        <v>140</v>
      </c>
      <c r="B922">
        <v>5</v>
      </c>
      <c r="C922" s="3">
        <v>5561227</v>
      </c>
      <c r="D922" s="4">
        <v>6096559</v>
      </c>
      <c r="E922">
        <v>70</v>
      </c>
      <c r="F922" s="2">
        <v>0.76300000000000001</v>
      </c>
      <c r="G922" s="2">
        <v>0.66600000000000004</v>
      </c>
      <c r="H922" s="2">
        <v>0.19400000000000001</v>
      </c>
      <c r="I922" s="2">
        <v>0.153</v>
      </c>
      <c r="J922" s="2">
        <v>0.30099999999999999</v>
      </c>
      <c r="K922" s="2">
        <v>0.58699999999999997</v>
      </c>
      <c r="L922" s="2">
        <v>-3.3159999999999998</v>
      </c>
    </row>
    <row r="923" spans="1:12" x14ac:dyDescent="0.25">
      <c r="A923">
        <v>99</v>
      </c>
      <c r="B923">
        <v>3</v>
      </c>
      <c r="C923" s="3">
        <v>5487774</v>
      </c>
      <c r="D923" s="4">
        <v>197320</v>
      </c>
      <c r="E923">
        <v>70</v>
      </c>
      <c r="F923" s="2">
        <v>0.80700000000000005</v>
      </c>
      <c r="G923" s="2">
        <v>0.53500000000000003</v>
      </c>
      <c r="H923" s="2">
        <v>0.34899999999999998</v>
      </c>
      <c r="I923" s="2">
        <v>0.191</v>
      </c>
      <c r="J923" s="2">
        <v>0.125</v>
      </c>
      <c r="K923" s="2">
        <v>0.92500000000000004</v>
      </c>
      <c r="L923" s="2">
        <v>-6.5190000000000001</v>
      </c>
    </row>
    <row r="924" spans="1:12" x14ac:dyDescent="0.25">
      <c r="A924">
        <v>43</v>
      </c>
      <c r="B924">
        <v>2</v>
      </c>
      <c r="C924" s="3">
        <v>5375449</v>
      </c>
      <c r="D924" s="4">
        <v>36177712</v>
      </c>
      <c r="E924">
        <v>70</v>
      </c>
      <c r="F924" s="2">
        <v>0.64300000000000002</v>
      </c>
      <c r="G924" s="2">
        <v>0.72699999999999998</v>
      </c>
      <c r="H924" s="2">
        <v>3.8899999999999997E-2</v>
      </c>
      <c r="I924" s="2">
        <v>4.3900000000000002E-2</v>
      </c>
      <c r="J924" s="2">
        <v>0.123</v>
      </c>
      <c r="K924" s="2">
        <v>0.29499999999999998</v>
      </c>
      <c r="L924" s="2">
        <v>-5.5060000000000002</v>
      </c>
    </row>
    <row r="925" spans="1:12" x14ac:dyDescent="0.25">
      <c r="A925">
        <v>130</v>
      </c>
      <c r="B925">
        <v>1</v>
      </c>
      <c r="C925" s="3">
        <v>5368705</v>
      </c>
      <c r="D925" s="4">
        <v>3559267</v>
      </c>
      <c r="E925">
        <v>70</v>
      </c>
      <c r="F925" s="2">
        <v>0.56499999999999995</v>
      </c>
      <c r="G925" s="2">
        <v>0.56899999999999995</v>
      </c>
      <c r="H925" s="2">
        <v>0.379</v>
      </c>
      <c r="I925" s="2">
        <v>3.5200000000000002E-2</v>
      </c>
      <c r="J925" s="2">
        <v>0.106</v>
      </c>
      <c r="K925" s="2">
        <v>0.30299999999999999</v>
      </c>
      <c r="L925" s="2">
        <v>-6.0839999999999996</v>
      </c>
    </row>
    <row r="926" spans="1:12" x14ac:dyDescent="0.25">
      <c r="A926">
        <v>90</v>
      </c>
      <c r="B926">
        <v>4</v>
      </c>
      <c r="C926" s="3">
        <v>5332437</v>
      </c>
      <c r="D926" s="4">
        <v>2147875</v>
      </c>
      <c r="E926">
        <v>70</v>
      </c>
      <c r="F926" s="2">
        <v>0.65700000000000003</v>
      </c>
      <c r="G926" s="2">
        <v>0.54</v>
      </c>
      <c r="H926" s="2">
        <v>2.87E-2</v>
      </c>
      <c r="I926" s="2">
        <v>0.66200000000000003</v>
      </c>
      <c r="J926" s="2">
        <v>0.123</v>
      </c>
      <c r="K926" s="2">
        <v>0.625</v>
      </c>
      <c r="L926" s="2">
        <v>-7.6749999999999998</v>
      </c>
    </row>
    <row r="927" spans="1:12" x14ac:dyDescent="0.25">
      <c r="A927">
        <v>66</v>
      </c>
      <c r="B927">
        <v>2</v>
      </c>
      <c r="C927" s="3">
        <v>5186567</v>
      </c>
      <c r="D927" s="4">
        <v>28931149</v>
      </c>
      <c r="E927">
        <v>70</v>
      </c>
      <c r="F927" s="2">
        <v>0.65900000000000003</v>
      </c>
      <c r="G927" s="2">
        <v>0.47899999999999998</v>
      </c>
      <c r="H927" s="2">
        <v>0.2</v>
      </c>
      <c r="I927" s="2">
        <v>0.152</v>
      </c>
      <c r="J927" s="2">
        <v>0.26800000000000002</v>
      </c>
      <c r="K927" s="2">
        <v>3.95E-2</v>
      </c>
      <c r="L927" s="2">
        <v>-6.79</v>
      </c>
    </row>
    <row r="928" spans="1:12" x14ac:dyDescent="0.25">
      <c r="A928">
        <v>134</v>
      </c>
      <c r="B928">
        <v>1</v>
      </c>
      <c r="C928" s="3">
        <v>5163633</v>
      </c>
      <c r="D928" s="4">
        <v>29566516</v>
      </c>
      <c r="E928">
        <v>70</v>
      </c>
      <c r="F928" s="2">
        <v>0.50900000000000001</v>
      </c>
      <c r="G928" s="2">
        <v>0.54200000000000004</v>
      </c>
      <c r="H928" s="2">
        <v>0.442</v>
      </c>
      <c r="I928" s="2">
        <v>1.9E-2</v>
      </c>
      <c r="J928" s="2">
        <v>0.23</v>
      </c>
      <c r="K928" s="2">
        <v>0.151</v>
      </c>
      <c r="L928" s="2">
        <v>-8.0269999999999992</v>
      </c>
    </row>
    <row r="929" spans="1:12" x14ac:dyDescent="0.25">
      <c r="A929">
        <v>168</v>
      </c>
      <c r="B929">
        <v>1</v>
      </c>
      <c r="C929" s="3">
        <v>5160123</v>
      </c>
      <c r="D929" s="4">
        <v>2147875</v>
      </c>
      <c r="E929">
        <v>70</v>
      </c>
      <c r="F929" s="2">
        <v>0.53200000000000003</v>
      </c>
      <c r="G929" s="2">
        <v>0.58399999999999996</v>
      </c>
      <c r="H929" s="2">
        <v>2.4799999999999999E-2</v>
      </c>
      <c r="I929" s="2">
        <v>0.72299999999999998</v>
      </c>
      <c r="J929" s="2">
        <v>0.10100000000000001</v>
      </c>
      <c r="K929" s="2">
        <v>0.36699999999999999</v>
      </c>
      <c r="L929" s="2">
        <v>-5.2539999999999996</v>
      </c>
    </row>
    <row r="930" spans="1:12" x14ac:dyDescent="0.25">
      <c r="A930">
        <v>199</v>
      </c>
      <c r="B930">
        <v>1</v>
      </c>
      <c r="C930" s="3">
        <v>5152139</v>
      </c>
      <c r="D930" s="4">
        <v>169137</v>
      </c>
      <c r="E930">
        <v>70</v>
      </c>
      <c r="F930" s="2">
        <v>0.79800000000000004</v>
      </c>
      <c r="G930" s="2">
        <v>0.621</v>
      </c>
      <c r="H930" s="2">
        <v>3.9100000000000003E-2</v>
      </c>
      <c r="I930" s="2">
        <v>1.41E-2</v>
      </c>
      <c r="J930" s="2">
        <v>9.2600000000000002E-2</v>
      </c>
      <c r="K930" s="2">
        <v>0.443</v>
      </c>
      <c r="L930" s="2">
        <v>-6.9160000000000004</v>
      </c>
    </row>
    <row r="931" spans="1:12" x14ac:dyDescent="0.25">
      <c r="A931">
        <v>53</v>
      </c>
      <c r="B931">
        <v>12</v>
      </c>
      <c r="C931" s="3">
        <v>5130783</v>
      </c>
      <c r="D931" s="4">
        <v>14831925</v>
      </c>
      <c r="E931">
        <v>70</v>
      </c>
      <c r="F931" s="2">
        <v>0.81699999999999995</v>
      </c>
      <c r="G931" s="2">
        <v>0.66500000000000004</v>
      </c>
      <c r="H931" s="2">
        <v>7.5800000000000006E-2</v>
      </c>
      <c r="I931" s="2">
        <v>5.4899999999999997E-2</v>
      </c>
      <c r="J931" s="2">
        <v>0.10299999999999999</v>
      </c>
      <c r="K931" s="2">
        <v>0.66200000000000003</v>
      </c>
      <c r="L931" s="2">
        <v>-6.2240000000000002</v>
      </c>
    </row>
    <row r="932" spans="1:12" x14ac:dyDescent="0.25">
      <c r="A932">
        <v>18</v>
      </c>
      <c r="B932">
        <v>3</v>
      </c>
      <c r="C932" s="3">
        <v>5128412</v>
      </c>
      <c r="D932" s="4">
        <v>42227614</v>
      </c>
      <c r="E932">
        <v>70</v>
      </c>
      <c r="F932" s="2">
        <v>0.51500000000000001</v>
      </c>
      <c r="G932" s="2">
        <v>0.47599999999999998</v>
      </c>
      <c r="H932" s="2">
        <v>3.2800000000000003E-2</v>
      </c>
      <c r="I932" s="2">
        <v>0.314</v>
      </c>
      <c r="J932" s="2">
        <v>0.17100000000000001</v>
      </c>
      <c r="K932" s="2">
        <v>0.41199999999999998</v>
      </c>
      <c r="L932" s="2">
        <v>-9.843</v>
      </c>
    </row>
    <row r="933" spans="1:12" x14ac:dyDescent="0.25">
      <c r="A933">
        <v>185</v>
      </c>
      <c r="B933">
        <v>1</v>
      </c>
      <c r="C933" s="3">
        <v>5079580</v>
      </c>
      <c r="D933" s="4">
        <v>1453875</v>
      </c>
      <c r="E933">
        <v>70</v>
      </c>
      <c r="F933" s="2">
        <v>0.76100000000000001</v>
      </c>
      <c r="G933" s="2">
        <v>0.29599999999999999</v>
      </c>
      <c r="H933" s="2">
        <v>4.8399999999999999E-2</v>
      </c>
      <c r="I933" s="2">
        <v>0.55100000000000005</v>
      </c>
      <c r="J933" s="2">
        <v>0.13400000000000001</v>
      </c>
      <c r="K933" s="2">
        <v>0.57899999999999996</v>
      </c>
      <c r="L933" s="2">
        <v>-10.220000000000001</v>
      </c>
    </row>
    <row r="934" spans="1:12" x14ac:dyDescent="0.25">
      <c r="A934">
        <v>20</v>
      </c>
      <c r="B934">
        <v>3</v>
      </c>
      <c r="C934" s="3">
        <v>5053658</v>
      </c>
      <c r="D934" s="4">
        <v>42227614</v>
      </c>
      <c r="E934">
        <v>70</v>
      </c>
      <c r="F934" s="2">
        <v>0.55900000000000005</v>
      </c>
      <c r="G934" s="2">
        <v>0.31</v>
      </c>
      <c r="H934" s="2">
        <v>3.3799999999999997E-2</v>
      </c>
      <c r="I934" s="2">
        <v>0.88100000000000001</v>
      </c>
      <c r="J934" s="2">
        <v>0.106</v>
      </c>
      <c r="K934" s="2">
        <v>0.46</v>
      </c>
      <c r="L934" s="2">
        <v>-10.445</v>
      </c>
    </row>
    <row r="935" spans="1:12" x14ac:dyDescent="0.25">
      <c r="A935">
        <v>164</v>
      </c>
      <c r="B935">
        <v>1</v>
      </c>
      <c r="C935" s="3">
        <v>5030481</v>
      </c>
      <c r="D935" s="4">
        <v>383695</v>
      </c>
      <c r="E935">
        <v>70</v>
      </c>
      <c r="F935" s="2">
        <v>0.63100000000000001</v>
      </c>
      <c r="G935" s="2">
        <v>0.748</v>
      </c>
      <c r="H935" s="2">
        <v>4.8800000000000003E-2</v>
      </c>
      <c r="I935" s="2">
        <v>0.21199999999999999</v>
      </c>
      <c r="J935" s="2">
        <v>0.53700000000000003</v>
      </c>
      <c r="K935" s="2">
        <v>0.35099999999999998</v>
      </c>
      <c r="L935" s="2">
        <v>-2.569</v>
      </c>
    </row>
    <row r="936" spans="1:12" x14ac:dyDescent="0.25">
      <c r="A936">
        <v>92</v>
      </c>
      <c r="B936">
        <v>2</v>
      </c>
      <c r="C936" s="3">
        <v>5018592</v>
      </c>
      <c r="D936" s="4">
        <v>5436999</v>
      </c>
      <c r="E936">
        <v>70</v>
      </c>
      <c r="F936" s="2">
        <v>0.71499999999999997</v>
      </c>
      <c r="G936" s="2">
        <v>0.82699999999999996</v>
      </c>
      <c r="H936" s="2">
        <v>6.1699999999999998E-2</v>
      </c>
      <c r="I936" s="2">
        <v>4.8500000000000001E-2</v>
      </c>
      <c r="J936" s="2">
        <v>0.32100000000000001</v>
      </c>
      <c r="K936" s="2">
        <v>0.75</v>
      </c>
      <c r="L936" s="2">
        <v>-5.09</v>
      </c>
    </row>
    <row r="937" spans="1:12" x14ac:dyDescent="0.25">
      <c r="A937">
        <v>167</v>
      </c>
      <c r="B937">
        <v>1</v>
      </c>
      <c r="C937" s="3">
        <v>4938139</v>
      </c>
      <c r="D937" s="4">
        <v>3263283</v>
      </c>
      <c r="E937">
        <v>70</v>
      </c>
      <c r="F937" s="2">
        <v>0.629</v>
      </c>
      <c r="G937" s="2">
        <v>0.72699999999999998</v>
      </c>
      <c r="H937" s="2">
        <v>4.99E-2</v>
      </c>
      <c r="I937" s="2">
        <v>6.4699999999999994E-2</v>
      </c>
      <c r="J937" s="2">
        <v>0.13800000000000001</v>
      </c>
      <c r="K937" s="2">
        <v>0.13200000000000001</v>
      </c>
      <c r="L937" s="2">
        <v>-4.3869999999999996</v>
      </c>
    </row>
    <row r="938" spans="1:12" x14ac:dyDescent="0.25">
      <c r="A938">
        <v>65</v>
      </c>
      <c r="B938">
        <v>10</v>
      </c>
      <c r="C938" s="3">
        <v>4906324</v>
      </c>
      <c r="D938" s="4">
        <v>8766508</v>
      </c>
      <c r="E938">
        <v>70</v>
      </c>
      <c r="F938" s="2">
        <v>0.66500000000000004</v>
      </c>
      <c r="G938" s="2">
        <v>0.69699999999999995</v>
      </c>
      <c r="H938" s="2">
        <v>0.154</v>
      </c>
      <c r="I938" s="2">
        <v>0.42699999999999999</v>
      </c>
      <c r="J938" s="2">
        <v>0.59899999999999998</v>
      </c>
      <c r="K938" s="2">
        <v>0.55600000000000005</v>
      </c>
      <c r="L938" s="2">
        <v>-4.819</v>
      </c>
    </row>
    <row r="939" spans="1:12" x14ac:dyDescent="0.25">
      <c r="A939">
        <v>85</v>
      </c>
      <c r="B939">
        <v>8</v>
      </c>
      <c r="C939" s="3">
        <v>4901559</v>
      </c>
      <c r="D939" s="4">
        <v>2435159</v>
      </c>
      <c r="E939">
        <v>70</v>
      </c>
      <c r="F939" s="2">
        <v>0.88600000000000001</v>
      </c>
      <c r="G939" s="2">
        <v>0.60399999999999998</v>
      </c>
      <c r="H939" s="2">
        <v>0.20799999999999999</v>
      </c>
      <c r="I939" s="2">
        <v>0.19400000000000001</v>
      </c>
      <c r="J939" s="2">
        <v>0.107</v>
      </c>
      <c r="K939" s="2">
        <v>0.38300000000000001</v>
      </c>
      <c r="L939" s="2">
        <v>-7.2930000000000001</v>
      </c>
    </row>
    <row r="940" spans="1:12" x14ac:dyDescent="0.25">
      <c r="A940">
        <v>19</v>
      </c>
      <c r="B940">
        <v>9</v>
      </c>
      <c r="C940" s="3">
        <v>4802069</v>
      </c>
      <c r="D940" s="4">
        <v>37151476</v>
      </c>
      <c r="E940">
        <v>70</v>
      </c>
      <c r="F940" s="2">
        <v>0.71899999999999997</v>
      </c>
      <c r="G940" s="2">
        <v>0.75800000000000001</v>
      </c>
      <c r="H940" s="2">
        <v>8.5099999999999995E-2</v>
      </c>
      <c r="I940" s="2">
        <v>0.13700000000000001</v>
      </c>
      <c r="J940" s="2">
        <v>0.129</v>
      </c>
      <c r="K940" s="2">
        <v>0.49</v>
      </c>
      <c r="L940" s="2">
        <v>-5.1669999999999998</v>
      </c>
    </row>
    <row r="941" spans="1:12" x14ac:dyDescent="0.25">
      <c r="A941">
        <v>79</v>
      </c>
      <c r="B941">
        <v>11</v>
      </c>
      <c r="C941" s="3">
        <v>4754830</v>
      </c>
      <c r="D941" s="4">
        <v>3370013</v>
      </c>
      <c r="E941">
        <v>70</v>
      </c>
      <c r="F941" s="2">
        <v>0.375</v>
      </c>
      <c r="G941" s="2">
        <v>0.46100000000000002</v>
      </c>
      <c r="H941" s="2">
        <v>2.7900000000000001E-2</v>
      </c>
      <c r="I941" s="2">
        <v>0.627</v>
      </c>
      <c r="J941" s="2">
        <v>0.38600000000000001</v>
      </c>
      <c r="K941" s="2">
        <v>0.23300000000000001</v>
      </c>
      <c r="L941" s="2">
        <v>-6.202</v>
      </c>
    </row>
    <row r="942" spans="1:12" x14ac:dyDescent="0.25">
      <c r="A942">
        <v>150</v>
      </c>
      <c r="B942">
        <v>2</v>
      </c>
      <c r="C942" s="3">
        <v>4732292</v>
      </c>
      <c r="D942" s="4">
        <v>1674348</v>
      </c>
      <c r="E942">
        <v>70</v>
      </c>
      <c r="F942" s="2">
        <v>0.94099999999999995</v>
      </c>
      <c r="G942" s="2">
        <v>0.75800000000000001</v>
      </c>
      <c r="H942" s="2">
        <v>0.17</v>
      </c>
      <c r="I942" s="2">
        <v>2.5600000000000001E-2</v>
      </c>
      <c r="J942" s="2">
        <v>0.193</v>
      </c>
      <c r="K942" s="2">
        <v>0.68300000000000005</v>
      </c>
      <c r="L942" s="2">
        <v>-6.47</v>
      </c>
    </row>
    <row r="943" spans="1:12" x14ac:dyDescent="0.25">
      <c r="A943">
        <v>81</v>
      </c>
      <c r="B943">
        <v>16</v>
      </c>
      <c r="C943" s="3">
        <v>4727923</v>
      </c>
      <c r="D943" s="4">
        <v>613348</v>
      </c>
      <c r="E943">
        <v>70</v>
      </c>
      <c r="F943" s="2">
        <v>0.79300000000000004</v>
      </c>
      <c r="G943" s="2">
        <v>0.73699999999999999</v>
      </c>
      <c r="H943" s="2">
        <v>7.85E-2</v>
      </c>
      <c r="I943" s="2">
        <v>7.6499999999999999E-2</v>
      </c>
      <c r="J943" s="2">
        <v>7.4700000000000003E-2</v>
      </c>
      <c r="K943" s="2">
        <v>0.69699999999999995</v>
      </c>
      <c r="L943" s="2">
        <v>-4.7309999999999999</v>
      </c>
    </row>
    <row r="944" spans="1:12" x14ac:dyDescent="0.25">
      <c r="A944">
        <v>4</v>
      </c>
      <c r="B944">
        <v>20</v>
      </c>
      <c r="C944" s="3">
        <v>4690955</v>
      </c>
      <c r="D944" s="4">
        <v>6514102</v>
      </c>
      <c r="E944">
        <v>70</v>
      </c>
      <c r="F944" s="2">
        <v>0.61099999999999999</v>
      </c>
      <c r="G944" s="2">
        <v>0.68799999999999994</v>
      </c>
      <c r="H944" s="2">
        <v>0.34100000000000003</v>
      </c>
      <c r="I944" s="2">
        <v>2.64E-2</v>
      </c>
      <c r="J944" s="2">
        <v>0.251</v>
      </c>
      <c r="K944" s="2">
        <v>0.39300000000000002</v>
      </c>
      <c r="L944" s="2">
        <v>-5.6879999999999997</v>
      </c>
    </row>
    <row r="945" spans="1:12" x14ac:dyDescent="0.25">
      <c r="A945">
        <v>80</v>
      </c>
      <c r="B945">
        <v>3</v>
      </c>
      <c r="C945" s="3">
        <v>4674532</v>
      </c>
      <c r="D945" s="4">
        <v>7593792</v>
      </c>
      <c r="E945">
        <v>70</v>
      </c>
      <c r="F945" s="2">
        <v>0.61099999999999999</v>
      </c>
      <c r="G945" s="2">
        <v>0.65100000000000002</v>
      </c>
      <c r="H945" s="2">
        <v>5.8900000000000001E-2</v>
      </c>
      <c r="I945" s="2">
        <v>0.14399999999999999</v>
      </c>
      <c r="J945" s="2">
        <v>0.105</v>
      </c>
      <c r="K945" s="2">
        <v>0.35099999999999998</v>
      </c>
      <c r="L945" s="2">
        <v>-6.9729999999999999</v>
      </c>
    </row>
    <row r="946" spans="1:12" x14ac:dyDescent="0.25">
      <c r="A946">
        <v>82</v>
      </c>
      <c r="B946">
        <v>2</v>
      </c>
      <c r="C946" s="3">
        <v>4642057</v>
      </c>
      <c r="D946" s="4">
        <v>1245965</v>
      </c>
      <c r="E946">
        <v>70</v>
      </c>
      <c r="F946" s="2">
        <v>0.67600000000000005</v>
      </c>
      <c r="G946" s="2">
        <v>0.85699999999999998</v>
      </c>
      <c r="H946" s="2">
        <v>4.3799999999999999E-2</v>
      </c>
      <c r="I946" s="2">
        <v>2.1499999999999998E-2</v>
      </c>
      <c r="J946" s="2">
        <v>0.254</v>
      </c>
      <c r="K946" s="2">
        <v>0.71699999999999997</v>
      </c>
      <c r="L946" s="2">
        <v>-4.3680000000000003</v>
      </c>
    </row>
    <row r="947" spans="1:12" x14ac:dyDescent="0.25">
      <c r="A947">
        <v>47</v>
      </c>
      <c r="B947">
        <v>7</v>
      </c>
      <c r="C947" s="3">
        <v>4629083</v>
      </c>
      <c r="D947" s="4">
        <v>7816213</v>
      </c>
      <c r="E947">
        <v>70</v>
      </c>
      <c r="F947" s="2">
        <v>0.59</v>
      </c>
      <c r="G947" s="2">
        <v>0.61799999999999999</v>
      </c>
      <c r="H947" s="2">
        <v>0.33400000000000002</v>
      </c>
      <c r="I947" s="2">
        <v>1.2699999999999999E-2</v>
      </c>
      <c r="J947" s="2">
        <v>0.24399999999999999</v>
      </c>
      <c r="K947" s="2">
        <v>0.153</v>
      </c>
      <c r="L947" s="2">
        <v>-5.7560000000000002</v>
      </c>
    </row>
    <row r="948" spans="1:12" x14ac:dyDescent="0.25">
      <c r="A948">
        <v>65</v>
      </c>
      <c r="B948">
        <v>5</v>
      </c>
      <c r="C948" s="3">
        <v>4628159</v>
      </c>
      <c r="D948" s="4">
        <v>412466</v>
      </c>
      <c r="E948">
        <v>70</v>
      </c>
      <c r="F948" s="2">
        <v>0.76100000000000001</v>
      </c>
      <c r="G948" s="2">
        <v>0.51700000000000002</v>
      </c>
      <c r="H948" s="2">
        <v>9.2700000000000005E-2</v>
      </c>
      <c r="I948" s="2">
        <v>0.114</v>
      </c>
      <c r="J948" s="2">
        <v>0.157</v>
      </c>
      <c r="K948" s="2">
        <v>0.46</v>
      </c>
      <c r="L948" s="2">
        <v>-6.9160000000000004</v>
      </c>
    </row>
    <row r="949" spans="1:12" x14ac:dyDescent="0.25">
      <c r="A949">
        <v>71</v>
      </c>
      <c r="B949">
        <v>12</v>
      </c>
      <c r="C949" s="3">
        <v>4624448</v>
      </c>
      <c r="D949" s="4">
        <v>67074</v>
      </c>
      <c r="E949">
        <v>70</v>
      </c>
      <c r="F949" s="2">
        <v>0.82399999999999995</v>
      </c>
      <c r="G949" s="2">
        <v>0.85399999999999998</v>
      </c>
      <c r="H949" s="2">
        <v>0.17699999999999999</v>
      </c>
      <c r="I949" s="2">
        <v>1.6E-2</v>
      </c>
      <c r="J949" s="2">
        <v>0.11700000000000001</v>
      </c>
      <c r="K949" s="2">
        <v>0.89600000000000002</v>
      </c>
      <c r="L949" s="2">
        <v>-5.3120000000000003</v>
      </c>
    </row>
    <row r="950" spans="1:12" x14ac:dyDescent="0.25">
      <c r="A950">
        <v>199</v>
      </c>
      <c r="B950">
        <v>1</v>
      </c>
      <c r="C950" s="3">
        <v>4595450</v>
      </c>
      <c r="D950" s="4">
        <v>42227614</v>
      </c>
      <c r="E950">
        <v>70</v>
      </c>
      <c r="F950" s="2">
        <v>0.44800000000000001</v>
      </c>
      <c r="G950" s="2">
        <v>0.60299999999999998</v>
      </c>
      <c r="H950" s="2">
        <v>6.4000000000000001E-2</v>
      </c>
      <c r="I950" s="2">
        <v>0.433</v>
      </c>
      <c r="J950" s="2">
        <v>8.6199999999999999E-2</v>
      </c>
      <c r="K950" s="2">
        <v>0.42199999999999999</v>
      </c>
      <c r="L950" s="2">
        <v>-7.1760000000000002</v>
      </c>
    </row>
    <row r="951" spans="1:12" x14ac:dyDescent="0.25">
      <c r="A951">
        <v>67</v>
      </c>
      <c r="B951">
        <v>5</v>
      </c>
      <c r="C951" s="3">
        <v>4592745</v>
      </c>
      <c r="D951" s="4">
        <v>9998991</v>
      </c>
      <c r="E951">
        <v>70</v>
      </c>
      <c r="F951" s="2">
        <v>0.73899999999999999</v>
      </c>
      <c r="G951" s="2">
        <v>0.84099999999999997</v>
      </c>
      <c r="H951" s="2">
        <v>0.06</v>
      </c>
      <c r="I951" s="2">
        <v>3.1199999999999999E-2</v>
      </c>
      <c r="J951" s="2">
        <v>0.17299999999999999</v>
      </c>
      <c r="K951" s="2">
        <v>0.56200000000000006</v>
      </c>
      <c r="L951" s="2">
        <v>-4.1619999999999999</v>
      </c>
    </row>
    <row r="952" spans="1:12" x14ac:dyDescent="0.25">
      <c r="A952">
        <v>5</v>
      </c>
      <c r="B952">
        <v>11</v>
      </c>
      <c r="C952" s="3">
        <v>4556900</v>
      </c>
      <c r="D952" s="4">
        <v>18585963</v>
      </c>
      <c r="E952">
        <v>70</v>
      </c>
      <c r="F952" s="2">
        <v>0.752</v>
      </c>
      <c r="G952" s="2">
        <v>0.87</v>
      </c>
      <c r="H952" s="2">
        <v>6.2300000000000001E-2</v>
      </c>
      <c r="I952" s="2">
        <v>6.0400000000000002E-2</v>
      </c>
      <c r="J952" s="2">
        <v>0.48899999999999999</v>
      </c>
      <c r="K952" s="2">
        <v>0.78400000000000003</v>
      </c>
      <c r="L952" s="2">
        <v>-3.8119999999999998</v>
      </c>
    </row>
    <row r="953" spans="1:12" x14ac:dyDescent="0.25">
      <c r="A953">
        <v>30</v>
      </c>
      <c r="B953">
        <v>9</v>
      </c>
      <c r="C953" s="3">
        <v>4527835</v>
      </c>
      <c r="D953" s="4">
        <v>17097317</v>
      </c>
      <c r="E953">
        <v>70</v>
      </c>
      <c r="F953" s="2">
        <v>0.48299999999999998</v>
      </c>
      <c r="G953" s="2">
        <v>0.36099999999999999</v>
      </c>
      <c r="H953" s="2">
        <v>7.3800000000000004E-2</v>
      </c>
      <c r="I953" s="2">
        <v>0.83199999999999996</v>
      </c>
      <c r="J953" s="2">
        <v>9.8000000000000004E-2</v>
      </c>
      <c r="K953" s="2">
        <v>0.307</v>
      </c>
      <c r="L953" s="2">
        <v>-7.8890000000000002</v>
      </c>
    </row>
    <row r="954" spans="1:12" x14ac:dyDescent="0.25">
      <c r="A954">
        <v>103</v>
      </c>
      <c r="B954">
        <v>4</v>
      </c>
      <c r="C954" s="3">
        <v>4478685</v>
      </c>
      <c r="D954" s="4">
        <v>10580764</v>
      </c>
      <c r="E954">
        <v>70</v>
      </c>
      <c r="F954" s="2">
        <v>0.71599999999999997</v>
      </c>
      <c r="G954" s="2">
        <v>0.58799999999999997</v>
      </c>
      <c r="H954" s="2">
        <v>0.11600000000000001</v>
      </c>
      <c r="I954" s="2">
        <v>0.152</v>
      </c>
      <c r="J954" s="2">
        <v>8.4699999999999998E-2</v>
      </c>
      <c r="K954" s="2">
        <v>0.70699999999999996</v>
      </c>
      <c r="L954" s="2">
        <v>-3.952</v>
      </c>
    </row>
    <row r="955" spans="1:12" x14ac:dyDescent="0.25">
      <c r="A955">
        <v>139</v>
      </c>
      <c r="B955">
        <v>8</v>
      </c>
      <c r="C955" s="3">
        <v>4401019</v>
      </c>
      <c r="D955" s="4">
        <v>6096559</v>
      </c>
      <c r="E955">
        <v>70</v>
      </c>
      <c r="F955" s="2">
        <v>0.81599999999999995</v>
      </c>
      <c r="G955" s="2">
        <v>0.72</v>
      </c>
      <c r="H955" s="2">
        <v>6.8400000000000002E-2</v>
      </c>
      <c r="I955" s="2">
        <v>0.20599999999999999</v>
      </c>
      <c r="J955" s="2">
        <v>0.27700000000000002</v>
      </c>
      <c r="K955" s="2">
        <v>0.78</v>
      </c>
      <c r="L955" s="2">
        <v>-4.4539999999999997</v>
      </c>
    </row>
    <row r="956" spans="1:12" x14ac:dyDescent="0.25">
      <c r="A956">
        <v>190</v>
      </c>
      <c r="B956">
        <v>2</v>
      </c>
      <c r="C956" s="3">
        <v>4324610</v>
      </c>
      <c r="D956" s="4">
        <v>2203386</v>
      </c>
      <c r="E956">
        <v>70</v>
      </c>
      <c r="F956" s="2">
        <v>0.73299999999999998</v>
      </c>
      <c r="G956" s="2">
        <v>0.38900000000000001</v>
      </c>
      <c r="H956" s="2">
        <v>7.3800000000000004E-2</v>
      </c>
      <c r="I956" s="2">
        <v>5.1299999999999998E-2</v>
      </c>
      <c r="J956" s="2">
        <v>0.14099999999999999</v>
      </c>
      <c r="K956" s="2">
        <v>0.24399999999999999</v>
      </c>
      <c r="L956" s="2">
        <v>-8.468</v>
      </c>
    </row>
    <row r="957" spans="1:12" x14ac:dyDescent="0.25">
      <c r="A957">
        <v>54</v>
      </c>
      <c r="B957">
        <v>1</v>
      </c>
      <c r="C957" s="3">
        <v>9676024</v>
      </c>
      <c r="D957" s="4">
        <v>42227614</v>
      </c>
      <c r="E957">
        <v>69</v>
      </c>
      <c r="F957" s="2">
        <v>0.56899999999999995</v>
      </c>
      <c r="G957" s="2">
        <v>0.74099999999999999</v>
      </c>
      <c r="H957" s="2">
        <v>2.8199999999999999E-2</v>
      </c>
      <c r="I957" s="2">
        <v>1.2200000000000001E-2</v>
      </c>
      <c r="J957" s="2">
        <v>0.33300000000000002</v>
      </c>
      <c r="K957" s="2">
        <v>0.43</v>
      </c>
      <c r="L957" s="2">
        <v>-4.9630000000000001</v>
      </c>
    </row>
    <row r="958" spans="1:12" x14ac:dyDescent="0.25">
      <c r="A958">
        <v>75</v>
      </c>
      <c r="B958">
        <v>1</v>
      </c>
      <c r="C958" s="3">
        <v>7515766</v>
      </c>
      <c r="D958" s="4">
        <v>61930</v>
      </c>
      <c r="E958">
        <v>69</v>
      </c>
      <c r="F958" s="2">
        <v>0.85099999999999998</v>
      </c>
      <c r="G958" s="2">
        <v>0.70299999999999996</v>
      </c>
      <c r="H958" s="2">
        <v>0.30299999999999999</v>
      </c>
      <c r="I958" s="2">
        <v>9.4900000000000002E-3</v>
      </c>
      <c r="J958" s="2">
        <v>8.9499999999999996E-2</v>
      </c>
      <c r="K958" s="2">
        <v>0.59599999999999997</v>
      </c>
      <c r="L958" s="2">
        <v>-7.351</v>
      </c>
    </row>
    <row r="959" spans="1:12" x14ac:dyDescent="0.25">
      <c r="A959">
        <v>58</v>
      </c>
      <c r="B959">
        <v>4</v>
      </c>
      <c r="C959" s="3">
        <v>7471309</v>
      </c>
      <c r="D959" s="4">
        <v>4759367</v>
      </c>
      <c r="E959">
        <v>69</v>
      </c>
      <c r="F959" s="2">
        <v>0.48199999999999998</v>
      </c>
      <c r="G959" s="2">
        <v>0.63100000000000001</v>
      </c>
      <c r="H959" s="2">
        <v>9.8599999999999993E-2</v>
      </c>
      <c r="I959" s="2">
        <v>0.69599999999999995</v>
      </c>
      <c r="J959" s="2">
        <v>0.20899999999999999</v>
      </c>
      <c r="K959" s="2">
        <v>7.4300000000000005E-2</v>
      </c>
      <c r="L959" s="2">
        <v>-6.9169999999999998</v>
      </c>
    </row>
    <row r="960" spans="1:12" x14ac:dyDescent="0.25">
      <c r="A960">
        <v>105</v>
      </c>
      <c r="B960">
        <v>1</v>
      </c>
      <c r="C960" s="3">
        <v>7276896</v>
      </c>
      <c r="D960" s="4">
        <v>4430628</v>
      </c>
      <c r="E960">
        <v>69</v>
      </c>
      <c r="F960" s="2">
        <v>0.755</v>
      </c>
      <c r="G960" s="2">
        <v>0.88200000000000001</v>
      </c>
      <c r="H960" s="2">
        <v>5.3199999999999997E-2</v>
      </c>
      <c r="I960" s="2">
        <v>0.125</v>
      </c>
      <c r="J960" s="2">
        <v>0.10299999999999999</v>
      </c>
      <c r="K960" s="2">
        <v>0.60599999999999998</v>
      </c>
      <c r="L960" s="2">
        <v>-1.9570000000000001</v>
      </c>
    </row>
    <row r="961" spans="1:12" x14ac:dyDescent="0.25">
      <c r="A961">
        <v>104</v>
      </c>
      <c r="B961">
        <v>1</v>
      </c>
      <c r="C961" s="3">
        <v>6857808</v>
      </c>
      <c r="D961" s="4">
        <v>37151476</v>
      </c>
      <c r="E961">
        <v>69</v>
      </c>
      <c r="F961" s="2">
        <v>0.80800000000000005</v>
      </c>
      <c r="G961" s="2">
        <v>0.90300000000000002</v>
      </c>
      <c r="H961" s="2">
        <v>9.5799999999999996E-2</v>
      </c>
      <c r="I961" s="2">
        <v>1.21E-2</v>
      </c>
      <c r="J961" s="2">
        <v>9.9299999999999999E-2</v>
      </c>
      <c r="K961" s="2">
        <v>0.47299999999999998</v>
      </c>
      <c r="L961" s="2">
        <v>-3.1059999999999999</v>
      </c>
    </row>
    <row r="962" spans="1:12" x14ac:dyDescent="0.25">
      <c r="A962">
        <v>70</v>
      </c>
      <c r="B962">
        <v>3</v>
      </c>
      <c r="C962" s="3">
        <v>6105711</v>
      </c>
      <c r="D962" s="4">
        <v>36177712</v>
      </c>
      <c r="E962">
        <v>69</v>
      </c>
      <c r="F962" s="2">
        <v>0.68300000000000005</v>
      </c>
      <c r="G962" s="2">
        <v>0.67700000000000005</v>
      </c>
      <c r="H962" s="2">
        <v>4.6899999999999997E-2</v>
      </c>
      <c r="I962" s="2">
        <v>8.6900000000000005E-2</v>
      </c>
      <c r="J962" s="2">
        <v>9.98E-2</v>
      </c>
      <c r="K962" s="2">
        <v>0.51400000000000001</v>
      </c>
      <c r="L962" s="2">
        <v>-4.4960000000000004</v>
      </c>
    </row>
    <row r="963" spans="1:12" x14ac:dyDescent="0.25">
      <c r="A963">
        <v>36</v>
      </c>
      <c r="B963">
        <v>2</v>
      </c>
      <c r="C963" s="3">
        <v>5898484</v>
      </c>
      <c r="D963" s="4">
        <v>437907</v>
      </c>
      <c r="E963">
        <v>69</v>
      </c>
      <c r="F963" s="2">
        <v>0.85899999999999999</v>
      </c>
      <c r="G963" s="2">
        <v>0.6</v>
      </c>
      <c r="H963" s="2">
        <v>0.30099999999999999</v>
      </c>
      <c r="I963" s="2">
        <v>7.0999999999999994E-2</v>
      </c>
      <c r="J963" s="2">
        <v>0.35299999999999998</v>
      </c>
      <c r="K963" s="2">
        <v>0.56799999999999995</v>
      </c>
      <c r="L963" s="2">
        <v>-4.63</v>
      </c>
    </row>
    <row r="964" spans="1:12" x14ac:dyDescent="0.25">
      <c r="A964">
        <v>144</v>
      </c>
      <c r="B964">
        <v>1</v>
      </c>
      <c r="C964" s="3">
        <v>5897983</v>
      </c>
      <c r="D964" s="4">
        <v>5831194</v>
      </c>
      <c r="E964">
        <v>69</v>
      </c>
      <c r="F964" s="2">
        <v>0.79300000000000004</v>
      </c>
      <c r="G964" s="2">
        <v>0.65</v>
      </c>
      <c r="H964" s="2">
        <v>0.39700000000000002</v>
      </c>
      <c r="I964" s="2">
        <v>0.371</v>
      </c>
      <c r="J964" s="2">
        <v>0.85399999999999998</v>
      </c>
      <c r="K964" s="2">
        <v>0.80900000000000005</v>
      </c>
      <c r="L964" s="2">
        <v>-3.944</v>
      </c>
    </row>
    <row r="965" spans="1:12" x14ac:dyDescent="0.25">
      <c r="A965">
        <v>49</v>
      </c>
      <c r="B965">
        <v>2</v>
      </c>
      <c r="C965" s="3">
        <v>5837372</v>
      </c>
      <c r="D965" s="4">
        <v>48544923</v>
      </c>
      <c r="E965">
        <v>69</v>
      </c>
      <c r="F965" s="2">
        <v>0.67700000000000005</v>
      </c>
      <c r="G965" s="2">
        <v>0.63300000000000001</v>
      </c>
      <c r="H965" s="2">
        <v>7.7100000000000002E-2</v>
      </c>
      <c r="I965" s="2">
        <v>3.1399999999999997E-2</v>
      </c>
      <c r="J965" s="2">
        <v>0.112</v>
      </c>
      <c r="K965" s="2">
        <v>0.40899999999999997</v>
      </c>
      <c r="L965" s="2">
        <v>-7.8310000000000004</v>
      </c>
    </row>
    <row r="966" spans="1:12" x14ac:dyDescent="0.25">
      <c r="A966">
        <v>83</v>
      </c>
      <c r="B966">
        <v>3</v>
      </c>
      <c r="C966" s="3">
        <v>5834918</v>
      </c>
      <c r="D966" s="4">
        <v>14190858</v>
      </c>
      <c r="E966">
        <v>69</v>
      </c>
      <c r="F966" s="2">
        <v>0.66500000000000004</v>
      </c>
      <c r="G966" s="2">
        <v>0.71199999999999997</v>
      </c>
      <c r="H966" s="2">
        <v>5.2699999999999997E-2</v>
      </c>
      <c r="I966" s="2">
        <v>1.0300000000000001E-3</v>
      </c>
      <c r="J966" s="2">
        <v>0.10199999999999999</v>
      </c>
      <c r="K966" s="2">
        <v>0.66900000000000004</v>
      </c>
      <c r="L966" s="2">
        <v>-7.5359999999999996</v>
      </c>
    </row>
    <row r="967" spans="1:12" x14ac:dyDescent="0.25">
      <c r="A967">
        <v>137</v>
      </c>
      <c r="B967">
        <v>1</v>
      </c>
      <c r="C967" s="3">
        <v>5768836</v>
      </c>
      <c r="D967" s="4">
        <v>10740222</v>
      </c>
      <c r="E967">
        <v>69</v>
      </c>
      <c r="F967" s="2">
        <v>0.73199999999999998</v>
      </c>
      <c r="G967" s="2">
        <v>0.60399999999999998</v>
      </c>
      <c r="H967" s="2">
        <v>4.4299999999999999E-2</v>
      </c>
      <c r="I967" s="2">
        <v>1.12E-2</v>
      </c>
      <c r="J967" s="2">
        <v>0.219</v>
      </c>
      <c r="K967" s="2">
        <v>0.73199999999999998</v>
      </c>
      <c r="L967" s="2">
        <v>-7.4720000000000004</v>
      </c>
    </row>
    <row r="968" spans="1:12" x14ac:dyDescent="0.25">
      <c r="A968">
        <v>15</v>
      </c>
      <c r="B968">
        <v>3</v>
      </c>
      <c r="C968" s="3">
        <v>5600261</v>
      </c>
      <c r="D968" s="4">
        <v>11821805</v>
      </c>
      <c r="E968">
        <v>69</v>
      </c>
      <c r="F968" s="2">
        <v>0.77200000000000002</v>
      </c>
      <c r="G968" s="2">
        <v>0.63400000000000001</v>
      </c>
      <c r="H968" s="2">
        <v>0.21199999999999999</v>
      </c>
      <c r="I968" s="2">
        <v>0.13500000000000001</v>
      </c>
      <c r="J968" s="2">
        <v>0.432</v>
      </c>
      <c r="K968" s="2">
        <v>0.67100000000000004</v>
      </c>
      <c r="L968" s="2">
        <v>-6.101</v>
      </c>
    </row>
    <row r="969" spans="1:12" x14ac:dyDescent="0.25">
      <c r="A969">
        <v>153</v>
      </c>
      <c r="B969">
        <v>1</v>
      </c>
      <c r="C969" s="3">
        <v>5550390</v>
      </c>
      <c r="D969" s="4">
        <v>412466</v>
      </c>
      <c r="E969">
        <v>69</v>
      </c>
      <c r="F969" s="2">
        <v>0.83199999999999996</v>
      </c>
      <c r="G969" s="2">
        <v>0.54900000000000004</v>
      </c>
      <c r="H969" s="2">
        <v>6.0199999999999997E-2</v>
      </c>
      <c r="I969" s="2">
        <v>0.16800000000000001</v>
      </c>
      <c r="J969" s="2">
        <v>0.11</v>
      </c>
      <c r="K969" s="2">
        <v>0.38400000000000001</v>
      </c>
      <c r="L969" s="2">
        <v>-8.2590000000000003</v>
      </c>
    </row>
    <row r="970" spans="1:12" x14ac:dyDescent="0.25">
      <c r="A970">
        <v>57</v>
      </c>
      <c r="B970">
        <v>3</v>
      </c>
      <c r="C970" s="3">
        <v>5544180</v>
      </c>
      <c r="D970" s="4">
        <v>36177712</v>
      </c>
      <c r="E970">
        <v>69</v>
      </c>
      <c r="F970" s="2">
        <v>0.80200000000000005</v>
      </c>
      <c r="G970" s="2">
        <v>0.78700000000000003</v>
      </c>
      <c r="H970" s="2">
        <v>5.9900000000000002E-2</v>
      </c>
      <c r="I970" s="2">
        <v>8.3199999999999996E-2</v>
      </c>
      <c r="J970" s="2">
        <v>0.153</v>
      </c>
      <c r="K970" s="2">
        <v>0.44600000000000001</v>
      </c>
      <c r="L970" s="2">
        <v>-6.181</v>
      </c>
    </row>
    <row r="971" spans="1:12" x14ac:dyDescent="0.25">
      <c r="A971">
        <v>151</v>
      </c>
      <c r="B971">
        <v>1</v>
      </c>
      <c r="C971" s="3">
        <v>5482390</v>
      </c>
      <c r="D971" s="4">
        <v>4759367</v>
      </c>
      <c r="E971">
        <v>69</v>
      </c>
      <c r="F971" s="2">
        <v>0.55200000000000005</v>
      </c>
      <c r="G971" s="2">
        <v>0.65</v>
      </c>
      <c r="H971" s="2">
        <v>0.128</v>
      </c>
      <c r="I971" s="2">
        <v>0.42199999999999999</v>
      </c>
      <c r="J971" s="2">
        <v>0.372</v>
      </c>
      <c r="K971" s="2">
        <v>0.316</v>
      </c>
      <c r="L971" s="2">
        <v>-7.1989999999999998</v>
      </c>
    </row>
    <row r="972" spans="1:12" x14ac:dyDescent="0.25">
      <c r="A972">
        <v>15</v>
      </c>
      <c r="B972">
        <v>3</v>
      </c>
      <c r="C972" s="3">
        <v>5459423</v>
      </c>
      <c r="D972" s="4">
        <v>42227614</v>
      </c>
      <c r="E972">
        <v>69</v>
      </c>
      <c r="F972" s="2">
        <v>0.59599999999999997</v>
      </c>
      <c r="G972" s="2">
        <v>0.48799999999999999</v>
      </c>
      <c r="H972" s="2">
        <v>2.7400000000000001E-2</v>
      </c>
      <c r="I972" s="2">
        <v>0.9</v>
      </c>
      <c r="J972" s="2">
        <v>9.0999999999999998E-2</v>
      </c>
      <c r="K972" s="2">
        <v>0.41499999999999998</v>
      </c>
      <c r="L972" s="2">
        <v>-10.769</v>
      </c>
    </row>
    <row r="973" spans="1:12" x14ac:dyDescent="0.25">
      <c r="A973">
        <v>60</v>
      </c>
      <c r="B973">
        <v>3</v>
      </c>
      <c r="C973" s="3">
        <v>5440382</v>
      </c>
      <c r="D973" s="4">
        <v>36177712</v>
      </c>
      <c r="E973">
        <v>69</v>
      </c>
      <c r="F973" s="2">
        <v>0.76200000000000001</v>
      </c>
      <c r="G973" s="2">
        <v>0.80100000000000005</v>
      </c>
      <c r="H973" s="2">
        <v>4.0899999999999999E-2</v>
      </c>
      <c r="I973" s="2">
        <v>0.2</v>
      </c>
      <c r="J973" s="2">
        <v>0.254</v>
      </c>
      <c r="K973" s="2">
        <v>0.81</v>
      </c>
      <c r="L973" s="2">
        <v>-3.661</v>
      </c>
    </row>
    <row r="974" spans="1:12" x14ac:dyDescent="0.25">
      <c r="A974">
        <v>61</v>
      </c>
      <c r="B974">
        <v>2</v>
      </c>
      <c r="C974" s="3">
        <v>5419040</v>
      </c>
      <c r="D974" s="4">
        <v>48544923</v>
      </c>
      <c r="E974">
        <v>69</v>
      </c>
      <c r="F974" s="2">
        <v>0.79</v>
      </c>
      <c r="G974" s="2">
        <v>0.72399999999999998</v>
      </c>
      <c r="H974" s="2">
        <v>8.5199999999999998E-2</v>
      </c>
      <c r="I974" s="2">
        <v>6.9599999999999995E-2</v>
      </c>
      <c r="J974" s="2">
        <v>0.113</v>
      </c>
      <c r="K974" s="2">
        <v>0.64200000000000002</v>
      </c>
      <c r="L974" s="2">
        <v>-6.9720000000000004</v>
      </c>
    </row>
    <row r="975" spans="1:12" x14ac:dyDescent="0.25">
      <c r="A975">
        <v>44</v>
      </c>
      <c r="B975">
        <v>2</v>
      </c>
      <c r="C975" s="3">
        <v>5394197</v>
      </c>
      <c r="D975" s="4">
        <v>19102888</v>
      </c>
      <c r="E975">
        <v>69</v>
      </c>
      <c r="F975" s="2">
        <v>0.59499999999999997</v>
      </c>
      <c r="G975" s="2">
        <v>0.52800000000000002</v>
      </c>
      <c r="H975" s="2">
        <v>9.35E-2</v>
      </c>
      <c r="I975" s="2">
        <v>8.2000000000000003E-2</v>
      </c>
      <c r="J975" s="2">
        <v>0.14199999999999999</v>
      </c>
      <c r="K975" s="2">
        <v>0.51500000000000001</v>
      </c>
      <c r="L975" s="2">
        <v>-7.3710000000000004</v>
      </c>
    </row>
    <row r="976" spans="1:12" x14ac:dyDescent="0.25">
      <c r="A976">
        <v>42</v>
      </c>
      <c r="B976">
        <v>2</v>
      </c>
      <c r="C976" s="3">
        <v>5249342</v>
      </c>
      <c r="D976" s="4">
        <v>67208170</v>
      </c>
      <c r="E976">
        <v>69</v>
      </c>
      <c r="F976" s="2">
        <v>0.77200000000000002</v>
      </c>
      <c r="G976" s="2">
        <v>0.50600000000000001</v>
      </c>
      <c r="H976" s="2">
        <v>0.13900000000000001</v>
      </c>
      <c r="I976" s="2">
        <v>8.14E-2</v>
      </c>
      <c r="J976" s="2">
        <v>0.182</v>
      </c>
      <c r="K976" s="2">
        <v>0.45600000000000002</v>
      </c>
      <c r="L976" s="2">
        <v>-6.5579999999999998</v>
      </c>
    </row>
    <row r="977" spans="1:12" x14ac:dyDescent="0.25">
      <c r="A977">
        <v>29</v>
      </c>
      <c r="B977">
        <v>15</v>
      </c>
      <c r="C977" s="3">
        <v>5234645</v>
      </c>
      <c r="D977" s="4">
        <v>1758300</v>
      </c>
      <c r="E977">
        <v>69</v>
      </c>
      <c r="F977" s="2">
        <v>0.59599999999999997</v>
      </c>
      <c r="G977" s="2">
        <v>0.36599999999999999</v>
      </c>
      <c r="H977" s="2">
        <v>0.115</v>
      </c>
      <c r="I977" s="2">
        <v>0.63</v>
      </c>
      <c r="J977" s="2">
        <v>5.5399999999999998E-2</v>
      </c>
      <c r="K977" s="2">
        <v>0.22900000000000001</v>
      </c>
      <c r="L977" s="2">
        <v>-11.144</v>
      </c>
    </row>
    <row r="978" spans="1:12" x14ac:dyDescent="0.25">
      <c r="A978">
        <v>195</v>
      </c>
      <c r="B978">
        <v>1</v>
      </c>
      <c r="C978" s="3">
        <v>5174437</v>
      </c>
      <c r="D978" s="4">
        <v>32257</v>
      </c>
      <c r="E978">
        <v>69</v>
      </c>
      <c r="F978" s="2">
        <v>0.53400000000000003</v>
      </c>
      <c r="G978" s="2">
        <v>0.36499999999999999</v>
      </c>
      <c r="H978" s="2">
        <v>3.3000000000000002E-2</v>
      </c>
      <c r="I978" s="2">
        <v>0.81</v>
      </c>
      <c r="J978" s="2">
        <v>0.158</v>
      </c>
      <c r="K978" s="2">
        <v>0.23699999999999999</v>
      </c>
      <c r="L978" s="2">
        <v>-9.1869999999999994</v>
      </c>
    </row>
    <row r="979" spans="1:12" x14ac:dyDescent="0.25">
      <c r="A979">
        <v>45</v>
      </c>
      <c r="B979">
        <v>2</v>
      </c>
      <c r="C979" s="3">
        <v>5137482</v>
      </c>
      <c r="D979" s="4">
        <v>19102888</v>
      </c>
      <c r="E979">
        <v>69</v>
      </c>
      <c r="F979" s="2">
        <v>0.28799999999999998</v>
      </c>
      <c r="G979" s="2">
        <v>0.63800000000000001</v>
      </c>
      <c r="H979" s="2">
        <v>7.7899999999999997E-2</v>
      </c>
      <c r="I979" s="2">
        <v>0.13300000000000001</v>
      </c>
      <c r="J979" s="2">
        <v>0.14000000000000001</v>
      </c>
      <c r="K979" s="2">
        <v>0.14699999999999999</v>
      </c>
      <c r="L979" s="2">
        <v>-6.9349999999999996</v>
      </c>
    </row>
    <row r="980" spans="1:12" x14ac:dyDescent="0.25">
      <c r="A980">
        <v>35</v>
      </c>
      <c r="B980">
        <v>3</v>
      </c>
      <c r="C980" s="3">
        <v>5125708</v>
      </c>
      <c r="D980" s="4">
        <v>23848461</v>
      </c>
      <c r="E980">
        <v>69</v>
      </c>
      <c r="F980" s="2">
        <v>0.68600000000000005</v>
      </c>
      <c r="G980" s="2">
        <v>0.64</v>
      </c>
      <c r="H980" s="2">
        <v>0.159</v>
      </c>
      <c r="I980" s="2">
        <v>3.3399999999999999E-2</v>
      </c>
      <c r="J980" s="2">
        <v>8.0100000000000005E-2</v>
      </c>
      <c r="K980" s="2">
        <v>0.59699999999999998</v>
      </c>
      <c r="L980" s="2">
        <v>-5.4909999999999997</v>
      </c>
    </row>
    <row r="981" spans="1:12" x14ac:dyDescent="0.25">
      <c r="A981">
        <v>187</v>
      </c>
      <c r="B981">
        <v>1</v>
      </c>
      <c r="C981" s="3">
        <v>5096624</v>
      </c>
      <c r="D981" s="4">
        <v>5064200</v>
      </c>
      <c r="E981">
        <v>69</v>
      </c>
      <c r="F981" s="2">
        <v>0.56899999999999995</v>
      </c>
      <c r="G981" s="2">
        <v>0.84</v>
      </c>
      <c r="H981" s="2">
        <v>0.11799999999999999</v>
      </c>
      <c r="I981" s="2">
        <v>2.9499999999999998E-2</v>
      </c>
      <c r="J981" s="2">
        <v>9.9500000000000005E-2</v>
      </c>
      <c r="K981" s="2">
        <v>0.749</v>
      </c>
      <c r="L981" s="2">
        <v>-4.1230000000000002</v>
      </c>
    </row>
    <row r="982" spans="1:12" x14ac:dyDescent="0.25">
      <c r="A982">
        <v>157</v>
      </c>
      <c r="B982">
        <v>1</v>
      </c>
      <c r="C982" s="3">
        <v>5074613</v>
      </c>
      <c r="D982" s="4">
        <v>7601122</v>
      </c>
      <c r="E982">
        <v>69</v>
      </c>
      <c r="F982" s="2">
        <v>0.70899999999999996</v>
      </c>
      <c r="G982" s="2">
        <v>0.67900000000000005</v>
      </c>
      <c r="H982" s="2">
        <v>0.34599999999999997</v>
      </c>
      <c r="I982" s="2">
        <v>1.15E-2</v>
      </c>
      <c r="J982" s="2">
        <v>9.7100000000000006E-2</v>
      </c>
      <c r="K982" s="2">
        <v>0.754</v>
      </c>
      <c r="L982" s="2">
        <v>-6.5030000000000001</v>
      </c>
    </row>
    <row r="983" spans="1:12" x14ac:dyDescent="0.25">
      <c r="A983">
        <v>55</v>
      </c>
      <c r="B983">
        <v>4</v>
      </c>
      <c r="C983" s="3">
        <v>5071718</v>
      </c>
      <c r="D983" s="4">
        <v>16655692</v>
      </c>
      <c r="E983">
        <v>69</v>
      </c>
      <c r="F983" s="2">
        <v>0.63500000000000001</v>
      </c>
      <c r="G983" s="2">
        <v>0.65900000000000003</v>
      </c>
      <c r="H983" s="2">
        <v>0.11600000000000001</v>
      </c>
      <c r="I983" s="2">
        <v>0.24199999999999999</v>
      </c>
      <c r="J983" s="2">
        <v>0.105</v>
      </c>
      <c r="K983" s="2">
        <v>0.34</v>
      </c>
      <c r="L983" s="2">
        <v>-7.4989999999999997</v>
      </c>
    </row>
    <row r="984" spans="1:12" x14ac:dyDescent="0.25">
      <c r="A984">
        <v>25</v>
      </c>
      <c r="B984">
        <v>3</v>
      </c>
      <c r="C984" s="3">
        <v>4980571</v>
      </c>
      <c r="D984" s="4">
        <v>67208170</v>
      </c>
      <c r="E984">
        <v>69</v>
      </c>
      <c r="F984" s="2">
        <v>0.71899999999999997</v>
      </c>
      <c r="G984" s="2">
        <v>0.60699999999999998</v>
      </c>
      <c r="H984" s="2">
        <v>0.16500000000000001</v>
      </c>
      <c r="I984" s="2">
        <v>0.08</v>
      </c>
      <c r="J984" s="2">
        <v>0.125</v>
      </c>
      <c r="K984" s="2">
        <v>0.46400000000000002</v>
      </c>
      <c r="L984" s="2">
        <v>-5.1559999999999997</v>
      </c>
    </row>
    <row r="985" spans="1:12" x14ac:dyDescent="0.25">
      <c r="A985">
        <v>71</v>
      </c>
      <c r="B985">
        <v>2</v>
      </c>
      <c r="C985" s="3">
        <v>4971559</v>
      </c>
      <c r="D985" s="4">
        <v>12140496</v>
      </c>
      <c r="E985">
        <v>69</v>
      </c>
      <c r="F985" s="2">
        <v>0.755</v>
      </c>
      <c r="G985" s="2">
        <v>0.53100000000000003</v>
      </c>
      <c r="H985" s="2">
        <v>0.19600000000000001</v>
      </c>
      <c r="I985" s="2">
        <v>0.21299999999999999</v>
      </c>
      <c r="J985" s="2">
        <v>0.13</v>
      </c>
      <c r="K985" s="2">
        <v>0.68300000000000005</v>
      </c>
      <c r="L985" s="2">
        <v>-8.0510000000000002</v>
      </c>
    </row>
    <row r="986" spans="1:12" x14ac:dyDescent="0.25">
      <c r="A986">
        <v>53</v>
      </c>
      <c r="B986">
        <v>2</v>
      </c>
      <c r="C986" s="3">
        <v>4947593</v>
      </c>
      <c r="D986" s="4">
        <v>9949044</v>
      </c>
      <c r="E986">
        <v>69</v>
      </c>
      <c r="F986" s="2">
        <v>0.84699999999999998</v>
      </c>
      <c r="G986" s="2">
        <v>0.73299999999999998</v>
      </c>
      <c r="H986" s="2">
        <v>0.16</v>
      </c>
      <c r="I986" s="2">
        <v>5.7400000000000003E-3</v>
      </c>
      <c r="J986" s="2">
        <v>0.151</v>
      </c>
      <c r="K986" s="2">
        <v>0.20200000000000001</v>
      </c>
      <c r="L986" s="2">
        <v>-6.4390000000000001</v>
      </c>
    </row>
    <row r="987" spans="1:12" x14ac:dyDescent="0.25">
      <c r="A987">
        <v>167</v>
      </c>
      <c r="B987">
        <v>2</v>
      </c>
      <c r="C987" s="3">
        <v>4929647</v>
      </c>
      <c r="D987" s="4">
        <v>35340069</v>
      </c>
      <c r="E987">
        <v>69</v>
      </c>
      <c r="F987" s="2">
        <v>0.65900000000000003</v>
      </c>
      <c r="G987" s="2">
        <v>0.29099999999999998</v>
      </c>
      <c r="H987" s="2">
        <v>3.4799999999999998E-2</v>
      </c>
      <c r="I987" s="2">
        <v>0.40500000000000003</v>
      </c>
      <c r="J987" s="2">
        <v>7.7100000000000002E-2</v>
      </c>
      <c r="K987" s="2">
        <v>0.40600000000000003</v>
      </c>
      <c r="L987" s="2">
        <v>-8.2750000000000004</v>
      </c>
    </row>
    <row r="988" spans="1:12" x14ac:dyDescent="0.25">
      <c r="A988">
        <v>106</v>
      </c>
      <c r="B988">
        <v>6</v>
      </c>
      <c r="C988" s="3">
        <v>4896939</v>
      </c>
      <c r="D988" s="4">
        <v>22698747</v>
      </c>
      <c r="E988">
        <v>69</v>
      </c>
      <c r="F988" s="2">
        <v>0.74</v>
      </c>
      <c r="G988" s="2">
        <v>0.498</v>
      </c>
      <c r="H988" s="2">
        <v>4.5600000000000002E-2</v>
      </c>
      <c r="I988" s="2">
        <v>1.6899999999999998E-2</v>
      </c>
      <c r="J988" s="2">
        <v>0.31900000000000001</v>
      </c>
      <c r="K988" s="2">
        <v>0.65200000000000002</v>
      </c>
      <c r="L988" s="2">
        <v>-6.6840000000000002</v>
      </c>
    </row>
    <row r="989" spans="1:12" x14ac:dyDescent="0.25">
      <c r="A989">
        <v>106</v>
      </c>
      <c r="B989">
        <v>4</v>
      </c>
      <c r="C989" s="3">
        <v>4887204</v>
      </c>
      <c r="D989" s="4">
        <v>17097317</v>
      </c>
      <c r="E989">
        <v>69</v>
      </c>
      <c r="F989" s="2">
        <v>0.69099999999999995</v>
      </c>
      <c r="G989" s="2">
        <v>0.47399999999999998</v>
      </c>
      <c r="H989" s="2">
        <v>5.8299999999999998E-2</v>
      </c>
      <c r="I989" s="2">
        <v>0.56899999999999995</v>
      </c>
      <c r="J989" s="2">
        <v>9.9000000000000005E-2</v>
      </c>
      <c r="K989" s="2">
        <v>0.38100000000000001</v>
      </c>
      <c r="L989" s="2">
        <v>-8.7420000000000009</v>
      </c>
    </row>
    <row r="990" spans="1:12" x14ac:dyDescent="0.25">
      <c r="A990">
        <v>109</v>
      </c>
      <c r="B990">
        <v>2</v>
      </c>
      <c r="C990" s="3">
        <v>4870203</v>
      </c>
      <c r="D990" s="4">
        <v>6569150</v>
      </c>
      <c r="E990">
        <v>69</v>
      </c>
      <c r="F990" s="2">
        <v>0.73699999999999999</v>
      </c>
      <c r="G990" s="2">
        <v>0.86699999999999999</v>
      </c>
      <c r="H990" s="2">
        <v>4.58E-2</v>
      </c>
      <c r="I990" s="2">
        <v>3.9800000000000002E-2</v>
      </c>
      <c r="J990" s="2">
        <v>0.32</v>
      </c>
      <c r="K990" s="2">
        <v>0.50600000000000001</v>
      </c>
      <c r="L990" s="2">
        <v>-2.2589999999999999</v>
      </c>
    </row>
    <row r="991" spans="1:12" x14ac:dyDescent="0.25">
      <c r="A991">
        <v>117</v>
      </c>
      <c r="B991">
        <v>10</v>
      </c>
      <c r="C991" s="3">
        <v>4815342</v>
      </c>
      <c r="D991" s="4">
        <v>4281787</v>
      </c>
      <c r="E991">
        <v>69</v>
      </c>
      <c r="F991" s="2">
        <v>0.58199999999999996</v>
      </c>
      <c r="G991" s="2">
        <v>0.93700000000000006</v>
      </c>
      <c r="H991" s="2">
        <v>8.5800000000000001E-2</v>
      </c>
      <c r="I991" s="2">
        <v>0.44900000000000001</v>
      </c>
      <c r="J991" s="2">
        <v>0.68400000000000005</v>
      </c>
      <c r="K991" s="2">
        <v>0.93899999999999995</v>
      </c>
      <c r="L991" s="2">
        <v>-2.1179999999999999</v>
      </c>
    </row>
    <row r="992" spans="1:12" x14ac:dyDescent="0.25">
      <c r="A992">
        <v>66</v>
      </c>
      <c r="B992">
        <v>3</v>
      </c>
      <c r="C992" s="3">
        <v>4755477</v>
      </c>
      <c r="D992" s="4">
        <v>36177712</v>
      </c>
      <c r="E992">
        <v>69</v>
      </c>
      <c r="F992" s="2">
        <v>0.63100000000000001</v>
      </c>
      <c r="G992" s="2">
        <v>0.66500000000000004</v>
      </c>
      <c r="H992" s="2">
        <v>0.22900000000000001</v>
      </c>
      <c r="I992" s="2">
        <v>0.60199999999999998</v>
      </c>
      <c r="J992" s="2">
        <v>0.152</v>
      </c>
      <c r="K992" s="2">
        <v>0.63400000000000001</v>
      </c>
      <c r="L992" s="2">
        <v>-7.5890000000000004</v>
      </c>
    </row>
    <row r="993" spans="1:12" x14ac:dyDescent="0.25">
      <c r="A993">
        <v>92</v>
      </c>
      <c r="B993">
        <v>10</v>
      </c>
      <c r="C993" s="3">
        <v>4731423</v>
      </c>
      <c r="D993" s="4">
        <v>23936368</v>
      </c>
      <c r="E993">
        <v>69</v>
      </c>
      <c r="F993" s="2">
        <v>0.83799999999999997</v>
      </c>
      <c r="G993" s="2">
        <v>0.81899999999999995</v>
      </c>
      <c r="H993" s="2">
        <v>0.21099999999999999</v>
      </c>
      <c r="I993" s="2">
        <v>0.28499999999999998</v>
      </c>
      <c r="J993" s="2">
        <v>0.224</v>
      </c>
      <c r="K993" s="2">
        <v>0.65600000000000003</v>
      </c>
      <c r="L993" s="2">
        <v>-4.681</v>
      </c>
    </row>
    <row r="994" spans="1:12" x14ac:dyDescent="0.25">
      <c r="A994">
        <v>179</v>
      </c>
      <c r="B994">
        <v>1</v>
      </c>
      <c r="C994" s="3">
        <v>4687909</v>
      </c>
      <c r="D994" s="4">
        <v>4849204</v>
      </c>
      <c r="E994">
        <v>69</v>
      </c>
      <c r="F994" s="2">
        <v>0.82899999999999996</v>
      </c>
      <c r="G994" s="2">
        <v>0.52</v>
      </c>
      <c r="H994" s="2">
        <v>0.29399999999999998</v>
      </c>
      <c r="I994" s="2">
        <v>2.3199999999999998E-2</v>
      </c>
      <c r="J994" s="2">
        <v>0.13400000000000001</v>
      </c>
      <c r="K994" s="2">
        <v>0.248</v>
      </c>
      <c r="L994" s="2">
        <v>-10.34</v>
      </c>
    </row>
    <row r="995" spans="1:12" x14ac:dyDescent="0.25">
      <c r="A995">
        <v>179</v>
      </c>
      <c r="B995">
        <v>3</v>
      </c>
      <c r="C995" s="3">
        <v>4661170</v>
      </c>
      <c r="D995" s="4">
        <v>1779640</v>
      </c>
      <c r="E995">
        <v>69</v>
      </c>
      <c r="F995" s="2">
        <v>0.85299999999999998</v>
      </c>
      <c r="G995" s="2">
        <v>0.90900000000000003</v>
      </c>
      <c r="H995" s="2">
        <v>0.22900000000000001</v>
      </c>
      <c r="I995" s="2">
        <v>5.2200000000000003E-2</v>
      </c>
      <c r="J995" s="2">
        <v>0.129</v>
      </c>
      <c r="K995" s="2">
        <v>0.80300000000000005</v>
      </c>
      <c r="L995" s="2">
        <v>-2.4729999999999999</v>
      </c>
    </row>
    <row r="996" spans="1:12" x14ac:dyDescent="0.25">
      <c r="A996">
        <v>63</v>
      </c>
      <c r="B996">
        <v>6</v>
      </c>
      <c r="C996" s="3">
        <v>4618744</v>
      </c>
      <c r="D996" s="4">
        <v>7358720</v>
      </c>
      <c r="E996">
        <v>69</v>
      </c>
      <c r="F996" s="2">
        <v>0.83599999999999997</v>
      </c>
      <c r="G996" s="2">
        <v>0.61699999999999999</v>
      </c>
      <c r="H996" s="2">
        <v>5.3400000000000003E-2</v>
      </c>
      <c r="I996" s="2">
        <v>0.17</v>
      </c>
      <c r="J996" s="2">
        <v>0.31900000000000001</v>
      </c>
      <c r="K996" s="2">
        <v>0.86599999999999999</v>
      </c>
      <c r="L996" s="2">
        <v>-4.3630000000000004</v>
      </c>
    </row>
    <row r="997" spans="1:12" x14ac:dyDescent="0.25">
      <c r="A997">
        <v>142</v>
      </c>
      <c r="B997">
        <v>4</v>
      </c>
      <c r="C997" s="3">
        <v>4602336</v>
      </c>
      <c r="D997" s="4">
        <v>328877</v>
      </c>
      <c r="E997">
        <v>69</v>
      </c>
      <c r="F997" s="2">
        <v>0.76700000000000002</v>
      </c>
      <c r="G997" s="2">
        <v>0.56899999999999995</v>
      </c>
      <c r="H997" s="2">
        <v>0.216</v>
      </c>
      <c r="I997" s="2">
        <v>9.8799999999999999E-3</v>
      </c>
      <c r="J997" s="2">
        <v>0.109</v>
      </c>
      <c r="K997" s="2">
        <v>0.52400000000000002</v>
      </c>
      <c r="L997" s="2">
        <v>-6.8049999999999997</v>
      </c>
    </row>
    <row r="998" spans="1:12" x14ac:dyDescent="0.25">
      <c r="A998">
        <v>190</v>
      </c>
      <c r="B998">
        <v>1</v>
      </c>
      <c r="C998" s="3">
        <v>4598294</v>
      </c>
      <c r="D998" s="4">
        <v>7358720</v>
      </c>
      <c r="E998">
        <v>69</v>
      </c>
      <c r="F998" s="2">
        <v>0.83599999999999997</v>
      </c>
      <c r="G998" s="2">
        <v>0.61699999999999999</v>
      </c>
      <c r="H998" s="2">
        <v>5.3400000000000003E-2</v>
      </c>
      <c r="I998" s="2">
        <v>0.17</v>
      </c>
      <c r="J998" s="2">
        <v>0.31900000000000001</v>
      </c>
      <c r="K998" s="2">
        <v>0.86599999999999999</v>
      </c>
      <c r="L998" s="2">
        <v>-4.3630000000000004</v>
      </c>
    </row>
    <row r="999" spans="1:12" x14ac:dyDescent="0.25">
      <c r="A999">
        <v>111</v>
      </c>
      <c r="B999">
        <v>11</v>
      </c>
      <c r="C999" s="3">
        <v>4564331</v>
      </c>
      <c r="D999" s="4">
        <v>18306226</v>
      </c>
      <c r="E999">
        <v>69</v>
      </c>
      <c r="F999" s="2">
        <v>0.69399999999999995</v>
      </c>
      <c r="G999" s="2">
        <v>0.79600000000000004</v>
      </c>
      <c r="H999" s="2">
        <v>5.6500000000000002E-2</v>
      </c>
      <c r="I999" s="2">
        <v>0.48</v>
      </c>
      <c r="J999" s="2">
        <v>0.108</v>
      </c>
      <c r="K999" s="2">
        <v>0.51500000000000001</v>
      </c>
      <c r="L999" s="2">
        <v>-4.1639999999999997</v>
      </c>
    </row>
    <row r="1000" spans="1:12" x14ac:dyDescent="0.25">
      <c r="A1000">
        <v>176</v>
      </c>
      <c r="B1000">
        <v>3</v>
      </c>
      <c r="C1000" s="3">
        <v>4462411</v>
      </c>
      <c r="D1000" s="4">
        <v>9778632</v>
      </c>
      <c r="E1000">
        <v>69</v>
      </c>
      <c r="F1000" s="2">
        <v>0.89900000000000002</v>
      </c>
      <c r="G1000" s="2">
        <v>0.52800000000000002</v>
      </c>
      <c r="H1000" s="2">
        <v>0.18099999999999999</v>
      </c>
      <c r="I1000" s="2">
        <v>5.5400000000000002E-4</v>
      </c>
      <c r="J1000" s="2">
        <v>0.105</v>
      </c>
      <c r="K1000" s="2">
        <v>0.45600000000000002</v>
      </c>
      <c r="L1000" s="2">
        <v>-5.4420000000000002</v>
      </c>
    </row>
    <row r="1001" spans="1:12" x14ac:dyDescent="0.25">
      <c r="A1001">
        <v>126</v>
      </c>
      <c r="B1001">
        <v>5</v>
      </c>
      <c r="C1001" s="3">
        <v>4449437</v>
      </c>
      <c r="D1001" s="4">
        <v>2953525</v>
      </c>
      <c r="E1001">
        <v>69</v>
      </c>
      <c r="F1001" s="2">
        <v>0.81299999999999994</v>
      </c>
      <c r="G1001" s="2">
        <v>0.64</v>
      </c>
      <c r="H1001" s="2">
        <v>0.27200000000000002</v>
      </c>
      <c r="I1001" s="2">
        <v>0.26900000000000002</v>
      </c>
      <c r="J1001" s="2">
        <v>0.13100000000000001</v>
      </c>
      <c r="K1001" s="2">
        <v>0.48799999999999999</v>
      </c>
      <c r="L1001" s="2">
        <v>-5.9080000000000004</v>
      </c>
    </row>
    <row r="1002" spans="1:12" x14ac:dyDescent="0.25">
      <c r="A1002">
        <v>120</v>
      </c>
      <c r="B1002">
        <v>7</v>
      </c>
      <c r="C1002" s="3">
        <v>4440738</v>
      </c>
      <c r="D1002" s="4">
        <v>6671084</v>
      </c>
      <c r="E1002">
        <v>69</v>
      </c>
      <c r="F1002" s="2">
        <v>0.747</v>
      </c>
      <c r="G1002" s="2">
        <v>0.69299999999999995</v>
      </c>
      <c r="H1002" s="2">
        <v>0.29799999999999999</v>
      </c>
      <c r="I1002" s="2">
        <v>0.10199999999999999</v>
      </c>
      <c r="J1002" s="2">
        <v>8.72E-2</v>
      </c>
      <c r="K1002" s="2">
        <v>0.73599999999999999</v>
      </c>
      <c r="L1002" s="2">
        <v>-2.97</v>
      </c>
    </row>
    <row r="1003" spans="1:12" x14ac:dyDescent="0.25">
      <c r="A1003">
        <v>55</v>
      </c>
      <c r="B1003">
        <v>4</v>
      </c>
      <c r="C1003" s="3">
        <v>4438261</v>
      </c>
      <c r="D1003" s="4">
        <v>36177712</v>
      </c>
      <c r="E1003">
        <v>69</v>
      </c>
      <c r="F1003" s="2">
        <v>0.81</v>
      </c>
      <c r="G1003" s="2">
        <v>0.85399999999999998</v>
      </c>
      <c r="H1003" s="2">
        <v>0.254</v>
      </c>
      <c r="I1003" s="2">
        <v>7.3200000000000001E-2</v>
      </c>
      <c r="J1003" s="2">
        <v>0.123</v>
      </c>
      <c r="K1003" s="2">
        <v>0.879</v>
      </c>
      <c r="L1003" s="2">
        <v>-3.9990000000000001</v>
      </c>
    </row>
    <row r="1004" spans="1:12" x14ac:dyDescent="0.25">
      <c r="A1004">
        <v>77</v>
      </c>
      <c r="B1004">
        <v>14</v>
      </c>
      <c r="C1004" s="3">
        <v>4425610</v>
      </c>
      <c r="D1004" s="4">
        <v>7816213</v>
      </c>
      <c r="E1004">
        <v>69</v>
      </c>
      <c r="F1004" s="2">
        <v>0.88200000000000001</v>
      </c>
      <c r="G1004" s="2">
        <v>0.60199999999999998</v>
      </c>
      <c r="H1004" s="2">
        <v>0.245</v>
      </c>
      <c r="I1004" s="2">
        <v>1.77E-2</v>
      </c>
      <c r="J1004" s="2">
        <v>0.17799999999999999</v>
      </c>
      <c r="K1004" s="2">
        <v>0.43</v>
      </c>
      <c r="L1004" s="2">
        <v>-5.5540000000000003</v>
      </c>
    </row>
    <row r="1005" spans="1:12" x14ac:dyDescent="0.25">
      <c r="A1005">
        <v>196</v>
      </c>
      <c r="B1005">
        <v>1</v>
      </c>
      <c r="C1005" s="3">
        <v>4416484</v>
      </c>
      <c r="D1005" s="4">
        <v>6434201</v>
      </c>
      <c r="E1005">
        <v>69</v>
      </c>
      <c r="F1005" s="2">
        <v>0.443</v>
      </c>
      <c r="G1005" s="2">
        <v>0.53600000000000003</v>
      </c>
      <c r="H1005" s="2">
        <v>3.78E-2</v>
      </c>
      <c r="I1005" s="2">
        <v>1.9400000000000001E-2</v>
      </c>
      <c r="J1005" s="2">
        <v>0.1</v>
      </c>
      <c r="K1005" s="2">
        <v>3.9100000000000003E-2</v>
      </c>
      <c r="L1005" s="2">
        <v>-8.1869999999999994</v>
      </c>
    </row>
    <row r="1006" spans="1:12" x14ac:dyDescent="0.25">
      <c r="A1006">
        <v>25</v>
      </c>
      <c r="B1006">
        <v>9</v>
      </c>
      <c r="C1006" s="3">
        <v>4385148</v>
      </c>
      <c r="D1006" s="4">
        <v>8671649</v>
      </c>
      <c r="E1006">
        <v>69</v>
      </c>
      <c r="F1006" s="2">
        <v>0.85599999999999998</v>
      </c>
      <c r="G1006" s="2">
        <v>0.64100000000000001</v>
      </c>
      <c r="H1006" s="2">
        <v>0.20399999999999999</v>
      </c>
      <c r="I1006" s="2">
        <v>0.11899999999999999</v>
      </c>
      <c r="J1006" s="2">
        <v>0.42699999999999999</v>
      </c>
      <c r="K1006" s="2">
        <v>0.745</v>
      </c>
      <c r="L1006" s="2">
        <v>-4.6399999999999997</v>
      </c>
    </row>
    <row r="1007" spans="1:12" x14ac:dyDescent="0.25">
      <c r="A1007">
        <v>194</v>
      </c>
      <c r="B1007">
        <v>2</v>
      </c>
      <c r="C1007" s="3">
        <v>4261965</v>
      </c>
      <c r="D1007" s="4">
        <v>4963516</v>
      </c>
      <c r="E1007">
        <v>69</v>
      </c>
      <c r="F1007" s="2">
        <v>0.73699999999999999</v>
      </c>
      <c r="G1007" s="2">
        <v>0.83199999999999996</v>
      </c>
      <c r="H1007" s="2">
        <v>7.9799999999999996E-2</v>
      </c>
      <c r="I1007" s="2">
        <v>0.12</v>
      </c>
      <c r="J1007" s="2">
        <v>0.255</v>
      </c>
      <c r="K1007" s="2">
        <v>0.86499999999999999</v>
      </c>
      <c r="L1007" s="2">
        <v>-2.6219999999999999</v>
      </c>
    </row>
    <row r="1008" spans="1:12" x14ac:dyDescent="0.25">
      <c r="A1008">
        <v>104</v>
      </c>
      <c r="B1008">
        <v>1</v>
      </c>
      <c r="C1008" s="3">
        <v>7932101</v>
      </c>
      <c r="D1008" s="4">
        <v>33893352</v>
      </c>
      <c r="E1008">
        <v>68</v>
      </c>
      <c r="F1008" s="2">
        <v>0.59199999999999997</v>
      </c>
      <c r="G1008" s="2">
        <v>0.88500000000000001</v>
      </c>
      <c r="H1008" s="2">
        <v>8.0699999999999994E-2</v>
      </c>
      <c r="I1008" s="2">
        <v>5.0500000000000003E-2</v>
      </c>
      <c r="J1008" s="2">
        <v>8.43E-2</v>
      </c>
      <c r="K1008" s="2">
        <v>0.73099999999999998</v>
      </c>
      <c r="L1008" s="2">
        <v>-4.944</v>
      </c>
    </row>
    <row r="1009" spans="1:12" x14ac:dyDescent="0.25">
      <c r="A1009">
        <v>84</v>
      </c>
      <c r="B1009">
        <v>1</v>
      </c>
      <c r="C1009" s="3">
        <v>7762934</v>
      </c>
      <c r="D1009" s="4">
        <v>5019909</v>
      </c>
      <c r="E1009">
        <v>68</v>
      </c>
      <c r="F1009" s="2">
        <v>0.71399999999999997</v>
      </c>
      <c r="G1009" s="2">
        <v>0.58199999999999996</v>
      </c>
      <c r="H1009" s="2">
        <v>8.0799999999999997E-2</v>
      </c>
      <c r="I1009" s="2">
        <v>1.29E-2</v>
      </c>
      <c r="J1009" s="2">
        <v>7.7399999999999997E-2</v>
      </c>
      <c r="K1009" s="2">
        <v>0.33800000000000002</v>
      </c>
      <c r="L1009" s="2">
        <v>-7.2720000000000002</v>
      </c>
    </row>
    <row r="1010" spans="1:12" x14ac:dyDescent="0.25">
      <c r="A1010">
        <v>109</v>
      </c>
      <c r="B1010">
        <v>1</v>
      </c>
      <c r="C1010" s="3">
        <v>6655856</v>
      </c>
      <c r="D1010" s="4">
        <v>37151476</v>
      </c>
      <c r="E1010">
        <v>68</v>
      </c>
      <c r="F1010" s="2">
        <v>0.38500000000000001</v>
      </c>
      <c r="G1010" s="2">
        <v>0.79800000000000004</v>
      </c>
      <c r="H1010" s="2">
        <v>0.48299999999999998</v>
      </c>
      <c r="I1010" s="2">
        <v>0.115</v>
      </c>
      <c r="J1010" s="2">
        <v>0.18099999999999999</v>
      </c>
      <c r="K1010" s="2">
        <v>0.14099999999999999</v>
      </c>
      <c r="L1010" s="2">
        <v>-6.4390000000000001</v>
      </c>
    </row>
    <row r="1011" spans="1:12" x14ac:dyDescent="0.25">
      <c r="A1011">
        <v>15</v>
      </c>
      <c r="B1011">
        <v>8</v>
      </c>
      <c r="C1011" s="3">
        <v>6517807</v>
      </c>
      <c r="D1011" s="4">
        <v>48544923</v>
      </c>
      <c r="E1011">
        <v>68</v>
      </c>
      <c r="F1011" s="2">
        <v>0.82499999999999996</v>
      </c>
      <c r="G1011" s="2">
        <v>0.48299999999999998</v>
      </c>
      <c r="H1011" s="2">
        <v>0.08</v>
      </c>
      <c r="I1011" s="2">
        <v>0.53800000000000003</v>
      </c>
      <c r="J1011" s="2">
        <v>0.20399999999999999</v>
      </c>
      <c r="K1011" s="2">
        <v>0.89200000000000002</v>
      </c>
      <c r="L1011" s="2">
        <v>-5.7460000000000004</v>
      </c>
    </row>
    <row r="1012" spans="1:12" x14ac:dyDescent="0.25">
      <c r="A1012">
        <v>16</v>
      </c>
      <c r="B1012">
        <v>7</v>
      </c>
      <c r="C1012" s="3">
        <v>6107499</v>
      </c>
      <c r="D1012" s="4">
        <v>437907</v>
      </c>
      <c r="E1012">
        <v>68</v>
      </c>
      <c r="F1012" s="2">
        <v>0.55900000000000005</v>
      </c>
      <c r="G1012" s="2">
        <v>0.49099999999999999</v>
      </c>
      <c r="H1012" s="2">
        <v>3.4599999999999999E-2</v>
      </c>
      <c r="I1012" s="2">
        <v>5.67E-2</v>
      </c>
      <c r="J1012" s="2">
        <v>9.9199999999999997E-2</v>
      </c>
      <c r="K1012" s="2">
        <v>0.114</v>
      </c>
      <c r="L1012" s="2">
        <v>-6.4059999999999997</v>
      </c>
    </row>
    <row r="1013" spans="1:12" x14ac:dyDescent="0.25">
      <c r="A1013">
        <v>108</v>
      </c>
      <c r="B1013">
        <v>3</v>
      </c>
      <c r="C1013" s="3">
        <v>6020508</v>
      </c>
      <c r="D1013" s="4">
        <v>4442273</v>
      </c>
      <c r="E1013">
        <v>68</v>
      </c>
      <c r="F1013" s="2">
        <v>0.70199999999999996</v>
      </c>
      <c r="G1013" s="2">
        <v>0.50800000000000001</v>
      </c>
      <c r="H1013" s="2">
        <v>3.5000000000000003E-2</v>
      </c>
      <c r="I1013" s="2">
        <v>0.14399999999999999</v>
      </c>
      <c r="J1013" s="2">
        <v>0.108</v>
      </c>
      <c r="K1013" s="2">
        <v>0.14299999999999999</v>
      </c>
      <c r="L1013" s="2">
        <v>-7.1050000000000004</v>
      </c>
    </row>
    <row r="1014" spans="1:12" x14ac:dyDescent="0.25">
      <c r="A1014">
        <v>19</v>
      </c>
      <c r="B1014">
        <v>3</v>
      </c>
      <c r="C1014" s="3">
        <v>5963380</v>
      </c>
      <c r="D1014" s="4">
        <v>47061119</v>
      </c>
      <c r="E1014">
        <v>68</v>
      </c>
      <c r="F1014" s="2">
        <v>0.34300000000000003</v>
      </c>
      <c r="G1014" s="2">
        <v>0.24299999999999999</v>
      </c>
      <c r="H1014" s="2">
        <v>7.7700000000000005E-2</v>
      </c>
      <c r="I1014" s="2">
        <v>0.72099999999999997</v>
      </c>
      <c r="J1014" s="2">
        <v>6.6799999999999998E-2</v>
      </c>
      <c r="K1014" s="2">
        <v>3.2000000000000001E-2</v>
      </c>
      <c r="L1014" s="2">
        <v>-14.66</v>
      </c>
    </row>
    <row r="1015" spans="1:12" x14ac:dyDescent="0.25">
      <c r="A1015">
        <v>140</v>
      </c>
      <c r="B1015">
        <v>1</v>
      </c>
      <c r="C1015" s="3">
        <v>5936752</v>
      </c>
      <c r="D1015" s="4">
        <v>961181</v>
      </c>
      <c r="E1015">
        <v>68</v>
      </c>
      <c r="F1015" s="2">
        <v>0.80600000000000005</v>
      </c>
      <c r="G1015" s="2">
        <v>0.56499999999999995</v>
      </c>
      <c r="H1015" s="2">
        <v>0.113</v>
      </c>
      <c r="I1015" s="2">
        <v>0.47</v>
      </c>
      <c r="J1015" s="2">
        <v>8.2400000000000001E-2</v>
      </c>
      <c r="K1015" s="2">
        <v>0.311</v>
      </c>
      <c r="L1015" s="2">
        <v>-8.9600000000000009</v>
      </c>
    </row>
    <row r="1016" spans="1:12" x14ac:dyDescent="0.25">
      <c r="A1016">
        <v>167</v>
      </c>
      <c r="B1016">
        <v>1</v>
      </c>
      <c r="C1016" s="3">
        <v>5929516</v>
      </c>
      <c r="D1016" s="4">
        <v>7816213</v>
      </c>
      <c r="E1016">
        <v>68</v>
      </c>
      <c r="F1016" s="2">
        <v>0.88700000000000001</v>
      </c>
      <c r="G1016" s="2">
        <v>0.60599999999999998</v>
      </c>
      <c r="H1016" s="2">
        <v>0.32400000000000001</v>
      </c>
      <c r="I1016" s="2">
        <v>4.0700000000000003E-4</v>
      </c>
      <c r="J1016" s="2">
        <v>0.151</v>
      </c>
      <c r="K1016" s="2">
        <v>0.27200000000000002</v>
      </c>
      <c r="L1016" s="2">
        <v>-6.5720000000000001</v>
      </c>
    </row>
    <row r="1017" spans="1:12" x14ac:dyDescent="0.25">
      <c r="A1017">
        <v>111</v>
      </c>
      <c r="B1017">
        <v>3</v>
      </c>
      <c r="C1017" s="3">
        <v>5730427</v>
      </c>
      <c r="D1017" s="4">
        <v>7564659</v>
      </c>
      <c r="E1017">
        <v>68</v>
      </c>
      <c r="F1017" s="2">
        <v>0.59099999999999997</v>
      </c>
      <c r="G1017" s="2">
        <v>0.84099999999999997</v>
      </c>
      <c r="H1017" s="2">
        <v>3.04E-2</v>
      </c>
      <c r="I1017" s="2">
        <v>1.1900000000000001E-2</v>
      </c>
      <c r="J1017" s="2">
        <v>0.39500000000000002</v>
      </c>
      <c r="K1017" s="2">
        <v>0.39200000000000002</v>
      </c>
      <c r="L1017" s="2">
        <v>-4.351</v>
      </c>
    </row>
    <row r="1018" spans="1:12" x14ac:dyDescent="0.25">
      <c r="A1018">
        <v>146</v>
      </c>
      <c r="B1018">
        <v>1</v>
      </c>
      <c r="C1018" s="3">
        <v>5605234</v>
      </c>
      <c r="D1018" s="4">
        <v>19345579</v>
      </c>
      <c r="E1018">
        <v>68</v>
      </c>
      <c r="F1018" s="2">
        <v>0.76400000000000001</v>
      </c>
      <c r="G1018" s="2">
        <v>0.88700000000000001</v>
      </c>
      <c r="H1018" s="2">
        <v>7.4399999999999994E-2</v>
      </c>
      <c r="I1018" s="2">
        <v>8.1600000000000006E-2</v>
      </c>
      <c r="J1018" s="2">
        <v>0.84699999999999998</v>
      </c>
      <c r="K1018" s="2">
        <v>0.72</v>
      </c>
      <c r="L1018" s="2">
        <v>-3.726</v>
      </c>
    </row>
    <row r="1019" spans="1:12" x14ac:dyDescent="0.25">
      <c r="A1019">
        <v>53</v>
      </c>
      <c r="B1019">
        <v>4</v>
      </c>
      <c r="C1019" s="3">
        <v>5487069</v>
      </c>
      <c r="D1019" s="4">
        <v>5865895</v>
      </c>
      <c r="E1019">
        <v>68</v>
      </c>
      <c r="F1019" s="2">
        <v>0.81899999999999995</v>
      </c>
      <c r="G1019" s="2">
        <v>0.65400000000000003</v>
      </c>
      <c r="H1019" s="2">
        <v>0.13600000000000001</v>
      </c>
      <c r="I1019" s="2">
        <v>0.51700000000000002</v>
      </c>
      <c r="J1019" s="2">
        <v>9.9599999999999994E-2</v>
      </c>
      <c r="K1019" s="2">
        <v>0.45500000000000002</v>
      </c>
      <c r="L1019" s="2">
        <v>-6.665</v>
      </c>
    </row>
    <row r="1020" spans="1:12" x14ac:dyDescent="0.25">
      <c r="A1020">
        <v>77</v>
      </c>
      <c r="B1020">
        <v>2</v>
      </c>
      <c r="C1020" s="3">
        <v>5233336</v>
      </c>
      <c r="D1020" s="4">
        <v>4759367</v>
      </c>
      <c r="E1020">
        <v>68</v>
      </c>
      <c r="F1020" s="2">
        <v>0.78500000000000003</v>
      </c>
      <c r="G1020" s="2">
        <v>0.81799999999999995</v>
      </c>
      <c r="H1020" s="2">
        <v>9.9000000000000005E-2</v>
      </c>
      <c r="I1020" s="2">
        <v>0.624</v>
      </c>
      <c r="J1020" s="2">
        <v>0.14899999999999999</v>
      </c>
      <c r="K1020" s="2">
        <v>5.0299999999999997E-2</v>
      </c>
      <c r="L1020" s="2">
        <v>-8.7110000000000003</v>
      </c>
    </row>
    <row r="1021" spans="1:12" x14ac:dyDescent="0.25">
      <c r="A1021">
        <v>78</v>
      </c>
      <c r="B1021">
        <v>11</v>
      </c>
      <c r="C1021" s="3">
        <v>5206102</v>
      </c>
      <c r="D1021" s="4">
        <v>4963516</v>
      </c>
      <c r="E1021">
        <v>68</v>
      </c>
      <c r="F1021" s="2">
        <v>0.72899999999999998</v>
      </c>
      <c r="G1021" s="2">
        <v>0.72599999999999998</v>
      </c>
      <c r="H1021" s="2">
        <v>4.2200000000000001E-2</v>
      </c>
      <c r="I1021" s="2">
        <v>0.223</v>
      </c>
      <c r="J1021" s="2">
        <v>0.10100000000000001</v>
      </c>
      <c r="K1021" s="2">
        <v>0.876</v>
      </c>
      <c r="L1021" s="2">
        <v>-3.2080000000000002</v>
      </c>
    </row>
    <row r="1022" spans="1:12" x14ac:dyDescent="0.25">
      <c r="A1022">
        <v>12</v>
      </c>
      <c r="B1022">
        <v>9</v>
      </c>
      <c r="C1022" s="3">
        <v>5195842</v>
      </c>
      <c r="D1022" s="4">
        <v>28931149</v>
      </c>
      <c r="E1022">
        <v>68</v>
      </c>
      <c r="F1022" s="2">
        <v>0.83799999999999997</v>
      </c>
      <c r="G1022" s="2">
        <v>0.54500000000000004</v>
      </c>
      <c r="H1022" s="2">
        <v>7.0599999999999996E-2</v>
      </c>
      <c r="I1022" s="2">
        <v>0.20799999999999999</v>
      </c>
      <c r="J1022" s="2">
        <v>0.10299999999999999</v>
      </c>
      <c r="K1022" s="2">
        <v>0.63100000000000001</v>
      </c>
      <c r="L1022" s="2">
        <v>-6.7130000000000001</v>
      </c>
    </row>
    <row r="1023" spans="1:12" x14ac:dyDescent="0.25">
      <c r="A1023">
        <v>81</v>
      </c>
      <c r="B1023">
        <v>3</v>
      </c>
      <c r="C1023" s="3">
        <v>5193927</v>
      </c>
      <c r="D1023" s="4">
        <v>5888533</v>
      </c>
      <c r="E1023">
        <v>68</v>
      </c>
      <c r="F1023" s="2">
        <v>0.76</v>
      </c>
      <c r="G1023" s="2">
        <v>0.60699999999999998</v>
      </c>
      <c r="H1023" s="2">
        <v>9.64E-2</v>
      </c>
      <c r="I1023" s="2">
        <v>2.7699999999999999E-3</v>
      </c>
      <c r="J1023" s="2">
        <v>0.13200000000000001</v>
      </c>
      <c r="K1023" s="2">
        <v>0.70899999999999996</v>
      </c>
      <c r="L1023" s="2">
        <v>-6.274</v>
      </c>
    </row>
    <row r="1024" spans="1:12" x14ac:dyDescent="0.25">
      <c r="A1024">
        <v>68</v>
      </c>
      <c r="B1024">
        <v>18</v>
      </c>
      <c r="C1024" s="3">
        <v>5183246</v>
      </c>
      <c r="D1024" s="4">
        <v>68875</v>
      </c>
      <c r="E1024">
        <v>68</v>
      </c>
      <c r="F1024" s="2">
        <v>0.88500000000000001</v>
      </c>
      <c r="G1024" s="2">
        <v>0.68500000000000005</v>
      </c>
      <c r="H1024" s="2">
        <v>6.2700000000000006E-2</v>
      </c>
      <c r="I1024" s="2">
        <v>0.33</v>
      </c>
      <c r="J1024" s="2">
        <v>0.14799999999999999</v>
      </c>
      <c r="K1024" s="2">
        <v>0.93700000000000006</v>
      </c>
      <c r="L1024" s="2">
        <v>-6.4290000000000003</v>
      </c>
    </row>
    <row r="1025" spans="1:12" x14ac:dyDescent="0.25">
      <c r="A1025">
        <v>165</v>
      </c>
      <c r="B1025">
        <v>1</v>
      </c>
      <c r="C1025" s="3">
        <v>5116071</v>
      </c>
      <c r="D1025" s="4">
        <v>4894656</v>
      </c>
      <c r="E1025">
        <v>68</v>
      </c>
      <c r="F1025" s="2">
        <v>0.56899999999999995</v>
      </c>
      <c r="G1025" s="2">
        <v>0.86499999999999999</v>
      </c>
      <c r="H1025" s="2">
        <v>0.26600000000000001</v>
      </c>
      <c r="I1025" s="2">
        <v>6.7299999999999999E-2</v>
      </c>
      <c r="J1025" s="2">
        <v>0.312</v>
      </c>
      <c r="K1025" s="2">
        <v>0.36099999999999999</v>
      </c>
      <c r="L1025" s="2">
        <v>-3.8439999999999999</v>
      </c>
    </row>
    <row r="1026" spans="1:12" x14ac:dyDescent="0.25">
      <c r="A1026">
        <v>182</v>
      </c>
      <c r="B1026">
        <v>2</v>
      </c>
      <c r="C1026" s="3">
        <v>5085706</v>
      </c>
      <c r="D1026" s="4">
        <v>6608815</v>
      </c>
      <c r="E1026">
        <v>68</v>
      </c>
      <c r="F1026" s="2">
        <v>0.88600000000000001</v>
      </c>
      <c r="G1026" s="2">
        <v>0.47899999999999998</v>
      </c>
      <c r="H1026" s="2">
        <v>0.33400000000000002</v>
      </c>
      <c r="I1026" s="2">
        <v>7.6999999999999999E-2</v>
      </c>
      <c r="J1026" s="2">
        <v>0.13500000000000001</v>
      </c>
      <c r="K1026" s="2">
        <v>0.40799999999999997</v>
      </c>
      <c r="L1026" s="2">
        <v>-8.0540000000000003</v>
      </c>
    </row>
    <row r="1027" spans="1:12" x14ac:dyDescent="0.25">
      <c r="A1027">
        <v>32</v>
      </c>
      <c r="B1027">
        <v>3</v>
      </c>
      <c r="C1027" s="3">
        <v>5056387</v>
      </c>
      <c r="D1027" s="4">
        <v>23848461</v>
      </c>
      <c r="E1027">
        <v>68</v>
      </c>
      <c r="F1027" s="2">
        <v>0.80400000000000005</v>
      </c>
      <c r="G1027" s="2">
        <v>0.63300000000000001</v>
      </c>
      <c r="H1027" s="2">
        <v>6.1199999999999997E-2</v>
      </c>
      <c r="I1027" s="2">
        <v>3.7100000000000001E-2</v>
      </c>
      <c r="J1027" s="2">
        <v>0.10199999999999999</v>
      </c>
      <c r="K1027" s="2">
        <v>0.67</v>
      </c>
      <c r="L1027" s="2">
        <v>-6.1859999999999999</v>
      </c>
    </row>
    <row r="1028" spans="1:12" x14ac:dyDescent="0.25">
      <c r="A1028">
        <v>15</v>
      </c>
      <c r="B1028">
        <v>4</v>
      </c>
      <c r="C1028" s="3">
        <v>4986214</v>
      </c>
      <c r="D1028" s="4">
        <v>42227614</v>
      </c>
      <c r="E1028">
        <v>68</v>
      </c>
      <c r="F1028" s="2">
        <v>0.54600000000000004</v>
      </c>
      <c r="G1028" s="2">
        <v>0.61299999999999999</v>
      </c>
      <c r="H1028" s="2">
        <v>2.64E-2</v>
      </c>
      <c r="I1028" s="2">
        <v>0.41799999999999998</v>
      </c>
      <c r="J1028" s="2">
        <v>0.10299999999999999</v>
      </c>
      <c r="K1028" s="2">
        <v>0.53500000000000003</v>
      </c>
      <c r="L1028" s="2">
        <v>-7.5890000000000004</v>
      </c>
    </row>
    <row r="1029" spans="1:12" x14ac:dyDescent="0.25">
      <c r="A1029">
        <v>51</v>
      </c>
      <c r="B1029">
        <v>5</v>
      </c>
      <c r="C1029" s="3">
        <v>4947780</v>
      </c>
      <c r="D1029" s="4">
        <v>14190858</v>
      </c>
      <c r="E1029">
        <v>68</v>
      </c>
      <c r="F1029" s="2">
        <v>0.67900000000000005</v>
      </c>
      <c r="G1029" s="2">
        <v>0.40799999999999997</v>
      </c>
      <c r="H1029" s="2">
        <v>8.8200000000000001E-2</v>
      </c>
      <c r="I1029" s="2">
        <v>0.13300000000000001</v>
      </c>
      <c r="J1029" s="2">
        <v>0.23</v>
      </c>
      <c r="K1029" s="2">
        <v>0.151</v>
      </c>
      <c r="L1029" s="2">
        <v>-9.7539999999999996</v>
      </c>
    </row>
    <row r="1030" spans="1:12" x14ac:dyDescent="0.25">
      <c r="A1030">
        <v>49</v>
      </c>
      <c r="B1030">
        <v>4</v>
      </c>
      <c r="C1030" s="3">
        <v>4933462</v>
      </c>
      <c r="D1030" s="4">
        <v>16655692</v>
      </c>
      <c r="E1030">
        <v>68</v>
      </c>
      <c r="F1030" s="2">
        <v>0.63700000000000001</v>
      </c>
      <c r="G1030" s="2">
        <v>0.41799999999999998</v>
      </c>
      <c r="H1030" s="2">
        <v>0.30099999999999999</v>
      </c>
      <c r="I1030" s="2">
        <v>0.35299999999999998</v>
      </c>
      <c r="J1030" s="2">
        <v>0.13100000000000001</v>
      </c>
      <c r="K1030" s="2">
        <v>8.0699999999999994E-2</v>
      </c>
      <c r="L1030" s="2">
        <v>-7.1369999999999996</v>
      </c>
    </row>
    <row r="1031" spans="1:12" x14ac:dyDescent="0.25">
      <c r="A1031">
        <v>117</v>
      </c>
      <c r="B1031">
        <v>7</v>
      </c>
      <c r="C1031" s="3">
        <v>4905155</v>
      </c>
      <c r="D1031" s="4">
        <v>3337982</v>
      </c>
      <c r="E1031">
        <v>68</v>
      </c>
      <c r="F1031" s="2">
        <v>0.84499999999999997</v>
      </c>
      <c r="G1031" s="2">
        <v>0.63100000000000001</v>
      </c>
      <c r="H1031" s="2">
        <v>0.216</v>
      </c>
      <c r="I1031" s="2">
        <v>0.188</v>
      </c>
      <c r="J1031" s="2">
        <v>8.0600000000000005E-2</v>
      </c>
      <c r="K1031" s="2">
        <v>0.54500000000000004</v>
      </c>
      <c r="L1031" s="2">
        <v>-8.2059999999999995</v>
      </c>
    </row>
    <row r="1032" spans="1:12" x14ac:dyDescent="0.25">
      <c r="A1032">
        <v>190</v>
      </c>
      <c r="B1032">
        <v>1</v>
      </c>
      <c r="C1032" s="3">
        <v>4860714</v>
      </c>
      <c r="D1032" s="4">
        <v>2147875</v>
      </c>
      <c r="E1032">
        <v>68</v>
      </c>
      <c r="F1032" s="2">
        <v>0.63300000000000001</v>
      </c>
      <c r="G1032" s="2">
        <v>0.66400000000000003</v>
      </c>
      <c r="H1032" s="2">
        <v>2.9399999999999999E-2</v>
      </c>
      <c r="I1032" s="2">
        <v>0.46</v>
      </c>
      <c r="J1032" s="2">
        <v>0.108</v>
      </c>
      <c r="K1032" s="2">
        <v>0.26800000000000002</v>
      </c>
      <c r="L1032" s="2">
        <v>-5.0369999999999999</v>
      </c>
    </row>
    <row r="1033" spans="1:12" x14ac:dyDescent="0.25">
      <c r="A1033">
        <v>52</v>
      </c>
      <c r="B1033">
        <v>7</v>
      </c>
      <c r="C1033" s="3">
        <v>4838067</v>
      </c>
      <c r="D1033" s="4">
        <v>18936929</v>
      </c>
      <c r="E1033">
        <v>68</v>
      </c>
      <c r="F1033" s="2">
        <v>0.63900000000000001</v>
      </c>
      <c r="G1033" s="2">
        <v>0.54600000000000004</v>
      </c>
      <c r="H1033" s="2">
        <v>4.07E-2</v>
      </c>
      <c r="I1033" s="2">
        <v>8.3699999999999997E-2</v>
      </c>
      <c r="J1033" s="2">
        <v>0.122</v>
      </c>
      <c r="K1033" s="2">
        <v>0.14899999999999999</v>
      </c>
      <c r="L1033" s="2">
        <v>-5.3819999999999997</v>
      </c>
    </row>
    <row r="1034" spans="1:12" x14ac:dyDescent="0.25">
      <c r="A1034">
        <v>123</v>
      </c>
      <c r="B1034">
        <v>6</v>
      </c>
      <c r="C1034" s="3">
        <v>4781697</v>
      </c>
      <c r="D1034" s="4">
        <v>6332535</v>
      </c>
      <c r="E1034">
        <v>68</v>
      </c>
      <c r="F1034" s="2">
        <v>0.93200000000000005</v>
      </c>
      <c r="G1034" s="2">
        <v>0.54700000000000004</v>
      </c>
      <c r="H1034" s="2">
        <v>0.33300000000000002</v>
      </c>
      <c r="I1034" s="2">
        <v>3.8800000000000001E-2</v>
      </c>
      <c r="J1034" s="2">
        <v>9.2399999999999996E-2</v>
      </c>
      <c r="K1034" s="2">
        <v>0.69499999999999995</v>
      </c>
      <c r="L1034" s="2">
        <v>-7.7869999999999999</v>
      </c>
    </row>
    <row r="1035" spans="1:12" x14ac:dyDescent="0.25">
      <c r="A1035">
        <v>27</v>
      </c>
      <c r="B1035">
        <v>8</v>
      </c>
      <c r="C1035" s="3">
        <v>4764355</v>
      </c>
      <c r="D1035" s="4">
        <v>17097317</v>
      </c>
      <c r="E1035">
        <v>68</v>
      </c>
      <c r="F1035" s="2">
        <v>0.501</v>
      </c>
      <c r="G1035" s="2">
        <v>0.67400000000000004</v>
      </c>
      <c r="H1035" s="2">
        <v>4.0800000000000003E-2</v>
      </c>
      <c r="I1035" s="2">
        <v>3.46E-3</v>
      </c>
      <c r="J1035" s="2">
        <v>0.28199999999999997</v>
      </c>
      <c r="K1035" s="2">
        <v>0.152</v>
      </c>
      <c r="L1035" s="2">
        <v>-6.3630000000000004</v>
      </c>
    </row>
    <row r="1036" spans="1:12" x14ac:dyDescent="0.25">
      <c r="A1036">
        <v>174</v>
      </c>
      <c r="B1036">
        <v>2</v>
      </c>
      <c r="C1036" s="3">
        <v>4633313</v>
      </c>
      <c r="D1036" s="4">
        <v>18306226</v>
      </c>
      <c r="E1036">
        <v>68</v>
      </c>
      <c r="F1036" s="2">
        <v>0.61399999999999999</v>
      </c>
      <c r="G1036" s="2">
        <v>0.746</v>
      </c>
      <c r="H1036" s="2">
        <v>0.19600000000000001</v>
      </c>
      <c r="I1036" s="2">
        <v>0.34699999999999998</v>
      </c>
      <c r="J1036" s="2">
        <v>8.7400000000000005E-2</v>
      </c>
      <c r="K1036" s="2">
        <v>0.60099999999999998</v>
      </c>
      <c r="L1036" s="2">
        <v>-3.5270000000000001</v>
      </c>
    </row>
    <row r="1037" spans="1:12" x14ac:dyDescent="0.25">
      <c r="A1037">
        <v>112</v>
      </c>
      <c r="B1037">
        <v>10</v>
      </c>
      <c r="C1037" s="3">
        <v>4615520</v>
      </c>
      <c r="D1037" s="4">
        <v>1555628</v>
      </c>
      <c r="E1037">
        <v>68</v>
      </c>
      <c r="F1037" s="2">
        <v>0.93500000000000005</v>
      </c>
      <c r="G1037" s="2">
        <v>0.71</v>
      </c>
      <c r="H1037" s="2">
        <v>0.158</v>
      </c>
      <c r="I1037" s="2">
        <v>7.6899999999999996E-2</v>
      </c>
      <c r="J1037" s="2">
        <v>0.17299999999999999</v>
      </c>
      <c r="K1037" s="2">
        <v>0.63500000000000001</v>
      </c>
      <c r="L1037" s="2">
        <v>-5.085</v>
      </c>
    </row>
    <row r="1038" spans="1:12" x14ac:dyDescent="0.25">
      <c r="A1038">
        <v>177</v>
      </c>
      <c r="B1038">
        <v>1</v>
      </c>
      <c r="C1038" s="3">
        <v>4603243</v>
      </c>
      <c r="D1038" s="4">
        <v>4894562</v>
      </c>
      <c r="E1038">
        <v>68</v>
      </c>
      <c r="F1038" s="2">
        <v>0.57399999999999995</v>
      </c>
      <c r="G1038" s="2">
        <v>0.79100000000000004</v>
      </c>
      <c r="H1038" s="2">
        <v>0.11</v>
      </c>
      <c r="I1038" s="2">
        <v>0.41899999999999998</v>
      </c>
      <c r="J1038" s="2">
        <v>9.8199999999999996E-2</v>
      </c>
      <c r="K1038" s="2">
        <v>0.61199999999999999</v>
      </c>
      <c r="L1038" s="2">
        <v>-3.7519999999999998</v>
      </c>
    </row>
    <row r="1039" spans="1:12" x14ac:dyDescent="0.25">
      <c r="A1039">
        <v>183</v>
      </c>
      <c r="B1039">
        <v>2</v>
      </c>
      <c r="C1039" s="3">
        <v>4580123</v>
      </c>
      <c r="D1039" s="4">
        <v>4281787</v>
      </c>
      <c r="E1039">
        <v>68</v>
      </c>
      <c r="F1039" s="2">
        <v>0.59899999999999998</v>
      </c>
      <c r="G1039" s="2">
        <v>0.91400000000000003</v>
      </c>
      <c r="H1039" s="2">
        <v>6.2899999999999998E-2</v>
      </c>
      <c r="I1039" s="2">
        <v>0.5</v>
      </c>
      <c r="J1039" s="2">
        <v>0.69399999999999995</v>
      </c>
      <c r="K1039" s="2">
        <v>0.83099999999999996</v>
      </c>
      <c r="L1039" s="2">
        <v>-2.415</v>
      </c>
    </row>
    <row r="1040" spans="1:12" x14ac:dyDescent="0.25">
      <c r="A1040">
        <v>134</v>
      </c>
      <c r="B1040">
        <v>6</v>
      </c>
      <c r="C1040" s="3">
        <v>4572706</v>
      </c>
      <c r="D1040" s="4">
        <v>166517</v>
      </c>
      <c r="E1040">
        <v>68</v>
      </c>
      <c r="F1040" s="2">
        <v>0.88</v>
      </c>
      <c r="G1040" s="2">
        <v>0.60699999999999998</v>
      </c>
      <c r="H1040" s="2">
        <v>7.7700000000000005E-2</v>
      </c>
      <c r="I1040" s="2">
        <v>0.19500000000000001</v>
      </c>
      <c r="J1040" s="2">
        <v>0.15</v>
      </c>
      <c r="K1040" s="2">
        <v>0.82299999999999995</v>
      </c>
      <c r="L1040" s="2">
        <v>-7.0670000000000002</v>
      </c>
    </row>
    <row r="1041" spans="1:12" x14ac:dyDescent="0.25">
      <c r="A1041">
        <v>177</v>
      </c>
      <c r="B1041">
        <v>2</v>
      </c>
      <c r="C1041" s="3">
        <v>4571916</v>
      </c>
      <c r="D1041" s="4">
        <v>1276292</v>
      </c>
      <c r="E1041">
        <v>68</v>
      </c>
      <c r="F1041" s="2">
        <v>0.81599999999999995</v>
      </c>
      <c r="G1041" s="2">
        <v>0.57899999999999996</v>
      </c>
      <c r="H1041" s="2">
        <v>8.6699999999999999E-2</v>
      </c>
      <c r="I1041" s="2">
        <v>0.20300000000000001</v>
      </c>
      <c r="J1041" s="2">
        <v>0.127</v>
      </c>
      <c r="K1041" s="2">
        <v>0.43</v>
      </c>
      <c r="L1041" s="2">
        <v>-6.0970000000000004</v>
      </c>
    </row>
    <row r="1042" spans="1:12" x14ac:dyDescent="0.25">
      <c r="A1042">
        <v>74</v>
      </c>
      <c r="B1042">
        <v>5</v>
      </c>
      <c r="C1042" s="3">
        <v>4480780</v>
      </c>
      <c r="D1042" s="4">
        <v>328877</v>
      </c>
      <c r="E1042">
        <v>68</v>
      </c>
      <c r="F1042" s="2">
        <v>0.68</v>
      </c>
      <c r="G1042" s="2">
        <v>0.82599999999999996</v>
      </c>
      <c r="H1042" s="2">
        <v>0.27</v>
      </c>
      <c r="I1042" s="2">
        <v>0.56200000000000006</v>
      </c>
      <c r="J1042" s="2">
        <v>0.254</v>
      </c>
      <c r="K1042" s="2">
        <v>0.80400000000000005</v>
      </c>
      <c r="L1042" s="2">
        <v>-2.5609999999999999</v>
      </c>
    </row>
    <row r="1043" spans="1:12" x14ac:dyDescent="0.25">
      <c r="A1043">
        <v>43</v>
      </c>
      <c r="B1043">
        <v>12</v>
      </c>
      <c r="C1043" s="3">
        <v>4463865</v>
      </c>
      <c r="D1043" s="4">
        <v>7593792</v>
      </c>
      <c r="E1043">
        <v>68</v>
      </c>
      <c r="F1043" s="2">
        <v>0.79400000000000004</v>
      </c>
      <c r="G1043" s="2">
        <v>0.72799999999999998</v>
      </c>
      <c r="H1043" s="2">
        <v>0.114</v>
      </c>
      <c r="I1043" s="2">
        <v>0.121</v>
      </c>
      <c r="J1043" s="2">
        <v>0.22700000000000001</v>
      </c>
      <c r="K1043" s="2">
        <v>0.36</v>
      </c>
      <c r="L1043" s="2">
        <v>-6.7590000000000003</v>
      </c>
    </row>
    <row r="1044" spans="1:12" x14ac:dyDescent="0.25">
      <c r="A1044">
        <v>44</v>
      </c>
      <c r="B1044">
        <v>1</v>
      </c>
      <c r="C1044" s="3">
        <v>12660806</v>
      </c>
      <c r="D1044" s="4">
        <v>36177712</v>
      </c>
      <c r="E1044">
        <v>67</v>
      </c>
      <c r="F1044" s="2">
        <v>0.76200000000000001</v>
      </c>
      <c r="G1044" s="2">
        <v>0.86099999999999999</v>
      </c>
      <c r="H1044" s="2">
        <v>6.5199999999999994E-2</v>
      </c>
      <c r="I1044" s="2">
        <v>0.13900000000000001</v>
      </c>
      <c r="J1044" s="2">
        <v>9.5600000000000004E-2</v>
      </c>
      <c r="K1044" s="2">
        <v>0.58799999999999997</v>
      </c>
      <c r="L1044" s="2">
        <v>-4.0750000000000002</v>
      </c>
    </row>
    <row r="1045" spans="1:12" x14ac:dyDescent="0.25">
      <c r="A1045">
        <v>48</v>
      </c>
      <c r="B1045">
        <v>1</v>
      </c>
      <c r="C1045" s="3">
        <v>12507010</v>
      </c>
      <c r="D1045" s="4">
        <v>36177712</v>
      </c>
      <c r="E1045">
        <v>67</v>
      </c>
      <c r="F1045" s="2">
        <v>0.71599999999999997</v>
      </c>
      <c r="G1045" s="2">
        <v>0.52200000000000002</v>
      </c>
      <c r="H1045" s="2">
        <v>5.8200000000000002E-2</v>
      </c>
      <c r="I1045" s="2">
        <v>0.16600000000000001</v>
      </c>
      <c r="J1045" s="2">
        <v>0.113</v>
      </c>
      <c r="K1045" s="2">
        <v>0.224</v>
      </c>
      <c r="L1045" s="2">
        <v>-6.8339999999999996</v>
      </c>
    </row>
    <row r="1046" spans="1:12" x14ac:dyDescent="0.25">
      <c r="A1046">
        <v>49</v>
      </c>
      <c r="B1046">
        <v>1</v>
      </c>
      <c r="C1046" s="3">
        <v>12059592</v>
      </c>
      <c r="D1046" s="4">
        <v>11821805</v>
      </c>
      <c r="E1046">
        <v>67</v>
      </c>
      <c r="F1046" s="2">
        <v>0.71899999999999997</v>
      </c>
      <c r="G1046" s="2">
        <v>0.61099999999999999</v>
      </c>
      <c r="H1046" s="2">
        <v>4.0300000000000002E-2</v>
      </c>
      <c r="I1046" s="2">
        <v>5.8200000000000002E-2</v>
      </c>
      <c r="J1046" s="2">
        <v>0.155</v>
      </c>
      <c r="K1046" s="2">
        <v>0.48899999999999999</v>
      </c>
      <c r="L1046" s="2">
        <v>-5.01</v>
      </c>
    </row>
    <row r="1047" spans="1:12" x14ac:dyDescent="0.25">
      <c r="A1047">
        <v>61</v>
      </c>
      <c r="B1047">
        <v>1</v>
      </c>
      <c r="C1047" s="3">
        <v>9039518</v>
      </c>
      <c r="D1047" s="4">
        <v>11821805</v>
      </c>
      <c r="E1047">
        <v>67</v>
      </c>
      <c r="F1047" s="2">
        <v>0.73299999999999998</v>
      </c>
      <c r="G1047" s="2">
        <v>0.56699999999999995</v>
      </c>
      <c r="H1047" s="2">
        <v>0.31900000000000001</v>
      </c>
      <c r="I1047" s="2">
        <v>1.29E-2</v>
      </c>
      <c r="J1047" s="2">
        <v>0.38200000000000001</v>
      </c>
      <c r="K1047" s="2">
        <v>0.31900000000000001</v>
      </c>
      <c r="L1047" s="2">
        <v>-6.718</v>
      </c>
    </row>
    <row r="1048" spans="1:12" x14ac:dyDescent="0.25">
      <c r="A1048">
        <v>58</v>
      </c>
      <c r="B1048">
        <v>1</v>
      </c>
      <c r="C1048" s="3">
        <v>9011502</v>
      </c>
      <c r="D1048" s="4">
        <v>6852509</v>
      </c>
      <c r="E1048">
        <v>67</v>
      </c>
      <c r="F1048" s="2">
        <v>0.71299999999999997</v>
      </c>
      <c r="G1048" s="2">
        <v>0.60499999999999998</v>
      </c>
      <c r="H1048" s="2">
        <v>0.107</v>
      </c>
      <c r="I1048" s="2">
        <v>0.497</v>
      </c>
      <c r="J1048" s="2">
        <v>0.115</v>
      </c>
      <c r="K1048" s="2">
        <v>0.432</v>
      </c>
      <c r="L1048" s="2">
        <v>-7.4870000000000001</v>
      </c>
    </row>
    <row r="1049" spans="1:12" x14ac:dyDescent="0.25">
      <c r="A1049">
        <v>74</v>
      </c>
      <c r="B1049">
        <v>1</v>
      </c>
      <c r="C1049" s="3">
        <v>8912458</v>
      </c>
      <c r="D1049" s="4">
        <v>48544923</v>
      </c>
      <c r="E1049">
        <v>67</v>
      </c>
      <c r="F1049" s="2">
        <v>0.71399999999999997</v>
      </c>
      <c r="G1049" s="2">
        <v>0.83299999999999996</v>
      </c>
      <c r="H1049" s="2">
        <v>2.5899999999999999E-2</v>
      </c>
      <c r="I1049" s="2">
        <v>2.49E-3</v>
      </c>
      <c r="J1049" s="2">
        <v>0.29799999999999999</v>
      </c>
      <c r="K1049" s="2">
        <v>0.66300000000000003</v>
      </c>
      <c r="L1049" s="2">
        <v>-5.2389999999999999</v>
      </c>
    </row>
    <row r="1050" spans="1:12" x14ac:dyDescent="0.25">
      <c r="A1050">
        <v>118</v>
      </c>
      <c r="B1050">
        <v>1</v>
      </c>
      <c r="C1050" s="3">
        <v>6960699</v>
      </c>
      <c r="D1050" s="4">
        <v>6189454</v>
      </c>
      <c r="E1050">
        <v>67</v>
      </c>
      <c r="F1050" s="2">
        <v>0.82799999999999996</v>
      </c>
      <c r="G1050" s="2">
        <v>0.182</v>
      </c>
      <c r="H1050" s="2">
        <v>0.16600000000000001</v>
      </c>
      <c r="I1050" s="2">
        <v>0.754</v>
      </c>
      <c r="J1050" s="2">
        <v>0.15</v>
      </c>
      <c r="K1050" s="2">
        <v>0.23100000000000001</v>
      </c>
      <c r="L1050" s="2">
        <v>-13.066000000000001</v>
      </c>
    </row>
    <row r="1051" spans="1:12" x14ac:dyDescent="0.25">
      <c r="A1051">
        <v>97</v>
      </c>
      <c r="B1051">
        <v>1</v>
      </c>
      <c r="C1051" s="3">
        <v>6936305</v>
      </c>
      <c r="D1051" s="4">
        <v>4759367</v>
      </c>
      <c r="E1051">
        <v>67</v>
      </c>
      <c r="F1051" s="2">
        <v>0.48</v>
      </c>
      <c r="G1051" s="2">
        <v>0.373</v>
      </c>
      <c r="H1051" s="2">
        <v>2.7799999999999998E-2</v>
      </c>
      <c r="I1051" s="2">
        <v>0.80400000000000005</v>
      </c>
      <c r="J1051" s="2">
        <v>0.12</v>
      </c>
      <c r="K1051" s="2">
        <v>3.7600000000000001E-2</v>
      </c>
      <c r="L1051" s="2">
        <v>-9.2970000000000006</v>
      </c>
    </row>
    <row r="1052" spans="1:12" x14ac:dyDescent="0.25">
      <c r="A1052">
        <v>11</v>
      </c>
      <c r="B1052">
        <v>4</v>
      </c>
      <c r="C1052" s="3">
        <v>6846771</v>
      </c>
      <c r="D1052" s="4">
        <v>23848461</v>
      </c>
      <c r="E1052">
        <v>67</v>
      </c>
      <c r="F1052" s="2">
        <v>0.65300000000000002</v>
      </c>
      <c r="G1052" s="2">
        <v>0.66200000000000003</v>
      </c>
      <c r="H1052" s="2">
        <v>0.16200000000000001</v>
      </c>
      <c r="I1052" s="2">
        <v>4.6499999999999996E-3</v>
      </c>
      <c r="J1052" s="2">
        <v>6.2600000000000003E-2</v>
      </c>
      <c r="K1052" s="2">
        <v>0.67400000000000004</v>
      </c>
      <c r="L1052" s="2">
        <v>-6.1680000000000001</v>
      </c>
    </row>
    <row r="1053" spans="1:12" x14ac:dyDescent="0.25">
      <c r="A1053">
        <v>29</v>
      </c>
      <c r="B1053">
        <v>2</v>
      </c>
      <c r="C1053" s="3">
        <v>6796343</v>
      </c>
      <c r="D1053" s="4">
        <v>42227614</v>
      </c>
      <c r="E1053">
        <v>67</v>
      </c>
      <c r="F1053" s="2">
        <v>0.59199999999999997</v>
      </c>
      <c r="G1053" s="2">
        <v>0.69899999999999995</v>
      </c>
      <c r="H1053" s="2">
        <v>4.7100000000000003E-2</v>
      </c>
      <c r="I1053" s="2">
        <v>0.65500000000000003</v>
      </c>
      <c r="J1053" s="2">
        <v>0.114</v>
      </c>
      <c r="K1053" s="2">
        <v>0.50600000000000001</v>
      </c>
      <c r="L1053" s="2">
        <v>-8.9949999999999992</v>
      </c>
    </row>
    <row r="1054" spans="1:12" x14ac:dyDescent="0.25">
      <c r="A1054">
        <v>103</v>
      </c>
      <c r="B1054">
        <v>1</v>
      </c>
      <c r="C1054" s="3">
        <v>6651425</v>
      </c>
      <c r="D1054" s="4">
        <v>29067437</v>
      </c>
      <c r="E1054">
        <v>67</v>
      </c>
      <c r="F1054" s="2">
        <v>0.79500000000000004</v>
      </c>
      <c r="G1054" s="2">
        <v>0.91100000000000003</v>
      </c>
      <c r="H1054" s="2">
        <v>8.7499999999999994E-2</v>
      </c>
      <c r="I1054" s="2">
        <v>1.5699999999999999E-2</v>
      </c>
      <c r="J1054" s="2">
        <v>0.13100000000000001</v>
      </c>
      <c r="K1054" s="2">
        <v>0.8</v>
      </c>
      <c r="L1054" s="2">
        <v>-2.2280000000000002</v>
      </c>
    </row>
    <row r="1055" spans="1:12" x14ac:dyDescent="0.25">
      <c r="A1055">
        <v>83</v>
      </c>
      <c r="B1055">
        <v>1</v>
      </c>
      <c r="C1055" s="3">
        <v>6642144</v>
      </c>
      <c r="D1055" s="4">
        <v>3337982</v>
      </c>
      <c r="E1055">
        <v>67</v>
      </c>
      <c r="F1055" s="2">
        <v>0.83699999999999997</v>
      </c>
      <c r="G1055" s="2">
        <v>0.58599999999999997</v>
      </c>
      <c r="H1055" s="2">
        <v>8.0699999999999994E-2</v>
      </c>
      <c r="I1055" s="2">
        <v>0.28100000000000003</v>
      </c>
      <c r="J1055" s="2">
        <v>0.13400000000000001</v>
      </c>
      <c r="K1055" s="2">
        <v>0.61799999999999999</v>
      </c>
      <c r="L1055" s="2">
        <v>-8.5210000000000008</v>
      </c>
    </row>
    <row r="1056" spans="1:12" x14ac:dyDescent="0.25">
      <c r="A1056">
        <v>24</v>
      </c>
      <c r="B1056">
        <v>2</v>
      </c>
      <c r="C1056" s="3">
        <v>6635109</v>
      </c>
      <c r="D1056" s="4">
        <v>42227614</v>
      </c>
      <c r="E1056">
        <v>67</v>
      </c>
      <c r="F1056" s="2">
        <v>0.316</v>
      </c>
      <c r="G1056" s="2">
        <v>0.36099999999999999</v>
      </c>
      <c r="H1056" s="2">
        <v>4.8800000000000003E-2</v>
      </c>
      <c r="I1056" s="2">
        <v>0.878</v>
      </c>
      <c r="J1056" s="2">
        <v>7.9699999999999993E-2</v>
      </c>
      <c r="K1056" s="2">
        <v>0.221</v>
      </c>
      <c r="L1056" s="2">
        <v>-10.381</v>
      </c>
    </row>
    <row r="1057" spans="1:12" x14ac:dyDescent="0.25">
      <c r="A1057">
        <v>123</v>
      </c>
      <c r="B1057">
        <v>1</v>
      </c>
      <c r="C1057" s="3">
        <v>6540577</v>
      </c>
      <c r="D1057" s="4">
        <v>7816213</v>
      </c>
      <c r="E1057">
        <v>67</v>
      </c>
      <c r="F1057" s="2">
        <v>0.89200000000000002</v>
      </c>
      <c r="G1057" s="2">
        <v>0.48599999999999999</v>
      </c>
      <c r="H1057" s="2">
        <v>0.38400000000000001</v>
      </c>
      <c r="I1057" s="2">
        <v>4.8000000000000001E-2</v>
      </c>
      <c r="J1057" s="2">
        <v>0.14599999999999999</v>
      </c>
      <c r="K1057" s="2">
        <v>0.53500000000000003</v>
      </c>
      <c r="L1057" s="2">
        <v>-8.6370000000000005</v>
      </c>
    </row>
    <row r="1058" spans="1:12" x14ac:dyDescent="0.25">
      <c r="A1058">
        <v>90</v>
      </c>
      <c r="B1058">
        <v>1</v>
      </c>
      <c r="C1058" s="3">
        <v>6511008</v>
      </c>
      <c r="D1058" s="4">
        <v>35340069</v>
      </c>
      <c r="E1058">
        <v>67</v>
      </c>
      <c r="F1058" s="2">
        <v>0.67900000000000005</v>
      </c>
      <c r="G1058" s="2">
        <v>0.73099999999999998</v>
      </c>
      <c r="H1058" s="2">
        <v>3.1899999999999998E-2</v>
      </c>
      <c r="I1058" s="2">
        <v>5.1799999999999997E-3</v>
      </c>
      <c r="J1058" s="2">
        <v>6.1400000000000003E-2</v>
      </c>
      <c r="K1058" s="2">
        <v>0.72699999999999998</v>
      </c>
      <c r="L1058" s="2">
        <v>-5.5220000000000002</v>
      </c>
    </row>
    <row r="1059" spans="1:12" x14ac:dyDescent="0.25">
      <c r="A1059">
        <v>120</v>
      </c>
      <c r="B1059">
        <v>1</v>
      </c>
      <c r="C1059" s="3">
        <v>6373954</v>
      </c>
      <c r="D1059" s="4">
        <v>37151476</v>
      </c>
      <c r="E1059">
        <v>67</v>
      </c>
      <c r="F1059" s="2">
        <v>0.66100000000000003</v>
      </c>
      <c r="G1059" s="2">
        <v>0.84</v>
      </c>
      <c r="H1059" s="2">
        <v>0.11600000000000001</v>
      </c>
      <c r="I1059" s="2">
        <v>4.8500000000000001E-3</v>
      </c>
      <c r="J1059" s="2">
        <v>0.28699999999999998</v>
      </c>
      <c r="K1059" s="2">
        <v>0.52400000000000002</v>
      </c>
      <c r="L1059" s="2">
        <v>-4.8049999999999997</v>
      </c>
    </row>
    <row r="1060" spans="1:12" x14ac:dyDescent="0.25">
      <c r="A1060">
        <v>107</v>
      </c>
      <c r="B1060">
        <v>2</v>
      </c>
      <c r="C1060" s="3">
        <v>6145132</v>
      </c>
      <c r="D1060" s="4">
        <v>18195884</v>
      </c>
      <c r="E1060">
        <v>67</v>
      </c>
      <c r="F1060" s="2">
        <v>0.58399999999999996</v>
      </c>
      <c r="G1060" s="2">
        <v>0.60699999999999998</v>
      </c>
      <c r="H1060" s="2">
        <v>3.56E-2</v>
      </c>
      <c r="I1060" s="2">
        <v>0.42599999999999999</v>
      </c>
      <c r="J1060" s="2">
        <v>0.10100000000000001</v>
      </c>
      <c r="K1060" s="2">
        <v>0.374</v>
      </c>
      <c r="L1060" s="2">
        <v>-6.6050000000000004</v>
      </c>
    </row>
    <row r="1061" spans="1:12" x14ac:dyDescent="0.25">
      <c r="A1061">
        <v>12</v>
      </c>
      <c r="B1061">
        <v>3</v>
      </c>
      <c r="C1061" s="3">
        <v>6085143</v>
      </c>
      <c r="D1061" s="4">
        <v>56327031</v>
      </c>
      <c r="E1061">
        <v>67</v>
      </c>
      <c r="F1061" s="2">
        <v>0.82499999999999996</v>
      </c>
      <c r="G1061" s="2">
        <v>0.373</v>
      </c>
      <c r="H1061" s="2">
        <v>0.108</v>
      </c>
      <c r="I1061" s="2">
        <v>0.16300000000000001</v>
      </c>
      <c r="J1061" s="2">
        <v>0.36799999999999999</v>
      </c>
      <c r="K1061" s="2">
        <v>0.12</v>
      </c>
      <c r="L1061" s="2">
        <v>-5.532</v>
      </c>
    </row>
    <row r="1062" spans="1:12" x14ac:dyDescent="0.25">
      <c r="A1062">
        <v>41</v>
      </c>
      <c r="B1062">
        <v>2</v>
      </c>
      <c r="C1062" s="3">
        <v>5943851</v>
      </c>
      <c r="D1062" s="4">
        <v>42227614</v>
      </c>
      <c r="E1062">
        <v>67</v>
      </c>
      <c r="F1062" s="2">
        <v>0.64700000000000002</v>
      </c>
      <c r="G1062" s="2">
        <v>0.27200000000000002</v>
      </c>
      <c r="H1062" s="2">
        <v>9.1600000000000001E-2</v>
      </c>
      <c r="I1062" s="2">
        <v>0.91800000000000004</v>
      </c>
      <c r="J1062" s="2">
        <v>9.1800000000000007E-2</v>
      </c>
      <c r="K1062" s="2">
        <v>0.33900000000000002</v>
      </c>
      <c r="L1062" s="2">
        <v>-12.906000000000001</v>
      </c>
    </row>
    <row r="1063" spans="1:12" x14ac:dyDescent="0.25">
      <c r="A1063">
        <v>76</v>
      </c>
      <c r="B1063">
        <v>16</v>
      </c>
      <c r="C1063" s="3">
        <v>5914661</v>
      </c>
      <c r="D1063" s="4">
        <v>1838616</v>
      </c>
      <c r="E1063">
        <v>67</v>
      </c>
      <c r="F1063" s="2">
        <v>0.44500000000000001</v>
      </c>
      <c r="G1063" s="2">
        <v>0.53700000000000003</v>
      </c>
      <c r="H1063" s="2">
        <v>0.04</v>
      </c>
      <c r="I1063" s="2">
        <v>0.69499999999999995</v>
      </c>
      <c r="J1063" s="2">
        <v>9.4100000000000003E-2</v>
      </c>
      <c r="K1063" s="2">
        <v>0.13100000000000001</v>
      </c>
      <c r="L1063" s="2">
        <v>-8.532</v>
      </c>
    </row>
    <row r="1064" spans="1:12" x14ac:dyDescent="0.25">
      <c r="A1064">
        <v>146</v>
      </c>
      <c r="B1064">
        <v>1</v>
      </c>
      <c r="C1064" s="3">
        <v>5889939</v>
      </c>
      <c r="D1064" s="4">
        <v>42227614</v>
      </c>
      <c r="E1064">
        <v>67</v>
      </c>
      <c r="F1064" s="2">
        <v>0.58799999999999997</v>
      </c>
      <c r="G1064" s="2">
        <v>0.60799999999999998</v>
      </c>
      <c r="H1064" s="2">
        <v>3.6499999999999998E-2</v>
      </c>
      <c r="I1064" s="2">
        <v>0.22500000000000001</v>
      </c>
      <c r="J1064" s="2">
        <v>9.1999999999999998E-2</v>
      </c>
      <c r="K1064" s="2">
        <v>0.50800000000000001</v>
      </c>
      <c r="L1064" s="2">
        <v>-7.0620000000000003</v>
      </c>
    </row>
    <row r="1065" spans="1:12" x14ac:dyDescent="0.25">
      <c r="A1065">
        <v>28</v>
      </c>
      <c r="B1065">
        <v>2</v>
      </c>
      <c r="C1065" s="3">
        <v>5867746</v>
      </c>
      <c r="D1065" s="4">
        <v>35340069</v>
      </c>
      <c r="E1065">
        <v>67</v>
      </c>
      <c r="F1065" s="2">
        <v>0.63800000000000001</v>
      </c>
      <c r="G1065" s="2">
        <v>0.86299999999999999</v>
      </c>
      <c r="H1065" s="2">
        <v>0.13200000000000001</v>
      </c>
      <c r="I1065" s="2">
        <v>5.1999999999999998E-2</v>
      </c>
      <c r="J1065" s="2">
        <v>0.68500000000000005</v>
      </c>
      <c r="K1065" s="2">
        <v>0.22600000000000001</v>
      </c>
      <c r="L1065" s="2">
        <v>-5.2210000000000001</v>
      </c>
    </row>
    <row r="1066" spans="1:12" x14ac:dyDescent="0.25">
      <c r="A1066">
        <v>36</v>
      </c>
      <c r="B1066">
        <v>2</v>
      </c>
      <c r="C1066" s="3">
        <v>5730081</v>
      </c>
      <c r="D1066" s="4">
        <v>35340069</v>
      </c>
      <c r="E1066">
        <v>67</v>
      </c>
      <c r="F1066" s="2">
        <v>0.375</v>
      </c>
      <c r="G1066" s="2">
        <v>0.60499999999999998</v>
      </c>
      <c r="H1066" s="2">
        <v>7.2900000000000006E-2</v>
      </c>
      <c r="I1066" s="2">
        <v>0.61199999999999999</v>
      </c>
      <c r="J1066" s="2">
        <v>0.14699999999999999</v>
      </c>
      <c r="K1066" s="2">
        <v>0.128</v>
      </c>
      <c r="L1066" s="2">
        <v>-7.2679999999999998</v>
      </c>
    </row>
    <row r="1067" spans="1:12" x14ac:dyDescent="0.25">
      <c r="A1067">
        <v>91</v>
      </c>
      <c r="B1067">
        <v>10</v>
      </c>
      <c r="C1067" s="3">
        <v>5676621</v>
      </c>
      <c r="D1067" s="4">
        <v>3600989</v>
      </c>
      <c r="E1067">
        <v>67</v>
      </c>
      <c r="F1067" s="2">
        <v>0.79500000000000004</v>
      </c>
      <c r="G1067" s="2">
        <v>0.71499999999999997</v>
      </c>
      <c r="H1067" s="2">
        <v>8.3799999999999999E-2</v>
      </c>
      <c r="I1067" s="2">
        <v>0.14099999999999999</v>
      </c>
      <c r="J1067" s="2">
        <v>0.17899999999999999</v>
      </c>
      <c r="K1067" s="2">
        <v>0.75800000000000001</v>
      </c>
      <c r="L1067" s="2">
        <v>-3.5819999999999999</v>
      </c>
    </row>
    <row r="1068" spans="1:12" x14ac:dyDescent="0.25">
      <c r="A1068">
        <v>46</v>
      </c>
      <c r="B1068">
        <v>5</v>
      </c>
      <c r="C1068" s="3">
        <v>5449099</v>
      </c>
      <c r="D1068" s="4">
        <v>20338833</v>
      </c>
      <c r="E1068">
        <v>67</v>
      </c>
      <c r="F1068" s="2">
        <v>0.66400000000000003</v>
      </c>
      <c r="G1068" s="2">
        <v>0.56100000000000005</v>
      </c>
      <c r="H1068" s="2">
        <v>4.9500000000000002E-2</v>
      </c>
      <c r="I1068" s="2">
        <v>2.6099999999999999E-3</v>
      </c>
      <c r="J1068" s="2">
        <v>7.6399999999999996E-2</v>
      </c>
      <c r="K1068" s="2">
        <v>0.71299999999999997</v>
      </c>
      <c r="L1068" s="2">
        <v>-7.0309999999999997</v>
      </c>
    </row>
    <row r="1069" spans="1:12" x14ac:dyDescent="0.25">
      <c r="A1069">
        <v>32</v>
      </c>
      <c r="B1069">
        <v>10</v>
      </c>
      <c r="C1069" s="3">
        <v>5386512</v>
      </c>
      <c r="D1069" s="4">
        <v>11821805</v>
      </c>
      <c r="E1069">
        <v>67</v>
      </c>
      <c r="F1069" s="2">
        <v>0.88100000000000001</v>
      </c>
      <c r="G1069" s="2">
        <v>0.45700000000000002</v>
      </c>
      <c r="H1069" s="2">
        <v>0.156</v>
      </c>
      <c r="I1069" s="2">
        <v>3.27E-2</v>
      </c>
      <c r="J1069" s="2">
        <v>0.23100000000000001</v>
      </c>
      <c r="K1069" s="2">
        <v>0.29599999999999999</v>
      </c>
      <c r="L1069" s="2">
        <v>-8.1910000000000007</v>
      </c>
    </row>
    <row r="1070" spans="1:12" x14ac:dyDescent="0.25">
      <c r="A1070">
        <v>57</v>
      </c>
      <c r="B1070">
        <v>2</v>
      </c>
      <c r="C1070" s="3">
        <v>5323412</v>
      </c>
      <c r="D1070" s="4">
        <v>48544923</v>
      </c>
      <c r="E1070">
        <v>67</v>
      </c>
      <c r="F1070" s="2">
        <v>0.72799999999999998</v>
      </c>
      <c r="G1070" s="2">
        <v>0.629</v>
      </c>
      <c r="H1070" s="2">
        <v>3.1800000000000002E-2</v>
      </c>
      <c r="I1070" s="2">
        <v>1.9599999999999999E-3</v>
      </c>
      <c r="J1070" s="2">
        <v>8.4699999999999998E-2</v>
      </c>
      <c r="K1070" s="2">
        <v>0.71</v>
      </c>
      <c r="L1070" s="2">
        <v>-6.6289999999999996</v>
      </c>
    </row>
    <row r="1071" spans="1:12" x14ac:dyDescent="0.25">
      <c r="A1071">
        <v>170</v>
      </c>
      <c r="B1071">
        <v>1</v>
      </c>
      <c r="C1071" s="3">
        <v>5321946</v>
      </c>
      <c r="D1071" s="4">
        <v>568711</v>
      </c>
      <c r="E1071">
        <v>67</v>
      </c>
      <c r="F1071" s="2">
        <v>0.64100000000000001</v>
      </c>
      <c r="G1071" s="2">
        <v>0.63600000000000001</v>
      </c>
      <c r="H1071" s="2">
        <v>4.1399999999999999E-2</v>
      </c>
      <c r="I1071" s="2">
        <v>0.28899999999999998</v>
      </c>
      <c r="J1071" s="2">
        <v>0.125</v>
      </c>
      <c r="K1071" s="2">
        <v>0.28499999999999998</v>
      </c>
      <c r="L1071" s="2">
        <v>-4.3179999999999996</v>
      </c>
    </row>
    <row r="1072" spans="1:12" x14ac:dyDescent="0.25">
      <c r="A1072">
        <v>141</v>
      </c>
      <c r="B1072">
        <v>2</v>
      </c>
      <c r="C1072" s="3">
        <v>5317174</v>
      </c>
      <c r="D1072" s="4">
        <v>1674348</v>
      </c>
      <c r="E1072">
        <v>67</v>
      </c>
      <c r="F1072" s="2">
        <v>0.59899999999999998</v>
      </c>
      <c r="G1072" s="2">
        <v>0.79</v>
      </c>
      <c r="H1072" s="2">
        <v>0.38600000000000001</v>
      </c>
      <c r="I1072" s="2">
        <v>2.1299999999999999E-2</v>
      </c>
      <c r="J1072" s="2">
        <v>7.7799999999999994E-2</v>
      </c>
      <c r="K1072" s="2">
        <v>0.52800000000000002</v>
      </c>
      <c r="L1072" s="2">
        <v>-4.3520000000000003</v>
      </c>
    </row>
    <row r="1073" spans="1:12" x14ac:dyDescent="0.25">
      <c r="A1073">
        <v>20</v>
      </c>
      <c r="B1073">
        <v>3</v>
      </c>
      <c r="C1073" s="3">
        <v>5308945</v>
      </c>
      <c r="D1073" s="4">
        <v>67208170</v>
      </c>
      <c r="E1073">
        <v>67</v>
      </c>
      <c r="F1073" s="2">
        <v>0.41099999999999998</v>
      </c>
      <c r="G1073" s="2">
        <v>0.52200000000000002</v>
      </c>
      <c r="H1073" s="2">
        <v>9.8100000000000007E-2</v>
      </c>
      <c r="I1073" s="2">
        <v>0.51900000000000002</v>
      </c>
      <c r="J1073" s="2">
        <v>0.39800000000000002</v>
      </c>
      <c r="K1073" s="2">
        <v>0.38200000000000001</v>
      </c>
      <c r="L1073" s="2">
        <v>-7.2949999999999999</v>
      </c>
    </row>
    <row r="1074" spans="1:12" x14ac:dyDescent="0.25">
      <c r="A1074">
        <v>37</v>
      </c>
      <c r="B1074">
        <v>2</v>
      </c>
      <c r="C1074" s="3">
        <v>5307288</v>
      </c>
      <c r="D1074" s="4">
        <v>35340069</v>
      </c>
      <c r="E1074">
        <v>67</v>
      </c>
      <c r="F1074" s="2">
        <v>0.40400000000000003</v>
      </c>
      <c r="G1074" s="2">
        <v>0.52400000000000002</v>
      </c>
      <c r="H1074" s="2">
        <v>5.9299999999999999E-2</v>
      </c>
      <c r="I1074" s="2">
        <v>4.5600000000000002E-2</v>
      </c>
      <c r="J1074" s="2">
        <v>0.19900000000000001</v>
      </c>
      <c r="K1074" s="2">
        <v>0.16800000000000001</v>
      </c>
      <c r="L1074" s="2">
        <v>-8.9960000000000004</v>
      </c>
    </row>
    <row r="1075" spans="1:12" x14ac:dyDescent="0.25">
      <c r="A1075">
        <v>148</v>
      </c>
      <c r="B1075">
        <v>1</v>
      </c>
      <c r="C1075" s="3">
        <v>5306994</v>
      </c>
      <c r="D1075" s="4">
        <v>18936929</v>
      </c>
      <c r="E1075">
        <v>67</v>
      </c>
      <c r="F1075" s="2">
        <v>0.67600000000000005</v>
      </c>
      <c r="G1075" s="2">
        <v>0.79400000000000004</v>
      </c>
      <c r="H1075" s="2">
        <v>3.6600000000000001E-2</v>
      </c>
      <c r="I1075" s="2">
        <v>5.1299999999999998E-2</v>
      </c>
      <c r="J1075" s="2">
        <v>7.2300000000000003E-2</v>
      </c>
      <c r="K1075" s="2">
        <v>0.161</v>
      </c>
      <c r="L1075" s="2">
        <v>-4.78</v>
      </c>
    </row>
    <row r="1076" spans="1:12" x14ac:dyDescent="0.25">
      <c r="A1076">
        <v>31</v>
      </c>
      <c r="B1076">
        <v>3</v>
      </c>
      <c r="C1076" s="3">
        <v>5231134</v>
      </c>
      <c r="D1076" s="4">
        <v>11821805</v>
      </c>
      <c r="E1076">
        <v>67</v>
      </c>
      <c r="F1076" s="2">
        <v>0.85499999999999998</v>
      </c>
      <c r="G1076" s="2">
        <v>0.67600000000000005</v>
      </c>
      <c r="H1076" s="2">
        <v>0.32500000000000001</v>
      </c>
      <c r="I1076" s="2">
        <v>8.8800000000000004E-2</v>
      </c>
      <c r="J1076" s="2">
        <v>0.14399999999999999</v>
      </c>
      <c r="K1076" s="2">
        <v>0.50900000000000001</v>
      </c>
      <c r="L1076" s="2">
        <v>-5.7359999999999998</v>
      </c>
    </row>
    <row r="1077" spans="1:12" x14ac:dyDescent="0.25">
      <c r="A1077">
        <v>184</v>
      </c>
      <c r="B1077">
        <v>1</v>
      </c>
      <c r="C1077" s="3">
        <v>5203700</v>
      </c>
      <c r="D1077" s="4">
        <v>1223734</v>
      </c>
      <c r="E1077">
        <v>67</v>
      </c>
      <c r="F1077" s="2">
        <v>0.86299999999999999</v>
      </c>
      <c r="G1077" s="2">
        <v>0.73899999999999999</v>
      </c>
      <c r="H1077" s="2">
        <v>0.153</v>
      </c>
      <c r="I1077" s="2">
        <v>2.8899999999999999E-2</v>
      </c>
      <c r="J1077" s="2">
        <v>9.3100000000000002E-2</v>
      </c>
      <c r="K1077" s="2">
        <v>0.54700000000000004</v>
      </c>
      <c r="L1077" s="2">
        <v>-5.8789999999999996</v>
      </c>
    </row>
    <row r="1078" spans="1:12" x14ac:dyDescent="0.25">
      <c r="A1078">
        <v>101</v>
      </c>
      <c r="B1078">
        <v>4</v>
      </c>
      <c r="C1078" s="3">
        <v>5124116</v>
      </c>
      <c r="D1078" s="4">
        <v>18306226</v>
      </c>
      <c r="E1078">
        <v>67</v>
      </c>
      <c r="F1078" s="2">
        <v>0.73499999999999999</v>
      </c>
      <c r="G1078" s="2">
        <v>0.91600000000000004</v>
      </c>
      <c r="H1078" s="2">
        <v>0.11700000000000001</v>
      </c>
      <c r="I1078" s="2">
        <v>0.39700000000000002</v>
      </c>
      <c r="J1078" s="2">
        <v>9.1800000000000007E-2</v>
      </c>
      <c r="K1078" s="2">
        <v>0.69099999999999995</v>
      </c>
      <c r="L1078" s="2">
        <v>-2.0819999999999999</v>
      </c>
    </row>
    <row r="1079" spans="1:12" x14ac:dyDescent="0.25">
      <c r="A1079">
        <v>151</v>
      </c>
      <c r="B1079">
        <v>7</v>
      </c>
      <c r="C1079" s="3">
        <v>5044252</v>
      </c>
      <c r="D1079" s="4">
        <v>1200248</v>
      </c>
      <c r="E1079">
        <v>67</v>
      </c>
      <c r="F1079" s="2">
        <v>0.70899999999999996</v>
      </c>
      <c r="G1079" s="2">
        <v>0.81599999999999995</v>
      </c>
      <c r="H1079" s="2">
        <v>3.4599999999999999E-2</v>
      </c>
      <c r="I1079" s="2">
        <v>0.68500000000000005</v>
      </c>
      <c r="J1079" s="2">
        <v>0.14599999999999999</v>
      </c>
      <c r="K1079" s="2">
        <v>0.92100000000000004</v>
      </c>
      <c r="L1079" s="2">
        <v>-4.7869999999999999</v>
      </c>
    </row>
    <row r="1080" spans="1:12" x14ac:dyDescent="0.25">
      <c r="A1080">
        <v>56</v>
      </c>
      <c r="B1080">
        <v>3</v>
      </c>
      <c r="C1080" s="3">
        <v>4987116</v>
      </c>
      <c r="D1080" s="4">
        <v>36177712</v>
      </c>
      <c r="E1080">
        <v>67</v>
      </c>
      <c r="F1080" s="2">
        <v>0.86499999999999999</v>
      </c>
      <c r="G1080" s="2">
        <v>0.5</v>
      </c>
      <c r="H1080" s="2">
        <v>8.6099999999999996E-2</v>
      </c>
      <c r="I1080" s="2">
        <v>1.2200000000000001E-2</v>
      </c>
      <c r="J1080" s="2">
        <v>9.8000000000000004E-2</v>
      </c>
      <c r="K1080" s="2">
        <v>0.317</v>
      </c>
      <c r="L1080" s="2">
        <v>-10.805</v>
      </c>
    </row>
    <row r="1081" spans="1:12" x14ac:dyDescent="0.25">
      <c r="A1081">
        <v>177</v>
      </c>
      <c r="B1081">
        <v>1</v>
      </c>
      <c r="C1081" s="3">
        <v>4977405</v>
      </c>
      <c r="D1081" s="4">
        <v>4759367</v>
      </c>
      <c r="E1081">
        <v>67</v>
      </c>
      <c r="F1081" s="2">
        <v>0.66800000000000004</v>
      </c>
      <c r="G1081" s="2">
        <v>0.54700000000000004</v>
      </c>
      <c r="H1081" s="2">
        <v>3.5299999999999998E-2</v>
      </c>
      <c r="I1081" s="2">
        <v>0.39800000000000002</v>
      </c>
      <c r="J1081" s="2">
        <v>9.3100000000000002E-2</v>
      </c>
      <c r="K1081" s="2">
        <v>0.192</v>
      </c>
      <c r="L1081" s="2">
        <v>-8.0239999999999991</v>
      </c>
    </row>
    <row r="1082" spans="1:12" x14ac:dyDescent="0.25">
      <c r="A1082">
        <v>104</v>
      </c>
      <c r="B1082">
        <v>9</v>
      </c>
      <c r="C1082" s="3">
        <v>4954292</v>
      </c>
      <c r="D1082" s="4">
        <v>8766508</v>
      </c>
      <c r="E1082">
        <v>67</v>
      </c>
      <c r="F1082" s="2">
        <v>0.73</v>
      </c>
      <c r="G1082" s="2">
        <v>0.64400000000000002</v>
      </c>
      <c r="H1082" s="2">
        <v>0.13200000000000001</v>
      </c>
      <c r="I1082" s="2">
        <v>9.3299999999999994E-2</v>
      </c>
      <c r="J1082" s="2">
        <v>0.14299999999999999</v>
      </c>
      <c r="K1082" s="2">
        <v>0.55400000000000005</v>
      </c>
      <c r="L1082" s="2">
        <v>-4.1239999999999997</v>
      </c>
    </row>
    <row r="1083" spans="1:12" x14ac:dyDescent="0.25">
      <c r="A1083">
        <v>71</v>
      </c>
      <c r="B1083">
        <v>3</v>
      </c>
      <c r="C1083" s="3">
        <v>4876238</v>
      </c>
      <c r="D1083" s="4">
        <v>17732077</v>
      </c>
      <c r="E1083">
        <v>67</v>
      </c>
      <c r="F1083" s="2">
        <v>0.433</v>
      </c>
      <c r="G1083" s="2">
        <v>0.443</v>
      </c>
      <c r="H1083" s="2">
        <v>3.61E-2</v>
      </c>
      <c r="I1083" s="2">
        <v>9.2200000000000004E-2</v>
      </c>
      <c r="J1083" s="2">
        <v>0.11700000000000001</v>
      </c>
      <c r="K1083" s="2">
        <v>3.6299999999999999E-2</v>
      </c>
      <c r="L1083" s="2">
        <v>-10.568</v>
      </c>
    </row>
    <row r="1084" spans="1:12" x14ac:dyDescent="0.25">
      <c r="A1084">
        <v>16</v>
      </c>
      <c r="B1084">
        <v>7</v>
      </c>
      <c r="C1084" s="3">
        <v>4825741</v>
      </c>
      <c r="D1084" s="4">
        <v>11821805</v>
      </c>
      <c r="E1084">
        <v>67</v>
      </c>
      <c r="F1084" s="2">
        <v>0.71199999999999997</v>
      </c>
      <c r="G1084" s="2">
        <v>0.59799999999999998</v>
      </c>
      <c r="H1084" s="2">
        <v>3.8800000000000001E-2</v>
      </c>
      <c r="I1084" s="2">
        <v>5.4600000000000003E-2</v>
      </c>
      <c r="J1084" s="2">
        <v>0.154</v>
      </c>
      <c r="K1084" s="2">
        <v>0.504</v>
      </c>
      <c r="L1084" s="2">
        <v>-5.3680000000000003</v>
      </c>
    </row>
    <row r="1085" spans="1:12" x14ac:dyDescent="0.25">
      <c r="A1085">
        <v>103</v>
      </c>
      <c r="B1085">
        <v>4</v>
      </c>
      <c r="C1085" s="3">
        <v>4724056</v>
      </c>
      <c r="D1085" s="4">
        <v>7744095</v>
      </c>
      <c r="E1085">
        <v>67</v>
      </c>
      <c r="F1085" s="2">
        <v>0.72199999999999998</v>
      </c>
      <c r="G1085" s="2">
        <v>0.62</v>
      </c>
      <c r="H1085" s="2">
        <v>4.8300000000000003E-2</v>
      </c>
      <c r="I1085" s="2">
        <v>0.313</v>
      </c>
      <c r="J1085" s="2">
        <v>0.26</v>
      </c>
      <c r="K1085" s="2">
        <v>0.47399999999999998</v>
      </c>
      <c r="L1085" s="2">
        <v>-3.6389999999999998</v>
      </c>
    </row>
    <row r="1086" spans="1:12" x14ac:dyDescent="0.25">
      <c r="A1086">
        <v>37</v>
      </c>
      <c r="B1086">
        <v>13</v>
      </c>
      <c r="C1086" s="3">
        <v>4687605</v>
      </c>
      <c r="D1086" s="4">
        <v>18306226</v>
      </c>
      <c r="E1086">
        <v>67</v>
      </c>
      <c r="F1086" s="2">
        <v>0.70799999999999996</v>
      </c>
      <c r="G1086" s="2">
        <v>0.79700000000000004</v>
      </c>
      <c r="H1086" s="2">
        <v>3.9100000000000003E-2</v>
      </c>
      <c r="I1086" s="2">
        <v>0.4</v>
      </c>
      <c r="J1086" s="2">
        <v>9.6000000000000002E-2</v>
      </c>
      <c r="K1086" s="2">
        <v>0.51</v>
      </c>
      <c r="L1086" s="2">
        <v>-3.0950000000000002</v>
      </c>
    </row>
    <row r="1087" spans="1:12" x14ac:dyDescent="0.25">
      <c r="A1087">
        <v>122</v>
      </c>
      <c r="B1087">
        <v>9</v>
      </c>
      <c r="C1087" s="3">
        <v>4668193</v>
      </c>
      <c r="D1087" s="4">
        <v>2786366</v>
      </c>
      <c r="E1087">
        <v>67</v>
      </c>
      <c r="F1087" s="2">
        <v>0.58099999999999996</v>
      </c>
      <c r="G1087" s="2">
        <v>0.79900000000000004</v>
      </c>
      <c r="H1087" s="2">
        <v>0.16400000000000001</v>
      </c>
      <c r="I1087" s="2">
        <v>4.19E-2</v>
      </c>
      <c r="J1087" s="2">
        <v>0.11</v>
      </c>
      <c r="K1087" s="2">
        <v>0.66200000000000003</v>
      </c>
      <c r="L1087" s="2">
        <v>-6.66</v>
      </c>
    </row>
    <row r="1088" spans="1:12" x14ac:dyDescent="0.25">
      <c r="A1088">
        <v>192</v>
      </c>
      <c r="B1088">
        <v>1</v>
      </c>
      <c r="C1088" s="3">
        <v>4665053</v>
      </c>
      <c r="D1088" s="4">
        <v>13697048</v>
      </c>
      <c r="E1088">
        <v>67</v>
      </c>
      <c r="F1088" s="2">
        <v>0.30299999999999999</v>
      </c>
      <c r="G1088" s="2">
        <v>0.249</v>
      </c>
      <c r="H1088" s="2">
        <v>0.111</v>
      </c>
      <c r="I1088" s="2">
        <v>0.97</v>
      </c>
      <c r="J1088" s="2">
        <v>0.11700000000000001</v>
      </c>
      <c r="K1088" s="2">
        <v>0.13100000000000001</v>
      </c>
      <c r="L1088" s="2">
        <v>-11.715</v>
      </c>
    </row>
    <row r="1089" spans="1:12" x14ac:dyDescent="0.25">
      <c r="A1089">
        <v>82</v>
      </c>
      <c r="B1089">
        <v>2</v>
      </c>
      <c r="C1089" s="3">
        <v>4639997</v>
      </c>
      <c r="D1089" s="4">
        <v>36177712</v>
      </c>
      <c r="E1089">
        <v>67</v>
      </c>
      <c r="F1089" s="2">
        <v>0.82799999999999996</v>
      </c>
      <c r="G1089" s="2">
        <v>0.58099999999999996</v>
      </c>
      <c r="H1089" s="2">
        <v>7.2499999999999995E-2</v>
      </c>
      <c r="I1089" s="2">
        <v>3.78E-2</v>
      </c>
      <c r="J1089" s="2">
        <v>0.10299999999999999</v>
      </c>
      <c r="K1089" s="2">
        <v>0.84299999999999997</v>
      </c>
      <c r="L1089" s="2">
        <v>-9.9090000000000007</v>
      </c>
    </row>
    <row r="1090" spans="1:12" x14ac:dyDescent="0.25">
      <c r="A1090">
        <v>67</v>
      </c>
      <c r="B1090">
        <v>2</v>
      </c>
      <c r="C1090" s="3">
        <v>4639929</v>
      </c>
      <c r="D1090" s="4">
        <v>5002317</v>
      </c>
      <c r="E1090">
        <v>67</v>
      </c>
      <c r="F1090" s="2">
        <v>0.88</v>
      </c>
      <c r="G1090" s="2">
        <v>0.78700000000000003</v>
      </c>
      <c r="H1090" s="2">
        <v>0.11799999999999999</v>
      </c>
      <c r="I1090" s="2">
        <v>0.22600000000000001</v>
      </c>
      <c r="J1090" s="2">
        <v>0.12</v>
      </c>
      <c r="K1090" s="2">
        <v>0.58799999999999997</v>
      </c>
      <c r="L1090" s="2">
        <v>-5.1890000000000001</v>
      </c>
    </row>
    <row r="1091" spans="1:12" x14ac:dyDescent="0.25">
      <c r="A1091">
        <v>86</v>
      </c>
      <c r="B1091">
        <v>6</v>
      </c>
      <c r="C1091" s="3">
        <v>4623279</v>
      </c>
      <c r="D1091" s="4">
        <v>2613211</v>
      </c>
      <c r="E1091">
        <v>67</v>
      </c>
      <c r="F1091" s="2">
        <v>0.89400000000000002</v>
      </c>
      <c r="G1091" s="2">
        <v>0.61799999999999999</v>
      </c>
      <c r="H1091" s="2">
        <v>0.129</v>
      </c>
      <c r="I1091" s="2">
        <v>8.0799999999999997E-2</v>
      </c>
      <c r="J1091" s="2">
        <v>0.55800000000000005</v>
      </c>
      <c r="K1091" s="2">
        <v>0.379</v>
      </c>
      <c r="L1091" s="2">
        <v>-4.3559999999999999</v>
      </c>
    </row>
    <row r="1092" spans="1:12" x14ac:dyDescent="0.25">
      <c r="A1092">
        <v>24</v>
      </c>
      <c r="B1092">
        <v>3</v>
      </c>
      <c r="C1092" s="3">
        <v>4553544</v>
      </c>
      <c r="D1092" s="4">
        <v>35340069</v>
      </c>
      <c r="E1092">
        <v>67</v>
      </c>
      <c r="F1092" s="2">
        <v>0.46700000000000003</v>
      </c>
      <c r="G1092" s="2">
        <v>0.60799999999999998</v>
      </c>
      <c r="H1092" s="2">
        <v>7.0699999999999999E-2</v>
      </c>
      <c r="I1092" s="2">
        <v>9.0899999999999995E-2</v>
      </c>
      <c r="J1092" s="2">
        <v>0.125</v>
      </c>
      <c r="K1092" s="2">
        <v>0.108</v>
      </c>
      <c r="L1092" s="2">
        <v>-7.8470000000000004</v>
      </c>
    </row>
    <row r="1093" spans="1:12" x14ac:dyDescent="0.25">
      <c r="A1093">
        <v>169</v>
      </c>
      <c r="B1093">
        <v>1</v>
      </c>
      <c r="C1093" s="3">
        <v>4545883</v>
      </c>
      <c r="D1093" s="4">
        <v>3912138</v>
      </c>
      <c r="E1093">
        <v>67</v>
      </c>
      <c r="F1093" s="2">
        <v>0.58899999999999997</v>
      </c>
      <c r="G1093" s="2">
        <v>0.79700000000000004</v>
      </c>
      <c r="H1093" s="2">
        <v>0.15</v>
      </c>
      <c r="I1093" s="2">
        <v>2.8899999999999999E-2</v>
      </c>
      <c r="J1093" s="2">
        <v>0.38300000000000001</v>
      </c>
      <c r="K1093" s="2">
        <v>0.23200000000000001</v>
      </c>
      <c r="L1093" s="2">
        <v>-5.4640000000000004</v>
      </c>
    </row>
    <row r="1094" spans="1:12" x14ac:dyDescent="0.25">
      <c r="A1094">
        <v>189</v>
      </c>
      <c r="B1094">
        <v>1</v>
      </c>
      <c r="C1094" s="3">
        <v>4470597</v>
      </c>
      <c r="D1094" s="4">
        <v>18306226</v>
      </c>
      <c r="E1094">
        <v>67</v>
      </c>
      <c r="F1094" s="2">
        <v>0.84299999999999997</v>
      </c>
      <c r="G1094" s="2">
        <v>0.84499999999999997</v>
      </c>
      <c r="H1094" s="2">
        <v>5.0299999999999997E-2</v>
      </c>
      <c r="I1094" s="2">
        <v>0.35</v>
      </c>
      <c r="J1094" s="2">
        <v>5.2699999999999997E-2</v>
      </c>
      <c r="K1094" s="2">
        <v>0.89800000000000002</v>
      </c>
      <c r="L1094" s="2">
        <v>-2.3439999999999999</v>
      </c>
    </row>
    <row r="1095" spans="1:12" x14ac:dyDescent="0.25">
      <c r="A1095">
        <v>185</v>
      </c>
      <c r="B1095">
        <v>7</v>
      </c>
      <c r="C1095" s="3">
        <v>4380308</v>
      </c>
      <c r="D1095" s="4">
        <v>117894</v>
      </c>
      <c r="E1095">
        <v>67</v>
      </c>
      <c r="F1095" s="2">
        <v>0.82699999999999996</v>
      </c>
      <c r="G1095" s="2">
        <v>0.629</v>
      </c>
      <c r="H1095" s="2">
        <v>0.185</v>
      </c>
      <c r="I1095" s="2">
        <v>0.183</v>
      </c>
      <c r="J1095" s="2">
        <v>8.4000000000000005E-2</v>
      </c>
      <c r="K1095" s="2">
        <v>0.48599999999999999</v>
      </c>
      <c r="L1095" s="2">
        <v>-3.9660000000000002</v>
      </c>
    </row>
    <row r="1096" spans="1:12" x14ac:dyDescent="0.25">
      <c r="A1096">
        <v>51</v>
      </c>
      <c r="B1096">
        <v>4</v>
      </c>
      <c r="C1096" s="3">
        <v>4334669</v>
      </c>
      <c r="D1096" s="4">
        <v>10491105</v>
      </c>
      <c r="E1096">
        <v>67</v>
      </c>
      <c r="F1096" s="2">
        <v>0.69099999999999995</v>
      </c>
      <c r="G1096" s="2">
        <v>0.63200000000000001</v>
      </c>
      <c r="H1096" s="2">
        <v>5.1299999999999998E-2</v>
      </c>
      <c r="I1096" s="2">
        <v>0.122</v>
      </c>
      <c r="J1096" s="2">
        <v>6.4600000000000005E-2</v>
      </c>
      <c r="K1096" s="2">
        <v>0.48799999999999999</v>
      </c>
      <c r="L1096" s="2">
        <v>-7.5979999999999999</v>
      </c>
    </row>
    <row r="1097" spans="1:12" x14ac:dyDescent="0.25">
      <c r="A1097">
        <v>69</v>
      </c>
      <c r="B1097">
        <v>2</v>
      </c>
      <c r="C1097" s="3">
        <v>4305034</v>
      </c>
      <c r="D1097" s="4">
        <v>27167675</v>
      </c>
      <c r="E1097">
        <v>67</v>
      </c>
      <c r="F1097" s="2">
        <v>0.90600000000000003</v>
      </c>
      <c r="G1097" s="2">
        <v>0.47399999999999998</v>
      </c>
      <c r="H1097" s="2">
        <v>0.19400000000000001</v>
      </c>
      <c r="I1097" s="2">
        <v>3.1099999999999999E-2</v>
      </c>
      <c r="J1097" s="2">
        <v>0.28599999999999998</v>
      </c>
      <c r="K1097" s="2">
        <v>0.65600000000000003</v>
      </c>
      <c r="L1097" s="2">
        <v>-6.1239999999999997</v>
      </c>
    </row>
    <row r="1098" spans="1:12" x14ac:dyDescent="0.25">
      <c r="A1098">
        <v>34</v>
      </c>
      <c r="B1098">
        <v>1</v>
      </c>
      <c r="C1098" s="3">
        <v>14519547</v>
      </c>
      <c r="D1098" s="4">
        <v>42227614</v>
      </c>
      <c r="E1098">
        <v>66</v>
      </c>
      <c r="F1098" s="2">
        <v>0.51500000000000001</v>
      </c>
      <c r="G1098" s="2">
        <v>0.54500000000000004</v>
      </c>
      <c r="H1098" s="2">
        <v>3.5299999999999998E-2</v>
      </c>
      <c r="I1098" s="2">
        <v>0.85499999999999998</v>
      </c>
      <c r="J1098" s="2">
        <v>9.2100000000000001E-2</v>
      </c>
      <c r="K1098" s="2">
        <v>0.53500000000000003</v>
      </c>
      <c r="L1098" s="2">
        <v>-9.2769999999999992</v>
      </c>
    </row>
    <row r="1099" spans="1:12" x14ac:dyDescent="0.25">
      <c r="A1099">
        <v>43</v>
      </c>
      <c r="B1099">
        <v>1</v>
      </c>
      <c r="C1099" s="3">
        <v>13810722</v>
      </c>
      <c r="D1099" s="4">
        <v>42227614</v>
      </c>
      <c r="E1099">
        <v>66</v>
      </c>
      <c r="F1099" s="2">
        <v>0.39</v>
      </c>
      <c r="G1099" s="2">
        <v>0.27</v>
      </c>
      <c r="H1099" s="2">
        <v>3.0800000000000001E-2</v>
      </c>
      <c r="I1099" s="2">
        <v>0.93700000000000006</v>
      </c>
      <c r="J1099" s="2">
        <v>0.111</v>
      </c>
      <c r="K1099" s="2">
        <v>0.32</v>
      </c>
      <c r="L1099" s="2">
        <v>-10.673</v>
      </c>
    </row>
    <row r="1100" spans="1:12" x14ac:dyDescent="0.25">
      <c r="A1100">
        <v>45</v>
      </c>
      <c r="B1100">
        <v>1</v>
      </c>
      <c r="C1100" s="3">
        <v>13583538</v>
      </c>
      <c r="D1100" s="4">
        <v>42227614</v>
      </c>
      <c r="E1100">
        <v>66</v>
      </c>
      <c r="F1100" s="2">
        <v>0.54600000000000004</v>
      </c>
      <c r="G1100" s="2">
        <v>0.73</v>
      </c>
      <c r="H1100" s="2">
        <v>4.1700000000000001E-2</v>
      </c>
      <c r="I1100" s="2">
        <v>0.66</v>
      </c>
      <c r="J1100" s="2">
        <v>9.7199999999999995E-2</v>
      </c>
      <c r="K1100" s="2">
        <v>0.57299999999999995</v>
      </c>
      <c r="L1100" s="2">
        <v>-7.7039999999999997</v>
      </c>
    </row>
    <row r="1101" spans="1:12" x14ac:dyDescent="0.25">
      <c r="A1101">
        <v>66</v>
      </c>
      <c r="B1101">
        <v>1</v>
      </c>
      <c r="C1101" s="3">
        <v>10733416</v>
      </c>
      <c r="D1101" s="4">
        <v>36177712</v>
      </c>
      <c r="E1101">
        <v>66</v>
      </c>
      <c r="F1101" s="2">
        <v>0.43</v>
      </c>
      <c r="G1101" s="2">
        <v>0.41199999999999998</v>
      </c>
      <c r="H1101" s="2">
        <v>2.81E-2</v>
      </c>
      <c r="I1101" s="2">
        <v>0.2</v>
      </c>
      <c r="J1101" s="2">
        <v>0.32400000000000001</v>
      </c>
      <c r="K1101" s="2">
        <v>5.0799999999999998E-2</v>
      </c>
      <c r="L1101" s="2">
        <v>-5.3719999999999999</v>
      </c>
    </row>
    <row r="1102" spans="1:12" x14ac:dyDescent="0.25">
      <c r="A1102">
        <v>60</v>
      </c>
      <c r="B1102">
        <v>1</v>
      </c>
      <c r="C1102" s="3">
        <v>10024729</v>
      </c>
      <c r="D1102" s="4">
        <v>48544923</v>
      </c>
      <c r="E1102">
        <v>66</v>
      </c>
      <c r="F1102" s="2">
        <v>0.75900000000000001</v>
      </c>
      <c r="G1102" s="2">
        <v>0.58399999999999996</v>
      </c>
      <c r="H1102" s="2">
        <v>0.06</v>
      </c>
      <c r="I1102" s="2">
        <v>6.5199999999999994E-2</v>
      </c>
      <c r="J1102" s="2">
        <v>0.16</v>
      </c>
      <c r="K1102" s="2">
        <v>0.374</v>
      </c>
      <c r="L1102" s="2">
        <v>-6.6550000000000002</v>
      </c>
    </row>
    <row r="1103" spans="1:12" x14ac:dyDescent="0.25">
      <c r="A1103">
        <v>61</v>
      </c>
      <c r="B1103">
        <v>1</v>
      </c>
      <c r="C1103" s="3">
        <v>9533583</v>
      </c>
      <c r="D1103" s="4">
        <v>48544923</v>
      </c>
      <c r="E1103">
        <v>66</v>
      </c>
      <c r="F1103" s="2">
        <v>0.64800000000000002</v>
      </c>
      <c r="G1103" s="2">
        <v>0.68100000000000005</v>
      </c>
      <c r="H1103" s="2">
        <v>3.78E-2</v>
      </c>
      <c r="I1103" s="2">
        <v>0.26300000000000001</v>
      </c>
      <c r="J1103" s="2">
        <v>9.7100000000000006E-2</v>
      </c>
      <c r="K1103" s="2">
        <v>0.76700000000000002</v>
      </c>
      <c r="L1103" s="2">
        <v>-8.3889999999999993</v>
      </c>
    </row>
    <row r="1104" spans="1:12" x14ac:dyDescent="0.25">
      <c r="A1104">
        <v>63</v>
      </c>
      <c r="B1104">
        <v>1</v>
      </c>
      <c r="C1104" s="3">
        <v>8443771</v>
      </c>
      <c r="D1104" s="4">
        <v>6852509</v>
      </c>
      <c r="E1104">
        <v>66</v>
      </c>
      <c r="F1104" s="2">
        <v>0.8</v>
      </c>
      <c r="G1104" s="2">
        <v>0.56399999999999995</v>
      </c>
      <c r="H1104" s="2">
        <v>0.4</v>
      </c>
      <c r="I1104" s="2">
        <v>2.87E-2</v>
      </c>
      <c r="J1104" s="2">
        <v>0.112</v>
      </c>
      <c r="K1104" s="2">
        <v>0.318</v>
      </c>
      <c r="L1104" s="2">
        <v>-5.8170000000000002</v>
      </c>
    </row>
    <row r="1105" spans="1:12" x14ac:dyDescent="0.25">
      <c r="A1105">
        <v>22</v>
      </c>
      <c r="B1105">
        <v>2</v>
      </c>
      <c r="C1105" s="3">
        <v>8115520</v>
      </c>
      <c r="D1105" s="4">
        <v>42227614</v>
      </c>
      <c r="E1105">
        <v>66</v>
      </c>
      <c r="F1105" s="2">
        <v>0.57499999999999996</v>
      </c>
      <c r="G1105" s="2">
        <v>0.434</v>
      </c>
      <c r="H1105" s="2">
        <v>3.1199999999999999E-2</v>
      </c>
      <c r="I1105" s="2">
        <v>0.73499999999999999</v>
      </c>
      <c r="J1105" s="2">
        <v>0.105</v>
      </c>
      <c r="K1105" s="2">
        <v>0.34799999999999998</v>
      </c>
      <c r="L1105" s="2">
        <v>-8.1929999999999996</v>
      </c>
    </row>
    <row r="1106" spans="1:12" x14ac:dyDescent="0.25">
      <c r="A1106">
        <v>80</v>
      </c>
      <c r="B1106">
        <v>1</v>
      </c>
      <c r="C1106" s="3">
        <v>7852063</v>
      </c>
      <c r="D1106" s="4">
        <v>42227614</v>
      </c>
      <c r="E1106">
        <v>66</v>
      </c>
      <c r="F1106" s="2">
        <v>0.55900000000000005</v>
      </c>
      <c r="G1106" s="2">
        <v>0.64600000000000002</v>
      </c>
      <c r="H1106" s="2">
        <v>2.7199999999999998E-2</v>
      </c>
      <c r="I1106" s="2">
        <v>0.11600000000000001</v>
      </c>
      <c r="J1106" s="2">
        <v>0.32</v>
      </c>
      <c r="K1106" s="2">
        <v>0.28899999999999998</v>
      </c>
      <c r="L1106" s="2">
        <v>-4.6100000000000003</v>
      </c>
    </row>
    <row r="1107" spans="1:12" x14ac:dyDescent="0.25">
      <c r="A1107">
        <v>93</v>
      </c>
      <c r="B1107">
        <v>1</v>
      </c>
      <c r="C1107" s="3">
        <v>7385864</v>
      </c>
      <c r="D1107" s="4">
        <v>42227614</v>
      </c>
      <c r="E1107">
        <v>66</v>
      </c>
      <c r="F1107" s="2">
        <v>0.78800000000000003</v>
      </c>
      <c r="G1107" s="2">
        <v>0.57099999999999995</v>
      </c>
      <c r="H1107" s="2">
        <v>2.9600000000000001E-2</v>
      </c>
      <c r="I1107" s="2">
        <v>0.106</v>
      </c>
      <c r="J1107" s="2">
        <v>9.3399999999999997E-2</v>
      </c>
      <c r="K1107" s="2">
        <v>0.79700000000000004</v>
      </c>
      <c r="L1107" s="2">
        <v>-6.1349999999999998</v>
      </c>
    </row>
    <row r="1108" spans="1:12" x14ac:dyDescent="0.25">
      <c r="A1108">
        <v>88</v>
      </c>
      <c r="B1108">
        <v>1</v>
      </c>
      <c r="C1108" s="3">
        <v>7308690</v>
      </c>
      <c r="D1108" s="4">
        <v>6852509</v>
      </c>
      <c r="E1108">
        <v>66</v>
      </c>
      <c r="F1108" s="2">
        <v>0.79400000000000004</v>
      </c>
      <c r="G1108" s="2">
        <v>0.71699999999999997</v>
      </c>
      <c r="H1108" s="2">
        <v>0.251</v>
      </c>
      <c r="I1108" s="2">
        <v>5.11E-2</v>
      </c>
      <c r="J1108" s="2">
        <v>0.19500000000000001</v>
      </c>
      <c r="K1108" s="2">
        <v>0.372</v>
      </c>
      <c r="L1108" s="2">
        <v>-5.73</v>
      </c>
    </row>
    <row r="1109" spans="1:12" x14ac:dyDescent="0.25">
      <c r="A1109">
        <v>30</v>
      </c>
      <c r="B1109">
        <v>2</v>
      </c>
      <c r="C1109" s="3">
        <v>7157402</v>
      </c>
      <c r="D1109" s="4">
        <v>46814751</v>
      </c>
      <c r="E1109">
        <v>66</v>
      </c>
      <c r="F1109" s="2">
        <v>0.68</v>
      </c>
      <c r="G1109" s="2">
        <v>0.82</v>
      </c>
      <c r="H1109" s="2">
        <v>0.151</v>
      </c>
      <c r="I1109" s="2">
        <v>6.1400000000000003E-2</v>
      </c>
      <c r="J1109" s="2">
        <v>0.59699999999999998</v>
      </c>
      <c r="K1109" s="2">
        <v>0.24299999999999999</v>
      </c>
      <c r="L1109" s="2">
        <v>-4.1970000000000001</v>
      </c>
    </row>
    <row r="1110" spans="1:12" x14ac:dyDescent="0.25">
      <c r="A1110">
        <v>96</v>
      </c>
      <c r="B1110">
        <v>1</v>
      </c>
      <c r="C1110" s="3">
        <v>7142364</v>
      </c>
      <c r="D1110" s="4">
        <v>5064200</v>
      </c>
      <c r="E1110">
        <v>66</v>
      </c>
      <c r="F1110" s="2">
        <v>0.66400000000000003</v>
      </c>
      <c r="G1110" s="2">
        <v>0.84799999999999998</v>
      </c>
      <c r="H1110" s="2">
        <v>3.2199999999999999E-2</v>
      </c>
      <c r="I1110" s="2">
        <v>2.4500000000000001E-2</v>
      </c>
      <c r="J1110" s="2">
        <v>0.17199999999999999</v>
      </c>
      <c r="K1110" s="2">
        <v>0.502</v>
      </c>
      <c r="L1110" s="2">
        <v>-4.51</v>
      </c>
    </row>
    <row r="1111" spans="1:12" x14ac:dyDescent="0.25">
      <c r="A1111">
        <v>27</v>
      </c>
      <c r="B1111">
        <v>2</v>
      </c>
      <c r="C1111" s="3">
        <v>6566099</v>
      </c>
      <c r="D1111" s="4">
        <v>35340069</v>
      </c>
      <c r="E1111">
        <v>66</v>
      </c>
      <c r="F1111" s="2">
        <v>0.504</v>
      </c>
      <c r="G1111" s="2">
        <v>0.498</v>
      </c>
      <c r="H1111" s="2">
        <v>4.99E-2</v>
      </c>
      <c r="I1111" s="2">
        <v>0.13100000000000001</v>
      </c>
      <c r="J1111" s="2">
        <v>9.2899999999999996E-2</v>
      </c>
      <c r="K1111" s="2">
        <v>0.19600000000000001</v>
      </c>
      <c r="L1111" s="2">
        <v>-8.24</v>
      </c>
    </row>
    <row r="1112" spans="1:12" x14ac:dyDescent="0.25">
      <c r="A1112">
        <v>114</v>
      </c>
      <c r="B1112">
        <v>1</v>
      </c>
      <c r="C1112" s="3">
        <v>6566059</v>
      </c>
      <c r="D1112" s="4">
        <v>42227614</v>
      </c>
      <c r="E1112">
        <v>66</v>
      </c>
      <c r="F1112" s="2">
        <v>0.59799999999999998</v>
      </c>
      <c r="G1112" s="2">
        <v>0.82099999999999995</v>
      </c>
      <c r="H1112" s="2">
        <v>4.4699999999999997E-2</v>
      </c>
      <c r="I1112" s="2">
        <v>2.3099999999999999E-2</v>
      </c>
      <c r="J1112" s="2">
        <v>0.14299999999999999</v>
      </c>
      <c r="K1112" s="2">
        <v>0.67300000000000004</v>
      </c>
      <c r="L1112" s="2">
        <v>-4.4329999999999998</v>
      </c>
    </row>
    <row r="1113" spans="1:12" x14ac:dyDescent="0.25">
      <c r="A1113">
        <v>99</v>
      </c>
      <c r="B1113">
        <v>5</v>
      </c>
      <c r="C1113" s="3">
        <v>6442626</v>
      </c>
      <c r="D1113" s="4">
        <v>13312073</v>
      </c>
      <c r="E1113">
        <v>66</v>
      </c>
      <c r="F1113" s="2">
        <v>0.66800000000000004</v>
      </c>
      <c r="G1113" s="2">
        <v>0.68400000000000005</v>
      </c>
      <c r="H1113" s="2">
        <v>5.2699999999999997E-2</v>
      </c>
      <c r="I1113" s="2">
        <v>0.627</v>
      </c>
      <c r="J1113" s="2">
        <v>0.92300000000000004</v>
      </c>
      <c r="K1113" s="2">
        <v>0.7</v>
      </c>
      <c r="L1113" s="2">
        <v>-5.9370000000000003</v>
      </c>
    </row>
    <row r="1114" spans="1:12" x14ac:dyDescent="0.25">
      <c r="A1114">
        <v>33</v>
      </c>
      <c r="B1114">
        <v>2</v>
      </c>
      <c r="C1114" s="3">
        <v>6085522</v>
      </c>
      <c r="D1114" s="4">
        <v>42227614</v>
      </c>
      <c r="E1114">
        <v>66</v>
      </c>
      <c r="F1114" s="2">
        <v>0.35399999999999998</v>
      </c>
      <c r="G1114" s="2">
        <v>0.26700000000000002</v>
      </c>
      <c r="H1114" s="2">
        <v>2.81E-2</v>
      </c>
      <c r="I1114" s="2">
        <v>0.73099999999999998</v>
      </c>
      <c r="J1114" s="2">
        <v>8.5800000000000001E-2</v>
      </c>
      <c r="K1114" s="2">
        <v>0.113</v>
      </c>
      <c r="L1114" s="2">
        <v>-13.69</v>
      </c>
    </row>
    <row r="1115" spans="1:12" x14ac:dyDescent="0.25">
      <c r="A1115">
        <v>21</v>
      </c>
      <c r="B1115">
        <v>2</v>
      </c>
      <c r="C1115" s="3">
        <v>6055294</v>
      </c>
      <c r="D1115" s="4">
        <v>35340069</v>
      </c>
      <c r="E1115">
        <v>66</v>
      </c>
      <c r="F1115" s="2">
        <v>0.218</v>
      </c>
      <c r="G1115" s="2">
        <v>0.65200000000000002</v>
      </c>
      <c r="H1115" s="2">
        <v>6.4100000000000004E-2</v>
      </c>
      <c r="I1115" s="2">
        <v>3.3000000000000002E-2</v>
      </c>
      <c r="J1115" s="2">
        <v>0.17199999999999999</v>
      </c>
      <c r="K1115" s="2">
        <v>5.9900000000000002E-2</v>
      </c>
      <c r="L1115" s="2">
        <v>-7.9530000000000003</v>
      </c>
    </row>
    <row r="1116" spans="1:12" x14ac:dyDescent="0.25">
      <c r="A1116">
        <v>99</v>
      </c>
      <c r="B1116">
        <v>2</v>
      </c>
      <c r="C1116" s="3">
        <v>6041127</v>
      </c>
      <c r="D1116" s="4">
        <v>36177712</v>
      </c>
      <c r="E1116">
        <v>66</v>
      </c>
      <c r="F1116" s="2">
        <v>0.82</v>
      </c>
      <c r="G1116" s="2">
        <v>0.63500000000000001</v>
      </c>
      <c r="H1116" s="2">
        <v>7.7200000000000005E-2</v>
      </c>
      <c r="I1116" s="2">
        <v>0.40899999999999997</v>
      </c>
      <c r="J1116" s="2">
        <v>0.24399999999999999</v>
      </c>
      <c r="K1116" s="2">
        <v>0.52800000000000002</v>
      </c>
      <c r="L1116" s="2">
        <v>-5.7489999999999997</v>
      </c>
    </row>
    <row r="1117" spans="1:12" x14ac:dyDescent="0.25">
      <c r="A1117">
        <v>126</v>
      </c>
      <c r="B1117">
        <v>1</v>
      </c>
      <c r="C1117" s="3">
        <v>6013371</v>
      </c>
      <c r="D1117" s="4">
        <v>4759367</v>
      </c>
      <c r="E1117">
        <v>66</v>
      </c>
      <c r="F1117" s="2">
        <v>0.73799999999999999</v>
      </c>
      <c r="G1117" s="2">
        <v>0.53300000000000003</v>
      </c>
      <c r="H1117" s="2">
        <v>4.9200000000000001E-2</v>
      </c>
      <c r="I1117" s="2">
        <v>0.183</v>
      </c>
      <c r="J1117" s="2">
        <v>0.115</v>
      </c>
      <c r="K1117" s="2">
        <v>0.26200000000000001</v>
      </c>
      <c r="L1117" s="2">
        <v>-7.617</v>
      </c>
    </row>
    <row r="1118" spans="1:12" x14ac:dyDescent="0.25">
      <c r="A1118">
        <v>65</v>
      </c>
      <c r="B1118">
        <v>2</v>
      </c>
      <c r="C1118" s="3">
        <v>6004839</v>
      </c>
      <c r="D1118" s="4">
        <v>7816213</v>
      </c>
      <c r="E1118">
        <v>66</v>
      </c>
      <c r="F1118" s="2">
        <v>0.78800000000000003</v>
      </c>
      <c r="G1118" s="2">
        <v>0.436</v>
      </c>
      <c r="H1118" s="2">
        <v>0.36399999999999999</v>
      </c>
      <c r="I1118" s="2">
        <v>6.1100000000000002E-2</v>
      </c>
      <c r="J1118" s="2">
        <v>9.7900000000000001E-2</v>
      </c>
      <c r="K1118" s="2">
        <v>0.34100000000000003</v>
      </c>
      <c r="L1118" s="2">
        <v>-9.4350000000000005</v>
      </c>
    </row>
    <row r="1119" spans="1:12" x14ac:dyDescent="0.25">
      <c r="A1119">
        <v>101</v>
      </c>
      <c r="B1119">
        <v>1</v>
      </c>
      <c r="C1119" s="3">
        <v>5938996</v>
      </c>
      <c r="D1119" s="4">
        <v>3828418</v>
      </c>
      <c r="E1119">
        <v>66</v>
      </c>
      <c r="F1119" s="2">
        <v>0.77500000000000002</v>
      </c>
      <c r="G1119" s="2">
        <v>0.82299999999999995</v>
      </c>
      <c r="H1119" s="2">
        <v>6.3500000000000001E-2</v>
      </c>
      <c r="I1119" s="2">
        <v>8.8099999999999998E-2</v>
      </c>
      <c r="J1119" s="2">
        <v>0.309</v>
      </c>
      <c r="K1119" s="2">
        <v>0.65</v>
      </c>
      <c r="L1119" s="2">
        <v>-4.9409999999999998</v>
      </c>
    </row>
    <row r="1120" spans="1:12" x14ac:dyDescent="0.25">
      <c r="A1120">
        <v>114</v>
      </c>
      <c r="B1120">
        <v>1</v>
      </c>
      <c r="C1120" s="3">
        <v>5867930</v>
      </c>
      <c r="D1120" s="4">
        <v>7593792</v>
      </c>
      <c r="E1120">
        <v>66</v>
      </c>
      <c r="F1120" s="2">
        <v>0.52600000000000002</v>
      </c>
      <c r="G1120" s="2">
        <v>0.63300000000000001</v>
      </c>
      <c r="H1120" s="2">
        <v>0.13400000000000001</v>
      </c>
      <c r="I1120" s="2">
        <v>0.372</v>
      </c>
      <c r="J1120" s="2">
        <v>0.129</v>
      </c>
      <c r="K1120" s="2">
        <v>0.27200000000000002</v>
      </c>
      <c r="L1120" s="2">
        <v>-7.0019999999999998</v>
      </c>
    </row>
    <row r="1121" spans="1:12" x14ac:dyDescent="0.25">
      <c r="A1121">
        <v>132</v>
      </c>
      <c r="B1121">
        <v>1</v>
      </c>
      <c r="C1121" s="3">
        <v>5836326</v>
      </c>
      <c r="D1121" s="4">
        <v>20338833</v>
      </c>
      <c r="E1121">
        <v>66</v>
      </c>
      <c r="F1121" s="2">
        <v>0.41299999999999998</v>
      </c>
      <c r="G1121" s="2">
        <v>0.64</v>
      </c>
      <c r="H1121" s="2">
        <v>4.2700000000000002E-2</v>
      </c>
      <c r="I1121" s="2">
        <v>0.27300000000000002</v>
      </c>
      <c r="J1121" s="2">
        <v>0.11</v>
      </c>
      <c r="K1121" s="2">
        <v>0.14899999999999999</v>
      </c>
      <c r="L1121" s="2">
        <v>-5.8109999999999999</v>
      </c>
    </row>
    <row r="1122" spans="1:12" x14ac:dyDescent="0.25">
      <c r="A1122">
        <v>22</v>
      </c>
      <c r="B1122">
        <v>3</v>
      </c>
      <c r="C1122" s="3">
        <v>5823422</v>
      </c>
      <c r="D1122" s="4">
        <v>46814751</v>
      </c>
      <c r="E1122">
        <v>66</v>
      </c>
      <c r="F1122" s="2">
        <v>0.79400000000000004</v>
      </c>
      <c r="G1122" s="2">
        <v>0.63700000000000001</v>
      </c>
      <c r="H1122" s="2">
        <v>0.33900000000000002</v>
      </c>
      <c r="I1122" s="2">
        <v>2.8000000000000001E-2</v>
      </c>
      <c r="J1122" s="2">
        <v>9.1899999999999996E-2</v>
      </c>
      <c r="K1122" s="2">
        <v>0.39300000000000002</v>
      </c>
      <c r="L1122" s="2">
        <v>-6.29</v>
      </c>
    </row>
    <row r="1123" spans="1:12" x14ac:dyDescent="0.25">
      <c r="A1123">
        <v>39</v>
      </c>
      <c r="B1123">
        <v>2</v>
      </c>
      <c r="C1123" s="3">
        <v>5748010</v>
      </c>
      <c r="D1123" s="4">
        <v>437907</v>
      </c>
      <c r="E1123">
        <v>66</v>
      </c>
      <c r="F1123" s="2">
        <v>0.75</v>
      </c>
      <c r="G1123" s="2">
        <v>0.78900000000000003</v>
      </c>
      <c r="H1123" s="2">
        <v>0.108</v>
      </c>
      <c r="I1123" s="2">
        <v>0.253</v>
      </c>
      <c r="J1123" s="2">
        <v>0.129</v>
      </c>
      <c r="K1123" s="2">
        <v>0.67300000000000004</v>
      </c>
      <c r="L1123" s="2">
        <v>-4.5780000000000003</v>
      </c>
    </row>
    <row r="1124" spans="1:12" x14ac:dyDescent="0.25">
      <c r="A1124">
        <v>35</v>
      </c>
      <c r="B1124">
        <v>2</v>
      </c>
      <c r="C1124" s="3">
        <v>5423997</v>
      </c>
      <c r="D1124" s="4">
        <v>35340069</v>
      </c>
      <c r="E1124">
        <v>66</v>
      </c>
      <c r="F1124" s="2">
        <v>0.55000000000000004</v>
      </c>
      <c r="G1124" s="2">
        <v>0.61099999999999999</v>
      </c>
      <c r="H1124" s="2">
        <v>0.13700000000000001</v>
      </c>
      <c r="I1124" s="2">
        <v>0.16200000000000001</v>
      </c>
      <c r="J1124" s="2">
        <v>0.121</v>
      </c>
      <c r="K1124" s="2">
        <v>0.24299999999999999</v>
      </c>
      <c r="L1124" s="2">
        <v>-7.4749999999999996</v>
      </c>
    </row>
    <row r="1125" spans="1:12" x14ac:dyDescent="0.25">
      <c r="A1125">
        <v>47</v>
      </c>
      <c r="B1125">
        <v>2</v>
      </c>
      <c r="C1125" s="3">
        <v>5375944</v>
      </c>
      <c r="D1125" s="4">
        <v>42227614</v>
      </c>
      <c r="E1125">
        <v>66</v>
      </c>
      <c r="F1125" s="2">
        <v>0.66200000000000003</v>
      </c>
      <c r="G1125" s="2">
        <v>0.18099999999999999</v>
      </c>
      <c r="H1125" s="2">
        <v>4.1500000000000002E-2</v>
      </c>
      <c r="I1125" s="2">
        <v>0.96599999999999997</v>
      </c>
      <c r="J1125" s="2">
        <v>0.13300000000000001</v>
      </c>
      <c r="K1125" s="2">
        <v>0.42899999999999999</v>
      </c>
      <c r="L1125" s="2">
        <v>-15.065</v>
      </c>
    </row>
    <row r="1126" spans="1:12" x14ac:dyDescent="0.25">
      <c r="A1126">
        <v>114</v>
      </c>
      <c r="B1126">
        <v>5</v>
      </c>
      <c r="C1126" s="3">
        <v>5325447</v>
      </c>
      <c r="D1126" s="4">
        <v>23936368</v>
      </c>
      <c r="E1126">
        <v>66</v>
      </c>
      <c r="F1126" s="2">
        <v>0.81299999999999994</v>
      </c>
      <c r="G1126" s="2">
        <v>0.76400000000000001</v>
      </c>
      <c r="H1126" s="2">
        <v>0.105</v>
      </c>
      <c r="I1126" s="2">
        <v>0.58599999999999997</v>
      </c>
      <c r="J1126" s="2">
        <v>0.253</v>
      </c>
      <c r="K1126" s="2">
        <v>0.42899999999999999</v>
      </c>
      <c r="L1126" s="2">
        <v>-3.39</v>
      </c>
    </row>
    <row r="1127" spans="1:12" x14ac:dyDescent="0.25">
      <c r="A1127">
        <v>139</v>
      </c>
      <c r="B1127">
        <v>1</v>
      </c>
      <c r="C1127" s="3">
        <v>5171235</v>
      </c>
      <c r="D1127" s="4">
        <v>40045</v>
      </c>
      <c r="E1127">
        <v>66</v>
      </c>
      <c r="F1127" s="2">
        <v>0.70299999999999996</v>
      </c>
      <c r="G1127" s="2">
        <v>0.70399999999999996</v>
      </c>
      <c r="H1127" s="2">
        <v>6.4100000000000004E-2</v>
      </c>
      <c r="I1127" s="2">
        <v>4.8000000000000001E-2</v>
      </c>
      <c r="J1127" s="2">
        <v>0.41</v>
      </c>
      <c r="K1127" s="2">
        <v>0.72499999999999998</v>
      </c>
      <c r="L1127" s="2">
        <v>-6.117</v>
      </c>
    </row>
    <row r="1128" spans="1:12" x14ac:dyDescent="0.25">
      <c r="A1128">
        <v>171</v>
      </c>
      <c r="B1128">
        <v>1</v>
      </c>
      <c r="C1128" s="3">
        <v>5141212</v>
      </c>
      <c r="D1128" s="4">
        <v>4759367</v>
      </c>
      <c r="E1128">
        <v>66</v>
      </c>
      <c r="F1128" s="2">
        <v>0.65600000000000003</v>
      </c>
      <c r="G1128" s="2">
        <v>0.77600000000000002</v>
      </c>
      <c r="H1128" s="2">
        <v>6.7199999999999996E-2</v>
      </c>
      <c r="I1128" s="2">
        <v>0.16</v>
      </c>
      <c r="J1128" s="2">
        <v>0.372</v>
      </c>
      <c r="K1128" s="2">
        <v>0.63800000000000001</v>
      </c>
      <c r="L1128" s="2">
        <v>-6.1840000000000002</v>
      </c>
    </row>
    <row r="1129" spans="1:12" x14ac:dyDescent="0.25">
      <c r="A1129">
        <v>128</v>
      </c>
      <c r="B1129">
        <v>9</v>
      </c>
      <c r="C1129" s="3">
        <v>5135469</v>
      </c>
      <c r="D1129" s="4">
        <v>206225</v>
      </c>
      <c r="E1129">
        <v>66</v>
      </c>
      <c r="F1129" s="2">
        <v>0.71099999999999997</v>
      </c>
      <c r="G1129" s="2">
        <v>0.75700000000000001</v>
      </c>
      <c r="H1129" s="2">
        <v>0.28999999999999998</v>
      </c>
      <c r="I1129" s="2">
        <v>0.26800000000000002</v>
      </c>
      <c r="J1129" s="2">
        <v>0.36699999999999999</v>
      </c>
      <c r="K1129" s="2">
        <v>0.72399999999999998</v>
      </c>
      <c r="L1129" s="2">
        <v>-4.1879999999999997</v>
      </c>
    </row>
    <row r="1130" spans="1:12" x14ac:dyDescent="0.25">
      <c r="A1130">
        <v>134</v>
      </c>
      <c r="B1130">
        <v>1</v>
      </c>
      <c r="C1130" s="3">
        <v>5060764</v>
      </c>
      <c r="D1130" s="4">
        <v>14103694</v>
      </c>
      <c r="E1130">
        <v>66</v>
      </c>
      <c r="F1130" s="2">
        <v>0.58599999999999997</v>
      </c>
      <c r="G1130" s="2">
        <v>0.51200000000000001</v>
      </c>
      <c r="H1130" s="2">
        <v>6.6799999999999998E-2</v>
      </c>
      <c r="I1130" s="2">
        <v>0.72299999999999998</v>
      </c>
      <c r="J1130" s="2">
        <v>0.11899999999999999</v>
      </c>
      <c r="K1130" s="2">
        <v>0.23499999999999999</v>
      </c>
      <c r="L1130" s="2">
        <v>-8.8190000000000008</v>
      </c>
    </row>
    <row r="1131" spans="1:12" x14ac:dyDescent="0.25">
      <c r="A1131">
        <v>200</v>
      </c>
      <c r="B1131">
        <v>1</v>
      </c>
      <c r="C1131" s="3">
        <v>5013851</v>
      </c>
      <c r="D1131" s="4">
        <v>5831194</v>
      </c>
      <c r="E1131">
        <v>66</v>
      </c>
      <c r="F1131" s="2">
        <v>0.63700000000000001</v>
      </c>
      <c r="G1131" s="2">
        <v>0.91200000000000003</v>
      </c>
      <c r="H1131" s="2">
        <v>0.308</v>
      </c>
      <c r="I1131" s="2">
        <v>0.35199999999999998</v>
      </c>
      <c r="J1131" s="2">
        <v>6.5699999999999995E-2</v>
      </c>
      <c r="K1131" s="2">
        <v>0.45100000000000001</v>
      </c>
      <c r="L1131" s="2">
        <v>-3.1230000000000002</v>
      </c>
    </row>
    <row r="1132" spans="1:12" x14ac:dyDescent="0.25">
      <c r="A1132">
        <v>149</v>
      </c>
      <c r="B1132">
        <v>10</v>
      </c>
      <c r="C1132" s="3">
        <v>5006457</v>
      </c>
      <c r="D1132" s="4">
        <v>12981319</v>
      </c>
      <c r="E1132">
        <v>66</v>
      </c>
      <c r="F1132" s="2">
        <v>0.79400000000000004</v>
      </c>
      <c r="G1132" s="2">
        <v>0.93700000000000006</v>
      </c>
      <c r="H1132" s="2">
        <v>3.3599999999999998E-2</v>
      </c>
      <c r="I1132" s="2">
        <v>0.36599999999999999</v>
      </c>
      <c r="J1132" s="2">
        <v>0.96199999999999997</v>
      </c>
      <c r="K1132" s="2">
        <v>0.82599999999999996</v>
      </c>
      <c r="L1132" s="2">
        <v>-2.44</v>
      </c>
    </row>
    <row r="1133" spans="1:12" x14ac:dyDescent="0.25">
      <c r="A1133">
        <v>49</v>
      </c>
      <c r="B1133">
        <v>2</v>
      </c>
      <c r="C1133" s="3">
        <v>4896521</v>
      </c>
      <c r="D1133" s="4">
        <v>67208170</v>
      </c>
      <c r="E1133">
        <v>66</v>
      </c>
      <c r="F1133" s="2">
        <v>0.68600000000000005</v>
      </c>
      <c r="G1133" s="2">
        <v>0.52600000000000002</v>
      </c>
      <c r="H1133" s="2">
        <v>3.7400000000000003E-2</v>
      </c>
      <c r="I1133" s="2">
        <v>8.1500000000000003E-2</v>
      </c>
      <c r="J1133" s="2">
        <v>0.14399999999999999</v>
      </c>
      <c r="K1133" s="2">
        <v>0.372</v>
      </c>
      <c r="L1133" s="2">
        <v>-6.8419999999999996</v>
      </c>
    </row>
    <row r="1134" spans="1:12" x14ac:dyDescent="0.25">
      <c r="A1134">
        <v>171</v>
      </c>
      <c r="B1134">
        <v>2</v>
      </c>
      <c r="C1134" s="3">
        <v>4848222</v>
      </c>
      <c r="D1134" s="4">
        <v>14122</v>
      </c>
      <c r="E1134">
        <v>66</v>
      </c>
      <c r="F1134" s="2">
        <v>0.93400000000000005</v>
      </c>
      <c r="G1134" s="2">
        <v>0.70699999999999996</v>
      </c>
      <c r="H1134" s="2">
        <v>6.4600000000000005E-2</v>
      </c>
      <c r="I1134" s="2">
        <v>0.437</v>
      </c>
      <c r="J1134" s="2">
        <v>6.2799999999999995E-2</v>
      </c>
      <c r="K1134" s="2">
        <v>0.96099999999999997</v>
      </c>
      <c r="L1134" s="2">
        <v>-4.2140000000000004</v>
      </c>
    </row>
    <row r="1135" spans="1:12" x14ac:dyDescent="0.25">
      <c r="A1135">
        <v>32</v>
      </c>
      <c r="B1135">
        <v>5</v>
      </c>
      <c r="C1135" s="3">
        <v>4753495</v>
      </c>
      <c r="D1135" s="4">
        <v>7601122</v>
      </c>
      <c r="E1135">
        <v>66</v>
      </c>
      <c r="F1135" s="2">
        <v>0.83599999999999997</v>
      </c>
      <c r="G1135" s="2">
        <v>0.624</v>
      </c>
      <c r="H1135" s="2">
        <v>0.184</v>
      </c>
      <c r="I1135" s="2">
        <v>0.187</v>
      </c>
      <c r="J1135" s="2">
        <v>0.13800000000000001</v>
      </c>
      <c r="K1135" s="2">
        <v>0.7</v>
      </c>
      <c r="L1135" s="2">
        <v>-6.75</v>
      </c>
    </row>
    <row r="1136" spans="1:12" x14ac:dyDescent="0.25">
      <c r="A1136">
        <v>110</v>
      </c>
      <c r="B1136">
        <v>12</v>
      </c>
      <c r="C1136" s="3">
        <v>4751064</v>
      </c>
      <c r="D1136" s="4">
        <v>352402</v>
      </c>
      <c r="E1136">
        <v>66</v>
      </c>
      <c r="F1136" s="2">
        <v>0.79900000000000004</v>
      </c>
      <c r="G1136" s="2">
        <v>0.56799999999999995</v>
      </c>
      <c r="H1136" s="2">
        <v>0.25</v>
      </c>
      <c r="I1136" s="2">
        <v>0.38700000000000001</v>
      </c>
      <c r="J1136" s="2">
        <v>8.9200000000000002E-2</v>
      </c>
      <c r="K1136" s="2">
        <v>0.96299999999999997</v>
      </c>
      <c r="L1136" s="2">
        <v>-3.089</v>
      </c>
    </row>
    <row r="1137" spans="1:12" x14ac:dyDescent="0.25">
      <c r="A1137">
        <v>196</v>
      </c>
      <c r="B1137">
        <v>1</v>
      </c>
      <c r="C1137" s="3">
        <v>4623030</v>
      </c>
      <c r="D1137" s="4">
        <v>15019109</v>
      </c>
      <c r="E1137">
        <v>66</v>
      </c>
      <c r="F1137" s="2">
        <v>0.52800000000000002</v>
      </c>
      <c r="G1137" s="2">
        <v>0.87</v>
      </c>
      <c r="H1137" s="2">
        <v>8.5099999999999995E-2</v>
      </c>
      <c r="I1137" s="2">
        <v>0.24</v>
      </c>
      <c r="J1137" s="2">
        <v>0.33300000000000002</v>
      </c>
      <c r="K1137" s="2">
        <v>0.71399999999999997</v>
      </c>
      <c r="L1137" s="2">
        <v>-3.1230000000000002</v>
      </c>
    </row>
    <row r="1138" spans="1:12" x14ac:dyDescent="0.25">
      <c r="A1138">
        <v>188</v>
      </c>
      <c r="B1138">
        <v>1</v>
      </c>
      <c r="C1138" s="3">
        <v>4601709</v>
      </c>
      <c r="D1138" s="4">
        <v>7358720</v>
      </c>
      <c r="E1138">
        <v>66</v>
      </c>
      <c r="F1138" s="2">
        <v>0.78400000000000003</v>
      </c>
      <c r="G1138" s="2">
        <v>0.63200000000000001</v>
      </c>
      <c r="H1138" s="2">
        <v>0.34699999999999998</v>
      </c>
      <c r="I1138" s="2">
        <v>0.156</v>
      </c>
      <c r="J1138" s="2">
        <v>0.60499999999999998</v>
      </c>
      <c r="K1138" s="2">
        <v>0.746</v>
      </c>
      <c r="L1138" s="2">
        <v>-6.0830000000000002</v>
      </c>
    </row>
    <row r="1139" spans="1:12" x14ac:dyDescent="0.25">
      <c r="A1139">
        <v>174</v>
      </c>
      <c r="B1139">
        <v>4</v>
      </c>
      <c r="C1139" s="3">
        <v>4575403</v>
      </c>
      <c r="D1139" s="4">
        <v>2919696</v>
      </c>
      <c r="E1139">
        <v>66</v>
      </c>
      <c r="F1139" s="2">
        <v>0.76300000000000001</v>
      </c>
      <c r="G1139" s="2">
        <v>0.57999999999999996</v>
      </c>
      <c r="H1139" s="2">
        <v>0.14399999999999999</v>
      </c>
      <c r="I1139" s="2">
        <v>4.6600000000000003E-2</v>
      </c>
      <c r="J1139" s="2">
        <v>0.154</v>
      </c>
      <c r="K1139" s="2">
        <v>0.60799999999999998</v>
      </c>
      <c r="L1139" s="2">
        <v>-6.1959999999999997</v>
      </c>
    </row>
    <row r="1140" spans="1:12" x14ac:dyDescent="0.25">
      <c r="A1140">
        <v>94</v>
      </c>
      <c r="B1140">
        <v>18</v>
      </c>
      <c r="C1140" s="3">
        <v>4318772</v>
      </c>
      <c r="D1140" s="4">
        <v>32279979</v>
      </c>
      <c r="E1140">
        <v>66</v>
      </c>
      <c r="F1140" s="2">
        <v>0.85099999999999998</v>
      </c>
      <c r="G1140" s="2">
        <v>0.54100000000000004</v>
      </c>
      <c r="H1140" s="2">
        <v>5.0500000000000003E-2</v>
      </c>
      <c r="I1140" s="2">
        <v>0.56799999999999995</v>
      </c>
      <c r="J1140" s="2">
        <v>0.13</v>
      </c>
      <c r="K1140" s="2">
        <v>0.44800000000000001</v>
      </c>
      <c r="L1140" s="2">
        <v>-6.8250000000000002</v>
      </c>
    </row>
    <row r="1141" spans="1:12" x14ac:dyDescent="0.25">
      <c r="A1141">
        <v>74</v>
      </c>
      <c r="B1141">
        <v>18</v>
      </c>
      <c r="C1141" s="3">
        <v>4214147</v>
      </c>
      <c r="D1141" s="4">
        <v>29067437</v>
      </c>
      <c r="E1141">
        <v>66</v>
      </c>
      <c r="F1141" s="2">
        <v>0.87</v>
      </c>
      <c r="G1141" s="2">
        <v>0.70599999999999996</v>
      </c>
      <c r="H1141" s="2">
        <v>0.126</v>
      </c>
      <c r="I1141" s="2">
        <v>2.53E-2</v>
      </c>
      <c r="J1141" s="2">
        <v>8.72E-2</v>
      </c>
      <c r="K1141" s="2">
        <v>0.59299999999999997</v>
      </c>
      <c r="L1141" s="2">
        <v>-5.3949999999999996</v>
      </c>
    </row>
    <row r="1142" spans="1:12" x14ac:dyDescent="0.25">
      <c r="A1142">
        <v>1</v>
      </c>
      <c r="B1142">
        <v>10</v>
      </c>
      <c r="C1142" s="3">
        <v>23235257</v>
      </c>
      <c r="D1142" s="4">
        <v>6931357</v>
      </c>
      <c r="E1142">
        <v>65</v>
      </c>
      <c r="F1142" s="2">
        <v>0.33600000000000002</v>
      </c>
      <c r="G1142" s="2">
        <v>0.627</v>
      </c>
      <c r="H1142" s="2">
        <v>3.8399999999999997E-2</v>
      </c>
      <c r="I1142" s="2">
        <v>0.16400000000000001</v>
      </c>
      <c r="J1142" s="2">
        <v>7.0800000000000002E-2</v>
      </c>
      <c r="K1142" s="2">
        <v>0.35</v>
      </c>
      <c r="L1142" s="2">
        <v>-7.4630000000000001</v>
      </c>
    </row>
    <row r="1143" spans="1:12" x14ac:dyDescent="0.25">
      <c r="A1143">
        <v>28</v>
      </c>
      <c r="B1143">
        <v>1</v>
      </c>
      <c r="C1143" s="3">
        <v>16213589</v>
      </c>
      <c r="D1143" s="4">
        <v>42227614</v>
      </c>
      <c r="E1143">
        <v>65</v>
      </c>
      <c r="F1143" s="2">
        <v>0.55900000000000005</v>
      </c>
      <c r="G1143" s="2">
        <v>0.33400000000000002</v>
      </c>
      <c r="H1143" s="2">
        <v>3.7600000000000001E-2</v>
      </c>
      <c r="I1143" s="2">
        <v>0.87</v>
      </c>
      <c r="J1143" s="2">
        <v>0.114</v>
      </c>
      <c r="K1143" s="2">
        <v>0.21099999999999999</v>
      </c>
      <c r="L1143" s="2">
        <v>-10.733000000000001</v>
      </c>
    </row>
    <row r="1144" spans="1:12" x14ac:dyDescent="0.25">
      <c r="A1144">
        <v>68</v>
      </c>
      <c r="B1144">
        <v>1</v>
      </c>
      <c r="C1144" s="3">
        <v>8675173</v>
      </c>
      <c r="D1144" s="4">
        <v>9949044</v>
      </c>
      <c r="E1144">
        <v>65</v>
      </c>
      <c r="F1144" s="2">
        <v>0.63500000000000001</v>
      </c>
      <c r="G1144" s="2">
        <v>0.79300000000000004</v>
      </c>
      <c r="H1144" s="2">
        <v>3.2199999999999999E-2</v>
      </c>
      <c r="I1144" s="2">
        <v>6.4700000000000001E-4</v>
      </c>
      <c r="J1144" s="2">
        <v>0.113</v>
      </c>
      <c r="K1144" s="2">
        <v>0.28100000000000003</v>
      </c>
      <c r="L1144" s="2">
        <v>-4.3330000000000002</v>
      </c>
    </row>
    <row r="1145" spans="1:12" x14ac:dyDescent="0.25">
      <c r="A1145">
        <v>70</v>
      </c>
      <c r="B1145">
        <v>1</v>
      </c>
      <c r="C1145" s="3">
        <v>8136247</v>
      </c>
      <c r="D1145" s="4">
        <v>27167675</v>
      </c>
      <c r="E1145">
        <v>65</v>
      </c>
      <c r="F1145" s="2">
        <v>0.46899999999999997</v>
      </c>
      <c r="G1145" s="2">
        <v>0.78500000000000003</v>
      </c>
      <c r="H1145" s="2">
        <v>6.6400000000000001E-2</v>
      </c>
      <c r="I1145" s="2">
        <v>0.13300000000000001</v>
      </c>
      <c r="J1145" s="2">
        <v>9.3100000000000002E-2</v>
      </c>
      <c r="K1145" s="2">
        <v>0.79</v>
      </c>
      <c r="L1145" s="2">
        <v>-4.0149999999999997</v>
      </c>
    </row>
    <row r="1146" spans="1:12" x14ac:dyDescent="0.25">
      <c r="A1146">
        <v>71</v>
      </c>
      <c r="B1146">
        <v>1</v>
      </c>
      <c r="C1146" s="3">
        <v>8091754</v>
      </c>
      <c r="D1146" s="4">
        <v>27167675</v>
      </c>
      <c r="E1146">
        <v>65</v>
      </c>
      <c r="F1146" s="2">
        <v>0.875</v>
      </c>
      <c r="G1146" s="2">
        <v>0.81299999999999994</v>
      </c>
      <c r="H1146" s="2">
        <v>5.79E-2</v>
      </c>
      <c r="I1146" s="2">
        <v>6.1799999999999997E-3</v>
      </c>
      <c r="J1146" s="2">
        <v>0.32100000000000001</v>
      </c>
      <c r="K1146" s="2">
        <v>0.85899999999999999</v>
      </c>
      <c r="L1146" s="2">
        <v>-4.5019999999999998</v>
      </c>
    </row>
    <row r="1147" spans="1:12" x14ac:dyDescent="0.25">
      <c r="A1147">
        <v>51</v>
      </c>
      <c r="B1147">
        <v>3</v>
      </c>
      <c r="C1147" s="3">
        <v>7712896</v>
      </c>
      <c r="D1147" s="4">
        <v>42227614</v>
      </c>
      <c r="E1147">
        <v>65</v>
      </c>
      <c r="F1147" s="2">
        <v>0.58899999999999997</v>
      </c>
      <c r="G1147" s="2">
        <v>0.496</v>
      </c>
      <c r="H1147" s="2">
        <v>3.7699999999999997E-2</v>
      </c>
      <c r="I1147" s="2">
        <v>0.81799999999999995</v>
      </c>
      <c r="J1147" s="2">
        <v>0.10100000000000001</v>
      </c>
      <c r="K1147" s="2">
        <v>0.44</v>
      </c>
      <c r="L1147" s="2">
        <v>-7.6059999999999999</v>
      </c>
    </row>
    <row r="1148" spans="1:12" x14ac:dyDescent="0.25">
      <c r="A1148">
        <v>26</v>
      </c>
      <c r="B1148">
        <v>2</v>
      </c>
      <c r="C1148" s="3">
        <v>7618955</v>
      </c>
      <c r="D1148" s="4">
        <v>46814751</v>
      </c>
      <c r="E1148">
        <v>65</v>
      </c>
      <c r="F1148" s="2">
        <v>0.67100000000000004</v>
      </c>
      <c r="G1148" s="2">
        <v>0.623</v>
      </c>
      <c r="H1148" s="2">
        <v>0.308</v>
      </c>
      <c r="I1148" s="2">
        <v>9.9799999999999993E-3</v>
      </c>
      <c r="J1148" s="2">
        <v>0.64300000000000002</v>
      </c>
      <c r="K1148" s="2">
        <v>0.19500000000000001</v>
      </c>
      <c r="L1148" s="2">
        <v>-7.1609999999999996</v>
      </c>
    </row>
    <row r="1149" spans="1:12" x14ac:dyDescent="0.25">
      <c r="A1149">
        <v>88</v>
      </c>
      <c r="B1149">
        <v>1</v>
      </c>
      <c r="C1149" s="3">
        <v>7514854</v>
      </c>
      <c r="D1149" s="4">
        <v>29067437</v>
      </c>
      <c r="E1149">
        <v>65</v>
      </c>
      <c r="F1149" s="2">
        <v>0.84899999999999998</v>
      </c>
      <c r="G1149" s="2">
        <v>0.70899999999999996</v>
      </c>
      <c r="H1149" s="2">
        <v>7.9399999999999998E-2</v>
      </c>
      <c r="I1149" s="2">
        <v>0.22900000000000001</v>
      </c>
      <c r="J1149" s="2">
        <v>0.32900000000000001</v>
      </c>
      <c r="K1149" s="2">
        <v>0.91600000000000004</v>
      </c>
      <c r="L1149" s="2">
        <v>-4.7169999999999996</v>
      </c>
    </row>
    <row r="1150" spans="1:12" x14ac:dyDescent="0.25">
      <c r="A1150">
        <v>46</v>
      </c>
      <c r="B1150">
        <v>2</v>
      </c>
      <c r="C1150" s="3">
        <v>7240117</v>
      </c>
      <c r="D1150" s="4">
        <v>878491</v>
      </c>
      <c r="E1150">
        <v>65</v>
      </c>
      <c r="F1150" s="2">
        <v>0.48599999999999999</v>
      </c>
      <c r="G1150" s="2">
        <v>0.38800000000000001</v>
      </c>
      <c r="H1150" s="2">
        <v>0.126</v>
      </c>
      <c r="I1150" s="2">
        <v>0.435</v>
      </c>
      <c r="J1150" s="2">
        <v>0.19600000000000001</v>
      </c>
      <c r="K1150" s="2">
        <v>0.46700000000000003</v>
      </c>
      <c r="L1150" s="2">
        <v>-9.3260000000000005</v>
      </c>
    </row>
    <row r="1151" spans="1:12" x14ac:dyDescent="0.25">
      <c r="A1151">
        <v>78</v>
      </c>
      <c r="B1151">
        <v>1</v>
      </c>
      <c r="C1151" s="3">
        <v>7065060</v>
      </c>
      <c r="D1151" s="4">
        <v>7601122</v>
      </c>
      <c r="E1151">
        <v>65</v>
      </c>
      <c r="F1151" s="2">
        <v>0.91500000000000004</v>
      </c>
      <c r="G1151" s="2">
        <v>0.61199999999999999</v>
      </c>
      <c r="H1151" s="2">
        <v>0.40699999999999997</v>
      </c>
      <c r="I1151" s="2">
        <v>9.4399999999999998E-2</v>
      </c>
      <c r="J1151" s="2">
        <v>0.115</v>
      </c>
      <c r="K1151" s="2">
        <v>0.75800000000000001</v>
      </c>
      <c r="L1151" s="2">
        <v>-4.5350000000000001</v>
      </c>
    </row>
    <row r="1152" spans="1:12" x14ac:dyDescent="0.25">
      <c r="A1152">
        <v>102</v>
      </c>
      <c r="B1152">
        <v>1</v>
      </c>
      <c r="C1152" s="3">
        <v>7039222</v>
      </c>
      <c r="D1152" s="4">
        <v>42227614</v>
      </c>
      <c r="E1152">
        <v>65</v>
      </c>
      <c r="F1152" s="2">
        <v>0.42299999999999999</v>
      </c>
      <c r="G1152" s="2">
        <v>0.51700000000000002</v>
      </c>
      <c r="H1152" s="2">
        <v>4.8599999999999997E-2</v>
      </c>
      <c r="I1152" s="2">
        <v>0.36899999999999999</v>
      </c>
      <c r="J1152" s="2">
        <v>0.17699999999999999</v>
      </c>
      <c r="K1152" s="2">
        <v>0.36599999999999999</v>
      </c>
      <c r="L1152" s="2">
        <v>-7.3769999999999998</v>
      </c>
    </row>
    <row r="1153" spans="1:12" x14ac:dyDescent="0.25">
      <c r="A1153">
        <v>36</v>
      </c>
      <c r="B1153">
        <v>2</v>
      </c>
      <c r="C1153" s="3">
        <v>6442451</v>
      </c>
      <c r="D1153" s="4">
        <v>11821805</v>
      </c>
      <c r="E1153">
        <v>65</v>
      </c>
      <c r="F1153" s="2">
        <v>0.90300000000000002</v>
      </c>
      <c r="G1153" s="2">
        <v>0.53500000000000003</v>
      </c>
      <c r="H1153" s="2">
        <v>0.28599999999999998</v>
      </c>
      <c r="I1153" s="2">
        <v>2.98E-2</v>
      </c>
      <c r="J1153" s="2">
        <v>8.5099999999999995E-2</v>
      </c>
      <c r="K1153" s="2">
        <v>0.157</v>
      </c>
      <c r="L1153" s="2">
        <v>-6.2380000000000004</v>
      </c>
    </row>
    <row r="1154" spans="1:12" x14ac:dyDescent="0.25">
      <c r="A1154">
        <v>32</v>
      </c>
      <c r="B1154">
        <v>2</v>
      </c>
      <c r="C1154" s="3">
        <v>6374807</v>
      </c>
      <c r="D1154" s="4">
        <v>46814751</v>
      </c>
      <c r="E1154">
        <v>65</v>
      </c>
      <c r="F1154" s="2">
        <v>0.85199999999999998</v>
      </c>
      <c r="G1154" s="2">
        <v>0.752</v>
      </c>
      <c r="H1154" s="2">
        <v>5.9700000000000003E-2</v>
      </c>
      <c r="I1154" s="2">
        <v>1.6899999999999998E-2</v>
      </c>
      <c r="J1154" s="2">
        <v>0.39400000000000002</v>
      </c>
      <c r="K1154" s="2">
        <v>0.38900000000000001</v>
      </c>
      <c r="L1154" s="2">
        <v>-5.7930000000000001</v>
      </c>
    </row>
    <row r="1155" spans="1:12" x14ac:dyDescent="0.25">
      <c r="A1155">
        <v>120</v>
      </c>
      <c r="B1155">
        <v>1</v>
      </c>
      <c r="C1155" s="3">
        <v>6207326</v>
      </c>
      <c r="D1155" s="4">
        <v>8153871</v>
      </c>
      <c r="E1155">
        <v>65</v>
      </c>
      <c r="F1155" s="2">
        <v>0.60899999999999999</v>
      </c>
      <c r="G1155" s="2">
        <v>0.78500000000000003</v>
      </c>
      <c r="H1155" s="2">
        <v>8.9099999999999999E-2</v>
      </c>
      <c r="I1155" s="2">
        <v>5.0200000000000002E-2</v>
      </c>
      <c r="J1155" s="2">
        <v>0.17100000000000001</v>
      </c>
      <c r="K1155" s="2">
        <v>0.75600000000000001</v>
      </c>
      <c r="L1155" s="2">
        <v>-3.32</v>
      </c>
    </row>
    <row r="1156" spans="1:12" x14ac:dyDescent="0.25">
      <c r="A1156">
        <v>152</v>
      </c>
      <c r="B1156">
        <v>1</v>
      </c>
      <c r="C1156" s="3">
        <v>5796978</v>
      </c>
      <c r="D1156" s="4">
        <v>13697048</v>
      </c>
      <c r="E1156">
        <v>65</v>
      </c>
      <c r="F1156" s="2">
        <v>0.49299999999999999</v>
      </c>
      <c r="G1156" s="2">
        <v>0.26300000000000001</v>
      </c>
      <c r="H1156" s="2">
        <v>3.5099999999999999E-2</v>
      </c>
      <c r="I1156" s="2">
        <v>0.92600000000000005</v>
      </c>
      <c r="J1156" s="2">
        <v>8.7900000000000006E-2</v>
      </c>
      <c r="K1156" s="2">
        <v>0.158</v>
      </c>
      <c r="L1156" s="2">
        <v>-12.805</v>
      </c>
    </row>
    <row r="1157" spans="1:12" x14ac:dyDescent="0.25">
      <c r="A1157">
        <v>136</v>
      </c>
      <c r="B1157">
        <v>1</v>
      </c>
      <c r="C1157" s="3">
        <v>5791343</v>
      </c>
      <c r="D1157" s="4">
        <v>7744095</v>
      </c>
      <c r="E1157">
        <v>65</v>
      </c>
      <c r="F1157" s="2">
        <v>0.64400000000000002</v>
      </c>
      <c r="G1157" s="2">
        <v>0.76800000000000002</v>
      </c>
      <c r="H1157" s="2">
        <v>4.5499999999999999E-2</v>
      </c>
      <c r="I1157" s="2">
        <v>0.17399999999999999</v>
      </c>
      <c r="J1157" s="2">
        <v>0.46899999999999997</v>
      </c>
      <c r="K1157" s="2">
        <v>0.59799999999999998</v>
      </c>
      <c r="L1157" s="2">
        <v>-4.3159999999999998</v>
      </c>
    </row>
    <row r="1158" spans="1:12" x14ac:dyDescent="0.25">
      <c r="A1158">
        <v>168</v>
      </c>
      <c r="B1158">
        <v>1</v>
      </c>
      <c r="C1158" s="3">
        <v>5656775</v>
      </c>
      <c r="D1158" s="4">
        <v>1603670</v>
      </c>
      <c r="E1158">
        <v>65</v>
      </c>
      <c r="F1158" s="2">
        <v>0.77600000000000002</v>
      </c>
      <c r="G1158" s="2">
        <v>0.71299999999999997</v>
      </c>
      <c r="H1158" s="2">
        <v>0.14299999999999999</v>
      </c>
      <c r="I1158" s="2">
        <v>0.52500000000000002</v>
      </c>
      <c r="J1158" s="2">
        <v>0.30599999999999999</v>
      </c>
      <c r="K1158" s="2">
        <v>0.55100000000000005</v>
      </c>
      <c r="L1158" s="2">
        <v>-6.1210000000000004</v>
      </c>
    </row>
    <row r="1159" spans="1:12" x14ac:dyDescent="0.25">
      <c r="A1159">
        <v>145</v>
      </c>
      <c r="B1159">
        <v>1</v>
      </c>
      <c r="C1159" s="3">
        <v>5547939</v>
      </c>
      <c r="D1159" s="4">
        <v>4759367</v>
      </c>
      <c r="E1159">
        <v>65</v>
      </c>
      <c r="F1159" s="2">
        <v>0.78100000000000003</v>
      </c>
      <c r="G1159" s="2">
        <v>0.61299999999999999</v>
      </c>
      <c r="H1159" s="2">
        <v>5.2400000000000002E-2</v>
      </c>
      <c r="I1159" s="2">
        <v>3.9899999999999998E-2</v>
      </c>
      <c r="J1159" s="2">
        <v>9.7600000000000006E-2</v>
      </c>
      <c r="K1159" s="2">
        <v>0.61299999999999999</v>
      </c>
      <c r="L1159" s="2">
        <v>-5.5819999999999999</v>
      </c>
    </row>
    <row r="1160" spans="1:12" x14ac:dyDescent="0.25">
      <c r="A1160">
        <v>192</v>
      </c>
      <c r="B1160">
        <v>1</v>
      </c>
      <c r="C1160" s="3">
        <v>5197564</v>
      </c>
      <c r="D1160" s="4">
        <v>42227614</v>
      </c>
      <c r="E1160">
        <v>65</v>
      </c>
      <c r="F1160" s="2">
        <v>0.56299999999999994</v>
      </c>
      <c r="G1160" s="2">
        <v>0.47299999999999998</v>
      </c>
      <c r="H1160" s="2">
        <v>5.0299999999999997E-2</v>
      </c>
      <c r="I1160" s="2">
        <v>0.51400000000000001</v>
      </c>
      <c r="J1160" s="2">
        <v>0.109</v>
      </c>
      <c r="K1160" s="2">
        <v>0.40500000000000003</v>
      </c>
      <c r="L1160" s="2">
        <v>-11.548</v>
      </c>
    </row>
    <row r="1161" spans="1:12" x14ac:dyDescent="0.25">
      <c r="A1161">
        <v>143</v>
      </c>
      <c r="B1161">
        <v>1</v>
      </c>
      <c r="C1161" s="3">
        <v>5113459</v>
      </c>
      <c r="D1161" s="4">
        <v>1700759</v>
      </c>
      <c r="E1161">
        <v>65</v>
      </c>
      <c r="F1161" s="2">
        <v>0.78800000000000003</v>
      </c>
      <c r="G1161" s="2">
        <v>0.49099999999999999</v>
      </c>
      <c r="H1161" s="2">
        <v>0.109</v>
      </c>
      <c r="I1161" s="2">
        <v>0.38600000000000001</v>
      </c>
      <c r="J1161" s="2">
        <v>0.107</v>
      </c>
      <c r="K1161" s="2">
        <v>0.27100000000000002</v>
      </c>
      <c r="L1161" s="2">
        <v>-9.8840000000000003</v>
      </c>
    </row>
    <row r="1162" spans="1:12" x14ac:dyDescent="0.25">
      <c r="A1162">
        <v>113</v>
      </c>
      <c r="B1162">
        <v>7</v>
      </c>
      <c r="C1162" s="3">
        <v>5082563</v>
      </c>
      <c r="D1162" s="4">
        <v>7564659</v>
      </c>
      <c r="E1162">
        <v>65</v>
      </c>
      <c r="F1162" s="2">
        <v>0.72299999999999998</v>
      </c>
      <c r="G1162" s="2">
        <v>0.72599999999999998</v>
      </c>
      <c r="H1162" s="2">
        <v>4.7199999999999999E-2</v>
      </c>
      <c r="I1162" s="2">
        <v>5.6399999999999999E-2</v>
      </c>
      <c r="J1162" s="2">
        <v>5.7000000000000002E-2</v>
      </c>
      <c r="K1162" s="2">
        <v>0.96199999999999997</v>
      </c>
      <c r="L1162" s="2">
        <v>-3.835</v>
      </c>
    </row>
    <row r="1163" spans="1:12" x14ac:dyDescent="0.25">
      <c r="A1163">
        <v>177</v>
      </c>
      <c r="B1163">
        <v>3</v>
      </c>
      <c r="C1163" s="3">
        <v>4929396</v>
      </c>
      <c r="D1163" s="4">
        <v>6434201</v>
      </c>
      <c r="E1163">
        <v>65</v>
      </c>
      <c r="F1163" s="2">
        <v>0.80200000000000005</v>
      </c>
      <c r="G1163" s="2">
        <v>0.82</v>
      </c>
      <c r="H1163" s="2">
        <v>0.14599999999999999</v>
      </c>
      <c r="I1163" s="2">
        <v>5.79E-2</v>
      </c>
      <c r="J1163" s="2">
        <v>0.14899999999999999</v>
      </c>
      <c r="K1163" s="2">
        <v>0.61299999999999999</v>
      </c>
      <c r="L1163" s="2">
        <v>-5.9690000000000003</v>
      </c>
    </row>
    <row r="1164" spans="1:12" x14ac:dyDescent="0.25">
      <c r="A1164">
        <v>85</v>
      </c>
      <c r="B1164">
        <v>2</v>
      </c>
      <c r="C1164" s="3">
        <v>4901960</v>
      </c>
      <c r="D1164" s="4">
        <v>1700759</v>
      </c>
      <c r="E1164">
        <v>65</v>
      </c>
      <c r="F1164" s="2">
        <v>0.78800000000000003</v>
      </c>
      <c r="G1164" s="2">
        <v>0.49099999999999999</v>
      </c>
      <c r="H1164" s="2">
        <v>0.109</v>
      </c>
      <c r="I1164" s="2">
        <v>0.38600000000000001</v>
      </c>
      <c r="J1164" s="2">
        <v>0.107</v>
      </c>
      <c r="K1164" s="2">
        <v>0.27100000000000002</v>
      </c>
      <c r="L1164" s="2">
        <v>-9.8840000000000003</v>
      </c>
    </row>
    <row r="1165" spans="1:12" x14ac:dyDescent="0.25">
      <c r="A1165">
        <v>53</v>
      </c>
      <c r="B1165">
        <v>2</v>
      </c>
      <c r="C1165" s="3">
        <v>4898167</v>
      </c>
      <c r="D1165" s="4">
        <v>11821805</v>
      </c>
      <c r="E1165">
        <v>65</v>
      </c>
      <c r="F1165" s="2">
        <v>0.78600000000000003</v>
      </c>
      <c r="G1165" s="2">
        <v>0.68300000000000005</v>
      </c>
      <c r="H1165" s="2">
        <v>0.20499999999999999</v>
      </c>
      <c r="I1165" s="2">
        <v>0.17299999999999999</v>
      </c>
      <c r="J1165" s="2">
        <v>0.70599999999999996</v>
      </c>
      <c r="K1165" s="2">
        <v>0.56999999999999995</v>
      </c>
      <c r="L1165" s="2">
        <v>-5.3970000000000002</v>
      </c>
    </row>
    <row r="1166" spans="1:12" x14ac:dyDescent="0.25">
      <c r="A1166">
        <v>59</v>
      </c>
      <c r="B1166">
        <v>2</v>
      </c>
      <c r="C1166" s="3">
        <v>4865084</v>
      </c>
      <c r="D1166" s="4">
        <v>67208170</v>
      </c>
      <c r="E1166">
        <v>65</v>
      </c>
      <c r="F1166" s="2">
        <v>0.624</v>
      </c>
      <c r="G1166" s="2">
        <v>0.67200000000000004</v>
      </c>
      <c r="H1166" s="2">
        <v>0.106</v>
      </c>
      <c r="I1166" s="2">
        <v>9.6699999999999994E-2</v>
      </c>
      <c r="J1166" s="2">
        <v>0.155</v>
      </c>
      <c r="K1166" s="2">
        <v>0.26</v>
      </c>
      <c r="L1166" s="2">
        <v>-5.3339999999999996</v>
      </c>
    </row>
    <row r="1167" spans="1:12" x14ac:dyDescent="0.25">
      <c r="A1167">
        <v>20</v>
      </c>
      <c r="B1167">
        <v>6</v>
      </c>
      <c r="C1167" s="3">
        <v>4700152</v>
      </c>
      <c r="D1167" s="4">
        <v>6514102</v>
      </c>
      <c r="E1167">
        <v>65</v>
      </c>
      <c r="F1167" s="2">
        <v>0.74399999999999999</v>
      </c>
      <c r="G1167" s="2">
        <v>0.42199999999999999</v>
      </c>
      <c r="H1167" s="2">
        <v>0.29399999999999998</v>
      </c>
      <c r="I1167" s="2">
        <v>3.1899999999999998E-2</v>
      </c>
      <c r="J1167" s="2">
        <v>0.11</v>
      </c>
      <c r="K1167" s="2">
        <v>0.49299999999999999</v>
      </c>
      <c r="L1167" s="2">
        <v>-8.9459999999999997</v>
      </c>
    </row>
    <row r="1168" spans="1:12" x14ac:dyDescent="0.25">
      <c r="A1168">
        <v>185</v>
      </c>
      <c r="B1168">
        <v>1</v>
      </c>
      <c r="C1168" s="3">
        <v>4609169</v>
      </c>
      <c r="D1168" s="4">
        <v>1492551</v>
      </c>
      <c r="E1168">
        <v>65</v>
      </c>
      <c r="F1168" s="2">
        <v>0.65300000000000002</v>
      </c>
      <c r="G1168" s="2">
        <v>0.60299999999999998</v>
      </c>
      <c r="H1168" s="2">
        <v>0.17100000000000001</v>
      </c>
      <c r="I1168" s="2">
        <v>0.17499999999999999</v>
      </c>
      <c r="J1168" s="2">
        <v>0.18</v>
      </c>
      <c r="K1168" s="2">
        <v>0.55100000000000005</v>
      </c>
      <c r="L1168" s="2">
        <v>-5.6970000000000001</v>
      </c>
    </row>
    <row r="1169" spans="1:12" x14ac:dyDescent="0.25">
      <c r="A1169">
        <v>187</v>
      </c>
      <c r="B1169">
        <v>1</v>
      </c>
      <c r="C1169" s="3">
        <v>4593343</v>
      </c>
      <c r="D1169" s="4">
        <v>9398941</v>
      </c>
      <c r="E1169">
        <v>65</v>
      </c>
      <c r="F1169" s="2">
        <v>0.63100000000000001</v>
      </c>
      <c r="G1169" s="2">
        <v>0.75</v>
      </c>
      <c r="H1169" s="2">
        <v>3.9399999999999998E-2</v>
      </c>
      <c r="I1169" s="2">
        <v>3.8800000000000002E-3</v>
      </c>
      <c r="J1169" s="2">
        <v>0.28599999999999998</v>
      </c>
      <c r="K1169" s="2">
        <v>0.59299999999999997</v>
      </c>
      <c r="L1169" s="2">
        <v>-5.4160000000000004</v>
      </c>
    </row>
    <row r="1170" spans="1:12" x14ac:dyDescent="0.25">
      <c r="A1170">
        <v>38</v>
      </c>
      <c r="B1170">
        <v>1</v>
      </c>
      <c r="C1170" s="3">
        <v>14392788</v>
      </c>
      <c r="D1170" s="4">
        <v>42227614</v>
      </c>
      <c r="E1170">
        <v>64</v>
      </c>
      <c r="F1170" s="2">
        <v>0.60499999999999998</v>
      </c>
      <c r="G1170" s="2">
        <v>0.48799999999999999</v>
      </c>
      <c r="H1170" s="2">
        <v>2.64E-2</v>
      </c>
      <c r="I1170" s="2">
        <v>0.69599999999999995</v>
      </c>
      <c r="J1170" s="2">
        <v>0.129</v>
      </c>
      <c r="K1170" s="2">
        <v>0.35399999999999998</v>
      </c>
      <c r="L1170" s="2">
        <v>-8.3219999999999992</v>
      </c>
    </row>
    <row r="1171" spans="1:12" x14ac:dyDescent="0.25">
      <c r="A1171">
        <v>39</v>
      </c>
      <c r="B1171">
        <v>1</v>
      </c>
      <c r="C1171" s="3">
        <v>14385703</v>
      </c>
      <c r="D1171" s="4">
        <v>42227614</v>
      </c>
      <c r="E1171">
        <v>64</v>
      </c>
      <c r="F1171" s="2">
        <v>0.53700000000000003</v>
      </c>
      <c r="G1171" s="2">
        <v>0.53700000000000003</v>
      </c>
      <c r="H1171" s="2">
        <v>6.1699999999999998E-2</v>
      </c>
      <c r="I1171" s="2">
        <v>0.81899999999999995</v>
      </c>
      <c r="J1171" s="2">
        <v>0.14199999999999999</v>
      </c>
      <c r="K1171" s="2">
        <v>0.29199999999999998</v>
      </c>
      <c r="L1171" s="2">
        <v>-11.266</v>
      </c>
    </row>
    <row r="1172" spans="1:12" x14ac:dyDescent="0.25">
      <c r="A1172">
        <v>53</v>
      </c>
      <c r="B1172">
        <v>1</v>
      </c>
      <c r="C1172" s="3">
        <v>12782098</v>
      </c>
      <c r="D1172" s="4">
        <v>42227614</v>
      </c>
      <c r="E1172">
        <v>64</v>
      </c>
      <c r="F1172" s="2">
        <v>0.60399999999999998</v>
      </c>
      <c r="G1172" s="2">
        <v>0.51700000000000002</v>
      </c>
      <c r="H1172" s="2">
        <v>3.4700000000000002E-2</v>
      </c>
      <c r="I1172" s="2">
        <v>0.76800000000000002</v>
      </c>
      <c r="J1172" s="2">
        <v>0.123</v>
      </c>
      <c r="K1172" s="2">
        <v>0.51100000000000001</v>
      </c>
      <c r="L1172" s="2">
        <v>-9.0139999999999993</v>
      </c>
    </row>
    <row r="1173" spans="1:12" x14ac:dyDescent="0.25">
      <c r="A1173">
        <v>57</v>
      </c>
      <c r="B1173">
        <v>1</v>
      </c>
      <c r="C1173" s="3">
        <v>12234761</v>
      </c>
      <c r="D1173" s="4">
        <v>42227614</v>
      </c>
      <c r="E1173">
        <v>64</v>
      </c>
      <c r="F1173" s="2">
        <v>0.53500000000000003</v>
      </c>
      <c r="G1173" s="2">
        <v>0.56100000000000005</v>
      </c>
      <c r="H1173" s="2">
        <v>4.8399999999999999E-2</v>
      </c>
      <c r="I1173" s="2">
        <v>0.876</v>
      </c>
      <c r="J1173" s="2">
        <v>0.115</v>
      </c>
      <c r="K1173" s="2">
        <v>0.28699999999999998</v>
      </c>
      <c r="L1173" s="2">
        <v>-11.609</v>
      </c>
    </row>
    <row r="1174" spans="1:12" x14ac:dyDescent="0.25">
      <c r="A1174">
        <v>74</v>
      </c>
      <c r="B1174">
        <v>1</v>
      </c>
      <c r="C1174" s="3">
        <v>10561183</v>
      </c>
      <c r="D1174" s="4">
        <v>5002317</v>
      </c>
      <c r="E1174">
        <v>64</v>
      </c>
      <c r="F1174" s="2">
        <v>0.39</v>
      </c>
      <c r="G1174" s="2">
        <v>0.72399999999999998</v>
      </c>
      <c r="H1174" s="2">
        <v>8.8900000000000007E-2</v>
      </c>
      <c r="I1174" s="2">
        <v>0.16200000000000001</v>
      </c>
      <c r="J1174" s="2">
        <v>0.39300000000000002</v>
      </c>
      <c r="K1174" s="2">
        <v>0.312</v>
      </c>
      <c r="L1174" s="2">
        <v>-7.6070000000000002</v>
      </c>
    </row>
    <row r="1175" spans="1:12" x14ac:dyDescent="0.25">
      <c r="A1175">
        <v>53</v>
      </c>
      <c r="B1175">
        <v>1</v>
      </c>
      <c r="C1175" s="3">
        <v>10342277</v>
      </c>
      <c r="D1175" s="4">
        <v>18585963</v>
      </c>
      <c r="E1175">
        <v>64</v>
      </c>
      <c r="F1175" s="2">
        <v>0.72299999999999998</v>
      </c>
      <c r="G1175" s="2">
        <v>0.88</v>
      </c>
      <c r="H1175" s="2">
        <v>3.7999999999999999E-2</v>
      </c>
      <c r="I1175" s="2">
        <v>3.3400000000000001E-3</v>
      </c>
      <c r="J1175" s="2">
        <v>6.3200000000000006E-2</v>
      </c>
      <c r="K1175" s="2">
        <v>0.32300000000000001</v>
      </c>
      <c r="L1175" s="2">
        <v>-4.2869999999999999</v>
      </c>
    </row>
    <row r="1176" spans="1:12" x14ac:dyDescent="0.25">
      <c r="A1176">
        <v>53</v>
      </c>
      <c r="B1176">
        <v>1</v>
      </c>
      <c r="C1176" s="3">
        <v>9628215</v>
      </c>
      <c r="D1176" s="4">
        <v>56327031</v>
      </c>
      <c r="E1176">
        <v>64</v>
      </c>
      <c r="F1176" s="2">
        <v>0.81200000000000006</v>
      </c>
      <c r="G1176" s="2">
        <v>0.50600000000000001</v>
      </c>
      <c r="H1176" s="2">
        <v>0.11600000000000001</v>
      </c>
      <c r="I1176" s="2">
        <v>0.28100000000000003</v>
      </c>
      <c r="J1176" s="2">
        <v>0.32500000000000001</v>
      </c>
      <c r="K1176" s="2">
        <v>0.55400000000000005</v>
      </c>
      <c r="L1176" s="2">
        <v>-7.7060000000000004</v>
      </c>
    </row>
    <row r="1177" spans="1:12" x14ac:dyDescent="0.25">
      <c r="A1177">
        <v>69</v>
      </c>
      <c r="B1177">
        <v>1</v>
      </c>
      <c r="C1177" s="3">
        <v>9521654</v>
      </c>
      <c r="D1177" s="4">
        <v>6189454</v>
      </c>
      <c r="E1177">
        <v>64</v>
      </c>
      <c r="F1177" s="2">
        <v>0.67700000000000005</v>
      </c>
      <c r="G1177" s="2">
        <v>0.33</v>
      </c>
      <c r="H1177" s="2">
        <v>0.14899999999999999</v>
      </c>
      <c r="I1177" s="2">
        <v>0.47399999999999998</v>
      </c>
      <c r="J1177" s="2">
        <v>6.4000000000000001E-2</v>
      </c>
      <c r="K1177" s="2">
        <v>0.33600000000000002</v>
      </c>
      <c r="L1177" s="2">
        <v>-11.198</v>
      </c>
    </row>
    <row r="1178" spans="1:12" x14ac:dyDescent="0.25">
      <c r="A1178">
        <v>72</v>
      </c>
      <c r="B1178">
        <v>1</v>
      </c>
      <c r="C1178" s="3">
        <v>9328951</v>
      </c>
      <c r="D1178" s="4">
        <v>46814751</v>
      </c>
      <c r="E1178">
        <v>64</v>
      </c>
      <c r="F1178" s="2">
        <v>0.84799999999999998</v>
      </c>
      <c r="G1178" s="2">
        <v>0.745</v>
      </c>
      <c r="H1178" s="2">
        <v>0.221</v>
      </c>
      <c r="I1178" s="2">
        <v>9.4899999999999998E-2</v>
      </c>
      <c r="J1178" s="2">
        <v>7.9600000000000004E-2</v>
      </c>
      <c r="K1178" s="2">
        <v>0.51600000000000001</v>
      </c>
      <c r="L1178" s="2">
        <v>-3.052</v>
      </c>
    </row>
    <row r="1179" spans="1:12" x14ac:dyDescent="0.25">
      <c r="A1179">
        <v>55</v>
      </c>
      <c r="B1179">
        <v>1</v>
      </c>
      <c r="C1179" s="3">
        <v>9284383</v>
      </c>
      <c r="D1179" s="4">
        <v>56327031</v>
      </c>
      <c r="E1179">
        <v>64</v>
      </c>
      <c r="F1179" s="2">
        <v>0.45800000000000002</v>
      </c>
      <c r="G1179" s="2">
        <v>0.45200000000000001</v>
      </c>
      <c r="H1179" s="2">
        <v>4.7E-2</v>
      </c>
      <c r="I1179" s="2">
        <v>0.34200000000000003</v>
      </c>
      <c r="J1179" s="2">
        <v>7.0300000000000001E-2</v>
      </c>
      <c r="K1179" s="2">
        <v>0.316</v>
      </c>
      <c r="L1179" s="2">
        <v>-9.2989999999999995</v>
      </c>
    </row>
    <row r="1180" spans="1:12" x14ac:dyDescent="0.25">
      <c r="A1180">
        <v>91</v>
      </c>
      <c r="B1180">
        <v>1</v>
      </c>
      <c r="C1180" s="3">
        <v>8329349</v>
      </c>
      <c r="D1180" s="4">
        <v>6189454</v>
      </c>
      <c r="E1180">
        <v>64</v>
      </c>
      <c r="F1180" s="2">
        <v>0.77900000000000003</v>
      </c>
      <c r="G1180" s="2">
        <v>0.36199999999999999</v>
      </c>
      <c r="H1180" s="2">
        <v>4.7399999999999998E-2</v>
      </c>
      <c r="I1180" s="2">
        <v>0.13500000000000001</v>
      </c>
      <c r="J1180" s="2">
        <v>0.111</v>
      </c>
      <c r="K1180" s="2">
        <v>0.46</v>
      </c>
      <c r="L1180" s="2">
        <v>-10.847</v>
      </c>
    </row>
    <row r="1181" spans="1:12" x14ac:dyDescent="0.25">
      <c r="A1181">
        <v>82</v>
      </c>
      <c r="B1181">
        <v>1</v>
      </c>
      <c r="C1181" s="3">
        <v>8293983</v>
      </c>
      <c r="D1181" s="4">
        <v>14103694</v>
      </c>
      <c r="E1181">
        <v>64</v>
      </c>
      <c r="F1181" s="2">
        <v>0.73199999999999998</v>
      </c>
      <c r="G1181" s="2">
        <v>0.66300000000000003</v>
      </c>
      <c r="H1181" s="2">
        <v>0.192</v>
      </c>
      <c r="I1181" s="2">
        <v>8.1900000000000001E-2</v>
      </c>
      <c r="J1181" s="2">
        <v>0.115</v>
      </c>
      <c r="K1181" s="2">
        <v>0.22700000000000001</v>
      </c>
      <c r="L1181" s="2">
        <v>-7.6159999999999997</v>
      </c>
    </row>
    <row r="1182" spans="1:12" x14ac:dyDescent="0.25">
      <c r="A1182">
        <v>77</v>
      </c>
      <c r="B1182">
        <v>1</v>
      </c>
      <c r="C1182" s="3">
        <v>8243488</v>
      </c>
      <c r="D1182" s="4">
        <v>9949044</v>
      </c>
      <c r="E1182">
        <v>64</v>
      </c>
      <c r="F1182" s="2">
        <v>0.77400000000000002</v>
      </c>
      <c r="G1182" s="2">
        <v>0.70599999999999996</v>
      </c>
      <c r="H1182" s="2">
        <v>0.35499999999999998</v>
      </c>
      <c r="I1182" s="2">
        <v>1.6299999999999999E-3</v>
      </c>
      <c r="J1182" s="2">
        <v>0.104</v>
      </c>
      <c r="K1182" s="2">
        <v>0.38200000000000001</v>
      </c>
      <c r="L1182" s="2">
        <v>-6.4939999999999998</v>
      </c>
    </row>
    <row r="1183" spans="1:12" x14ac:dyDescent="0.25">
      <c r="A1183">
        <v>73</v>
      </c>
      <c r="B1183">
        <v>1</v>
      </c>
      <c r="C1183" s="3">
        <v>7821869</v>
      </c>
      <c r="D1183" s="4">
        <v>56327031</v>
      </c>
      <c r="E1183">
        <v>64</v>
      </c>
      <c r="F1183" s="2">
        <v>0.749</v>
      </c>
      <c r="G1183" s="2">
        <v>0.79200000000000004</v>
      </c>
      <c r="H1183" s="2">
        <v>8.2600000000000007E-2</v>
      </c>
      <c r="I1183" s="2">
        <v>0.29199999999999998</v>
      </c>
      <c r="J1183" s="2">
        <v>0.109</v>
      </c>
      <c r="K1183" s="2">
        <v>0.23899999999999999</v>
      </c>
      <c r="L1183" s="2">
        <v>-4.1509999999999998</v>
      </c>
    </row>
    <row r="1184" spans="1:12" x14ac:dyDescent="0.25">
      <c r="A1184">
        <v>87</v>
      </c>
      <c r="B1184">
        <v>1</v>
      </c>
      <c r="C1184" s="3">
        <v>7564893</v>
      </c>
      <c r="D1184" s="4">
        <v>29067437</v>
      </c>
      <c r="E1184">
        <v>64</v>
      </c>
      <c r="F1184" s="2">
        <v>0.65100000000000002</v>
      </c>
      <c r="G1184" s="2">
        <v>0.56100000000000005</v>
      </c>
      <c r="H1184" s="2">
        <v>0.25</v>
      </c>
      <c r="I1184" s="2">
        <v>0.25</v>
      </c>
      <c r="J1184" s="2">
        <v>0.435</v>
      </c>
      <c r="K1184" s="2">
        <v>0.36899999999999999</v>
      </c>
      <c r="L1184" s="2">
        <v>-5.7149999999999999</v>
      </c>
    </row>
    <row r="1185" spans="1:12" x14ac:dyDescent="0.25">
      <c r="A1185">
        <v>84</v>
      </c>
      <c r="B1185">
        <v>1</v>
      </c>
      <c r="C1185" s="3">
        <v>7216610</v>
      </c>
      <c r="D1185" s="4">
        <v>56327031</v>
      </c>
      <c r="E1185">
        <v>64</v>
      </c>
      <c r="F1185" s="2">
        <v>0.78700000000000003</v>
      </c>
      <c r="G1185" s="2">
        <v>0.47699999999999998</v>
      </c>
      <c r="H1185" s="2">
        <v>0.19900000000000001</v>
      </c>
      <c r="I1185" s="2">
        <v>0.76800000000000002</v>
      </c>
      <c r="J1185" s="2">
        <v>0.104</v>
      </c>
      <c r="K1185" s="2">
        <v>0.47599999999999998</v>
      </c>
      <c r="L1185" s="2">
        <v>-7.8369999999999997</v>
      </c>
    </row>
    <row r="1186" spans="1:12" x14ac:dyDescent="0.25">
      <c r="A1186">
        <v>92</v>
      </c>
      <c r="B1186">
        <v>1</v>
      </c>
      <c r="C1186" s="3">
        <v>6802068</v>
      </c>
      <c r="D1186" s="4">
        <v>27167675</v>
      </c>
      <c r="E1186">
        <v>64</v>
      </c>
      <c r="F1186" s="2">
        <v>0.68</v>
      </c>
      <c r="G1186" s="2">
        <v>0.70099999999999996</v>
      </c>
      <c r="H1186" s="2">
        <v>9.1700000000000004E-2</v>
      </c>
      <c r="I1186" s="2">
        <v>0.13800000000000001</v>
      </c>
      <c r="J1186" s="2">
        <v>0.16800000000000001</v>
      </c>
      <c r="K1186" s="2">
        <v>0.64900000000000002</v>
      </c>
      <c r="L1186" s="2">
        <v>-5.0010000000000003</v>
      </c>
    </row>
    <row r="1187" spans="1:12" x14ac:dyDescent="0.25">
      <c r="A1187">
        <v>138</v>
      </c>
      <c r="B1187">
        <v>1</v>
      </c>
      <c r="C1187" s="3">
        <v>6653913</v>
      </c>
      <c r="D1187" s="4">
        <v>35340069</v>
      </c>
      <c r="E1187">
        <v>64</v>
      </c>
      <c r="F1187" s="2">
        <v>0.49</v>
      </c>
      <c r="G1187" s="2">
        <v>0.69399999999999995</v>
      </c>
      <c r="H1187" s="2">
        <v>6.1800000000000001E-2</v>
      </c>
      <c r="I1187" s="2">
        <v>1.3299999999999999E-2</v>
      </c>
      <c r="J1187" s="2">
        <v>9.4600000000000004E-2</v>
      </c>
      <c r="K1187" s="2">
        <v>0.249</v>
      </c>
      <c r="L1187" s="2">
        <v>-5.7930000000000001</v>
      </c>
    </row>
    <row r="1188" spans="1:12" x14ac:dyDescent="0.25">
      <c r="A1188">
        <v>119</v>
      </c>
      <c r="B1188">
        <v>1</v>
      </c>
      <c r="C1188" s="3">
        <v>6508683</v>
      </c>
      <c r="D1188" s="4">
        <v>42227614</v>
      </c>
      <c r="E1188">
        <v>64</v>
      </c>
      <c r="F1188" s="2">
        <v>0.50600000000000001</v>
      </c>
      <c r="G1188" s="2">
        <v>0.626</v>
      </c>
      <c r="H1188" s="2">
        <v>2.87E-2</v>
      </c>
      <c r="I1188" s="2">
        <v>0.156</v>
      </c>
      <c r="J1188" s="2">
        <v>0.22800000000000001</v>
      </c>
      <c r="K1188" s="2">
        <v>0.32100000000000001</v>
      </c>
      <c r="L1188" s="2">
        <v>-6.0659999999999998</v>
      </c>
    </row>
    <row r="1189" spans="1:12" x14ac:dyDescent="0.25">
      <c r="A1189">
        <v>109</v>
      </c>
      <c r="B1189">
        <v>1</v>
      </c>
      <c r="C1189" s="3">
        <v>6426522</v>
      </c>
      <c r="D1189" s="4">
        <v>28931149</v>
      </c>
      <c r="E1189">
        <v>64</v>
      </c>
      <c r="F1189" s="2">
        <v>0.78700000000000003</v>
      </c>
      <c r="G1189" s="2">
        <v>0.64100000000000001</v>
      </c>
      <c r="H1189" s="2">
        <v>0.315</v>
      </c>
      <c r="I1189" s="2">
        <v>0.10100000000000001</v>
      </c>
      <c r="J1189" s="2">
        <v>7.0000000000000007E-2</v>
      </c>
      <c r="K1189" s="2">
        <v>0.437</v>
      </c>
      <c r="L1189" s="2">
        <v>-7.3760000000000003</v>
      </c>
    </row>
    <row r="1190" spans="1:12" x14ac:dyDescent="0.25">
      <c r="A1190">
        <v>34</v>
      </c>
      <c r="B1190">
        <v>3</v>
      </c>
      <c r="C1190" s="3">
        <v>6219276</v>
      </c>
      <c r="D1190" s="4">
        <v>37151476</v>
      </c>
      <c r="E1190">
        <v>64</v>
      </c>
      <c r="F1190" s="2">
        <v>0.59099999999999997</v>
      </c>
      <c r="G1190" s="2">
        <v>0.84799999999999998</v>
      </c>
      <c r="H1190" s="2">
        <v>8.2799999999999999E-2</v>
      </c>
      <c r="I1190" s="2">
        <v>0.13700000000000001</v>
      </c>
      <c r="J1190" s="2">
        <v>0.372</v>
      </c>
      <c r="K1190" s="2">
        <v>0.38600000000000001</v>
      </c>
      <c r="L1190" s="2">
        <v>-4.3970000000000002</v>
      </c>
    </row>
    <row r="1191" spans="1:12" x14ac:dyDescent="0.25">
      <c r="A1191">
        <v>97</v>
      </c>
      <c r="B1191">
        <v>1</v>
      </c>
      <c r="C1191" s="3">
        <v>6042929</v>
      </c>
      <c r="D1191" s="4">
        <v>6852509</v>
      </c>
      <c r="E1191">
        <v>64</v>
      </c>
      <c r="F1191" s="2">
        <v>0.54</v>
      </c>
      <c r="G1191" s="2">
        <v>0.77</v>
      </c>
      <c r="H1191" s="2">
        <v>0.38900000000000001</v>
      </c>
      <c r="I1191" s="2">
        <v>0.19400000000000001</v>
      </c>
      <c r="J1191" s="2">
        <v>0.372</v>
      </c>
      <c r="K1191" s="2">
        <v>0.56499999999999995</v>
      </c>
      <c r="L1191" s="2">
        <v>-3.9809999999999999</v>
      </c>
    </row>
    <row r="1192" spans="1:12" x14ac:dyDescent="0.25">
      <c r="A1192">
        <v>148</v>
      </c>
      <c r="B1192">
        <v>1</v>
      </c>
      <c r="C1192" s="3">
        <v>5860405</v>
      </c>
      <c r="D1192" s="4">
        <v>42227614</v>
      </c>
      <c r="E1192">
        <v>64</v>
      </c>
      <c r="F1192" s="2">
        <v>0.50600000000000001</v>
      </c>
      <c r="G1192" s="2">
        <v>0.44400000000000001</v>
      </c>
      <c r="H1192" s="2">
        <v>2.8500000000000001E-2</v>
      </c>
      <c r="I1192" s="2">
        <v>5.3800000000000001E-2</v>
      </c>
      <c r="J1192" s="2">
        <v>0.123</v>
      </c>
      <c r="K1192" s="2">
        <v>0.24099999999999999</v>
      </c>
      <c r="L1192" s="2">
        <v>-4.99</v>
      </c>
    </row>
    <row r="1193" spans="1:12" x14ac:dyDescent="0.25">
      <c r="A1193">
        <v>116</v>
      </c>
      <c r="B1193">
        <v>1</v>
      </c>
      <c r="C1193" s="3">
        <v>5784075</v>
      </c>
      <c r="D1193" s="4">
        <v>36177712</v>
      </c>
      <c r="E1193">
        <v>64</v>
      </c>
      <c r="F1193" s="2">
        <v>0.85599999999999998</v>
      </c>
      <c r="G1193" s="2">
        <v>0.65600000000000003</v>
      </c>
      <c r="H1193" s="2">
        <v>0.13100000000000001</v>
      </c>
      <c r="I1193" s="2">
        <v>0.16500000000000001</v>
      </c>
      <c r="J1193" s="2">
        <v>9.98E-2</v>
      </c>
      <c r="K1193" s="2">
        <v>0.58599999999999997</v>
      </c>
      <c r="L1193" s="2">
        <v>-6.4829999999999997</v>
      </c>
    </row>
    <row r="1194" spans="1:12" x14ac:dyDescent="0.25">
      <c r="A1194">
        <v>112</v>
      </c>
      <c r="B1194">
        <v>1</v>
      </c>
      <c r="C1194" s="3">
        <v>5750861</v>
      </c>
      <c r="D1194" s="4">
        <v>559215</v>
      </c>
      <c r="E1194">
        <v>64</v>
      </c>
      <c r="F1194" s="2">
        <v>0.8</v>
      </c>
      <c r="G1194" s="2">
        <v>0.628</v>
      </c>
      <c r="H1194" s="2">
        <v>0.28499999999999998</v>
      </c>
      <c r="I1194" s="2">
        <v>0.10299999999999999</v>
      </c>
      <c r="J1194" s="2">
        <v>0.39100000000000001</v>
      </c>
      <c r="K1194" s="2">
        <v>0.745</v>
      </c>
      <c r="L1194" s="2">
        <v>-6.6150000000000002</v>
      </c>
    </row>
    <row r="1195" spans="1:12" x14ac:dyDescent="0.25">
      <c r="A1195">
        <v>57</v>
      </c>
      <c r="B1195">
        <v>3</v>
      </c>
      <c r="C1195" s="3">
        <v>5586085</v>
      </c>
      <c r="D1195" s="4">
        <v>14624703</v>
      </c>
      <c r="E1195">
        <v>64</v>
      </c>
      <c r="F1195" s="2">
        <v>0.67</v>
      </c>
      <c r="G1195" s="2">
        <v>0.84699999999999998</v>
      </c>
      <c r="H1195" s="2">
        <v>0.40899999999999997</v>
      </c>
      <c r="I1195" s="2">
        <v>0.184</v>
      </c>
      <c r="J1195" s="2">
        <v>0.30399999999999999</v>
      </c>
      <c r="K1195" s="2">
        <v>0.38100000000000001</v>
      </c>
      <c r="L1195" s="2">
        <v>-4.8499999999999996</v>
      </c>
    </row>
    <row r="1196" spans="1:12" x14ac:dyDescent="0.25">
      <c r="A1196">
        <v>44</v>
      </c>
      <c r="B1196">
        <v>2</v>
      </c>
      <c r="C1196" s="3">
        <v>5466161</v>
      </c>
      <c r="D1196" s="4">
        <v>46814751</v>
      </c>
      <c r="E1196">
        <v>64</v>
      </c>
      <c r="F1196" s="2">
        <v>0.66100000000000003</v>
      </c>
      <c r="G1196" s="2">
        <v>0.748</v>
      </c>
      <c r="H1196" s="2">
        <v>0.20599999999999999</v>
      </c>
      <c r="I1196" s="2">
        <v>0.17499999999999999</v>
      </c>
      <c r="J1196" s="2">
        <v>0.254</v>
      </c>
      <c r="K1196" s="2">
        <v>0.50900000000000001</v>
      </c>
      <c r="L1196" s="2">
        <v>-4.8090000000000002</v>
      </c>
    </row>
    <row r="1197" spans="1:12" x14ac:dyDescent="0.25">
      <c r="A1197">
        <v>123</v>
      </c>
      <c r="B1197">
        <v>1</v>
      </c>
      <c r="C1197" s="3">
        <v>5415994</v>
      </c>
      <c r="D1197" s="4">
        <v>30683</v>
      </c>
      <c r="E1197">
        <v>64</v>
      </c>
      <c r="F1197" s="2">
        <v>0.79800000000000004</v>
      </c>
      <c r="G1197" s="2">
        <v>0.52700000000000002</v>
      </c>
      <c r="H1197" s="2">
        <v>4.4699999999999997E-2</v>
      </c>
      <c r="I1197" s="2">
        <v>0.22700000000000001</v>
      </c>
      <c r="J1197" s="2">
        <v>0.108</v>
      </c>
      <c r="K1197" s="2">
        <v>0.54800000000000004</v>
      </c>
      <c r="L1197" s="2">
        <v>-7.6710000000000003</v>
      </c>
    </row>
    <row r="1198" spans="1:12" x14ac:dyDescent="0.25">
      <c r="A1198">
        <v>104</v>
      </c>
      <c r="B1198">
        <v>2</v>
      </c>
      <c r="C1198" s="3">
        <v>5359969</v>
      </c>
      <c r="D1198" s="4">
        <v>36177712</v>
      </c>
      <c r="E1198">
        <v>64</v>
      </c>
      <c r="F1198" s="2">
        <v>0.86699999999999999</v>
      </c>
      <c r="G1198" s="2">
        <v>0.68600000000000005</v>
      </c>
      <c r="H1198" s="2">
        <v>0.221</v>
      </c>
      <c r="I1198" s="2">
        <v>0.311</v>
      </c>
      <c r="J1198" s="2">
        <v>0.1</v>
      </c>
      <c r="K1198" s="2">
        <v>0.65800000000000003</v>
      </c>
      <c r="L1198" s="2">
        <v>-5.3419999999999996</v>
      </c>
    </row>
    <row r="1199" spans="1:12" x14ac:dyDescent="0.25">
      <c r="A1199">
        <v>195</v>
      </c>
      <c r="B1199">
        <v>1</v>
      </c>
      <c r="C1199" s="3">
        <v>5189423</v>
      </c>
      <c r="D1199" s="4">
        <v>42227614</v>
      </c>
      <c r="E1199">
        <v>64</v>
      </c>
      <c r="F1199" s="2">
        <v>0.60899999999999999</v>
      </c>
      <c r="G1199" s="2">
        <v>0.373</v>
      </c>
      <c r="H1199" s="2">
        <v>2.63E-2</v>
      </c>
      <c r="I1199" s="2">
        <v>0.84899999999999998</v>
      </c>
      <c r="J1199" s="2">
        <v>7.7899999999999997E-2</v>
      </c>
      <c r="K1199" s="2">
        <v>0.13</v>
      </c>
      <c r="L1199" s="2">
        <v>-8.8190000000000008</v>
      </c>
    </row>
    <row r="1200" spans="1:12" x14ac:dyDescent="0.25">
      <c r="A1200">
        <v>168</v>
      </c>
      <c r="B1200">
        <v>1</v>
      </c>
      <c r="C1200" s="3">
        <v>5151014</v>
      </c>
      <c r="D1200" s="4">
        <v>10491105</v>
      </c>
      <c r="E1200">
        <v>64</v>
      </c>
      <c r="F1200" s="2">
        <v>0.94</v>
      </c>
      <c r="G1200" s="2">
        <v>0.53200000000000003</v>
      </c>
      <c r="H1200" s="2">
        <v>0.35799999999999998</v>
      </c>
      <c r="I1200" s="2">
        <v>0.12</v>
      </c>
      <c r="J1200" s="2">
        <v>9.2499999999999999E-2</v>
      </c>
      <c r="K1200" s="2">
        <v>0.59899999999999998</v>
      </c>
      <c r="L1200" s="2">
        <v>-5.9980000000000002</v>
      </c>
    </row>
    <row r="1201" spans="1:12" x14ac:dyDescent="0.25">
      <c r="A1201">
        <v>156</v>
      </c>
      <c r="B1201">
        <v>1</v>
      </c>
      <c r="C1201" s="3">
        <v>5149797</v>
      </c>
      <c r="D1201" s="4">
        <v>10741972</v>
      </c>
      <c r="E1201">
        <v>64</v>
      </c>
      <c r="F1201" s="2">
        <v>0.82599999999999996</v>
      </c>
      <c r="G1201" s="2">
        <v>0.73</v>
      </c>
      <c r="H1201" s="2">
        <v>8.09E-2</v>
      </c>
      <c r="I1201" s="2">
        <v>0.38300000000000001</v>
      </c>
      <c r="J1201" s="2">
        <v>1.9699999999999999E-2</v>
      </c>
      <c r="K1201" s="2">
        <v>0.60499999999999998</v>
      </c>
      <c r="L1201" s="2">
        <v>-3.032</v>
      </c>
    </row>
    <row r="1202" spans="1:12" x14ac:dyDescent="0.25">
      <c r="A1202">
        <v>157</v>
      </c>
      <c r="B1202">
        <v>1</v>
      </c>
      <c r="C1202" s="3">
        <v>5117128</v>
      </c>
      <c r="D1202" s="4">
        <v>1255573</v>
      </c>
      <c r="E1202">
        <v>64</v>
      </c>
      <c r="F1202" s="2">
        <v>0.94799999999999995</v>
      </c>
      <c r="G1202" s="2">
        <v>0.63</v>
      </c>
      <c r="H1202" s="2">
        <v>0.219</v>
      </c>
      <c r="I1202" s="2">
        <v>6.4700000000000001E-3</v>
      </c>
      <c r="J1202" s="2">
        <v>7.3700000000000002E-2</v>
      </c>
      <c r="K1202" s="2">
        <v>0.42499999999999999</v>
      </c>
      <c r="L1202" s="2">
        <v>-7.0110000000000001</v>
      </c>
    </row>
    <row r="1203" spans="1:12" x14ac:dyDescent="0.25">
      <c r="A1203">
        <v>155</v>
      </c>
      <c r="B1203">
        <v>4</v>
      </c>
      <c r="C1203" s="3">
        <v>5013019</v>
      </c>
      <c r="D1203" s="4">
        <v>1050520</v>
      </c>
      <c r="E1203">
        <v>64</v>
      </c>
      <c r="F1203" s="2">
        <v>0.68</v>
      </c>
      <c r="G1203" s="2">
        <v>0.86899999999999999</v>
      </c>
      <c r="H1203" s="2">
        <v>5.8900000000000001E-2</v>
      </c>
      <c r="I1203" s="2">
        <v>0.17799999999999999</v>
      </c>
      <c r="J1203" s="2">
        <v>0.223</v>
      </c>
      <c r="K1203" s="2">
        <v>0.92400000000000004</v>
      </c>
      <c r="L1203" s="2">
        <v>-1.94</v>
      </c>
    </row>
    <row r="1204" spans="1:12" x14ac:dyDescent="0.25">
      <c r="A1204">
        <v>113</v>
      </c>
      <c r="B1204">
        <v>2</v>
      </c>
      <c r="C1204" s="3">
        <v>4924714</v>
      </c>
      <c r="D1204" s="4">
        <v>300500</v>
      </c>
      <c r="E1204">
        <v>64</v>
      </c>
      <c r="F1204" s="2">
        <v>0.94499999999999995</v>
      </c>
      <c r="G1204" s="2">
        <v>0.67600000000000005</v>
      </c>
      <c r="H1204" s="2">
        <v>0.20699999999999999</v>
      </c>
      <c r="I1204" s="2">
        <v>0.17199999999999999</v>
      </c>
      <c r="J1204" s="2">
        <v>0.32200000000000001</v>
      </c>
      <c r="K1204" s="2">
        <v>0.63100000000000001</v>
      </c>
      <c r="L1204" s="2">
        <v>-6.6</v>
      </c>
    </row>
    <row r="1205" spans="1:12" x14ac:dyDescent="0.25">
      <c r="A1205">
        <v>171</v>
      </c>
      <c r="B1205">
        <v>1</v>
      </c>
      <c r="C1205" s="3">
        <v>4828004</v>
      </c>
      <c r="D1205" s="4">
        <v>3372385</v>
      </c>
      <c r="E1205">
        <v>64</v>
      </c>
      <c r="F1205" s="2">
        <v>0.61399999999999999</v>
      </c>
      <c r="G1205" s="2">
        <v>0.55300000000000005</v>
      </c>
      <c r="H1205" s="2">
        <v>0.16900000000000001</v>
      </c>
      <c r="I1205" s="2">
        <v>3.0599999999999999E-2</v>
      </c>
      <c r="J1205" s="2">
        <v>0.20300000000000001</v>
      </c>
      <c r="K1205" s="2">
        <v>0.161</v>
      </c>
      <c r="L1205" s="2">
        <v>-8.2249999999999996</v>
      </c>
    </row>
    <row r="1206" spans="1:12" x14ac:dyDescent="0.25">
      <c r="A1206">
        <v>162</v>
      </c>
      <c r="B1206">
        <v>1</v>
      </c>
      <c r="C1206" s="3">
        <v>4822090</v>
      </c>
      <c r="D1206" s="4">
        <v>1397067</v>
      </c>
      <c r="E1206">
        <v>64</v>
      </c>
      <c r="F1206" s="2">
        <v>0.68</v>
      </c>
      <c r="G1206" s="2">
        <v>0.76600000000000001</v>
      </c>
      <c r="H1206" s="2">
        <v>9.2299999999999993E-2</v>
      </c>
      <c r="I1206" s="2">
        <v>4.1099999999999998E-2</v>
      </c>
      <c r="J1206" s="2">
        <v>0.11600000000000001</v>
      </c>
      <c r="K1206" s="2">
        <v>0.28000000000000003</v>
      </c>
      <c r="L1206" s="2">
        <v>-4.7990000000000004</v>
      </c>
    </row>
    <row r="1207" spans="1:12" x14ac:dyDescent="0.25">
      <c r="A1207">
        <v>78</v>
      </c>
      <c r="B1207">
        <v>2</v>
      </c>
      <c r="C1207" s="3">
        <v>4596162</v>
      </c>
      <c r="D1207" s="4">
        <v>1683006</v>
      </c>
      <c r="E1207">
        <v>64</v>
      </c>
      <c r="F1207" s="2">
        <v>0.80400000000000005</v>
      </c>
      <c r="G1207" s="2">
        <v>0.60599999999999998</v>
      </c>
      <c r="H1207" s="2">
        <v>0.24199999999999999</v>
      </c>
      <c r="I1207" s="2">
        <v>0.13700000000000001</v>
      </c>
      <c r="J1207" s="2">
        <v>0.111</v>
      </c>
      <c r="K1207" s="2">
        <v>0.247</v>
      </c>
      <c r="L1207" s="2">
        <v>-9.0449999999999999</v>
      </c>
    </row>
    <row r="1208" spans="1:12" x14ac:dyDescent="0.25">
      <c r="A1208">
        <v>188</v>
      </c>
      <c r="B1208">
        <v>1</v>
      </c>
      <c r="C1208" s="3">
        <v>4561189</v>
      </c>
      <c r="D1208" s="4">
        <v>4272745</v>
      </c>
      <c r="E1208">
        <v>64</v>
      </c>
      <c r="F1208" s="2">
        <v>0.66600000000000004</v>
      </c>
      <c r="G1208" s="2">
        <v>0.628</v>
      </c>
      <c r="H1208" s="2">
        <v>6.2300000000000001E-2</v>
      </c>
      <c r="I1208" s="2">
        <v>0.14399999999999999</v>
      </c>
      <c r="J1208" s="2">
        <v>0.189</v>
      </c>
      <c r="K1208" s="2">
        <v>0.76700000000000002</v>
      </c>
      <c r="L1208" s="2">
        <v>-5.6130000000000004</v>
      </c>
    </row>
    <row r="1209" spans="1:12" x14ac:dyDescent="0.25">
      <c r="A1209">
        <v>2</v>
      </c>
      <c r="B1209">
        <v>8</v>
      </c>
      <c r="C1209" s="3">
        <v>20709328</v>
      </c>
      <c r="D1209" s="4">
        <v>1631876</v>
      </c>
      <c r="E1209">
        <v>63</v>
      </c>
      <c r="F1209" s="2">
        <v>0.73499999999999999</v>
      </c>
      <c r="G1209" s="2">
        <v>0.47799999999999998</v>
      </c>
      <c r="H1209" s="2">
        <v>2.93E-2</v>
      </c>
      <c r="I1209" s="2">
        <v>0.189</v>
      </c>
      <c r="J1209" s="2">
        <v>0.35499999999999998</v>
      </c>
      <c r="K1209" s="2">
        <v>0.94699999999999995</v>
      </c>
      <c r="L1209" s="2">
        <v>-12.472</v>
      </c>
    </row>
    <row r="1210" spans="1:12" x14ac:dyDescent="0.25">
      <c r="A1210">
        <v>51</v>
      </c>
      <c r="B1210">
        <v>1</v>
      </c>
      <c r="C1210" s="3">
        <v>10941573</v>
      </c>
      <c r="D1210" s="4">
        <v>67208170</v>
      </c>
      <c r="E1210">
        <v>63</v>
      </c>
      <c r="F1210" s="2">
        <v>0.73899999999999999</v>
      </c>
      <c r="G1210" s="2">
        <v>0.51600000000000001</v>
      </c>
      <c r="H1210" s="2">
        <v>5.3900000000000003E-2</v>
      </c>
      <c r="I1210" s="2">
        <v>0.67</v>
      </c>
      <c r="J1210" s="2">
        <v>0.151</v>
      </c>
      <c r="K1210" s="2">
        <v>0.434</v>
      </c>
      <c r="L1210" s="2">
        <v>-7.1539999999999999</v>
      </c>
    </row>
    <row r="1211" spans="1:12" x14ac:dyDescent="0.25">
      <c r="A1211">
        <v>46</v>
      </c>
      <c r="B1211">
        <v>1</v>
      </c>
      <c r="C1211" s="3">
        <v>10537097</v>
      </c>
      <c r="D1211" s="4">
        <v>56327031</v>
      </c>
      <c r="E1211">
        <v>63</v>
      </c>
      <c r="F1211" s="2">
        <v>0.71799999999999997</v>
      </c>
      <c r="G1211" s="2">
        <v>0.70599999999999996</v>
      </c>
      <c r="H1211" s="2">
        <v>0.06</v>
      </c>
      <c r="I1211" s="2">
        <v>1.2800000000000001E-2</v>
      </c>
      <c r="J1211" s="2">
        <v>0.35199999999999998</v>
      </c>
      <c r="K1211" s="2">
        <v>0.81499999999999995</v>
      </c>
      <c r="L1211" s="2">
        <v>-5.7089999999999996</v>
      </c>
    </row>
    <row r="1212" spans="1:12" x14ac:dyDescent="0.25">
      <c r="A1212">
        <v>51</v>
      </c>
      <c r="B1212">
        <v>1</v>
      </c>
      <c r="C1212" s="3">
        <v>10058303</v>
      </c>
      <c r="D1212" s="4">
        <v>35340069</v>
      </c>
      <c r="E1212">
        <v>63</v>
      </c>
      <c r="F1212" s="2">
        <v>0.55500000000000005</v>
      </c>
      <c r="G1212" s="2">
        <v>0.61899999999999999</v>
      </c>
      <c r="H1212" s="2">
        <v>3.1399999999999997E-2</v>
      </c>
      <c r="I1212" s="2">
        <v>3.2300000000000002E-2</v>
      </c>
      <c r="J1212" s="2">
        <v>9.1700000000000004E-2</v>
      </c>
      <c r="K1212" s="2">
        <v>0.14099999999999999</v>
      </c>
      <c r="L1212" s="2">
        <v>-7.9180000000000001</v>
      </c>
    </row>
    <row r="1213" spans="1:12" x14ac:dyDescent="0.25">
      <c r="A1213">
        <v>68</v>
      </c>
      <c r="B1213">
        <v>1</v>
      </c>
      <c r="C1213" s="3">
        <v>9824605</v>
      </c>
      <c r="D1213" s="4">
        <v>11821805</v>
      </c>
      <c r="E1213">
        <v>63</v>
      </c>
      <c r="F1213" s="2">
        <v>0.77500000000000002</v>
      </c>
      <c r="G1213" s="2">
        <v>0.75700000000000001</v>
      </c>
      <c r="H1213" s="2">
        <v>0.17499999999999999</v>
      </c>
      <c r="I1213" s="2">
        <v>0.16200000000000001</v>
      </c>
      <c r="J1213" s="2">
        <v>0.14799999999999999</v>
      </c>
      <c r="K1213" s="2">
        <v>0.56200000000000006</v>
      </c>
      <c r="L1213" s="2">
        <v>-4.1390000000000002</v>
      </c>
    </row>
    <row r="1214" spans="1:12" x14ac:dyDescent="0.25">
      <c r="A1214">
        <v>70</v>
      </c>
      <c r="B1214">
        <v>1</v>
      </c>
      <c r="C1214" s="3">
        <v>9493884</v>
      </c>
      <c r="D1214" s="4">
        <v>46814751</v>
      </c>
      <c r="E1214">
        <v>63</v>
      </c>
      <c r="F1214" s="2">
        <v>0.75600000000000001</v>
      </c>
      <c r="G1214" s="2">
        <v>0.747</v>
      </c>
      <c r="H1214" s="2">
        <v>4.5999999999999999E-2</v>
      </c>
      <c r="I1214" s="2">
        <v>4.7999999999999996E-3</v>
      </c>
      <c r="J1214" s="2">
        <v>0.58799999999999997</v>
      </c>
      <c r="K1214" s="2">
        <v>6.8699999999999997E-2</v>
      </c>
      <c r="L1214" s="2">
        <v>-5.407</v>
      </c>
    </row>
    <row r="1215" spans="1:12" x14ac:dyDescent="0.25">
      <c r="A1215">
        <v>58</v>
      </c>
      <c r="B1215">
        <v>1</v>
      </c>
      <c r="C1215" s="3">
        <v>9266945</v>
      </c>
      <c r="D1215" s="4">
        <v>18585963</v>
      </c>
      <c r="E1215">
        <v>63</v>
      </c>
      <c r="F1215" s="2">
        <v>0.73099999999999998</v>
      </c>
      <c r="G1215" s="2">
        <v>0.92700000000000005</v>
      </c>
      <c r="H1215" s="2">
        <v>7.8100000000000003E-2</v>
      </c>
      <c r="I1215" s="2">
        <v>2.2800000000000001E-2</v>
      </c>
      <c r="J1215" s="2">
        <v>0.187</v>
      </c>
      <c r="K1215" s="2">
        <v>0.47799999999999998</v>
      </c>
      <c r="L1215" s="2">
        <v>-3.6339999999999999</v>
      </c>
    </row>
    <row r="1216" spans="1:12" x14ac:dyDescent="0.25">
      <c r="A1216">
        <v>68</v>
      </c>
      <c r="B1216">
        <v>1</v>
      </c>
      <c r="C1216" s="3">
        <v>9132077</v>
      </c>
      <c r="D1216" s="4">
        <v>35340069</v>
      </c>
      <c r="E1216">
        <v>63</v>
      </c>
      <c r="F1216" s="2">
        <v>0.245</v>
      </c>
      <c r="G1216" s="2">
        <v>0.39400000000000002</v>
      </c>
      <c r="H1216" s="2">
        <v>3.7400000000000003E-2</v>
      </c>
      <c r="I1216" s="2">
        <v>0.42299999999999999</v>
      </c>
      <c r="J1216" s="2">
        <v>9.2999999999999999E-2</v>
      </c>
      <c r="K1216" s="2">
        <v>0.14799999999999999</v>
      </c>
      <c r="L1216" s="2">
        <v>-9.8870000000000005</v>
      </c>
    </row>
    <row r="1217" spans="1:12" x14ac:dyDescent="0.25">
      <c r="A1217">
        <v>65</v>
      </c>
      <c r="B1217">
        <v>1</v>
      </c>
      <c r="C1217" s="3">
        <v>9010535</v>
      </c>
      <c r="D1217" s="4">
        <v>48544923</v>
      </c>
      <c r="E1217">
        <v>63</v>
      </c>
      <c r="F1217" s="2">
        <v>0.56599999999999995</v>
      </c>
      <c r="G1217" s="2">
        <v>0.438</v>
      </c>
      <c r="H1217" s="2">
        <v>3.6700000000000003E-2</v>
      </c>
      <c r="I1217" s="2">
        <v>0.80900000000000005</v>
      </c>
      <c r="J1217" s="2">
        <v>0.21199999999999999</v>
      </c>
      <c r="K1217" s="2">
        <v>0.69199999999999995</v>
      </c>
      <c r="L1217" s="2">
        <v>-7.5640000000000001</v>
      </c>
    </row>
    <row r="1218" spans="1:12" x14ac:dyDescent="0.25">
      <c r="A1218">
        <v>97</v>
      </c>
      <c r="B1218">
        <v>1</v>
      </c>
      <c r="C1218" s="3">
        <v>8901697</v>
      </c>
      <c r="D1218" s="4">
        <v>5002317</v>
      </c>
      <c r="E1218">
        <v>63</v>
      </c>
      <c r="F1218" s="2">
        <v>0.64600000000000002</v>
      </c>
      <c r="G1218" s="2">
        <v>0.75800000000000001</v>
      </c>
      <c r="H1218" s="2">
        <v>7.0800000000000002E-2</v>
      </c>
      <c r="I1218" s="2">
        <v>0.55600000000000005</v>
      </c>
      <c r="J1218" s="2">
        <v>0.33500000000000002</v>
      </c>
      <c r="K1218" s="2">
        <v>6.4199999999999993E-2</v>
      </c>
      <c r="L1218" s="2">
        <v>-7.75</v>
      </c>
    </row>
    <row r="1219" spans="1:12" x14ac:dyDescent="0.25">
      <c r="A1219">
        <v>79</v>
      </c>
      <c r="B1219">
        <v>1</v>
      </c>
      <c r="C1219" s="3">
        <v>7479618</v>
      </c>
      <c r="D1219" s="4">
        <v>18585963</v>
      </c>
      <c r="E1219">
        <v>63</v>
      </c>
      <c r="F1219" s="2">
        <v>0.65800000000000003</v>
      </c>
      <c r="G1219" s="2">
        <v>0.878</v>
      </c>
      <c r="H1219" s="2">
        <v>0.123</v>
      </c>
      <c r="I1219" s="2">
        <v>7.92E-3</v>
      </c>
      <c r="J1219" s="2">
        <v>0.94399999999999995</v>
      </c>
      <c r="K1219" s="2">
        <v>0.68300000000000005</v>
      </c>
      <c r="L1219" s="2">
        <v>-3.875</v>
      </c>
    </row>
    <row r="1220" spans="1:12" x14ac:dyDescent="0.25">
      <c r="A1220">
        <v>95</v>
      </c>
      <c r="B1220">
        <v>1</v>
      </c>
      <c r="C1220" s="3">
        <v>7112419</v>
      </c>
      <c r="D1220" s="4">
        <v>6852509</v>
      </c>
      <c r="E1220">
        <v>63</v>
      </c>
      <c r="F1220" s="2">
        <v>0.71699999999999997</v>
      </c>
      <c r="G1220" s="2">
        <v>0.47399999999999998</v>
      </c>
      <c r="H1220" s="2">
        <v>0.40300000000000002</v>
      </c>
      <c r="I1220" s="2">
        <v>5.0900000000000001E-2</v>
      </c>
      <c r="J1220" s="2">
        <v>0.13900000000000001</v>
      </c>
      <c r="K1220" s="2">
        <v>0.44800000000000001</v>
      </c>
      <c r="L1220" s="2">
        <v>-8.3829999999999991</v>
      </c>
    </row>
    <row r="1221" spans="1:12" x14ac:dyDescent="0.25">
      <c r="A1221">
        <v>83</v>
      </c>
      <c r="B1221">
        <v>1</v>
      </c>
      <c r="C1221" s="3">
        <v>7055918</v>
      </c>
      <c r="D1221" s="4">
        <v>36177712</v>
      </c>
      <c r="E1221">
        <v>63</v>
      </c>
      <c r="F1221" s="2">
        <v>0.86899999999999999</v>
      </c>
      <c r="G1221" s="2">
        <v>0.72699999999999998</v>
      </c>
      <c r="H1221" s="2">
        <v>0.123</v>
      </c>
      <c r="I1221" s="2">
        <v>5.8900000000000001E-2</v>
      </c>
      <c r="J1221" s="2">
        <v>0.107</v>
      </c>
      <c r="K1221" s="2">
        <v>0.92</v>
      </c>
      <c r="L1221" s="2">
        <v>-7.3970000000000002</v>
      </c>
    </row>
    <row r="1222" spans="1:12" x14ac:dyDescent="0.25">
      <c r="A1222">
        <v>114</v>
      </c>
      <c r="B1222">
        <v>1</v>
      </c>
      <c r="C1222" s="3">
        <v>6912271</v>
      </c>
      <c r="D1222" s="4">
        <v>4958353</v>
      </c>
      <c r="E1222">
        <v>63</v>
      </c>
      <c r="F1222" s="2">
        <v>0.88500000000000001</v>
      </c>
      <c r="G1222" s="2">
        <v>0.66100000000000003</v>
      </c>
      <c r="H1222" s="2">
        <v>0.14099999999999999</v>
      </c>
      <c r="I1222" s="2">
        <v>0.16500000000000001</v>
      </c>
      <c r="J1222" s="2">
        <v>0.33400000000000002</v>
      </c>
      <c r="K1222" s="2">
        <v>0.436</v>
      </c>
      <c r="L1222" s="2">
        <v>-5.0620000000000003</v>
      </c>
    </row>
    <row r="1223" spans="1:12" x14ac:dyDescent="0.25">
      <c r="A1223">
        <v>118</v>
      </c>
      <c r="B1223">
        <v>1</v>
      </c>
      <c r="C1223" s="3">
        <v>6015914</v>
      </c>
      <c r="D1223" s="4">
        <v>27167675</v>
      </c>
      <c r="E1223">
        <v>63</v>
      </c>
      <c r="F1223" s="2">
        <v>0.76800000000000002</v>
      </c>
      <c r="G1223" s="2">
        <v>0.48599999999999999</v>
      </c>
      <c r="H1223" s="2">
        <v>3.5299999999999998E-2</v>
      </c>
      <c r="I1223" s="2">
        <v>0.40799999999999997</v>
      </c>
      <c r="J1223" s="2">
        <v>9.8000000000000004E-2</v>
      </c>
      <c r="K1223" s="2">
        <v>0.51900000000000002</v>
      </c>
      <c r="L1223" s="2">
        <v>-5.9539999999999997</v>
      </c>
    </row>
    <row r="1224" spans="1:12" x14ac:dyDescent="0.25">
      <c r="A1224">
        <v>147</v>
      </c>
      <c r="B1224">
        <v>1</v>
      </c>
      <c r="C1224" s="3">
        <v>5885151</v>
      </c>
      <c r="D1224" s="4">
        <v>42227614</v>
      </c>
      <c r="E1224">
        <v>63</v>
      </c>
      <c r="F1224" s="2">
        <v>0.57799999999999996</v>
      </c>
      <c r="G1224" s="2">
        <v>0.90900000000000003</v>
      </c>
      <c r="H1224" s="2">
        <v>6.2799999999999995E-2</v>
      </c>
      <c r="I1224" s="2">
        <v>2.2200000000000001E-2</v>
      </c>
      <c r="J1224" s="2">
        <v>0.33300000000000002</v>
      </c>
      <c r="K1224" s="2">
        <v>0.54100000000000004</v>
      </c>
      <c r="L1224" s="2">
        <v>-3.669</v>
      </c>
    </row>
    <row r="1225" spans="1:12" x14ac:dyDescent="0.25">
      <c r="A1225">
        <v>139</v>
      </c>
      <c r="B1225">
        <v>1</v>
      </c>
      <c r="C1225" s="3">
        <v>5841110</v>
      </c>
      <c r="D1225" s="4">
        <v>9949044</v>
      </c>
      <c r="E1225">
        <v>63</v>
      </c>
      <c r="F1225" s="2">
        <v>0.69699999999999995</v>
      </c>
      <c r="G1225" s="2">
        <v>0.70899999999999996</v>
      </c>
      <c r="H1225" s="2">
        <v>0.29799999999999999</v>
      </c>
      <c r="I1225" s="2">
        <v>4.1000000000000002E-2</v>
      </c>
      <c r="J1225" s="2">
        <v>8.8599999999999998E-2</v>
      </c>
      <c r="K1225" s="2">
        <v>0.439</v>
      </c>
      <c r="L1225" s="2">
        <v>-6.6420000000000003</v>
      </c>
    </row>
    <row r="1226" spans="1:12" x14ac:dyDescent="0.25">
      <c r="A1226">
        <v>134</v>
      </c>
      <c r="B1226">
        <v>1</v>
      </c>
      <c r="C1226" s="3">
        <v>5745393</v>
      </c>
      <c r="D1226" s="4">
        <v>29067437</v>
      </c>
      <c r="E1226">
        <v>63</v>
      </c>
      <c r="F1226" s="2">
        <v>0.82799999999999996</v>
      </c>
      <c r="G1226" s="2">
        <v>0.73799999999999999</v>
      </c>
      <c r="H1226" s="2">
        <v>5.16E-2</v>
      </c>
      <c r="I1226" s="2">
        <v>3.8100000000000002E-2</v>
      </c>
      <c r="J1226" s="2">
        <v>9.1700000000000004E-2</v>
      </c>
      <c r="K1226" s="2">
        <v>0.81799999999999995</v>
      </c>
      <c r="L1226" s="2">
        <v>-4.2949999999999999</v>
      </c>
    </row>
    <row r="1227" spans="1:12" x14ac:dyDescent="0.25">
      <c r="A1227">
        <v>68</v>
      </c>
      <c r="B1227">
        <v>3</v>
      </c>
      <c r="C1227" s="3">
        <v>5376451</v>
      </c>
      <c r="D1227" s="4">
        <v>191521</v>
      </c>
      <c r="E1227">
        <v>63</v>
      </c>
      <c r="F1227" s="2">
        <v>0.77100000000000002</v>
      </c>
      <c r="G1227" s="2">
        <v>0.92100000000000004</v>
      </c>
      <c r="H1227" s="2">
        <v>0.109</v>
      </c>
      <c r="I1227" s="2">
        <v>0.16600000000000001</v>
      </c>
      <c r="J1227" s="2">
        <v>0.11899999999999999</v>
      </c>
      <c r="K1227" s="2">
        <v>0.56000000000000005</v>
      </c>
      <c r="L1227" s="2">
        <v>-4.2279999999999998</v>
      </c>
    </row>
    <row r="1228" spans="1:12" x14ac:dyDescent="0.25">
      <c r="A1228">
        <v>31</v>
      </c>
      <c r="B1228">
        <v>2</v>
      </c>
      <c r="C1228" s="3">
        <v>5282490</v>
      </c>
      <c r="D1228" s="4">
        <v>67208170</v>
      </c>
      <c r="E1228">
        <v>63</v>
      </c>
      <c r="F1228" s="2">
        <v>0.499</v>
      </c>
      <c r="G1228" s="2">
        <v>0.46200000000000002</v>
      </c>
      <c r="H1228" s="2">
        <v>3.1199999999999999E-2</v>
      </c>
      <c r="I1228" s="2">
        <v>0.80100000000000005</v>
      </c>
      <c r="J1228" s="2">
        <v>9.4600000000000004E-2</v>
      </c>
      <c r="K1228" s="2">
        <v>0.59899999999999998</v>
      </c>
      <c r="L1228" s="2">
        <v>-5.3079999999999998</v>
      </c>
    </row>
    <row r="1229" spans="1:12" x14ac:dyDescent="0.25">
      <c r="A1229">
        <v>139</v>
      </c>
      <c r="B1229">
        <v>1</v>
      </c>
      <c r="C1229" s="3">
        <v>5193309</v>
      </c>
      <c r="D1229" s="4">
        <v>3337982</v>
      </c>
      <c r="E1229">
        <v>63</v>
      </c>
      <c r="F1229" s="2">
        <v>0.82299999999999995</v>
      </c>
      <c r="G1229" s="2">
        <v>0.504</v>
      </c>
      <c r="H1229" s="2">
        <v>0.16</v>
      </c>
      <c r="I1229" s="2">
        <v>0.20599999999999999</v>
      </c>
      <c r="J1229" s="2">
        <v>0.41699999999999998</v>
      </c>
      <c r="K1229" s="2">
        <v>0.48099999999999998</v>
      </c>
      <c r="L1229" s="2">
        <v>-8.65</v>
      </c>
    </row>
    <row r="1230" spans="1:12" x14ac:dyDescent="0.25">
      <c r="A1230">
        <v>176</v>
      </c>
      <c r="B1230">
        <v>1</v>
      </c>
      <c r="C1230" s="3">
        <v>5150724</v>
      </c>
      <c r="D1230" s="4">
        <v>6608815</v>
      </c>
      <c r="E1230">
        <v>63</v>
      </c>
      <c r="F1230" s="2">
        <v>0.75700000000000001</v>
      </c>
      <c r="G1230" s="2">
        <v>0.67300000000000004</v>
      </c>
      <c r="H1230" s="2">
        <v>0.14099999999999999</v>
      </c>
      <c r="I1230" s="2">
        <v>9.5000000000000001E-2</v>
      </c>
      <c r="J1230" s="2">
        <v>0.33800000000000002</v>
      </c>
      <c r="K1230" s="2">
        <v>0.57399999999999995</v>
      </c>
      <c r="L1230" s="2">
        <v>-8.5129999999999999</v>
      </c>
    </row>
    <row r="1231" spans="1:12" x14ac:dyDescent="0.25">
      <c r="A1231">
        <v>61</v>
      </c>
      <c r="B1231">
        <v>3</v>
      </c>
      <c r="C1231" s="3">
        <v>5111068</v>
      </c>
      <c r="D1231" s="4">
        <v>42227614</v>
      </c>
      <c r="E1231">
        <v>63</v>
      </c>
      <c r="F1231" s="2">
        <v>0.56000000000000005</v>
      </c>
      <c r="G1231" s="2">
        <v>0.78</v>
      </c>
      <c r="H1231" s="2">
        <v>5.1700000000000003E-2</v>
      </c>
      <c r="I1231" s="2">
        <v>2.4399999999999999E-3</v>
      </c>
      <c r="J1231" s="2">
        <v>7.1400000000000005E-2</v>
      </c>
      <c r="K1231" s="2">
        <v>0.60199999999999998</v>
      </c>
      <c r="L1231" s="2">
        <v>-4.8949999999999996</v>
      </c>
    </row>
    <row r="1232" spans="1:12" x14ac:dyDescent="0.25">
      <c r="A1232">
        <v>57</v>
      </c>
      <c r="B1232">
        <v>3</v>
      </c>
      <c r="C1232" s="3">
        <v>5068849</v>
      </c>
      <c r="D1232" s="4">
        <v>11821805</v>
      </c>
      <c r="E1232">
        <v>63</v>
      </c>
      <c r="F1232" s="2">
        <v>0.879</v>
      </c>
      <c r="G1232" s="2">
        <v>0.44800000000000001</v>
      </c>
      <c r="H1232" s="2">
        <v>0.222</v>
      </c>
      <c r="I1232" s="2">
        <v>3.4599999999999999E-2</v>
      </c>
      <c r="J1232" s="2">
        <v>0.224</v>
      </c>
      <c r="K1232" s="2">
        <v>0.27800000000000002</v>
      </c>
      <c r="L1232" s="2">
        <v>-8.57</v>
      </c>
    </row>
    <row r="1233" spans="1:12" x14ac:dyDescent="0.25">
      <c r="A1233">
        <v>51</v>
      </c>
      <c r="B1233">
        <v>2</v>
      </c>
      <c r="C1233" s="3">
        <v>4988839</v>
      </c>
      <c r="D1233" s="4">
        <v>11821805</v>
      </c>
      <c r="E1233">
        <v>63</v>
      </c>
      <c r="F1233" s="2">
        <v>0.92900000000000005</v>
      </c>
      <c r="G1233" s="2">
        <v>0.56299999999999994</v>
      </c>
      <c r="H1233" s="2">
        <v>0.49</v>
      </c>
      <c r="I1233" s="2">
        <v>5.9199999999999997E-4</v>
      </c>
      <c r="J1233" s="2">
        <v>0.24399999999999999</v>
      </c>
      <c r="K1233" s="2">
        <v>0.35299999999999998</v>
      </c>
      <c r="L1233" s="2">
        <v>-7.4279999999999999</v>
      </c>
    </row>
    <row r="1234" spans="1:12" x14ac:dyDescent="0.25">
      <c r="A1234">
        <v>192</v>
      </c>
      <c r="B1234">
        <v>1</v>
      </c>
      <c r="C1234" s="3">
        <v>4920218</v>
      </c>
      <c r="D1234" s="4">
        <v>4430628</v>
      </c>
      <c r="E1234">
        <v>63</v>
      </c>
      <c r="F1234" s="2">
        <v>0.84799999999999998</v>
      </c>
      <c r="G1234" s="2">
        <v>0.70799999999999996</v>
      </c>
      <c r="H1234" s="2">
        <v>3.6600000000000001E-2</v>
      </c>
      <c r="I1234" s="2">
        <v>0.153</v>
      </c>
      <c r="J1234" s="2">
        <v>9.4799999999999995E-2</v>
      </c>
      <c r="K1234" s="2">
        <v>0.92600000000000005</v>
      </c>
      <c r="L1234" s="2">
        <v>-6.3360000000000003</v>
      </c>
    </row>
    <row r="1235" spans="1:12" x14ac:dyDescent="0.25">
      <c r="A1235">
        <v>112</v>
      </c>
      <c r="B1235">
        <v>2</v>
      </c>
      <c r="C1235" s="3">
        <v>4898520</v>
      </c>
      <c r="D1235" s="4">
        <v>1683006</v>
      </c>
      <c r="E1235">
        <v>63</v>
      </c>
      <c r="F1235" s="2">
        <v>0.81699999999999995</v>
      </c>
      <c r="G1235" s="2">
        <v>0.46800000000000003</v>
      </c>
      <c r="H1235" s="2">
        <v>0.28699999999999998</v>
      </c>
      <c r="I1235" s="2">
        <v>0.23300000000000001</v>
      </c>
      <c r="J1235" s="2">
        <v>9.0499999999999997E-2</v>
      </c>
      <c r="K1235" s="2">
        <v>0.23699999999999999</v>
      </c>
      <c r="L1235" s="2">
        <v>-10.945</v>
      </c>
    </row>
    <row r="1236" spans="1:12" x14ac:dyDescent="0.25">
      <c r="A1236">
        <v>196</v>
      </c>
      <c r="B1236">
        <v>1</v>
      </c>
      <c r="C1236" s="3">
        <v>4851895</v>
      </c>
      <c r="D1236" s="4">
        <v>3600989</v>
      </c>
      <c r="E1236">
        <v>63</v>
      </c>
      <c r="F1236" s="2">
        <v>0.52400000000000002</v>
      </c>
      <c r="G1236" s="2">
        <v>0.57699999999999996</v>
      </c>
      <c r="H1236" s="2">
        <v>0.18</v>
      </c>
      <c r="I1236" s="2">
        <v>0.185</v>
      </c>
      <c r="J1236" s="2">
        <v>0.10299999999999999</v>
      </c>
      <c r="K1236" s="2">
        <v>0.19</v>
      </c>
      <c r="L1236" s="2">
        <v>-4.5010000000000003</v>
      </c>
    </row>
    <row r="1237" spans="1:12" x14ac:dyDescent="0.25">
      <c r="A1237">
        <v>181</v>
      </c>
      <c r="B1237">
        <v>1</v>
      </c>
      <c r="C1237" s="3">
        <v>4800543</v>
      </c>
      <c r="D1237" s="4">
        <v>4022792</v>
      </c>
      <c r="E1237">
        <v>63</v>
      </c>
      <c r="F1237" s="2">
        <v>0.66400000000000003</v>
      </c>
      <c r="G1237" s="2">
        <v>0.58599999999999997</v>
      </c>
      <c r="H1237" s="2">
        <v>0.23799999999999999</v>
      </c>
      <c r="I1237" s="2">
        <v>0.21199999999999999</v>
      </c>
      <c r="J1237" s="2">
        <v>0.216</v>
      </c>
      <c r="K1237" s="2">
        <v>0.58899999999999997</v>
      </c>
      <c r="L1237" s="2">
        <v>-7.8129999999999997</v>
      </c>
    </row>
    <row r="1238" spans="1:12" x14ac:dyDescent="0.25">
      <c r="A1238">
        <v>49</v>
      </c>
      <c r="B1238">
        <v>2</v>
      </c>
      <c r="C1238" s="3">
        <v>4766829</v>
      </c>
      <c r="D1238" s="4">
        <v>56327031</v>
      </c>
      <c r="E1238">
        <v>63</v>
      </c>
      <c r="F1238" s="2">
        <v>0.54300000000000004</v>
      </c>
      <c r="G1238" s="2">
        <v>0.76600000000000001</v>
      </c>
      <c r="H1238" s="2">
        <v>0.34300000000000003</v>
      </c>
      <c r="I1238" s="2">
        <v>0.42299999999999999</v>
      </c>
      <c r="J1238" s="2">
        <v>0.155</v>
      </c>
      <c r="K1238" s="2">
        <v>0.72899999999999998</v>
      </c>
      <c r="L1238" s="2">
        <v>-3.387</v>
      </c>
    </row>
    <row r="1239" spans="1:12" x14ac:dyDescent="0.25">
      <c r="A1239">
        <v>42</v>
      </c>
      <c r="B1239">
        <v>5</v>
      </c>
      <c r="C1239" s="3">
        <v>4765672</v>
      </c>
      <c r="D1239" s="4">
        <v>28931149</v>
      </c>
      <c r="E1239">
        <v>63</v>
      </c>
      <c r="F1239" s="2">
        <v>0.71</v>
      </c>
      <c r="G1239" s="2">
        <v>0.80800000000000005</v>
      </c>
      <c r="H1239" s="2">
        <v>4.3299999999999998E-2</v>
      </c>
      <c r="I1239" s="2">
        <v>0.44</v>
      </c>
      <c r="J1239" s="2">
        <v>7.3400000000000007E-2</v>
      </c>
      <c r="K1239" s="2">
        <v>0.39200000000000002</v>
      </c>
      <c r="L1239" s="2">
        <v>-6.7030000000000003</v>
      </c>
    </row>
    <row r="1240" spans="1:12" x14ac:dyDescent="0.25">
      <c r="A1240">
        <v>150</v>
      </c>
      <c r="B1240">
        <v>5</v>
      </c>
      <c r="C1240" s="3">
        <v>4652583</v>
      </c>
      <c r="D1240" s="4">
        <v>15778531</v>
      </c>
      <c r="E1240">
        <v>63</v>
      </c>
      <c r="F1240" s="2">
        <v>0.45900000000000002</v>
      </c>
      <c r="G1240" s="2">
        <v>0.54500000000000004</v>
      </c>
      <c r="H1240" s="2">
        <v>2.8199999999999999E-2</v>
      </c>
      <c r="I1240" s="2">
        <v>0.14199999999999999</v>
      </c>
      <c r="J1240" s="2">
        <v>0.105</v>
      </c>
      <c r="K1240" s="2">
        <v>0.19400000000000001</v>
      </c>
      <c r="L1240" s="2">
        <v>-4.8739999999999997</v>
      </c>
    </row>
    <row r="1241" spans="1:12" x14ac:dyDescent="0.25">
      <c r="A1241">
        <v>128</v>
      </c>
      <c r="B1241">
        <v>3</v>
      </c>
      <c r="C1241" s="3">
        <v>4593449</v>
      </c>
      <c r="D1241" s="4">
        <v>17792779</v>
      </c>
      <c r="E1241">
        <v>63</v>
      </c>
      <c r="F1241" s="2">
        <v>0.73499999999999999</v>
      </c>
      <c r="G1241" s="2">
        <v>0.78700000000000003</v>
      </c>
      <c r="H1241" s="2">
        <v>0.16</v>
      </c>
      <c r="I1241" s="2">
        <v>0.66700000000000004</v>
      </c>
      <c r="J1241" s="2">
        <v>7.2099999999999997E-2</v>
      </c>
      <c r="K1241" s="2">
        <v>0.45500000000000002</v>
      </c>
      <c r="L1241" s="2">
        <v>-4.375</v>
      </c>
    </row>
    <row r="1242" spans="1:12" x14ac:dyDescent="0.25">
      <c r="A1242">
        <v>10</v>
      </c>
      <c r="B1242">
        <v>2</v>
      </c>
      <c r="C1242" s="3">
        <v>15129295</v>
      </c>
      <c r="D1242" s="4">
        <v>150587</v>
      </c>
      <c r="E1242">
        <v>62</v>
      </c>
      <c r="F1242" s="2">
        <v>0.752</v>
      </c>
      <c r="G1242" s="2">
        <v>0.375</v>
      </c>
      <c r="H1242" s="2">
        <v>0.20399999999999999</v>
      </c>
      <c r="I1242" s="2">
        <v>0.53300000000000003</v>
      </c>
      <c r="J1242" s="2">
        <v>0.17499999999999999</v>
      </c>
      <c r="K1242" s="2">
        <v>0.59099999999999997</v>
      </c>
      <c r="L1242" s="2">
        <v>-10.157</v>
      </c>
    </row>
    <row r="1243" spans="1:12" x14ac:dyDescent="0.25">
      <c r="A1243">
        <v>70</v>
      </c>
      <c r="B1243">
        <v>1</v>
      </c>
      <c r="C1243" s="3">
        <v>11245393</v>
      </c>
      <c r="D1243" s="4">
        <v>42227614</v>
      </c>
      <c r="E1243">
        <v>62</v>
      </c>
      <c r="F1243" s="2">
        <v>0.68899999999999995</v>
      </c>
      <c r="G1243" s="2">
        <v>0.70399999999999996</v>
      </c>
      <c r="H1243" s="2">
        <v>0.245</v>
      </c>
      <c r="I1243" s="2">
        <v>0.83499999999999996</v>
      </c>
      <c r="J1243" s="2">
        <v>0.13400000000000001</v>
      </c>
      <c r="K1243" s="2">
        <v>0.92</v>
      </c>
      <c r="L1243" s="2">
        <v>-10.813000000000001</v>
      </c>
    </row>
    <row r="1244" spans="1:12" x14ac:dyDescent="0.25">
      <c r="A1244">
        <v>57</v>
      </c>
      <c r="B1244">
        <v>1</v>
      </c>
      <c r="C1244" s="3">
        <v>10830400</v>
      </c>
      <c r="D1244" s="4">
        <v>46814751</v>
      </c>
      <c r="E1244">
        <v>62</v>
      </c>
      <c r="F1244" s="2">
        <v>0.84699999999999998</v>
      </c>
      <c r="G1244" s="2">
        <v>0.63700000000000001</v>
      </c>
      <c r="H1244" s="2">
        <v>0.36699999999999999</v>
      </c>
      <c r="I1244" s="2">
        <v>2.58E-2</v>
      </c>
      <c r="J1244" s="2">
        <v>0.38200000000000001</v>
      </c>
      <c r="K1244" s="2">
        <v>0.51100000000000001</v>
      </c>
      <c r="L1244" s="2">
        <v>-5.1929999999999996</v>
      </c>
    </row>
    <row r="1245" spans="1:12" x14ac:dyDescent="0.25">
      <c r="A1245">
        <v>64</v>
      </c>
      <c r="B1245">
        <v>1</v>
      </c>
      <c r="C1245" s="3">
        <v>9974143</v>
      </c>
      <c r="D1245" s="4">
        <v>11821805</v>
      </c>
      <c r="E1245">
        <v>62</v>
      </c>
      <c r="F1245" s="2">
        <v>0.77600000000000002</v>
      </c>
      <c r="G1245" s="2">
        <v>0.752</v>
      </c>
      <c r="H1245" s="2">
        <v>0.193</v>
      </c>
      <c r="I1245" s="2">
        <v>0.32500000000000001</v>
      </c>
      <c r="J1245" s="2">
        <v>0.33</v>
      </c>
      <c r="K1245" s="2">
        <v>0.71599999999999997</v>
      </c>
      <c r="L1245" s="2">
        <v>-4.7110000000000003</v>
      </c>
    </row>
    <row r="1246" spans="1:12" x14ac:dyDescent="0.25">
      <c r="A1246">
        <v>71</v>
      </c>
      <c r="B1246">
        <v>1</v>
      </c>
      <c r="C1246" s="3">
        <v>9443725</v>
      </c>
      <c r="D1246" s="4">
        <v>6189454</v>
      </c>
      <c r="E1246">
        <v>62</v>
      </c>
      <c r="F1246" s="2">
        <v>0.83099999999999996</v>
      </c>
      <c r="G1246" s="2">
        <v>0.36</v>
      </c>
      <c r="H1246" s="2">
        <v>5.1999999999999998E-2</v>
      </c>
      <c r="I1246" s="2">
        <v>0.13600000000000001</v>
      </c>
      <c r="J1246" s="2">
        <v>7.0300000000000001E-2</v>
      </c>
      <c r="K1246" s="2">
        <v>0.60099999999999998</v>
      </c>
      <c r="L1246" s="2">
        <v>-8.0730000000000004</v>
      </c>
    </row>
    <row r="1247" spans="1:12" x14ac:dyDescent="0.25">
      <c r="A1247">
        <v>65</v>
      </c>
      <c r="B1247">
        <v>1</v>
      </c>
      <c r="C1247" s="3">
        <v>9399230</v>
      </c>
      <c r="D1247" s="4">
        <v>67208170</v>
      </c>
      <c r="E1247">
        <v>62</v>
      </c>
      <c r="F1247" s="2">
        <v>0.68799999999999994</v>
      </c>
      <c r="G1247" s="2">
        <v>0.57299999999999995</v>
      </c>
      <c r="H1247" s="2">
        <v>0.20799999999999999</v>
      </c>
      <c r="I1247" s="2">
        <v>6.8599999999999994E-2</v>
      </c>
      <c r="J1247" s="2">
        <v>7.4899999999999994E-2</v>
      </c>
      <c r="K1247" s="2">
        <v>0.55300000000000005</v>
      </c>
      <c r="L1247" s="2">
        <v>-5.03</v>
      </c>
    </row>
    <row r="1248" spans="1:12" x14ac:dyDescent="0.25">
      <c r="A1248">
        <v>66</v>
      </c>
      <c r="B1248">
        <v>1</v>
      </c>
      <c r="C1248" s="3">
        <v>9397167</v>
      </c>
      <c r="D1248" s="4">
        <v>67208170</v>
      </c>
      <c r="E1248">
        <v>62</v>
      </c>
      <c r="F1248" s="2">
        <v>0.68799999999999994</v>
      </c>
      <c r="G1248" s="2">
        <v>0.45500000000000002</v>
      </c>
      <c r="H1248" s="2">
        <v>0.19900000000000001</v>
      </c>
      <c r="I1248" s="2">
        <v>0.186</v>
      </c>
      <c r="J1248" s="2">
        <v>7.9399999999999998E-2</v>
      </c>
      <c r="K1248" s="2">
        <v>0.55700000000000005</v>
      </c>
      <c r="L1248" s="2">
        <v>-8.6319999999999997</v>
      </c>
    </row>
    <row r="1249" spans="1:12" x14ac:dyDescent="0.25">
      <c r="A1249">
        <v>73</v>
      </c>
      <c r="B1249">
        <v>1</v>
      </c>
      <c r="C1249" s="3">
        <v>9260007</v>
      </c>
      <c r="D1249" s="4">
        <v>46814751</v>
      </c>
      <c r="E1249">
        <v>62</v>
      </c>
      <c r="F1249" s="2">
        <v>0.871</v>
      </c>
      <c r="G1249" s="2">
        <v>0.49299999999999999</v>
      </c>
      <c r="H1249" s="2">
        <v>0.20499999999999999</v>
      </c>
      <c r="I1249" s="2">
        <v>1.34E-2</v>
      </c>
      <c r="J1249" s="2">
        <v>0.38500000000000001</v>
      </c>
      <c r="K1249" s="2">
        <v>4.9500000000000002E-2</v>
      </c>
      <c r="L1249" s="2">
        <v>-6.3559999999999999</v>
      </c>
    </row>
    <row r="1250" spans="1:12" x14ac:dyDescent="0.25">
      <c r="A1250">
        <v>64</v>
      </c>
      <c r="B1250">
        <v>1</v>
      </c>
      <c r="C1250" s="3">
        <v>9120086</v>
      </c>
      <c r="D1250" s="4">
        <v>48544923</v>
      </c>
      <c r="E1250">
        <v>62</v>
      </c>
      <c r="F1250" s="2">
        <v>0.76400000000000001</v>
      </c>
      <c r="G1250" s="2">
        <v>0.443</v>
      </c>
      <c r="H1250" s="2">
        <v>4.3900000000000002E-2</v>
      </c>
      <c r="I1250" s="2">
        <v>0.52</v>
      </c>
      <c r="J1250" s="2">
        <v>7.4899999999999994E-2</v>
      </c>
      <c r="K1250" s="2">
        <v>0.63</v>
      </c>
      <c r="L1250" s="2">
        <v>-6.625</v>
      </c>
    </row>
    <row r="1251" spans="1:12" x14ac:dyDescent="0.25">
      <c r="A1251">
        <v>90</v>
      </c>
      <c r="B1251">
        <v>1</v>
      </c>
      <c r="C1251" s="3">
        <v>8335790</v>
      </c>
      <c r="D1251" s="4">
        <v>46814751</v>
      </c>
      <c r="E1251">
        <v>62</v>
      </c>
      <c r="F1251" s="2">
        <v>0.747</v>
      </c>
      <c r="G1251" s="2">
        <v>0.89900000000000002</v>
      </c>
      <c r="H1251" s="2">
        <v>0.246</v>
      </c>
      <c r="I1251" s="2">
        <v>0.1</v>
      </c>
      <c r="J1251" s="2">
        <v>0.48599999999999999</v>
      </c>
      <c r="K1251" s="2">
        <v>0.58099999999999996</v>
      </c>
      <c r="L1251" s="2">
        <v>-5.125</v>
      </c>
    </row>
    <row r="1252" spans="1:12" x14ac:dyDescent="0.25">
      <c r="A1252">
        <v>98</v>
      </c>
      <c r="B1252">
        <v>1</v>
      </c>
      <c r="C1252" s="3">
        <v>8172098</v>
      </c>
      <c r="D1252" s="4">
        <v>6189454</v>
      </c>
      <c r="E1252">
        <v>62</v>
      </c>
      <c r="F1252" s="2">
        <v>0.875</v>
      </c>
      <c r="G1252" s="2">
        <v>0.59899999999999998</v>
      </c>
      <c r="H1252" s="2">
        <v>0.13800000000000001</v>
      </c>
      <c r="I1252" s="2">
        <v>3.3300000000000003E-2</v>
      </c>
      <c r="J1252" s="2">
        <v>0.113</v>
      </c>
      <c r="K1252" s="2">
        <v>0.112</v>
      </c>
      <c r="L1252" s="2">
        <v>-9.077</v>
      </c>
    </row>
    <row r="1253" spans="1:12" x14ac:dyDescent="0.25">
      <c r="A1253">
        <v>76</v>
      </c>
      <c r="B1253">
        <v>1</v>
      </c>
      <c r="C1253" s="3">
        <v>7353153</v>
      </c>
      <c r="D1253" s="4">
        <v>7601122</v>
      </c>
      <c r="E1253">
        <v>62</v>
      </c>
      <c r="F1253" s="2">
        <v>0.747</v>
      </c>
      <c r="G1253" s="2">
        <v>0.68899999999999995</v>
      </c>
      <c r="H1253" s="2">
        <v>0.24199999999999999</v>
      </c>
      <c r="I1253" s="2">
        <v>0.19700000000000001</v>
      </c>
      <c r="J1253" s="2">
        <v>8.8400000000000006E-2</v>
      </c>
      <c r="K1253" s="2">
        <v>0.75</v>
      </c>
      <c r="L1253" s="2">
        <v>-7.2460000000000004</v>
      </c>
    </row>
    <row r="1254" spans="1:12" x14ac:dyDescent="0.25">
      <c r="A1254">
        <v>147</v>
      </c>
      <c r="B1254">
        <v>1</v>
      </c>
      <c r="C1254" s="3">
        <v>6865689</v>
      </c>
      <c r="D1254" s="4">
        <v>5002317</v>
      </c>
      <c r="E1254">
        <v>62</v>
      </c>
      <c r="F1254" s="2">
        <v>0.63600000000000001</v>
      </c>
      <c r="G1254" s="2">
        <v>0.64700000000000002</v>
      </c>
      <c r="H1254" s="2">
        <v>3.8100000000000002E-2</v>
      </c>
      <c r="I1254" s="2">
        <v>0.247</v>
      </c>
      <c r="J1254" s="2">
        <v>0.113</v>
      </c>
      <c r="K1254" s="2">
        <v>0.41599999999999998</v>
      </c>
      <c r="L1254" s="2">
        <v>-6.9710000000000001</v>
      </c>
    </row>
    <row r="1255" spans="1:12" x14ac:dyDescent="0.25">
      <c r="A1255">
        <v>103</v>
      </c>
      <c r="B1255">
        <v>1</v>
      </c>
      <c r="C1255" s="3">
        <v>6865229</v>
      </c>
      <c r="D1255" s="4">
        <v>48544923</v>
      </c>
      <c r="E1255">
        <v>62</v>
      </c>
      <c r="F1255" s="2">
        <v>0.48499999999999999</v>
      </c>
      <c r="G1255" s="2">
        <v>0.41199999999999998</v>
      </c>
      <c r="H1255" s="2">
        <v>4.2000000000000003E-2</v>
      </c>
      <c r="I1255" s="2">
        <v>0.73799999999999999</v>
      </c>
      <c r="J1255" s="2">
        <v>0.12</v>
      </c>
      <c r="K1255" s="2">
        <v>0.61199999999999999</v>
      </c>
      <c r="L1255" s="2">
        <v>-7.766</v>
      </c>
    </row>
    <row r="1256" spans="1:12" x14ac:dyDescent="0.25">
      <c r="A1256">
        <v>129</v>
      </c>
      <c r="B1256">
        <v>1</v>
      </c>
      <c r="C1256" s="3">
        <v>6113037</v>
      </c>
      <c r="D1256" s="4">
        <v>1140383</v>
      </c>
      <c r="E1256">
        <v>62</v>
      </c>
      <c r="F1256" s="2">
        <v>0.78400000000000003</v>
      </c>
      <c r="G1256" s="2">
        <v>0.70299999999999996</v>
      </c>
      <c r="H1256" s="2">
        <v>0.23599999999999999</v>
      </c>
      <c r="I1256" s="2">
        <v>9.7299999999999998E-2</v>
      </c>
      <c r="J1256" s="2">
        <v>7.5399999999999995E-2</v>
      </c>
      <c r="K1256" s="2">
        <v>0.55600000000000005</v>
      </c>
      <c r="L1256" s="2">
        <v>-7.4909999999999997</v>
      </c>
    </row>
    <row r="1257" spans="1:12" x14ac:dyDescent="0.25">
      <c r="A1257">
        <v>102</v>
      </c>
      <c r="B1257">
        <v>1</v>
      </c>
      <c r="C1257" s="3">
        <v>6033348</v>
      </c>
      <c r="D1257" s="4">
        <v>7601122</v>
      </c>
      <c r="E1257">
        <v>62</v>
      </c>
      <c r="F1257" s="2">
        <v>0.89600000000000002</v>
      </c>
      <c r="G1257" s="2">
        <v>0.72</v>
      </c>
      <c r="H1257" s="2">
        <v>0.35499999999999998</v>
      </c>
      <c r="I1257" s="2">
        <v>0.16900000000000001</v>
      </c>
      <c r="J1257" s="2">
        <v>0.252</v>
      </c>
      <c r="K1257" s="2">
        <v>0.96599999999999997</v>
      </c>
      <c r="L1257" s="2">
        <v>-6.2619999999999996</v>
      </c>
    </row>
    <row r="1258" spans="1:12" x14ac:dyDescent="0.25">
      <c r="A1258">
        <v>115</v>
      </c>
      <c r="B1258">
        <v>1</v>
      </c>
      <c r="C1258" s="3">
        <v>5949270</v>
      </c>
      <c r="D1258" s="4">
        <v>8673345</v>
      </c>
      <c r="E1258">
        <v>62</v>
      </c>
      <c r="F1258" s="2">
        <v>0.67600000000000005</v>
      </c>
      <c r="G1258" s="2">
        <v>0.82</v>
      </c>
      <c r="H1258" s="2">
        <v>5.5399999999999998E-2</v>
      </c>
      <c r="I1258" s="2">
        <v>4.9299999999999997E-2</v>
      </c>
      <c r="J1258" s="2">
        <v>0.61499999999999999</v>
      </c>
      <c r="K1258" s="2">
        <v>0.61799999999999999</v>
      </c>
      <c r="L1258" s="2">
        <v>-5.2169999999999996</v>
      </c>
    </row>
    <row r="1259" spans="1:12" x14ac:dyDescent="0.25">
      <c r="A1259">
        <v>129</v>
      </c>
      <c r="B1259">
        <v>1</v>
      </c>
      <c r="C1259" s="3">
        <v>5867111</v>
      </c>
      <c r="D1259" s="4">
        <v>1818624</v>
      </c>
      <c r="E1259">
        <v>62</v>
      </c>
      <c r="F1259" s="2">
        <v>0.751</v>
      </c>
      <c r="G1259" s="2">
        <v>0.78300000000000003</v>
      </c>
      <c r="H1259" s="2">
        <v>0.22</v>
      </c>
      <c r="I1259" s="2">
        <v>7.1499999999999994E-2</v>
      </c>
      <c r="J1259" s="2">
        <v>0.114</v>
      </c>
      <c r="K1259" s="2">
        <v>0.379</v>
      </c>
      <c r="L1259" s="2">
        <v>-5.9260000000000002</v>
      </c>
    </row>
    <row r="1260" spans="1:12" x14ac:dyDescent="0.25">
      <c r="A1260">
        <v>67</v>
      </c>
      <c r="B1260">
        <v>2</v>
      </c>
      <c r="C1260" s="3">
        <v>5835260</v>
      </c>
      <c r="D1260" s="4">
        <v>7744095</v>
      </c>
      <c r="E1260">
        <v>62</v>
      </c>
      <c r="F1260" s="2">
        <v>0.57599999999999996</v>
      </c>
      <c r="G1260" s="2">
        <v>0.80700000000000005</v>
      </c>
      <c r="H1260" s="2">
        <v>3.7400000000000003E-2</v>
      </c>
      <c r="I1260" s="2">
        <v>1.8499999999999999E-2</v>
      </c>
      <c r="J1260" s="2">
        <v>9.6299999999999997E-2</v>
      </c>
      <c r="K1260" s="2">
        <v>0.47899999999999998</v>
      </c>
      <c r="L1260" s="2">
        <v>-3.0190000000000001</v>
      </c>
    </row>
    <row r="1261" spans="1:12" x14ac:dyDescent="0.25">
      <c r="A1261">
        <v>131</v>
      </c>
      <c r="B1261">
        <v>1</v>
      </c>
      <c r="C1261" s="3">
        <v>5364262</v>
      </c>
      <c r="D1261" s="4">
        <v>36177712</v>
      </c>
      <c r="E1261">
        <v>62</v>
      </c>
      <c r="F1261" s="2">
        <v>0.77900000000000003</v>
      </c>
      <c r="G1261" s="2">
        <v>0.76400000000000001</v>
      </c>
      <c r="H1261" s="2">
        <v>9.3799999999999994E-2</v>
      </c>
      <c r="I1261" s="2">
        <v>0.221</v>
      </c>
      <c r="J1261" s="2">
        <v>9.0899999999999995E-2</v>
      </c>
      <c r="K1261" s="2">
        <v>0.67500000000000004</v>
      </c>
      <c r="L1261" s="2">
        <v>-8.2170000000000005</v>
      </c>
    </row>
    <row r="1262" spans="1:12" x14ac:dyDescent="0.25">
      <c r="A1262">
        <v>151</v>
      </c>
      <c r="B1262">
        <v>1</v>
      </c>
      <c r="C1262" s="3">
        <v>5254969</v>
      </c>
      <c r="D1262" s="4">
        <v>27167675</v>
      </c>
      <c r="E1262">
        <v>62</v>
      </c>
      <c r="F1262" s="2">
        <v>0.80800000000000005</v>
      </c>
      <c r="G1262" s="2">
        <v>0.65500000000000003</v>
      </c>
      <c r="H1262" s="2">
        <v>0.13900000000000001</v>
      </c>
      <c r="I1262" s="2">
        <v>3.73E-2</v>
      </c>
      <c r="J1262" s="2">
        <v>0.20799999999999999</v>
      </c>
      <c r="K1262" s="2">
        <v>0.56000000000000005</v>
      </c>
      <c r="L1262" s="2">
        <v>-7.34</v>
      </c>
    </row>
    <row r="1263" spans="1:12" x14ac:dyDescent="0.25">
      <c r="A1263">
        <v>40</v>
      </c>
      <c r="B1263">
        <v>4</v>
      </c>
      <c r="C1263" s="3">
        <v>5236730</v>
      </c>
      <c r="D1263" s="4">
        <v>28931149</v>
      </c>
      <c r="E1263">
        <v>62</v>
      </c>
      <c r="F1263" s="2">
        <v>0.81100000000000005</v>
      </c>
      <c r="G1263" s="2">
        <v>0.51200000000000001</v>
      </c>
      <c r="H1263" s="2">
        <v>0.17</v>
      </c>
      <c r="I1263" s="2">
        <v>0.218</v>
      </c>
      <c r="J1263" s="2">
        <v>7.6799999999999993E-2</v>
      </c>
      <c r="K1263" s="2">
        <v>0.34599999999999997</v>
      </c>
      <c r="L1263" s="2">
        <v>-6.3810000000000002</v>
      </c>
    </row>
    <row r="1264" spans="1:12" x14ac:dyDescent="0.25">
      <c r="A1264">
        <v>76</v>
      </c>
      <c r="B1264">
        <v>3</v>
      </c>
      <c r="C1264" s="3">
        <v>5208651</v>
      </c>
      <c r="D1264" s="4">
        <v>486474</v>
      </c>
      <c r="E1264">
        <v>62</v>
      </c>
      <c r="F1264" s="2">
        <v>0.746</v>
      </c>
      <c r="G1264" s="2">
        <v>0.59199999999999997</v>
      </c>
      <c r="H1264" s="2">
        <v>9.1399999999999995E-2</v>
      </c>
      <c r="I1264" s="2">
        <v>0.46200000000000002</v>
      </c>
      <c r="J1264" s="2">
        <v>0.187</v>
      </c>
      <c r="K1264" s="2">
        <v>0.629</v>
      </c>
      <c r="L1264" s="2">
        <v>-6.8609999999999998</v>
      </c>
    </row>
    <row r="1265" spans="1:12" x14ac:dyDescent="0.25">
      <c r="A1265">
        <v>176</v>
      </c>
      <c r="B1265">
        <v>1</v>
      </c>
      <c r="C1265" s="3">
        <v>5103194</v>
      </c>
      <c r="D1265" s="4">
        <v>17097317</v>
      </c>
      <c r="E1265">
        <v>62</v>
      </c>
      <c r="F1265" s="2">
        <v>0.66600000000000004</v>
      </c>
      <c r="G1265" s="2">
        <v>0.72599999999999998</v>
      </c>
      <c r="H1265" s="2">
        <v>2.6200000000000001E-2</v>
      </c>
      <c r="I1265" s="2">
        <v>0.48599999999999999</v>
      </c>
      <c r="J1265" s="2">
        <v>8.9200000000000002E-2</v>
      </c>
      <c r="K1265" s="2">
        <v>0.46800000000000003</v>
      </c>
      <c r="L1265" s="2">
        <v>-2.9980000000000002</v>
      </c>
    </row>
    <row r="1266" spans="1:12" x14ac:dyDescent="0.25">
      <c r="A1266">
        <v>158</v>
      </c>
      <c r="B1266">
        <v>1</v>
      </c>
      <c r="C1266" s="3">
        <v>5101640</v>
      </c>
      <c r="D1266" s="4">
        <v>3071170</v>
      </c>
      <c r="E1266">
        <v>62</v>
      </c>
      <c r="F1266" s="2">
        <v>0.745</v>
      </c>
      <c r="G1266" s="2">
        <v>0.65600000000000003</v>
      </c>
      <c r="H1266" s="2">
        <v>0.20300000000000001</v>
      </c>
      <c r="I1266" s="2">
        <v>6.0400000000000002E-2</v>
      </c>
      <c r="J1266" s="2">
        <v>0.11</v>
      </c>
      <c r="K1266" s="2">
        <v>0.40500000000000003</v>
      </c>
      <c r="L1266" s="2">
        <v>-6.8289999999999997</v>
      </c>
    </row>
    <row r="1267" spans="1:12" x14ac:dyDescent="0.25">
      <c r="A1267">
        <v>159</v>
      </c>
      <c r="B1267">
        <v>1</v>
      </c>
      <c r="C1267" s="3">
        <v>5094137</v>
      </c>
      <c r="D1267" s="4">
        <v>3071170</v>
      </c>
      <c r="E1267">
        <v>62</v>
      </c>
      <c r="F1267" s="2">
        <v>0.52100000000000002</v>
      </c>
      <c r="G1267" s="2">
        <v>0.39</v>
      </c>
      <c r="H1267" s="2">
        <v>0.128</v>
      </c>
      <c r="I1267" s="2">
        <v>0.58199999999999996</v>
      </c>
      <c r="J1267" s="2">
        <v>0.112</v>
      </c>
      <c r="K1267" s="2">
        <v>0.157</v>
      </c>
      <c r="L1267" s="2">
        <v>-9.7260000000000009</v>
      </c>
    </row>
    <row r="1268" spans="1:12" x14ac:dyDescent="0.25">
      <c r="A1268">
        <v>163</v>
      </c>
      <c r="B1268">
        <v>1</v>
      </c>
      <c r="C1268" s="3">
        <v>5044774</v>
      </c>
      <c r="D1268" s="4">
        <v>29067437</v>
      </c>
      <c r="E1268">
        <v>62</v>
      </c>
      <c r="F1268" s="2">
        <v>0.73099999999999998</v>
      </c>
      <c r="G1268" s="2">
        <v>0.78700000000000003</v>
      </c>
      <c r="H1268" s="2">
        <v>7.2099999999999997E-2</v>
      </c>
      <c r="I1268" s="2">
        <v>8.5300000000000001E-2</v>
      </c>
      <c r="J1268" s="2">
        <v>0.316</v>
      </c>
      <c r="K1268" s="2">
        <v>0.39300000000000002</v>
      </c>
      <c r="L1268" s="2">
        <v>-5.26</v>
      </c>
    </row>
    <row r="1269" spans="1:12" x14ac:dyDescent="0.25">
      <c r="A1269">
        <v>190</v>
      </c>
      <c r="B1269">
        <v>1</v>
      </c>
      <c r="C1269" s="3">
        <v>4915080</v>
      </c>
      <c r="D1269" s="4">
        <v>9949044</v>
      </c>
      <c r="E1269">
        <v>62</v>
      </c>
      <c r="F1269" s="2">
        <v>0.63</v>
      </c>
      <c r="G1269" s="2">
        <v>0.39900000000000002</v>
      </c>
      <c r="H1269" s="2">
        <v>0.17799999999999999</v>
      </c>
      <c r="I1269" s="2">
        <v>0.105</v>
      </c>
      <c r="J1269" s="2">
        <v>0.23400000000000001</v>
      </c>
      <c r="K1269" s="2">
        <v>6.5699999999999995E-2</v>
      </c>
      <c r="L1269" s="2">
        <v>-9.8689999999999998</v>
      </c>
    </row>
    <row r="1270" spans="1:12" x14ac:dyDescent="0.25">
      <c r="A1270">
        <v>52</v>
      </c>
      <c r="B1270">
        <v>2</v>
      </c>
      <c r="C1270" s="3">
        <v>4824037</v>
      </c>
      <c r="D1270" s="4">
        <v>46814751</v>
      </c>
      <c r="E1270">
        <v>62</v>
      </c>
      <c r="F1270" s="2">
        <v>0.72</v>
      </c>
      <c r="G1270" s="2">
        <v>0.76700000000000002</v>
      </c>
      <c r="H1270" s="2">
        <v>0.214</v>
      </c>
      <c r="I1270" s="2">
        <v>3.8699999999999998E-2</v>
      </c>
      <c r="J1270" s="2">
        <v>0.20200000000000001</v>
      </c>
      <c r="K1270" s="2">
        <v>0.59499999999999997</v>
      </c>
      <c r="L1270" s="2">
        <v>-5.8390000000000004</v>
      </c>
    </row>
    <row r="1271" spans="1:12" x14ac:dyDescent="0.25">
      <c r="A1271">
        <v>177</v>
      </c>
      <c r="B1271">
        <v>1</v>
      </c>
      <c r="C1271" s="3">
        <v>4685894</v>
      </c>
      <c r="D1271" s="4">
        <v>961181</v>
      </c>
      <c r="E1271">
        <v>62</v>
      </c>
      <c r="F1271" s="2">
        <v>0.80500000000000005</v>
      </c>
      <c r="G1271" s="2">
        <v>0.61899999999999999</v>
      </c>
      <c r="H1271" s="2">
        <v>7.7100000000000002E-2</v>
      </c>
      <c r="I1271" s="2">
        <v>0.218</v>
      </c>
      <c r="J1271" s="2">
        <v>0.114</v>
      </c>
      <c r="K1271" s="2">
        <v>0.47599999999999998</v>
      </c>
      <c r="L1271" s="2">
        <v>-7.907</v>
      </c>
    </row>
    <row r="1272" spans="1:12" x14ac:dyDescent="0.25">
      <c r="A1272">
        <v>190</v>
      </c>
      <c r="B1272">
        <v>1</v>
      </c>
      <c r="C1272" s="3">
        <v>4676857</v>
      </c>
      <c r="D1272" s="4">
        <v>1390813</v>
      </c>
      <c r="E1272">
        <v>62</v>
      </c>
      <c r="F1272" s="2">
        <v>0.93200000000000005</v>
      </c>
      <c r="G1272" s="2">
        <v>0.77800000000000002</v>
      </c>
      <c r="H1272" s="2">
        <v>6.3799999999999996E-2</v>
      </c>
      <c r="I1272" s="2">
        <v>0.21199999999999999</v>
      </c>
      <c r="J1272" s="2">
        <v>0.16800000000000001</v>
      </c>
      <c r="K1272" s="2">
        <v>0.93300000000000005</v>
      </c>
      <c r="L1272" s="2">
        <v>-3.3839999999999999</v>
      </c>
    </row>
    <row r="1273" spans="1:12" x14ac:dyDescent="0.25">
      <c r="A1273">
        <v>64</v>
      </c>
      <c r="B1273">
        <v>2</v>
      </c>
      <c r="C1273" s="3">
        <v>4594248</v>
      </c>
      <c r="D1273" s="4">
        <v>6852509</v>
      </c>
      <c r="E1273">
        <v>62</v>
      </c>
      <c r="F1273" s="2">
        <v>0.5</v>
      </c>
      <c r="G1273" s="2">
        <v>0.76700000000000002</v>
      </c>
      <c r="H1273" s="2">
        <v>0.40300000000000002</v>
      </c>
      <c r="I1273" s="2">
        <v>0.16200000000000001</v>
      </c>
      <c r="J1273" s="2">
        <v>0.38500000000000001</v>
      </c>
      <c r="K1273" s="2">
        <v>0.57999999999999996</v>
      </c>
      <c r="L1273" s="2">
        <v>-4.1050000000000004</v>
      </c>
    </row>
    <row r="1274" spans="1:12" x14ac:dyDescent="0.25">
      <c r="A1274">
        <v>45</v>
      </c>
      <c r="B1274">
        <v>4</v>
      </c>
      <c r="C1274" s="3">
        <v>4556947</v>
      </c>
      <c r="D1274" s="4">
        <v>1674348</v>
      </c>
      <c r="E1274">
        <v>62</v>
      </c>
      <c r="F1274" s="2">
        <v>0.81100000000000005</v>
      </c>
      <c r="G1274" s="2">
        <v>0.64500000000000002</v>
      </c>
      <c r="H1274" s="2">
        <v>0.104</v>
      </c>
      <c r="I1274" s="2">
        <v>0.184</v>
      </c>
      <c r="J1274" s="2">
        <v>0.10299999999999999</v>
      </c>
      <c r="K1274" s="2">
        <v>0.47399999999999998</v>
      </c>
      <c r="L1274" s="2">
        <v>-8.0079999999999991</v>
      </c>
    </row>
    <row r="1275" spans="1:12" x14ac:dyDescent="0.25">
      <c r="A1275">
        <v>93</v>
      </c>
      <c r="B1275">
        <v>2</v>
      </c>
      <c r="C1275" s="3">
        <v>4513982</v>
      </c>
      <c r="D1275" s="4">
        <v>3372385</v>
      </c>
      <c r="E1275">
        <v>62</v>
      </c>
      <c r="F1275" s="2">
        <v>0.80600000000000005</v>
      </c>
      <c r="G1275" s="2">
        <v>0.749</v>
      </c>
      <c r="H1275" s="2">
        <v>0.32800000000000001</v>
      </c>
      <c r="I1275" s="2">
        <v>8.3799999999999999E-2</v>
      </c>
      <c r="J1275" s="2">
        <v>6.2100000000000002E-2</v>
      </c>
      <c r="K1275" s="2">
        <v>0.77</v>
      </c>
      <c r="L1275" s="2">
        <v>-5.2679999999999998</v>
      </c>
    </row>
    <row r="1276" spans="1:12" x14ac:dyDescent="0.25">
      <c r="A1276">
        <v>199</v>
      </c>
      <c r="B1276">
        <v>1</v>
      </c>
      <c r="C1276" s="3">
        <v>4419295</v>
      </c>
      <c r="D1276" s="4">
        <v>8766508</v>
      </c>
      <c r="E1276">
        <v>62</v>
      </c>
      <c r="F1276" s="2">
        <v>0.72199999999999998</v>
      </c>
      <c r="G1276" s="2">
        <v>0.75700000000000001</v>
      </c>
      <c r="H1276" s="2">
        <v>7.8200000000000006E-2</v>
      </c>
      <c r="I1276" s="2">
        <v>0.17</v>
      </c>
      <c r="J1276" s="2">
        <v>6.5699999999999995E-2</v>
      </c>
      <c r="K1276" s="2">
        <v>0.76300000000000001</v>
      </c>
      <c r="L1276" s="2">
        <v>-3.5920000000000001</v>
      </c>
    </row>
    <row r="1277" spans="1:12" x14ac:dyDescent="0.25">
      <c r="A1277">
        <v>3</v>
      </c>
      <c r="B1277">
        <v>7</v>
      </c>
      <c r="C1277" s="3">
        <v>16657592</v>
      </c>
      <c r="D1277" s="4">
        <v>67208170</v>
      </c>
      <c r="E1277">
        <v>61</v>
      </c>
      <c r="F1277" s="2">
        <v>0.52500000000000002</v>
      </c>
      <c r="G1277" s="2">
        <v>0.621</v>
      </c>
      <c r="H1277" s="2">
        <v>0.11600000000000001</v>
      </c>
      <c r="I1277" s="2">
        <v>4.8899999999999999E-2</v>
      </c>
      <c r="J1277" s="2">
        <v>0.29399999999999998</v>
      </c>
      <c r="K1277" s="2">
        <v>0.59099999999999997</v>
      </c>
      <c r="L1277" s="2">
        <v>-7.3639999999999999</v>
      </c>
    </row>
    <row r="1278" spans="1:12" x14ac:dyDescent="0.25">
      <c r="A1278">
        <v>61</v>
      </c>
      <c r="B1278">
        <v>1</v>
      </c>
      <c r="C1278" s="3">
        <v>10396969</v>
      </c>
      <c r="D1278" s="4">
        <v>11821805</v>
      </c>
      <c r="E1278">
        <v>61</v>
      </c>
      <c r="F1278" s="2">
        <v>0.748</v>
      </c>
      <c r="G1278" s="2">
        <v>0.77100000000000002</v>
      </c>
      <c r="H1278" s="2">
        <v>0.15</v>
      </c>
      <c r="I1278" s="2">
        <v>0.10100000000000001</v>
      </c>
      <c r="J1278" s="2">
        <v>0.13500000000000001</v>
      </c>
      <c r="K1278" s="2">
        <v>0.79200000000000004</v>
      </c>
      <c r="L1278" s="2">
        <v>-4.1559999999999997</v>
      </c>
    </row>
    <row r="1279" spans="1:12" x14ac:dyDescent="0.25">
      <c r="A1279">
        <v>74</v>
      </c>
      <c r="B1279">
        <v>1</v>
      </c>
      <c r="C1279" s="3">
        <v>9159901</v>
      </c>
      <c r="D1279" s="4">
        <v>46814751</v>
      </c>
      <c r="E1279">
        <v>61</v>
      </c>
      <c r="F1279" s="2">
        <v>0.77900000000000003</v>
      </c>
      <c r="G1279" s="2">
        <v>0.80500000000000005</v>
      </c>
      <c r="H1279" s="2">
        <v>0.17799999999999999</v>
      </c>
      <c r="I1279" s="2">
        <v>1.7999999999999999E-2</v>
      </c>
      <c r="J1279" s="2">
        <v>0.32100000000000001</v>
      </c>
      <c r="K1279" s="2">
        <v>0.55700000000000005</v>
      </c>
      <c r="L1279" s="2">
        <v>-3.121</v>
      </c>
    </row>
    <row r="1280" spans="1:12" x14ac:dyDescent="0.25">
      <c r="A1280">
        <v>72</v>
      </c>
      <c r="B1280">
        <v>1</v>
      </c>
      <c r="C1280" s="3">
        <v>8362828</v>
      </c>
      <c r="D1280" s="4">
        <v>48544923</v>
      </c>
      <c r="E1280">
        <v>61</v>
      </c>
      <c r="F1280" s="2">
        <v>0.83199999999999996</v>
      </c>
      <c r="G1280" s="2">
        <v>0.50800000000000001</v>
      </c>
      <c r="H1280" s="2">
        <v>0.14899999999999999</v>
      </c>
      <c r="I1280" s="2">
        <v>4.9200000000000001E-2</v>
      </c>
      <c r="J1280" s="2">
        <v>0.107</v>
      </c>
      <c r="K1280" s="2">
        <v>0.75</v>
      </c>
      <c r="L1280" s="2">
        <v>-6.9130000000000003</v>
      </c>
    </row>
    <row r="1281" spans="1:12" x14ac:dyDescent="0.25">
      <c r="A1281">
        <v>94</v>
      </c>
      <c r="B1281">
        <v>1</v>
      </c>
      <c r="C1281" s="3">
        <v>8277608</v>
      </c>
      <c r="D1281" s="4">
        <v>46814751</v>
      </c>
      <c r="E1281">
        <v>61</v>
      </c>
      <c r="F1281" s="2">
        <v>0.89</v>
      </c>
      <c r="G1281" s="2">
        <v>0.66400000000000003</v>
      </c>
      <c r="H1281" s="2">
        <v>0.106</v>
      </c>
      <c r="I1281" s="2">
        <v>4.8700000000000002E-3</v>
      </c>
      <c r="J1281" s="2">
        <v>0.25700000000000001</v>
      </c>
      <c r="K1281" s="2">
        <v>0.46700000000000003</v>
      </c>
      <c r="L1281" s="2">
        <v>-6.625</v>
      </c>
    </row>
    <row r="1282" spans="1:12" x14ac:dyDescent="0.25">
      <c r="A1282">
        <v>79</v>
      </c>
      <c r="B1282">
        <v>1</v>
      </c>
      <c r="C1282" s="3">
        <v>8109572</v>
      </c>
      <c r="D1282" s="4">
        <v>48544923</v>
      </c>
      <c r="E1282">
        <v>61</v>
      </c>
      <c r="F1282" s="2">
        <v>0.79600000000000004</v>
      </c>
      <c r="G1282" s="2">
        <v>0.77700000000000002</v>
      </c>
      <c r="H1282" s="2">
        <v>5.67E-2</v>
      </c>
      <c r="I1282" s="2">
        <v>2.76E-2</v>
      </c>
      <c r="J1282" s="2">
        <v>9.5000000000000001E-2</v>
      </c>
      <c r="K1282" s="2">
        <v>0.96</v>
      </c>
      <c r="L1282" s="2">
        <v>-6.1120000000000001</v>
      </c>
    </row>
    <row r="1283" spans="1:12" x14ac:dyDescent="0.25">
      <c r="A1283">
        <v>126</v>
      </c>
      <c r="B1283">
        <v>1</v>
      </c>
      <c r="C1283" s="3">
        <v>7655623</v>
      </c>
      <c r="D1283" s="4">
        <v>5002317</v>
      </c>
      <c r="E1283">
        <v>61</v>
      </c>
      <c r="F1283" s="2">
        <v>0.58899999999999997</v>
      </c>
      <c r="G1283" s="2">
        <v>0.72699999999999998</v>
      </c>
      <c r="H1283" s="2">
        <v>8.6599999999999996E-2</v>
      </c>
      <c r="I1283" s="2">
        <v>0.23899999999999999</v>
      </c>
      <c r="J1283" s="2">
        <v>0.16400000000000001</v>
      </c>
      <c r="K1283" s="2">
        <v>0.52</v>
      </c>
      <c r="L1283" s="2">
        <v>-6.907</v>
      </c>
    </row>
    <row r="1284" spans="1:12" x14ac:dyDescent="0.25">
      <c r="A1284">
        <v>91</v>
      </c>
      <c r="B1284">
        <v>1</v>
      </c>
      <c r="C1284" s="3">
        <v>6996402</v>
      </c>
      <c r="D1284" s="4">
        <v>18585963</v>
      </c>
      <c r="E1284">
        <v>61</v>
      </c>
      <c r="F1284" s="2">
        <v>0.69799999999999995</v>
      </c>
      <c r="G1284" s="2">
        <v>0.79900000000000004</v>
      </c>
      <c r="H1284" s="2">
        <v>3.4200000000000001E-2</v>
      </c>
      <c r="I1284" s="2">
        <v>1.29E-2</v>
      </c>
      <c r="J1284" s="2">
        <v>0.215</v>
      </c>
      <c r="K1284" s="2">
        <v>0.35099999999999998</v>
      </c>
      <c r="L1284" s="2">
        <v>-4.3719999999999999</v>
      </c>
    </row>
    <row r="1285" spans="1:12" x14ac:dyDescent="0.25">
      <c r="A1285">
        <v>86</v>
      </c>
      <c r="B1285">
        <v>1</v>
      </c>
      <c r="C1285" s="3">
        <v>6707101</v>
      </c>
      <c r="D1285" s="4">
        <v>1683006</v>
      </c>
      <c r="E1285">
        <v>61</v>
      </c>
      <c r="F1285" s="2">
        <v>0.88400000000000001</v>
      </c>
      <c r="G1285" s="2">
        <v>0.45100000000000001</v>
      </c>
      <c r="H1285" s="2">
        <v>0.39300000000000002</v>
      </c>
      <c r="I1285" s="2">
        <v>7.3099999999999998E-2</v>
      </c>
      <c r="J1285" s="2">
        <v>0.26800000000000002</v>
      </c>
      <c r="K1285" s="2">
        <v>0.311</v>
      </c>
      <c r="L1285" s="2">
        <v>-8.9689999999999994</v>
      </c>
    </row>
    <row r="1286" spans="1:12" x14ac:dyDescent="0.25">
      <c r="A1286">
        <v>148</v>
      </c>
      <c r="B1286">
        <v>1</v>
      </c>
      <c r="C1286" s="3">
        <v>6159873</v>
      </c>
      <c r="D1286" s="4">
        <v>6189454</v>
      </c>
      <c r="E1286">
        <v>61</v>
      </c>
      <c r="F1286" s="2">
        <v>0.76200000000000001</v>
      </c>
      <c r="G1286" s="2">
        <v>5.3999999999999999E-2</v>
      </c>
      <c r="H1286" s="2">
        <v>5.0299999999999997E-2</v>
      </c>
      <c r="I1286" s="2">
        <v>0.94699999999999995</v>
      </c>
      <c r="J1286" s="2">
        <v>0.124</v>
      </c>
      <c r="K1286" s="2">
        <v>0.33900000000000002</v>
      </c>
      <c r="L1286" s="2">
        <v>-16.734999999999999</v>
      </c>
    </row>
    <row r="1287" spans="1:12" x14ac:dyDescent="0.25">
      <c r="A1287">
        <v>185</v>
      </c>
      <c r="B1287">
        <v>1</v>
      </c>
      <c r="C1287" s="3">
        <v>6068816</v>
      </c>
      <c r="D1287" s="4">
        <v>5002317</v>
      </c>
      <c r="E1287">
        <v>61</v>
      </c>
      <c r="F1287" s="2">
        <v>0.46400000000000002</v>
      </c>
      <c r="G1287" s="2">
        <v>0.45900000000000002</v>
      </c>
      <c r="H1287" s="2">
        <v>3.1399999999999997E-2</v>
      </c>
      <c r="I1287" s="2">
        <v>0.36499999999999999</v>
      </c>
      <c r="J1287" s="2">
        <v>0.11700000000000001</v>
      </c>
      <c r="K1287" s="2">
        <v>7.8600000000000003E-2</v>
      </c>
      <c r="L1287" s="2">
        <v>-8.7360000000000007</v>
      </c>
    </row>
    <row r="1288" spans="1:12" x14ac:dyDescent="0.25">
      <c r="A1288">
        <v>110</v>
      </c>
      <c r="B1288">
        <v>1</v>
      </c>
      <c r="C1288" s="3">
        <v>6057848</v>
      </c>
      <c r="D1288" s="4">
        <v>10491105</v>
      </c>
      <c r="E1288">
        <v>61</v>
      </c>
      <c r="F1288" s="2">
        <v>0.76800000000000002</v>
      </c>
      <c r="G1288" s="2">
        <v>0.52600000000000002</v>
      </c>
      <c r="H1288" s="2">
        <v>0.20899999999999999</v>
      </c>
      <c r="I1288" s="2">
        <v>0.23699999999999999</v>
      </c>
      <c r="J1288" s="2">
        <v>0.13900000000000001</v>
      </c>
      <c r="K1288" s="2">
        <v>0.47299999999999998</v>
      </c>
      <c r="L1288" s="2">
        <v>-7.1820000000000004</v>
      </c>
    </row>
    <row r="1289" spans="1:12" x14ac:dyDescent="0.25">
      <c r="A1289">
        <v>121</v>
      </c>
      <c r="B1289">
        <v>1</v>
      </c>
      <c r="C1289" s="3">
        <v>5931242</v>
      </c>
      <c r="D1289" s="4">
        <v>6852509</v>
      </c>
      <c r="E1289">
        <v>61</v>
      </c>
      <c r="F1289" s="2">
        <v>0.83099999999999996</v>
      </c>
      <c r="G1289" s="2">
        <v>0.76200000000000001</v>
      </c>
      <c r="H1289" s="2">
        <v>0.20699999999999999</v>
      </c>
      <c r="I1289" s="2">
        <v>8.8499999999999995E-2</v>
      </c>
      <c r="J1289" s="2">
        <v>0.107</v>
      </c>
      <c r="K1289" s="2">
        <v>0.495</v>
      </c>
      <c r="L1289" s="2">
        <v>-5.6559999999999997</v>
      </c>
    </row>
    <row r="1290" spans="1:12" x14ac:dyDescent="0.25">
      <c r="A1290">
        <v>140</v>
      </c>
      <c r="B1290">
        <v>1</v>
      </c>
      <c r="C1290" s="3">
        <v>5768616</v>
      </c>
      <c r="D1290" s="4">
        <v>3037935</v>
      </c>
      <c r="E1290">
        <v>61</v>
      </c>
      <c r="F1290" s="2">
        <v>0.80800000000000005</v>
      </c>
      <c r="G1290" s="2">
        <v>0.67600000000000005</v>
      </c>
      <c r="H1290" s="2">
        <v>0.223</v>
      </c>
      <c r="I1290" s="2">
        <v>6.1800000000000001E-2</v>
      </c>
      <c r="J1290" s="2">
        <v>0.11</v>
      </c>
      <c r="K1290" s="2">
        <v>7.6300000000000007E-2</v>
      </c>
      <c r="L1290" s="2">
        <v>-4.9020000000000001</v>
      </c>
    </row>
    <row r="1291" spans="1:12" x14ac:dyDescent="0.25">
      <c r="A1291">
        <v>90</v>
      </c>
      <c r="B1291">
        <v>2</v>
      </c>
      <c r="C1291" s="3">
        <v>5474807</v>
      </c>
      <c r="D1291" s="4">
        <v>28335112</v>
      </c>
      <c r="E1291">
        <v>61</v>
      </c>
      <c r="F1291" s="2">
        <v>0.82399999999999995</v>
      </c>
      <c r="G1291" s="2">
        <v>0.55500000000000005</v>
      </c>
      <c r="H1291" s="2">
        <v>0.05</v>
      </c>
      <c r="I1291" s="2">
        <v>3.3700000000000002E-3</v>
      </c>
      <c r="J1291" s="2">
        <v>0.217</v>
      </c>
      <c r="K1291" s="2">
        <v>6.1100000000000002E-2</v>
      </c>
      <c r="L1291" s="2">
        <v>-5.8170000000000002</v>
      </c>
    </row>
    <row r="1292" spans="1:12" x14ac:dyDescent="0.25">
      <c r="A1292">
        <v>128</v>
      </c>
      <c r="B1292">
        <v>2</v>
      </c>
      <c r="C1292" s="3">
        <v>5260351</v>
      </c>
      <c r="D1292" s="4">
        <v>10491105</v>
      </c>
      <c r="E1292">
        <v>61</v>
      </c>
      <c r="F1292" s="2">
        <v>0.81</v>
      </c>
      <c r="G1292" s="2">
        <v>0.56599999999999995</v>
      </c>
      <c r="H1292" s="2">
        <v>0.433</v>
      </c>
      <c r="I1292" s="2">
        <v>0.107</v>
      </c>
      <c r="J1292" s="2">
        <v>0.122</v>
      </c>
      <c r="K1292" s="2">
        <v>0.58199999999999996</v>
      </c>
      <c r="L1292" s="2">
        <v>-8.33</v>
      </c>
    </row>
    <row r="1293" spans="1:12" x14ac:dyDescent="0.25">
      <c r="A1293">
        <v>45</v>
      </c>
      <c r="B1293">
        <v>2</v>
      </c>
      <c r="C1293" s="3">
        <v>5236560</v>
      </c>
      <c r="D1293" s="4">
        <v>48544923</v>
      </c>
      <c r="E1293">
        <v>61</v>
      </c>
      <c r="F1293" s="2">
        <v>0.83199999999999996</v>
      </c>
      <c r="G1293" s="2">
        <v>0.50800000000000001</v>
      </c>
      <c r="H1293" s="2">
        <v>0.14899999999999999</v>
      </c>
      <c r="I1293" s="2">
        <v>4.9200000000000001E-2</v>
      </c>
      <c r="J1293" s="2">
        <v>0.107</v>
      </c>
      <c r="K1293" s="2">
        <v>0.75</v>
      </c>
      <c r="L1293" s="2">
        <v>-6.9130000000000003</v>
      </c>
    </row>
    <row r="1294" spans="1:12" x14ac:dyDescent="0.25">
      <c r="A1294">
        <v>179</v>
      </c>
      <c r="B1294">
        <v>1</v>
      </c>
      <c r="C1294" s="3">
        <v>5154955</v>
      </c>
      <c r="D1294" s="4">
        <v>9949044</v>
      </c>
      <c r="E1294">
        <v>61</v>
      </c>
      <c r="F1294" s="2">
        <v>0.82299999999999995</v>
      </c>
      <c r="G1294" s="2">
        <v>0.70299999999999996</v>
      </c>
      <c r="H1294" s="2">
        <v>0.29799999999999999</v>
      </c>
      <c r="I1294" s="2">
        <v>1.61E-2</v>
      </c>
      <c r="J1294" s="2">
        <v>0.29399999999999998</v>
      </c>
      <c r="K1294" s="2">
        <v>0.26</v>
      </c>
      <c r="L1294" s="2">
        <v>-2.6909999999999998</v>
      </c>
    </row>
    <row r="1295" spans="1:12" x14ac:dyDescent="0.25">
      <c r="A1295">
        <v>106</v>
      </c>
      <c r="B1295">
        <v>5</v>
      </c>
      <c r="C1295" s="3">
        <v>5109038</v>
      </c>
      <c r="D1295" s="4">
        <v>25417</v>
      </c>
      <c r="E1295">
        <v>61</v>
      </c>
      <c r="F1295" s="2">
        <v>0.83899999999999997</v>
      </c>
      <c r="G1295" s="2">
        <v>0.68300000000000005</v>
      </c>
      <c r="H1295" s="2">
        <v>0.16500000000000001</v>
      </c>
      <c r="I1295" s="2">
        <v>6.6699999999999997E-3</v>
      </c>
      <c r="J1295" s="2">
        <v>0.24099999999999999</v>
      </c>
      <c r="K1295" s="2">
        <v>0.52200000000000002</v>
      </c>
      <c r="L1295" s="2">
        <v>-9.2319999999999993</v>
      </c>
    </row>
    <row r="1296" spans="1:12" x14ac:dyDescent="0.25">
      <c r="A1296">
        <v>131</v>
      </c>
      <c r="B1296">
        <v>1</v>
      </c>
      <c r="C1296" s="3">
        <v>5095478</v>
      </c>
      <c r="D1296" s="4">
        <v>5865895</v>
      </c>
      <c r="E1296">
        <v>61</v>
      </c>
      <c r="F1296" s="2">
        <v>0.69799999999999995</v>
      </c>
      <c r="G1296" s="2">
        <v>0.57199999999999995</v>
      </c>
      <c r="H1296" s="2">
        <v>0.19800000000000001</v>
      </c>
      <c r="I1296" s="2">
        <v>0.13500000000000001</v>
      </c>
      <c r="J1296" s="2">
        <v>0.154</v>
      </c>
      <c r="K1296" s="2">
        <v>0.39100000000000001</v>
      </c>
      <c r="L1296" s="2">
        <v>-7.7350000000000003</v>
      </c>
    </row>
    <row r="1297" spans="1:12" x14ac:dyDescent="0.25">
      <c r="A1297">
        <v>182</v>
      </c>
      <c r="B1297">
        <v>1</v>
      </c>
      <c r="C1297" s="3">
        <v>4994448</v>
      </c>
      <c r="D1297" s="4">
        <v>1347589</v>
      </c>
      <c r="E1297">
        <v>61</v>
      </c>
      <c r="F1297" s="2">
        <v>0.91500000000000004</v>
      </c>
      <c r="G1297" s="2">
        <v>0.55600000000000005</v>
      </c>
      <c r="H1297" s="2">
        <v>0.216</v>
      </c>
      <c r="I1297" s="2">
        <v>1.4500000000000001E-2</v>
      </c>
      <c r="J1297" s="2">
        <v>7.3300000000000004E-2</v>
      </c>
      <c r="K1297" s="2">
        <v>0.67</v>
      </c>
      <c r="L1297" s="2">
        <v>-8.6010000000000009</v>
      </c>
    </row>
    <row r="1298" spans="1:12" x14ac:dyDescent="0.25">
      <c r="A1298">
        <v>173</v>
      </c>
      <c r="B1298">
        <v>1</v>
      </c>
      <c r="C1298" s="3">
        <v>4729629</v>
      </c>
      <c r="D1298" s="4">
        <v>11692972</v>
      </c>
      <c r="E1298">
        <v>61</v>
      </c>
      <c r="F1298" s="2">
        <v>0.81399999999999995</v>
      </c>
      <c r="G1298" s="2">
        <v>0.58399999999999996</v>
      </c>
      <c r="H1298" s="2">
        <v>8.1900000000000001E-2</v>
      </c>
      <c r="I1298" s="2">
        <v>8.3899999999999999E-3</v>
      </c>
      <c r="J1298" s="2">
        <v>6.4600000000000005E-2</v>
      </c>
      <c r="K1298" s="2">
        <v>0.40500000000000003</v>
      </c>
      <c r="L1298" s="2">
        <v>-5.4249999999999998</v>
      </c>
    </row>
    <row r="1299" spans="1:12" x14ac:dyDescent="0.25">
      <c r="A1299">
        <v>170</v>
      </c>
      <c r="B1299">
        <v>5</v>
      </c>
      <c r="C1299" s="3">
        <v>4522005</v>
      </c>
      <c r="D1299" s="4">
        <v>141016</v>
      </c>
      <c r="E1299">
        <v>61</v>
      </c>
      <c r="F1299" s="2">
        <v>0.75800000000000001</v>
      </c>
      <c r="G1299" s="2">
        <v>0.84799999999999998</v>
      </c>
      <c r="H1299" s="2">
        <v>4.5699999999999998E-2</v>
      </c>
      <c r="I1299" s="2">
        <v>0.21</v>
      </c>
      <c r="J1299" s="2">
        <v>0.114</v>
      </c>
      <c r="K1299" s="2">
        <v>0.70599999999999996</v>
      </c>
      <c r="L1299" s="2">
        <v>-3.84</v>
      </c>
    </row>
    <row r="1300" spans="1:12" x14ac:dyDescent="0.25">
      <c r="A1300">
        <v>129</v>
      </c>
      <c r="B1300">
        <v>4</v>
      </c>
      <c r="C1300" s="3">
        <v>4396629</v>
      </c>
      <c r="D1300" s="4">
        <v>352402</v>
      </c>
      <c r="E1300">
        <v>61</v>
      </c>
      <c r="F1300" s="2">
        <v>0.96199999999999997</v>
      </c>
      <c r="G1300" s="2">
        <v>0.78700000000000003</v>
      </c>
      <c r="H1300" s="2">
        <v>5.5399999999999998E-2</v>
      </c>
      <c r="I1300" s="2">
        <v>0.66600000000000004</v>
      </c>
      <c r="J1300" s="2">
        <v>0.17599999999999999</v>
      </c>
      <c r="K1300" s="2">
        <v>0.96799999999999997</v>
      </c>
      <c r="L1300" s="2">
        <v>1.5089999999999999</v>
      </c>
    </row>
    <row r="1301" spans="1:12" x14ac:dyDescent="0.25">
      <c r="A1301">
        <v>62</v>
      </c>
      <c r="B1301">
        <v>1</v>
      </c>
      <c r="C1301" s="3">
        <v>10086930</v>
      </c>
      <c r="D1301" s="4">
        <v>6189454</v>
      </c>
      <c r="E1301">
        <v>60</v>
      </c>
      <c r="F1301" s="2">
        <v>0.69899999999999995</v>
      </c>
      <c r="G1301" s="2">
        <v>0.503</v>
      </c>
      <c r="H1301" s="2">
        <v>8.8200000000000001E-2</v>
      </c>
      <c r="I1301" s="2">
        <v>0.39100000000000001</v>
      </c>
      <c r="J1301" s="2">
        <v>9.9599999999999994E-2</v>
      </c>
      <c r="K1301" s="2">
        <v>5.4600000000000003E-2</v>
      </c>
      <c r="L1301" s="2">
        <v>-9.9220000000000006</v>
      </c>
    </row>
    <row r="1302" spans="1:12" x14ac:dyDescent="0.25">
      <c r="A1302">
        <v>73</v>
      </c>
      <c r="B1302">
        <v>1</v>
      </c>
      <c r="C1302" s="3">
        <v>9533898</v>
      </c>
      <c r="D1302" s="4">
        <v>11821805</v>
      </c>
      <c r="E1302">
        <v>60</v>
      </c>
      <c r="F1302" s="2">
        <v>0.84199999999999997</v>
      </c>
      <c r="G1302" s="2">
        <v>0.55600000000000005</v>
      </c>
      <c r="H1302" s="2">
        <v>0.442</v>
      </c>
      <c r="I1302" s="2">
        <v>0.159</v>
      </c>
      <c r="J1302" s="2">
        <v>0.20399999999999999</v>
      </c>
      <c r="K1302" s="2">
        <v>0.30599999999999999</v>
      </c>
      <c r="L1302" s="2">
        <v>-6.7930000000000001</v>
      </c>
    </row>
    <row r="1303" spans="1:12" x14ac:dyDescent="0.25">
      <c r="A1303">
        <v>83</v>
      </c>
      <c r="B1303">
        <v>1</v>
      </c>
      <c r="C1303" s="3">
        <v>8695060</v>
      </c>
      <c r="D1303" s="4">
        <v>46814751</v>
      </c>
      <c r="E1303">
        <v>60</v>
      </c>
      <c r="F1303" s="2">
        <v>0.45800000000000002</v>
      </c>
      <c r="G1303" s="2">
        <v>0.96599999999999997</v>
      </c>
      <c r="H1303" s="2">
        <v>0.38400000000000001</v>
      </c>
      <c r="I1303" s="2">
        <v>0.14000000000000001</v>
      </c>
      <c r="J1303" s="2">
        <v>0.11</v>
      </c>
      <c r="K1303" s="2">
        <v>0.35599999999999998</v>
      </c>
      <c r="L1303" s="2">
        <v>-2.1070000000000002</v>
      </c>
    </row>
    <row r="1304" spans="1:12" x14ac:dyDescent="0.25">
      <c r="A1304">
        <v>78</v>
      </c>
      <c r="B1304">
        <v>1</v>
      </c>
      <c r="C1304" s="3">
        <v>8449557</v>
      </c>
      <c r="D1304" s="4">
        <v>19102888</v>
      </c>
      <c r="E1304">
        <v>60</v>
      </c>
      <c r="F1304" s="2">
        <v>0.307</v>
      </c>
      <c r="G1304" s="2">
        <v>0.52800000000000002</v>
      </c>
      <c r="H1304" s="2">
        <v>0.108</v>
      </c>
      <c r="I1304" s="2">
        <v>0.97199999999999998</v>
      </c>
      <c r="J1304" s="2">
        <v>0.222</v>
      </c>
      <c r="K1304" s="2">
        <v>0.57999999999999996</v>
      </c>
      <c r="L1304" s="2">
        <v>-11.337</v>
      </c>
    </row>
    <row r="1305" spans="1:12" x14ac:dyDescent="0.25">
      <c r="A1305">
        <v>78</v>
      </c>
      <c r="B1305">
        <v>1</v>
      </c>
      <c r="C1305" s="3">
        <v>8392247</v>
      </c>
      <c r="D1305" s="4">
        <v>37151476</v>
      </c>
      <c r="E1305">
        <v>60</v>
      </c>
      <c r="F1305" s="2">
        <v>0.70299999999999996</v>
      </c>
      <c r="G1305" s="2">
        <v>0.32100000000000001</v>
      </c>
      <c r="H1305" s="2">
        <v>0.88400000000000001</v>
      </c>
      <c r="I1305" s="2">
        <v>0.86399999999999999</v>
      </c>
      <c r="J1305" s="2">
        <v>0.90800000000000003</v>
      </c>
      <c r="K1305" s="2">
        <v>0.54400000000000004</v>
      </c>
      <c r="L1305" s="2">
        <v>-13.135</v>
      </c>
    </row>
    <row r="1306" spans="1:12" x14ac:dyDescent="0.25">
      <c r="A1306">
        <v>67</v>
      </c>
      <c r="B1306">
        <v>1</v>
      </c>
      <c r="C1306" s="3">
        <v>8355036</v>
      </c>
      <c r="D1306" s="4">
        <v>56327031</v>
      </c>
      <c r="E1306">
        <v>60</v>
      </c>
      <c r="F1306" s="2">
        <v>0.88100000000000001</v>
      </c>
      <c r="G1306" s="2">
        <v>0.63600000000000001</v>
      </c>
      <c r="H1306" s="2">
        <v>0.28699999999999998</v>
      </c>
      <c r="I1306" s="2">
        <v>6.0600000000000003E-3</v>
      </c>
      <c r="J1306" s="2">
        <v>0.111</v>
      </c>
      <c r="K1306" s="2">
        <v>0.71499999999999997</v>
      </c>
      <c r="L1306" s="2">
        <v>-4.6289999999999996</v>
      </c>
    </row>
    <row r="1307" spans="1:12" x14ac:dyDescent="0.25">
      <c r="A1307">
        <v>68</v>
      </c>
      <c r="B1307">
        <v>1</v>
      </c>
      <c r="C1307" s="3">
        <v>8304928</v>
      </c>
      <c r="D1307" s="4">
        <v>56327031</v>
      </c>
      <c r="E1307">
        <v>60</v>
      </c>
      <c r="F1307" s="2">
        <v>0.41</v>
      </c>
      <c r="G1307" s="2">
        <v>0.82</v>
      </c>
      <c r="H1307" s="2">
        <v>0.53300000000000003</v>
      </c>
      <c r="I1307" s="2">
        <v>0.252</v>
      </c>
      <c r="J1307" s="2">
        <v>0.53800000000000003</v>
      </c>
      <c r="K1307" s="2">
        <v>0.52600000000000002</v>
      </c>
      <c r="L1307" s="2">
        <v>-6.8079999999999998</v>
      </c>
    </row>
    <row r="1308" spans="1:12" x14ac:dyDescent="0.25">
      <c r="A1308">
        <v>102</v>
      </c>
      <c r="B1308">
        <v>1</v>
      </c>
      <c r="C1308" s="3">
        <v>7913461</v>
      </c>
      <c r="D1308" s="4">
        <v>46814751</v>
      </c>
      <c r="E1308">
        <v>60</v>
      </c>
      <c r="F1308" s="2">
        <v>0.76900000000000002</v>
      </c>
      <c r="G1308" s="2">
        <v>0.81100000000000005</v>
      </c>
      <c r="H1308" s="2">
        <v>0.22800000000000001</v>
      </c>
      <c r="I1308" s="2">
        <v>2.3400000000000001E-2</v>
      </c>
      <c r="J1308" s="2">
        <v>4.5100000000000001E-2</v>
      </c>
      <c r="K1308" s="2">
        <v>0.76</v>
      </c>
      <c r="L1308" s="2">
        <v>-4.1619999999999999</v>
      </c>
    </row>
    <row r="1309" spans="1:12" x14ac:dyDescent="0.25">
      <c r="A1309">
        <v>75</v>
      </c>
      <c r="B1309">
        <v>1</v>
      </c>
      <c r="C1309" s="3">
        <v>7734309</v>
      </c>
      <c r="D1309" s="4">
        <v>18585963</v>
      </c>
      <c r="E1309">
        <v>60</v>
      </c>
      <c r="F1309" s="2">
        <v>0.64200000000000002</v>
      </c>
      <c r="G1309" s="2">
        <v>0.79200000000000004</v>
      </c>
      <c r="H1309" s="2">
        <v>4.8800000000000003E-2</v>
      </c>
      <c r="I1309" s="2">
        <v>0.158</v>
      </c>
      <c r="J1309" s="2">
        <v>0.68</v>
      </c>
      <c r="K1309" s="2">
        <v>9.0300000000000005E-2</v>
      </c>
      <c r="L1309" s="2">
        <v>-5.7460000000000004</v>
      </c>
    </row>
    <row r="1310" spans="1:12" x14ac:dyDescent="0.25">
      <c r="A1310">
        <v>129</v>
      </c>
      <c r="B1310">
        <v>1</v>
      </c>
      <c r="C1310" s="3">
        <v>7524738</v>
      </c>
      <c r="D1310" s="4">
        <v>5002317</v>
      </c>
      <c r="E1310">
        <v>60</v>
      </c>
      <c r="F1310" s="2">
        <v>0.64</v>
      </c>
      <c r="G1310" s="2">
        <v>0.621</v>
      </c>
      <c r="H1310" s="2">
        <v>6.7900000000000002E-2</v>
      </c>
      <c r="I1310" s="2">
        <v>0.67</v>
      </c>
      <c r="J1310" s="2">
        <v>0.36</v>
      </c>
      <c r="K1310" s="2">
        <v>0.33200000000000002</v>
      </c>
      <c r="L1310" s="2">
        <v>-8.2690000000000001</v>
      </c>
    </row>
    <row r="1311" spans="1:12" x14ac:dyDescent="0.25">
      <c r="A1311">
        <v>113</v>
      </c>
      <c r="B1311">
        <v>1</v>
      </c>
      <c r="C1311" s="3">
        <v>7115414</v>
      </c>
      <c r="D1311" s="4">
        <v>46814751</v>
      </c>
      <c r="E1311">
        <v>60</v>
      </c>
      <c r="F1311" s="2">
        <v>0.63500000000000001</v>
      </c>
      <c r="G1311" s="2">
        <v>0.54300000000000004</v>
      </c>
      <c r="H1311" s="2">
        <v>6.7000000000000004E-2</v>
      </c>
      <c r="I1311" s="2">
        <v>4.5400000000000003E-2</v>
      </c>
      <c r="J1311" s="2">
        <v>0.27200000000000002</v>
      </c>
      <c r="K1311" s="2">
        <v>3.5999999999999997E-2</v>
      </c>
      <c r="L1311" s="2">
        <v>-5.9409999999999998</v>
      </c>
    </row>
    <row r="1312" spans="1:12" x14ac:dyDescent="0.25">
      <c r="A1312">
        <v>167</v>
      </c>
      <c r="B1312">
        <v>1</v>
      </c>
      <c r="C1312" s="3">
        <v>6985392</v>
      </c>
      <c r="D1312" s="4">
        <v>3083825</v>
      </c>
      <c r="E1312">
        <v>60</v>
      </c>
      <c r="F1312" s="2">
        <v>0.36399999999999999</v>
      </c>
      <c r="G1312" s="2">
        <v>0.378</v>
      </c>
      <c r="H1312" s="2">
        <v>3.3099999999999997E-2</v>
      </c>
      <c r="I1312" s="2">
        <v>0.47</v>
      </c>
      <c r="J1312" s="2">
        <v>0.33900000000000002</v>
      </c>
      <c r="K1312" s="2">
        <v>0.36599999999999999</v>
      </c>
      <c r="L1312" s="2">
        <v>-7.3810000000000002</v>
      </c>
    </row>
    <row r="1313" spans="1:12" x14ac:dyDescent="0.25">
      <c r="A1313">
        <v>139</v>
      </c>
      <c r="B1313">
        <v>1</v>
      </c>
      <c r="C1313" s="3">
        <v>6462701</v>
      </c>
      <c r="D1313" s="4">
        <v>6189454</v>
      </c>
      <c r="E1313">
        <v>60</v>
      </c>
      <c r="F1313" s="2">
        <v>0.58299999999999996</v>
      </c>
      <c r="G1313" s="2">
        <v>0.499</v>
      </c>
      <c r="H1313" s="2">
        <v>2.6100000000000002E-2</v>
      </c>
      <c r="I1313" s="2">
        <v>0.59099999999999997</v>
      </c>
      <c r="J1313" s="2">
        <v>0.33</v>
      </c>
      <c r="K1313" s="2">
        <v>0.34200000000000003</v>
      </c>
      <c r="L1313" s="2">
        <v>-10.086</v>
      </c>
    </row>
    <row r="1314" spans="1:12" x14ac:dyDescent="0.25">
      <c r="A1314">
        <v>92</v>
      </c>
      <c r="B1314">
        <v>1</v>
      </c>
      <c r="C1314" s="3">
        <v>6384306</v>
      </c>
      <c r="D1314" s="4">
        <v>3337982</v>
      </c>
      <c r="E1314">
        <v>60</v>
      </c>
      <c r="F1314" s="2">
        <v>0.89</v>
      </c>
      <c r="G1314" s="2">
        <v>0.45500000000000002</v>
      </c>
      <c r="H1314" s="2">
        <v>0.255</v>
      </c>
      <c r="I1314" s="2">
        <v>2.1700000000000001E-2</v>
      </c>
      <c r="J1314" s="2">
        <v>0.11</v>
      </c>
      <c r="K1314" s="2">
        <v>0.313</v>
      </c>
      <c r="L1314" s="2">
        <v>-9</v>
      </c>
    </row>
    <row r="1315" spans="1:12" x14ac:dyDescent="0.25">
      <c r="A1315">
        <v>105</v>
      </c>
      <c r="B1315">
        <v>1</v>
      </c>
      <c r="C1315" s="3">
        <v>6194224</v>
      </c>
      <c r="D1315" s="4">
        <v>10491105</v>
      </c>
      <c r="E1315">
        <v>60</v>
      </c>
      <c r="F1315" s="2">
        <v>0.93100000000000005</v>
      </c>
      <c r="G1315" s="2">
        <v>0.66700000000000004</v>
      </c>
      <c r="H1315" s="2">
        <v>0.318</v>
      </c>
      <c r="I1315" s="2">
        <v>1.44E-2</v>
      </c>
      <c r="J1315" s="2">
        <v>0.15</v>
      </c>
      <c r="K1315" s="2">
        <v>0.66700000000000004</v>
      </c>
      <c r="L1315" s="2">
        <v>-7.0430000000000001</v>
      </c>
    </row>
    <row r="1316" spans="1:12" x14ac:dyDescent="0.25">
      <c r="A1316">
        <v>131</v>
      </c>
      <c r="B1316">
        <v>1</v>
      </c>
      <c r="C1316" s="3">
        <v>6029118</v>
      </c>
      <c r="D1316" s="4">
        <v>9949044</v>
      </c>
      <c r="E1316">
        <v>60</v>
      </c>
      <c r="F1316" s="2">
        <v>0.83099999999999996</v>
      </c>
      <c r="G1316" s="2">
        <v>0.53200000000000003</v>
      </c>
      <c r="H1316" s="2">
        <v>0.30099999999999999</v>
      </c>
      <c r="I1316" s="2">
        <v>6.5199999999999994E-2</v>
      </c>
      <c r="J1316" s="2">
        <v>0.46400000000000002</v>
      </c>
      <c r="K1316" s="2">
        <v>0.36399999999999999</v>
      </c>
      <c r="L1316" s="2">
        <v>-5.319</v>
      </c>
    </row>
    <row r="1317" spans="1:12" x14ac:dyDescent="0.25">
      <c r="A1317">
        <v>144</v>
      </c>
      <c r="B1317">
        <v>1</v>
      </c>
      <c r="C1317" s="3">
        <v>5674945</v>
      </c>
      <c r="D1317" s="4">
        <v>1683006</v>
      </c>
      <c r="E1317">
        <v>60</v>
      </c>
      <c r="F1317" s="2">
        <v>0.88200000000000001</v>
      </c>
      <c r="G1317" s="2">
        <v>0.52600000000000002</v>
      </c>
      <c r="H1317" s="2">
        <v>0.23699999999999999</v>
      </c>
      <c r="I1317" s="2">
        <v>0.11799999999999999</v>
      </c>
      <c r="J1317" s="2">
        <v>8.3500000000000005E-2</v>
      </c>
      <c r="K1317" s="2">
        <v>0.182</v>
      </c>
      <c r="L1317" s="2">
        <v>-8.5530000000000008</v>
      </c>
    </row>
    <row r="1318" spans="1:12" x14ac:dyDescent="0.25">
      <c r="A1318">
        <v>147</v>
      </c>
      <c r="B1318">
        <v>1</v>
      </c>
      <c r="C1318" s="3">
        <v>5600868</v>
      </c>
      <c r="D1318" s="4">
        <v>4093115</v>
      </c>
      <c r="E1318">
        <v>60</v>
      </c>
      <c r="F1318" s="2">
        <v>0.69199999999999995</v>
      </c>
      <c r="G1318" s="2">
        <v>0.76400000000000001</v>
      </c>
      <c r="H1318" s="2">
        <v>0.113</v>
      </c>
      <c r="I1318" s="2">
        <v>0.57399999999999995</v>
      </c>
      <c r="J1318" s="2">
        <v>0.106</v>
      </c>
      <c r="K1318" s="2">
        <v>0.56399999999999995</v>
      </c>
      <c r="L1318" s="2">
        <v>-5.2329999999999997</v>
      </c>
    </row>
    <row r="1319" spans="1:12" x14ac:dyDescent="0.25">
      <c r="A1319">
        <v>70</v>
      </c>
      <c r="B1319">
        <v>2</v>
      </c>
      <c r="C1319" s="3">
        <v>5561205</v>
      </c>
      <c r="D1319" s="4">
        <v>10710088</v>
      </c>
      <c r="E1319">
        <v>60</v>
      </c>
      <c r="F1319" s="2">
        <v>0.80400000000000005</v>
      </c>
      <c r="G1319" s="2">
        <v>0.52800000000000002</v>
      </c>
      <c r="H1319" s="2">
        <v>0.378</v>
      </c>
      <c r="I1319" s="2">
        <v>0.125</v>
      </c>
      <c r="J1319" s="2">
        <v>0.41</v>
      </c>
      <c r="K1319" s="2">
        <v>0.32100000000000001</v>
      </c>
      <c r="L1319" s="2">
        <v>-3.2309999999999999</v>
      </c>
    </row>
    <row r="1320" spans="1:12" x14ac:dyDescent="0.25">
      <c r="A1320">
        <v>147</v>
      </c>
      <c r="B1320">
        <v>1</v>
      </c>
      <c r="C1320" s="3">
        <v>5496780</v>
      </c>
      <c r="D1320" s="4">
        <v>11821805</v>
      </c>
      <c r="E1320">
        <v>60</v>
      </c>
      <c r="F1320" s="2">
        <v>0.95</v>
      </c>
      <c r="G1320" s="2">
        <v>0.65400000000000003</v>
      </c>
      <c r="H1320" s="2">
        <v>0.307</v>
      </c>
      <c r="I1320" s="2">
        <v>7.4399999999999994E-2</v>
      </c>
      <c r="J1320" s="2">
        <v>0.13800000000000001</v>
      </c>
      <c r="K1320" s="2">
        <v>0.88600000000000001</v>
      </c>
      <c r="L1320" s="2">
        <v>-5.8949999999999996</v>
      </c>
    </row>
    <row r="1321" spans="1:12" x14ac:dyDescent="0.25">
      <c r="A1321">
        <v>91</v>
      </c>
      <c r="B1321">
        <v>2</v>
      </c>
      <c r="C1321" s="3">
        <v>5226264</v>
      </c>
      <c r="D1321" s="4">
        <v>1683006</v>
      </c>
      <c r="E1321">
        <v>60</v>
      </c>
      <c r="F1321" s="2">
        <v>0.65800000000000003</v>
      </c>
      <c r="G1321" s="2">
        <v>0.624</v>
      </c>
      <c r="H1321" s="2">
        <v>9.1499999999999998E-2</v>
      </c>
      <c r="I1321" s="2">
        <v>0.17100000000000001</v>
      </c>
      <c r="J1321" s="2">
        <v>0.11600000000000001</v>
      </c>
      <c r="K1321" s="2">
        <v>0.314</v>
      </c>
      <c r="L1321" s="2">
        <v>-9.1549999999999994</v>
      </c>
    </row>
    <row r="1322" spans="1:12" x14ac:dyDescent="0.25">
      <c r="A1322">
        <v>158</v>
      </c>
      <c r="B1322">
        <v>1</v>
      </c>
      <c r="C1322" s="3">
        <v>4907751</v>
      </c>
      <c r="D1322" s="4">
        <v>6852509</v>
      </c>
      <c r="E1322">
        <v>60</v>
      </c>
      <c r="F1322" s="2">
        <v>0.71799999999999997</v>
      </c>
      <c r="G1322" s="2">
        <v>0.66</v>
      </c>
      <c r="H1322" s="2">
        <v>0.32500000000000001</v>
      </c>
      <c r="I1322" s="2">
        <v>0.36299999999999999</v>
      </c>
      <c r="J1322" s="2">
        <v>0.159</v>
      </c>
      <c r="K1322" s="2">
        <v>0.65900000000000003</v>
      </c>
      <c r="L1322" s="2">
        <v>-7.39</v>
      </c>
    </row>
    <row r="1323" spans="1:12" x14ac:dyDescent="0.25">
      <c r="A1323">
        <v>52</v>
      </c>
      <c r="B1323">
        <v>2</v>
      </c>
      <c r="C1323" s="3">
        <v>4818039</v>
      </c>
      <c r="D1323" s="4">
        <v>11821805</v>
      </c>
      <c r="E1323">
        <v>60</v>
      </c>
      <c r="F1323" s="2">
        <v>0.85799999999999998</v>
      </c>
      <c r="G1323" s="2">
        <v>0.54700000000000004</v>
      </c>
      <c r="H1323" s="2">
        <v>0.28999999999999998</v>
      </c>
      <c r="I1323" s="2">
        <v>0.21299999999999999</v>
      </c>
      <c r="J1323" s="2">
        <v>0.104</v>
      </c>
      <c r="K1323" s="2">
        <v>0.30299999999999999</v>
      </c>
      <c r="L1323" s="2">
        <v>-5.8220000000000001</v>
      </c>
    </row>
    <row r="1324" spans="1:12" x14ac:dyDescent="0.25">
      <c r="A1324">
        <v>169</v>
      </c>
      <c r="B1324">
        <v>1</v>
      </c>
      <c r="C1324" s="3">
        <v>4803071</v>
      </c>
      <c r="D1324" s="4">
        <v>942380</v>
      </c>
      <c r="E1324">
        <v>60</v>
      </c>
      <c r="F1324" s="2">
        <v>0.874</v>
      </c>
      <c r="G1324" s="2">
        <v>0.54200000000000004</v>
      </c>
      <c r="H1324" s="2">
        <v>0.34399999999999997</v>
      </c>
      <c r="I1324" s="2">
        <v>6.2100000000000002E-2</v>
      </c>
      <c r="J1324" s="2">
        <v>0.18099999999999999</v>
      </c>
      <c r="K1324" s="2">
        <v>0.48099999999999998</v>
      </c>
      <c r="L1324" s="2">
        <v>-7.0640000000000001</v>
      </c>
    </row>
    <row r="1325" spans="1:12" x14ac:dyDescent="0.25">
      <c r="A1325">
        <v>139</v>
      </c>
      <c r="B1325">
        <v>2</v>
      </c>
      <c r="C1325" s="3">
        <v>4729070</v>
      </c>
      <c r="D1325" s="4">
        <v>6514102</v>
      </c>
      <c r="E1325">
        <v>60</v>
      </c>
      <c r="F1325" s="2">
        <v>0.67200000000000004</v>
      </c>
      <c r="G1325" s="2">
        <v>0.73299999999999998</v>
      </c>
      <c r="H1325" s="2">
        <v>5.6599999999999998E-2</v>
      </c>
      <c r="I1325" s="2">
        <v>2.8900000000000002E-3</v>
      </c>
      <c r="J1325" s="2">
        <v>0.19900000000000001</v>
      </c>
      <c r="K1325" s="2">
        <v>0.35399999999999998</v>
      </c>
      <c r="L1325" s="2">
        <v>-5.3769999999999998</v>
      </c>
    </row>
    <row r="1326" spans="1:12" x14ac:dyDescent="0.25">
      <c r="A1326">
        <v>183</v>
      </c>
      <c r="B1326">
        <v>1</v>
      </c>
      <c r="C1326" s="3">
        <v>4629320</v>
      </c>
      <c r="D1326" s="4">
        <v>218931</v>
      </c>
      <c r="E1326">
        <v>60</v>
      </c>
      <c r="F1326" s="2">
        <v>0.80300000000000005</v>
      </c>
      <c r="G1326" s="2">
        <v>0.64900000000000002</v>
      </c>
      <c r="H1326" s="2">
        <v>0.13200000000000001</v>
      </c>
      <c r="I1326" s="2">
        <v>0.16300000000000001</v>
      </c>
      <c r="J1326" s="2">
        <v>0.152</v>
      </c>
      <c r="K1326" s="2">
        <v>0.58399999999999996</v>
      </c>
      <c r="L1326" s="2">
        <v>-6.5990000000000002</v>
      </c>
    </row>
    <row r="1327" spans="1:12" x14ac:dyDescent="0.25">
      <c r="A1327">
        <v>196</v>
      </c>
      <c r="B1327">
        <v>1</v>
      </c>
      <c r="C1327" s="3">
        <v>4621205</v>
      </c>
      <c r="D1327" s="4">
        <v>5449291</v>
      </c>
      <c r="E1327">
        <v>60</v>
      </c>
      <c r="F1327" s="2">
        <v>0.62</v>
      </c>
      <c r="G1327" s="2">
        <v>0.78600000000000003</v>
      </c>
      <c r="H1327" s="2">
        <v>0.16700000000000001</v>
      </c>
      <c r="I1327" s="2">
        <v>0.14299999999999999</v>
      </c>
      <c r="J1327" s="2">
        <v>0.46</v>
      </c>
      <c r="K1327" s="2">
        <v>0.67900000000000005</v>
      </c>
      <c r="L1327" s="2">
        <v>-5.22</v>
      </c>
    </row>
    <row r="1328" spans="1:12" x14ac:dyDescent="0.25">
      <c r="A1328">
        <v>198</v>
      </c>
      <c r="B1328">
        <v>1</v>
      </c>
      <c r="C1328" s="3">
        <v>4607385</v>
      </c>
      <c r="D1328" s="4">
        <v>208630</v>
      </c>
      <c r="E1328">
        <v>60</v>
      </c>
      <c r="F1328" s="2">
        <v>0.83199999999999996</v>
      </c>
      <c r="G1328" s="2">
        <v>0.55000000000000004</v>
      </c>
      <c r="H1328" s="2">
        <v>5.8700000000000002E-2</v>
      </c>
      <c r="I1328" s="2">
        <v>0.249</v>
      </c>
      <c r="J1328" s="2">
        <v>0.182</v>
      </c>
      <c r="K1328" s="2">
        <v>0.88100000000000001</v>
      </c>
      <c r="L1328" s="2">
        <v>-7.0259999999999998</v>
      </c>
    </row>
    <row r="1329" spans="1:12" x14ac:dyDescent="0.25">
      <c r="A1329">
        <v>50</v>
      </c>
      <c r="B1329">
        <v>6</v>
      </c>
      <c r="C1329" s="3">
        <v>4599408</v>
      </c>
      <c r="D1329" s="4">
        <v>1674348</v>
      </c>
      <c r="E1329">
        <v>60</v>
      </c>
      <c r="F1329" s="2">
        <v>0.79</v>
      </c>
      <c r="G1329" s="2">
        <v>0.70399999999999996</v>
      </c>
      <c r="H1329" s="2">
        <v>0.41699999999999998</v>
      </c>
      <c r="I1329" s="2">
        <v>6.9000000000000006E-2</v>
      </c>
      <c r="J1329" s="2">
        <v>0.113</v>
      </c>
      <c r="K1329" s="2">
        <v>0.21199999999999999</v>
      </c>
      <c r="L1329" s="2">
        <v>-7.9349999999999996</v>
      </c>
    </row>
    <row r="1330" spans="1:12" x14ac:dyDescent="0.25">
      <c r="A1330">
        <v>113</v>
      </c>
      <c r="B1330">
        <v>4</v>
      </c>
      <c r="C1330" s="3">
        <v>4547965</v>
      </c>
      <c r="D1330" s="4">
        <v>2203386</v>
      </c>
      <c r="E1330">
        <v>60</v>
      </c>
      <c r="F1330" s="2">
        <v>0.874</v>
      </c>
      <c r="G1330" s="2">
        <v>0.443</v>
      </c>
      <c r="H1330" s="2">
        <v>0.24099999999999999</v>
      </c>
      <c r="I1330" s="2">
        <v>0.14699999999999999</v>
      </c>
      <c r="J1330" s="2">
        <v>0.124</v>
      </c>
      <c r="K1330" s="2">
        <v>0.29799999999999999</v>
      </c>
      <c r="L1330" s="2">
        <v>-9.6280000000000001</v>
      </c>
    </row>
    <row r="1331" spans="1:12" x14ac:dyDescent="0.25">
      <c r="A1331">
        <v>15</v>
      </c>
      <c r="B1331">
        <v>6</v>
      </c>
      <c r="C1331" s="3">
        <v>10609206</v>
      </c>
      <c r="D1331" s="4">
        <v>48544923</v>
      </c>
      <c r="E1331">
        <v>59</v>
      </c>
      <c r="F1331" s="2">
        <v>0.65700000000000003</v>
      </c>
      <c r="G1331" s="2">
        <v>0.56000000000000005</v>
      </c>
      <c r="H1331" s="2">
        <v>4.6699999999999998E-2</v>
      </c>
      <c r="I1331" s="2">
        <v>0.498</v>
      </c>
      <c r="J1331" s="2">
        <v>7.9399999999999998E-2</v>
      </c>
      <c r="K1331" s="2">
        <v>0.85399999999999998</v>
      </c>
      <c r="L1331" s="2">
        <v>-9.0489999999999995</v>
      </c>
    </row>
    <row r="1332" spans="1:12" x14ac:dyDescent="0.25">
      <c r="A1332">
        <v>57</v>
      </c>
      <c r="B1332">
        <v>1</v>
      </c>
      <c r="C1332" s="3">
        <v>9652399</v>
      </c>
      <c r="D1332" s="4">
        <v>11692972</v>
      </c>
      <c r="E1332">
        <v>59</v>
      </c>
      <c r="F1332" s="2">
        <v>0.90400000000000003</v>
      </c>
      <c r="G1332" s="2">
        <v>0.627</v>
      </c>
      <c r="H1332" s="2">
        <v>0.222</v>
      </c>
      <c r="I1332" s="2">
        <v>3.0300000000000001E-2</v>
      </c>
      <c r="J1332" s="2">
        <v>9.2299999999999993E-2</v>
      </c>
      <c r="K1332" s="2">
        <v>0.23599999999999999</v>
      </c>
      <c r="L1332" s="2">
        <v>-5.6079999999999997</v>
      </c>
    </row>
    <row r="1333" spans="1:12" x14ac:dyDescent="0.25">
      <c r="A1333">
        <v>77</v>
      </c>
      <c r="B1333">
        <v>1</v>
      </c>
      <c r="C1333" s="3">
        <v>7695566</v>
      </c>
      <c r="D1333" s="4">
        <v>18585963</v>
      </c>
      <c r="E1333">
        <v>59</v>
      </c>
      <c r="F1333" s="2">
        <v>0.66900000000000004</v>
      </c>
      <c r="G1333" s="2">
        <v>0.80400000000000005</v>
      </c>
      <c r="H1333" s="2">
        <v>3.5999999999999997E-2</v>
      </c>
      <c r="I1333" s="2">
        <v>3.0599999999999999E-2</v>
      </c>
      <c r="J1333" s="2">
        <v>0.69399999999999995</v>
      </c>
      <c r="K1333" s="2">
        <v>0.184</v>
      </c>
      <c r="L1333" s="2">
        <v>-4.0350000000000001</v>
      </c>
    </row>
    <row r="1334" spans="1:12" x14ac:dyDescent="0.25">
      <c r="A1334">
        <v>106</v>
      </c>
      <c r="B1334">
        <v>1</v>
      </c>
      <c r="C1334" s="3">
        <v>7410327</v>
      </c>
      <c r="D1334" s="4">
        <v>7816213</v>
      </c>
      <c r="E1334">
        <v>59</v>
      </c>
      <c r="F1334" s="2">
        <v>0.80700000000000005</v>
      </c>
      <c r="G1334" s="2">
        <v>0.67800000000000005</v>
      </c>
      <c r="H1334" s="2">
        <v>0.17699999999999999</v>
      </c>
      <c r="I1334" s="2">
        <v>3.4500000000000003E-2</v>
      </c>
      <c r="J1334" s="2">
        <v>9.8599999999999993E-2</v>
      </c>
      <c r="K1334" s="2">
        <v>0.21</v>
      </c>
      <c r="L1334" s="2">
        <v>-3.2440000000000002</v>
      </c>
    </row>
    <row r="1335" spans="1:12" x14ac:dyDescent="0.25">
      <c r="A1335">
        <v>139</v>
      </c>
      <c r="B1335">
        <v>1</v>
      </c>
      <c r="C1335" s="3">
        <v>7117347</v>
      </c>
      <c r="D1335" s="4">
        <v>5002317</v>
      </c>
      <c r="E1335">
        <v>59</v>
      </c>
      <c r="F1335" s="2">
        <v>0.78600000000000003</v>
      </c>
      <c r="G1335" s="2">
        <v>0.61</v>
      </c>
      <c r="H1335" s="2">
        <v>5.5800000000000002E-2</v>
      </c>
      <c r="I1335" s="2">
        <v>0.379</v>
      </c>
      <c r="J1335" s="2">
        <v>7.6499999999999999E-2</v>
      </c>
      <c r="K1335" s="2">
        <v>0.22800000000000001</v>
      </c>
      <c r="L1335" s="2">
        <v>-6.7359999999999998</v>
      </c>
    </row>
    <row r="1336" spans="1:12" x14ac:dyDescent="0.25">
      <c r="A1336">
        <v>115</v>
      </c>
      <c r="B1336">
        <v>1</v>
      </c>
      <c r="C1336" s="3">
        <v>7050815</v>
      </c>
      <c r="D1336" s="4">
        <v>15663384</v>
      </c>
      <c r="E1336">
        <v>59</v>
      </c>
      <c r="F1336" s="2">
        <v>0.70799999999999996</v>
      </c>
      <c r="G1336" s="2">
        <v>0.66100000000000003</v>
      </c>
      <c r="H1336" s="2">
        <v>5.4600000000000003E-2</v>
      </c>
      <c r="I1336" s="2">
        <v>3.9600000000000003E-2</v>
      </c>
      <c r="J1336" s="2">
        <v>0.113</v>
      </c>
      <c r="K1336" s="2">
        <v>0.317</v>
      </c>
      <c r="L1336" s="2">
        <v>-6.5430000000000001</v>
      </c>
    </row>
    <row r="1337" spans="1:12" x14ac:dyDescent="0.25">
      <c r="A1337">
        <v>112</v>
      </c>
      <c r="B1337">
        <v>1</v>
      </c>
      <c r="C1337" s="3">
        <v>6682917</v>
      </c>
      <c r="D1337" s="4">
        <v>19102888</v>
      </c>
      <c r="E1337">
        <v>59</v>
      </c>
      <c r="F1337" s="2">
        <v>0.39200000000000002</v>
      </c>
      <c r="G1337" s="2">
        <v>0.373</v>
      </c>
      <c r="H1337" s="2">
        <v>9.6799999999999997E-2</v>
      </c>
      <c r="I1337" s="2">
        <v>0.99099999999999999</v>
      </c>
      <c r="J1337" s="2">
        <v>0.54500000000000004</v>
      </c>
      <c r="K1337" s="2">
        <v>0.51900000000000002</v>
      </c>
      <c r="L1337" s="2">
        <v>-14.097</v>
      </c>
    </row>
    <row r="1338" spans="1:12" x14ac:dyDescent="0.25">
      <c r="A1338">
        <v>114</v>
      </c>
      <c r="B1338">
        <v>1</v>
      </c>
      <c r="C1338" s="3">
        <v>6144736</v>
      </c>
      <c r="D1338" s="4">
        <v>6852509</v>
      </c>
      <c r="E1338">
        <v>59</v>
      </c>
      <c r="F1338" s="2">
        <v>0.64500000000000002</v>
      </c>
      <c r="G1338" s="2">
        <v>0.64</v>
      </c>
      <c r="H1338" s="2">
        <v>0.17899999999999999</v>
      </c>
      <c r="I1338" s="2">
        <v>0.39500000000000002</v>
      </c>
      <c r="J1338" s="2">
        <v>0.28599999999999998</v>
      </c>
      <c r="K1338" s="2">
        <v>0.67400000000000004</v>
      </c>
      <c r="L1338" s="2">
        <v>-6.8710000000000004</v>
      </c>
    </row>
    <row r="1339" spans="1:12" x14ac:dyDescent="0.25">
      <c r="A1339">
        <v>117</v>
      </c>
      <c r="B1339">
        <v>1</v>
      </c>
      <c r="C1339" s="3">
        <v>6102253</v>
      </c>
      <c r="D1339" s="4">
        <v>6852509</v>
      </c>
      <c r="E1339">
        <v>59</v>
      </c>
      <c r="F1339" s="2">
        <v>0.94399999999999995</v>
      </c>
      <c r="G1339" s="2">
        <v>0.57899999999999996</v>
      </c>
      <c r="H1339" s="2">
        <v>0.191</v>
      </c>
      <c r="I1339" s="2">
        <v>3.8100000000000002E-2</v>
      </c>
      <c r="J1339" s="2">
        <v>0.253</v>
      </c>
      <c r="K1339" s="2">
        <v>0.76900000000000002</v>
      </c>
      <c r="L1339" s="2">
        <v>-4.9610000000000003</v>
      </c>
    </row>
    <row r="1340" spans="1:12" x14ac:dyDescent="0.25">
      <c r="A1340">
        <v>159</v>
      </c>
      <c r="B1340">
        <v>1</v>
      </c>
      <c r="C1340" s="3">
        <v>5846484</v>
      </c>
      <c r="D1340" s="4">
        <v>3337982</v>
      </c>
      <c r="E1340">
        <v>59</v>
      </c>
      <c r="F1340" s="2">
        <v>0.77900000000000003</v>
      </c>
      <c r="G1340" s="2">
        <v>0.70699999999999996</v>
      </c>
      <c r="H1340" s="2">
        <v>0.16</v>
      </c>
      <c r="I1340" s="2">
        <v>9.9099999999999994E-2</v>
      </c>
      <c r="J1340" s="2">
        <v>9.3399999999999997E-2</v>
      </c>
      <c r="K1340" s="2">
        <v>0.34300000000000003</v>
      </c>
      <c r="L1340" s="2">
        <v>-6.5270000000000001</v>
      </c>
    </row>
    <row r="1341" spans="1:12" x14ac:dyDescent="0.25">
      <c r="A1341">
        <v>141</v>
      </c>
      <c r="B1341">
        <v>1</v>
      </c>
      <c r="C1341" s="3">
        <v>5752169</v>
      </c>
      <c r="D1341" s="4">
        <v>1674348</v>
      </c>
      <c r="E1341">
        <v>59</v>
      </c>
      <c r="F1341" s="2">
        <v>0.81899999999999995</v>
      </c>
      <c r="G1341" s="2">
        <v>0.50700000000000001</v>
      </c>
      <c r="H1341" s="2">
        <v>8.8099999999999998E-2</v>
      </c>
      <c r="I1341" s="2">
        <v>0.48199999999999998</v>
      </c>
      <c r="J1341" s="2">
        <v>0.105</v>
      </c>
      <c r="K1341" s="2">
        <v>0.63400000000000001</v>
      </c>
      <c r="L1341" s="2">
        <v>-7.3360000000000003</v>
      </c>
    </row>
    <row r="1342" spans="1:12" x14ac:dyDescent="0.25">
      <c r="A1342">
        <v>167</v>
      </c>
      <c r="B1342">
        <v>1</v>
      </c>
      <c r="C1342" s="3">
        <v>5678754</v>
      </c>
      <c r="D1342" s="4">
        <v>951798</v>
      </c>
      <c r="E1342">
        <v>59</v>
      </c>
      <c r="F1342" s="2">
        <v>0.91600000000000004</v>
      </c>
      <c r="G1342" s="2">
        <v>0.56999999999999995</v>
      </c>
      <c r="H1342" s="2">
        <v>0.18</v>
      </c>
      <c r="I1342" s="2">
        <v>2.86E-2</v>
      </c>
      <c r="J1342" s="2">
        <v>8.5099999999999995E-2</v>
      </c>
      <c r="K1342" s="2">
        <v>0.7</v>
      </c>
      <c r="L1342" s="2">
        <v>-6.2779999999999996</v>
      </c>
    </row>
    <row r="1343" spans="1:12" x14ac:dyDescent="0.25">
      <c r="A1343">
        <v>149</v>
      </c>
      <c r="B1343">
        <v>1</v>
      </c>
      <c r="C1343" s="3">
        <v>5534361</v>
      </c>
      <c r="D1343" s="4">
        <v>10491105</v>
      </c>
      <c r="E1343">
        <v>59</v>
      </c>
      <c r="F1343" s="2">
        <v>0.77300000000000002</v>
      </c>
      <c r="G1343" s="2">
        <v>0.74199999999999999</v>
      </c>
      <c r="H1343" s="2">
        <v>0.16200000000000001</v>
      </c>
      <c r="I1343" s="2">
        <v>1.98E-3</v>
      </c>
      <c r="J1343" s="2">
        <v>0.55800000000000005</v>
      </c>
      <c r="K1343" s="2">
        <v>0.35</v>
      </c>
      <c r="L1343" s="2">
        <v>-5.4530000000000003</v>
      </c>
    </row>
    <row r="1344" spans="1:12" x14ac:dyDescent="0.25">
      <c r="A1344">
        <v>162</v>
      </c>
      <c r="B1344">
        <v>1</v>
      </c>
      <c r="C1344" s="3">
        <v>5504912</v>
      </c>
      <c r="D1344" s="4">
        <v>4430628</v>
      </c>
      <c r="E1344">
        <v>59</v>
      </c>
      <c r="F1344" s="2">
        <v>0.72299999999999998</v>
      </c>
      <c r="G1344" s="2">
        <v>0.67300000000000004</v>
      </c>
      <c r="H1344" s="2">
        <v>0.13700000000000001</v>
      </c>
      <c r="I1344" s="2">
        <v>9.8500000000000004E-2</v>
      </c>
      <c r="J1344" s="2">
        <v>0.32300000000000001</v>
      </c>
      <c r="K1344" s="2">
        <v>0.30199999999999999</v>
      </c>
      <c r="L1344" s="2">
        <v>-7.6360000000000001</v>
      </c>
    </row>
    <row r="1345" spans="1:12" x14ac:dyDescent="0.25">
      <c r="A1345">
        <v>149</v>
      </c>
      <c r="B1345">
        <v>1</v>
      </c>
      <c r="C1345" s="3">
        <v>5468083</v>
      </c>
      <c r="D1345" s="4">
        <v>11821805</v>
      </c>
      <c r="E1345">
        <v>59</v>
      </c>
      <c r="F1345" s="2">
        <v>0.86199999999999999</v>
      </c>
      <c r="G1345" s="2">
        <v>0.65</v>
      </c>
      <c r="H1345" s="2">
        <v>0.35499999999999998</v>
      </c>
      <c r="I1345" s="2">
        <v>2.07E-2</v>
      </c>
      <c r="J1345" s="2">
        <v>0.56799999999999995</v>
      </c>
      <c r="K1345" s="2">
        <v>0.65800000000000003</v>
      </c>
      <c r="L1345" s="2">
        <v>-6.9779999999999998</v>
      </c>
    </row>
    <row r="1346" spans="1:12" x14ac:dyDescent="0.25">
      <c r="A1346">
        <v>164</v>
      </c>
      <c r="B1346">
        <v>1</v>
      </c>
      <c r="C1346" s="3">
        <v>5440037</v>
      </c>
      <c r="D1346" s="4">
        <v>48544923</v>
      </c>
      <c r="E1346">
        <v>59</v>
      </c>
      <c r="F1346" s="2">
        <v>0.63900000000000001</v>
      </c>
      <c r="G1346" s="2">
        <v>0.437</v>
      </c>
      <c r="H1346" s="2">
        <v>3.5499999999999997E-2</v>
      </c>
      <c r="I1346" s="2">
        <v>0.69199999999999995</v>
      </c>
      <c r="J1346" s="2">
        <v>0.12</v>
      </c>
      <c r="K1346" s="2">
        <v>0.751</v>
      </c>
      <c r="L1346" s="2">
        <v>-6.9589999999999996</v>
      </c>
    </row>
    <row r="1347" spans="1:12" x14ac:dyDescent="0.25">
      <c r="A1347">
        <v>127</v>
      </c>
      <c r="B1347">
        <v>1</v>
      </c>
      <c r="C1347" s="3">
        <v>5291167</v>
      </c>
      <c r="D1347" s="4">
        <v>1683006</v>
      </c>
      <c r="E1347">
        <v>59</v>
      </c>
      <c r="F1347" s="2">
        <v>0.83899999999999997</v>
      </c>
      <c r="G1347" s="2">
        <v>0.59399999999999997</v>
      </c>
      <c r="H1347" s="2">
        <v>0.13900000000000001</v>
      </c>
      <c r="I1347" s="2">
        <v>0.249</v>
      </c>
      <c r="J1347" s="2">
        <v>0.16500000000000001</v>
      </c>
      <c r="K1347" s="2">
        <v>0.57999999999999996</v>
      </c>
      <c r="L1347" s="2">
        <v>-9.0869999999999997</v>
      </c>
    </row>
    <row r="1348" spans="1:12" x14ac:dyDescent="0.25">
      <c r="A1348">
        <v>125</v>
      </c>
      <c r="B1348">
        <v>2</v>
      </c>
      <c r="C1348" s="3">
        <v>5229616</v>
      </c>
      <c r="D1348" s="4">
        <v>4039037</v>
      </c>
      <c r="E1348">
        <v>59</v>
      </c>
      <c r="F1348" s="2">
        <v>0.77300000000000002</v>
      </c>
      <c r="G1348" s="2">
        <v>0.83599999999999997</v>
      </c>
      <c r="H1348" s="2">
        <v>0.153</v>
      </c>
      <c r="I1348" s="2">
        <v>0.28299999999999997</v>
      </c>
      <c r="J1348" s="2">
        <v>8.2799999999999999E-2</v>
      </c>
      <c r="K1348" s="2">
        <v>0.497</v>
      </c>
      <c r="L1348" s="2">
        <v>-2.3260000000000001</v>
      </c>
    </row>
    <row r="1349" spans="1:12" x14ac:dyDescent="0.25">
      <c r="A1349">
        <v>171</v>
      </c>
      <c r="B1349">
        <v>1</v>
      </c>
      <c r="C1349" s="3">
        <v>5215211</v>
      </c>
      <c r="D1349" s="4">
        <v>4794212</v>
      </c>
      <c r="E1349">
        <v>59</v>
      </c>
      <c r="F1349" s="2">
        <v>0.74199999999999999</v>
      </c>
      <c r="G1349" s="2">
        <v>0.73099999999999998</v>
      </c>
      <c r="H1349" s="2">
        <v>0.30599999999999999</v>
      </c>
      <c r="I1349" s="2">
        <v>8.5099999999999995E-2</v>
      </c>
      <c r="J1349" s="2">
        <v>0.13100000000000001</v>
      </c>
      <c r="K1349" s="2">
        <v>0.54700000000000004</v>
      </c>
      <c r="L1349" s="2">
        <v>-4.3620000000000001</v>
      </c>
    </row>
    <row r="1350" spans="1:12" x14ac:dyDescent="0.25">
      <c r="A1350">
        <v>177</v>
      </c>
      <c r="B1350">
        <v>1</v>
      </c>
      <c r="C1350" s="3">
        <v>5043990</v>
      </c>
      <c r="D1350" s="4">
        <v>11821805</v>
      </c>
      <c r="E1350">
        <v>59</v>
      </c>
      <c r="F1350" s="2">
        <v>0.71</v>
      </c>
      <c r="G1350" s="2">
        <v>0.58599999999999997</v>
      </c>
      <c r="H1350" s="2">
        <v>0.38100000000000001</v>
      </c>
      <c r="I1350" s="2">
        <v>0.248</v>
      </c>
      <c r="J1350" s="2">
        <v>0.193</v>
      </c>
      <c r="K1350" s="2">
        <v>0.20699999999999999</v>
      </c>
      <c r="L1350" s="2">
        <v>-5.3310000000000004</v>
      </c>
    </row>
    <row r="1351" spans="1:12" x14ac:dyDescent="0.25">
      <c r="A1351">
        <v>183</v>
      </c>
      <c r="B1351">
        <v>1</v>
      </c>
      <c r="C1351" s="3">
        <v>4723116</v>
      </c>
      <c r="D1351" s="4">
        <v>1683006</v>
      </c>
      <c r="E1351">
        <v>59</v>
      </c>
      <c r="F1351" s="2">
        <v>0.77400000000000002</v>
      </c>
      <c r="G1351" s="2">
        <v>0.81399999999999995</v>
      </c>
      <c r="H1351" s="2">
        <v>5.8400000000000001E-2</v>
      </c>
      <c r="I1351" s="2">
        <v>0.20399999999999999</v>
      </c>
      <c r="J1351" s="2">
        <v>0.11799999999999999</v>
      </c>
      <c r="K1351" s="2">
        <v>0.254</v>
      </c>
      <c r="L1351" s="2">
        <v>-6.1449999999999996</v>
      </c>
    </row>
    <row r="1352" spans="1:12" x14ac:dyDescent="0.25">
      <c r="A1352">
        <v>180</v>
      </c>
      <c r="B1352">
        <v>1</v>
      </c>
      <c r="C1352" s="3">
        <v>4681054</v>
      </c>
      <c r="D1352" s="4">
        <v>1101597</v>
      </c>
      <c r="E1352">
        <v>59</v>
      </c>
      <c r="F1352" s="2">
        <v>0.83499999999999996</v>
      </c>
      <c r="G1352" s="2">
        <v>0.59599999999999997</v>
      </c>
      <c r="H1352" s="2">
        <v>0.29699999999999999</v>
      </c>
      <c r="I1352" s="2">
        <v>0.13700000000000001</v>
      </c>
      <c r="J1352" s="2">
        <v>0.16400000000000001</v>
      </c>
      <c r="K1352" s="2">
        <v>0.89700000000000002</v>
      </c>
      <c r="L1352" s="2">
        <v>-6.6369999999999996</v>
      </c>
    </row>
    <row r="1353" spans="1:12" x14ac:dyDescent="0.25">
      <c r="A1353">
        <v>192</v>
      </c>
      <c r="B1353">
        <v>2</v>
      </c>
      <c r="C1353" s="3">
        <v>4543012</v>
      </c>
      <c r="D1353" s="4">
        <v>29238936</v>
      </c>
      <c r="E1353">
        <v>59</v>
      </c>
      <c r="F1353" s="2">
        <v>0.69499999999999995</v>
      </c>
      <c r="G1353" s="2">
        <v>0.71899999999999997</v>
      </c>
      <c r="H1353" s="2">
        <v>9.0300000000000005E-2</v>
      </c>
      <c r="I1353" s="2">
        <v>0.22700000000000001</v>
      </c>
      <c r="J1353" s="2">
        <v>8.8400000000000006E-2</v>
      </c>
      <c r="K1353" s="2">
        <v>0.78100000000000003</v>
      </c>
      <c r="L1353" s="2">
        <v>-5.9379999999999997</v>
      </c>
    </row>
    <row r="1354" spans="1:12" x14ac:dyDescent="0.25">
      <c r="A1354">
        <v>183</v>
      </c>
      <c r="B1354">
        <v>1</v>
      </c>
      <c r="C1354" s="3">
        <v>4429092</v>
      </c>
      <c r="D1354" s="4">
        <v>5044278</v>
      </c>
      <c r="E1354">
        <v>59</v>
      </c>
      <c r="F1354" s="2">
        <v>0.65100000000000002</v>
      </c>
      <c r="G1354" s="2">
        <v>0.80600000000000005</v>
      </c>
      <c r="H1354" s="2">
        <v>3.1099999999999999E-2</v>
      </c>
      <c r="I1354" s="2">
        <v>3.9899999999999996E-3</v>
      </c>
      <c r="J1354" s="2">
        <v>9.2700000000000005E-2</v>
      </c>
      <c r="K1354" s="2">
        <v>0.38600000000000001</v>
      </c>
      <c r="L1354" s="2">
        <v>-4.8419999999999996</v>
      </c>
    </row>
    <row r="1355" spans="1:12" x14ac:dyDescent="0.25">
      <c r="A1355">
        <v>5</v>
      </c>
      <c r="B1355">
        <v>7</v>
      </c>
      <c r="C1355" s="3">
        <v>16613649</v>
      </c>
      <c r="D1355" s="4">
        <v>222627</v>
      </c>
      <c r="E1355">
        <v>58</v>
      </c>
      <c r="F1355" s="2">
        <v>0.58899999999999997</v>
      </c>
      <c r="G1355" s="2">
        <v>0.47199999999999998</v>
      </c>
      <c r="H1355" s="2">
        <v>5.0200000000000002E-2</v>
      </c>
      <c r="I1355" s="2">
        <v>0.61399999999999999</v>
      </c>
      <c r="J1355" s="2">
        <v>0.505</v>
      </c>
      <c r="K1355" s="2">
        <v>0.89800000000000002</v>
      </c>
      <c r="L1355" s="2">
        <v>-8.7490000000000006</v>
      </c>
    </row>
    <row r="1356" spans="1:12" x14ac:dyDescent="0.25">
      <c r="A1356">
        <v>60</v>
      </c>
      <c r="B1356">
        <v>1</v>
      </c>
      <c r="C1356" s="3">
        <v>10484727</v>
      </c>
      <c r="D1356" s="4">
        <v>11821805</v>
      </c>
      <c r="E1356">
        <v>58</v>
      </c>
      <c r="F1356" s="2">
        <v>0.74099999999999999</v>
      </c>
      <c r="G1356" s="2">
        <v>0.59899999999999998</v>
      </c>
      <c r="H1356" s="2">
        <v>0.41899999999999998</v>
      </c>
      <c r="I1356" s="2">
        <v>9.6100000000000005E-3</v>
      </c>
      <c r="J1356" s="2">
        <v>0.78500000000000003</v>
      </c>
      <c r="K1356" s="2">
        <v>0.27600000000000002</v>
      </c>
      <c r="L1356" s="2">
        <v>-6.6719999999999997</v>
      </c>
    </row>
    <row r="1357" spans="1:12" x14ac:dyDescent="0.25">
      <c r="A1357">
        <v>70</v>
      </c>
      <c r="B1357">
        <v>1</v>
      </c>
      <c r="C1357" s="3">
        <v>8285754</v>
      </c>
      <c r="D1357" s="4">
        <v>56327031</v>
      </c>
      <c r="E1357">
        <v>58</v>
      </c>
      <c r="F1357" s="2">
        <v>0.47299999999999998</v>
      </c>
      <c r="G1357" s="2">
        <v>0.82399999999999995</v>
      </c>
      <c r="H1357" s="2">
        <v>0.16300000000000001</v>
      </c>
      <c r="I1357" s="2">
        <v>0.48199999999999998</v>
      </c>
      <c r="J1357" s="2">
        <v>0.60499999999999998</v>
      </c>
      <c r="K1357" s="2">
        <v>0.374</v>
      </c>
      <c r="L1357" s="2">
        <v>-3.68</v>
      </c>
    </row>
    <row r="1358" spans="1:12" x14ac:dyDescent="0.25">
      <c r="A1358">
        <v>74</v>
      </c>
      <c r="B1358">
        <v>1</v>
      </c>
      <c r="C1358" s="3">
        <v>7907329</v>
      </c>
      <c r="D1358" s="4">
        <v>18585963</v>
      </c>
      <c r="E1358">
        <v>58</v>
      </c>
      <c r="F1358" s="2">
        <v>0.64500000000000002</v>
      </c>
      <c r="G1358" s="2">
        <v>0.92300000000000004</v>
      </c>
      <c r="H1358" s="2">
        <v>7.2499999999999995E-2</v>
      </c>
      <c r="I1358" s="2">
        <v>0.36399999999999999</v>
      </c>
      <c r="J1358" s="2">
        <v>0.14000000000000001</v>
      </c>
      <c r="K1358" s="2">
        <v>0.32300000000000001</v>
      </c>
      <c r="L1358" s="2">
        <v>-4.2619999999999996</v>
      </c>
    </row>
    <row r="1359" spans="1:12" x14ac:dyDescent="0.25">
      <c r="A1359">
        <v>85</v>
      </c>
      <c r="B1359">
        <v>1</v>
      </c>
      <c r="C1359" s="3">
        <v>7493188</v>
      </c>
      <c r="D1359" s="4">
        <v>48544923</v>
      </c>
      <c r="E1359">
        <v>58</v>
      </c>
      <c r="F1359" s="2">
        <v>0.77400000000000002</v>
      </c>
      <c r="G1359" s="2">
        <v>0.60299999999999998</v>
      </c>
      <c r="H1359" s="2">
        <v>5.91E-2</v>
      </c>
      <c r="I1359" s="2">
        <v>0.438</v>
      </c>
      <c r="J1359" s="2">
        <v>8.6900000000000005E-2</v>
      </c>
      <c r="K1359" s="2">
        <v>0.97699999999999998</v>
      </c>
      <c r="L1359" s="2">
        <v>-7.319</v>
      </c>
    </row>
    <row r="1360" spans="1:12" x14ac:dyDescent="0.25">
      <c r="A1360">
        <v>86</v>
      </c>
      <c r="B1360">
        <v>1</v>
      </c>
      <c r="C1360" s="3">
        <v>7473249</v>
      </c>
      <c r="D1360" s="4">
        <v>48544923</v>
      </c>
      <c r="E1360">
        <v>58</v>
      </c>
      <c r="F1360" s="2">
        <v>0.70199999999999996</v>
      </c>
      <c r="G1360" s="2">
        <v>0.60799999999999998</v>
      </c>
      <c r="H1360" s="2">
        <v>3.5900000000000001E-2</v>
      </c>
      <c r="I1360" s="2">
        <v>7.3599999999999999E-2</v>
      </c>
      <c r="J1360" s="2">
        <v>0.129</v>
      </c>
      <c r="K1360" s="2">
        <v>0.59699999999999998</v>
      </c>
      <c r="L1360" s="2">
        <v>-6.843</v>
      </c>
    </row>
    <row r="1361" spans="1:12" x14ac:dyDescent="0.25">
      <c r="A1361">
        <v>80</v>
      </c>
      <c r="B1361">
        <v>1</v>
      </c>
      <c r="C1361" s="3">
        <v>7451452</v>
      </c>
      <c r="D1361" s="4">
        <v>18585963</v>
      </c>
      <c r="E1361">
        <v>58</v>
      </c>
      <c r="F1361" s="2">
        <v>0.74299999999999999</v>
      </c>
      <c r="G1361" s="2">
        <v>0.85299999999999998</v>
      </c>
      <c r="H1361" s="2">
        <v>0.04</v>
      </c>
      <c r="I1361" s="2">
        <v>1.9E-3</v>
      </c>
      <c r="J1361" s="2">
        <v>8.72E-2</v>
      </c>
      <c r="K1361" s="2">
        <v>0.42199999999999999</v>
      </c>
      <c r="L1361" s="2">
        <v>-4.8419999999999996</v>
      </c>
    </row>
    <row r="1362" spans="1:12" x14ac:dyDescent="0.25">
      <c r="A1362">
        <v>87</v>
      </c>
      <c r="B1362">
        <v>1</v>
      </c>
      <c r="C1362" s="3">
        <v>7136521</v>
      </c>
      <c r="D1362" s="4">
        <v>18585963</v>
      </c>
      <c r="E1362">
        <v>58</v>
      </c>
      <c r="F1362" s="2">
        <v>0.184</v>
      </c>
      <c r="G1362" s="2">
        <v>0.29699999999999999</v>
      </c>
      <c r="H1362" s="2">
        <v>3.5900000000000001E-2</v>
      </c>
      <c r="I1362" s="2">
        <v>0.47299999999999998</v>
      </c>
      <c r="J1362" s="2">
        <v>0.52700000000000002</v>
      </c>
      <c r="K1362" s="2">
        <v>0.113</v>
      </c>
      <c r="L1362" s="2">
        <v>-14.534000000000001</v>
      </c>
    </row>
    <row r="1363" spans="1:12" x14ac:dyDescent="0.25">
      <c r="A1363">
        <v>113</v>
      </c>
      <c r="B1363">
        <v>1</v>
      </c>
      <c r="C1363" s="3">
        <v>6640728</v>
      </c>
      <c r="D1363" s="4">
        <v>19102888</v>
      </c>
      <c r="E1363">
        <v>58</v>
      </c>
      <c r="F1363" s="2">
        <v>0.66700000000000004</v>
      </c>
      <c r="G1363" s="2">
        <v>0.44700000000000001</v>
      </c>
      <c r="H1363" s="2">
        <v>0.76100000000000001</v>
      </c>
      <c r="I1363" s="2">
        <v>0.91600000000000004</v>
      </c>
      <c r="J1363" s="2">
        <v>0.61199999999999999</v>
      </c>
      <c r="K1363" s="2">
        <v>0.82899999999999996</v>
      </c>
      <c r="L1363" s="2">
        <v>-14.625</v>
      </c>
    </row>
    <row r="1364" spans="1:12" x14ac:dyDescent="0.25">
      <c r="A1364">
        <v>93</v>
      </c>
      <c r="B1364">
        <v>1</v>
      </c>
      <c r="C1364" s="3">
        <v>6630385</v>
      </c>
      <c r="D1364" s="4">
        <v>18585963</v>
      </c>
      <c r="E1364">
        <v>58</v>
      </c>
      <c r="F1364" s="2">
        <v>0.184</v>
      </c>
      <c r="G1364" s="2">
        <v>0.29699999999999999</v>
      </c>
      <c r="H1364" s="2">
        <v>3.5900000000000001E-2</v>
      </c>
      <c r="I1364" s="2">
        <v>0.47299999999999998</v>
      </c>
      <c r="J1364" s="2">
        <v>0.52700000000000002</v>
      </c>
      <c r="K1364" s="2">
        <v>0.113</v>
      </c>
      <c r="L1364" s="2">
        <v>-14.534000000000001</v>
      </c>
    </row>
    <row r="1365" spans="1:12" x14ac:dyDescent="0.25">
      <c r="A1365">
        <v>116</v>
      </c>
      <c r="B1365">
        <v>1</v>
      </c>
      <c r="C1365" s="3">
        <v>6520106</v>
      </c>
      <c r="D1365" s="4">
        <v>48544923</v>
      </c>
      <c r="E1365">
        <v>58</v>
      </c>
      <c r="F1365" s="2">
        <v>0.438</v>
      </c>
      <c r="G1365" s="2">
        <v>0.315</v>
      </c>
      <c r="H1365" s="2">
        <v>3.7499999999999999E-2</v>
      </c>
      <c r="I1365" s="2">
        <v>0.60799999999999998</v>
      </c>
      <c r="J1365" s="2">
        <v>0.151</v>
      </c>
      <c r="K1365" s="2">
        <v>0.44900000000000001</v>
      </c>
      <c r="L1365" s="2">
        <v>-8.1859999999999999</v>
      </c>
    </row>
    <row r="1366" spans="1:12" x14ac:dyDescent="0.25">
      <c r="A1366">
        <v>106</v>
      </c>
      <c r="B1366">
        <v>1</v>
      </c>
      <c r="C1366" s="3">
        <v>6069544</v>
      </c>
      <c r="D1366" s="4">
        <v>18585963</v>
      </c>
      <c r="E1366">
        <v>58</v>
      </c>
      <c r="F1366" s="2">
        <v>0.66800000000000004</v>
      </c>
      <c r="G1366" s="2">
        <v>0.82599999999999996</v>
      </c>
      <c r="H1366" s="2">
        <v>3.8300000000000001E-2</v>
      </c>
      <c r="I1366" s="2">
        <v>2.3599999999999999E-2</v>
      </c>
      <c r="J1366" s="2">
        <v>0.47399999999999998</v>
      </c>
      <c r="K1366" s="2">
        <v>0.38800000000000001</v>
      </c>
      <c r="L1366" s="2">
        <v>-4.4660000000000002</v>
      </c>
    </row>
    <row r="1367" spans="1:12" x14ac:dyDescent="0.25">
      <c r="A1367">
        <v>126</v>
      </c>
      <c r="B1367">
        <v>1</v>
      </c>
      <c r="C1367" s="3">
        <v>6017103</v>
      </c>
      <c r="D1367" s="4">
        <v>11821805</v>
      </c>
      <c r="E1367">
        <v>58</v>
      </c>
      <c r="F1367" s="2">
        <v>0.80200000000000005</v>
      </c>
      <c r="G1367" s="2">
        <v>0.748</v>
      </c>
      <c r="H1367" s="2">
        <v>0.20699999999999999</v>
      </c>
      <c r="I1367" s="2">
        <v>0.24</v>
      </c>
      <c r="J1367" s="2">
        <v>0.16500000000000001</v>
      </c>
      <c r="K1367" s="2">
        <v>0.51600000000000001</v>
      </c>
      <c r="L1367" s="2">
        <v>-5.7080000000000002</v>
      </c>
    </row>
    <row r="1368" spans="1:12" x14ac:dyDescent="0.25">
      <c r="A1368">
        <v>135</v>
      </c>
      <c r="B1368">
        <v>1</v>
      </c>
      <c r="C1368" s="3">
        <v>6008945</v>
      </c>
      <c r="D1368" s="4">
        <v>48544923</v>
      </c>
      <c r="E1368">
        <v>58</v>
      </c>
      <c r="F1368" s="2">
        <v>0.46500000000000002</v>
      </c>
      <c r="G1368" s="2">
        <v>0.49399999999999999</v>
      </c>
      <c r="H1368" s="2">
        <v>6.6000000000000003E-2</v>
      </c>
      <c r="I1368" s="2">
        <v>0.49</v>
      </c>
      <c r="J1368" s="2">
        <v>0.127</v>
      </c>
      <c r="K1368" s="2">
        <v>0.45700000000000002</v>
      </c>
      <c r="L1368" s="2">
        <v>-7.5949999999999998</v>
      </c>
    </row>
    <row r="1369" spans="1:12" x14ac:dyDescent="0.25">
      <c r="A1369">
        <v>157</v>
      </c>
      <c r="B1369">
        <v>1</v>
      </c>
      <c r="C1369" s="3">
        <v>5934464</v>
      </c>
      <c r="D1369" s="4">
        <v>6189454</v>
      </c>
      <c r="E1369">
        <v>58</v>
      </c>
      <c r="F1369" s="2">
        <v>0.73899999999999999</v>
      </c>
      <c r="G1369" s="2">
        <v>0.627</v>
      </c>
      <c r="H1369" s="2">
        <v>0.17100000000000001</v>
      </c>
      <c r="I1369" s="2">
        <v>4.5900000000000003E-2</v>
      </c>
      <c r="J1369" s="2">
        <v>0.159</v>
      </c>
      <c r="K1369" s="2">
        <v>0.54200000000000004</v>
      </c>
      <c r="L1369" s="2">
        <v>-8.6080000000000005</v>
      </c>
    </row>
    <row r="1370" spans="1:12" x14ac:dyDescent="0.25">
      <c r="A1370">
        <v>158</v>
      </c>
      <c r="B1370">
        <v>1</v>
      </c>
      <c r="C1370" s="3">
        <v>5324545</v>
      </c>
      <c r="D1370" s="4">
        <v>11821805</v>
      </c>
      <c r="E1370">
        <v>58</v>
      </c>
      <c r="F1370" s="2">
        <v>0.86699999999999999</v>
      </c>
      <c r="G1370" s="2">
        <v>0.76800000000000002</v>
      </c>
      <c r="H1370" s="2">
        <v>7.9100000000000004E-2</v>
      </c>
      <c r="I1370" s="2">
        <v>0.18</v>
      </c>
      <c r="J1370" s="2">
        <v>0.254</v>
      </c>
      <c r="K1370" s="2">
        <v>0.34</v>
      </c>
      <c r="L1370" s="2">
        <v>-3.73</v>
      </c>
    </row>
    <row r="1371" spans="1:12" x14ac:dyDescent="0.25">
      <c r="A1371">
        <v>187</v>
      </c>
      <c r="B1371">
        <v>1</v>
      </c>
      <c r="C1371" s="3">
        <v>4981484</v>
      </c>
      <c r="D1371" s="4">
        <v>4794212</v>
      </c>
      <c r="E1371">
        <v>58</v>
      </c>
      <c r="F1371" s="2">
        <v>0.78500000000000003</v>
      </c>
      <c r="G1371" s="2">
        <v>0.753</v>
      </c>
      <c r="H1371" s="2">
        <v>8.7300000000000003E-2</v>
      </c>
      <c r="I1371" s="2">
        <v>0.188</v>
      </c>
      <c r="J1371" s="2">
        <v>0.26500000000000001</v>
      </c>
      <c r="K1371" s="2">
        <v>0.48799999999999999</v>
      </c>
      <c r="L1371" s="2">
        <v>-3.8410000000000002</v>
      </c>
    </row>
    <row r="1372" spans="1:12" x14ac:dyDescent="0.25">
      <c r="A1372">
        <v>184</v>
      </c>
      <c r="B1372">
        <v>1</v>
      </c>
      <c r="C1372" s="3">
        <v>4946997</v>
      </c>
      <c r="D1372" s="4">
        <v>11821805</v>
      </c>
      <c r="E1372">
        <v>58</v>
      </c>
      <c r="F1372" s="2">
        <v>0.83699999999999997</v>
      </c>
      <c r="G1372" s="2">
        <v>0.60099999999999998</v>
      </c>
      <c r="H1372" s="2">
        <v>0.19800000000000001</v>
      </c>
      <c r="I1372" s="2">
        <v>0.21</v>
      </c>
      <c r="J1372" s="2">
        <v>9.2799999999999994E-2</v>
      </c>
      <c r="K1372" s="2">
        <v>0.749</v>
      </c>
      <c r="L1372" s="2">
        <v>-5.6280000000000001</v>
      </c>
    </row>
    <row r="1373" spans="1:12" x14ac:dyDescent="0.25">
      <c r="A1373">
        <v>151</v>
      </c>
      <c r="B1373">
        <v>1</v>
      </c>
      <c r="C1373" s="3">
        <v>4914429</v>
      </c>
      <c r="D1373" s="4">
        <v>2010879</v>
      </c>
      <c r="E1373">
        <v>58</v>
      </c>
      <c r="F1373" s="2">
        <v>0.57199999999999995</v>
      </c>
      <c r="G1373" s="2">
        <v>0.51900000000000002</v>
      </c>
      <c r="H1373" s="2">
        <v>0.24299999999999999</v>
      </c>
      <c r="I1373" s="2">
        <v>4.15E-4</v>
      </c>
      <c r="J1373" s="2">
        <v>0.129</v>
      </c>
      <c r="K1373" s="2">
        <v>0.70399999999999996</v>
      </c>
      <c r="L1373" s="2">
        <v>-8.0540000000000003</v>
      </c>
    </row>
    <row r="1374" spans="1:12" x14ac:dyDescent="0.25">
      <c r="A1374">
        <v>69</v>
      </c>
      <c r="B1374">
        <v>2</v>
      </c>
      <c r="C1374" s="3">
        <v>4912914</v>
      </c>
      <c r="D1374" s="4">
        <v>4093115</v>
      </c>
      <c r="E1374">
        <v>58</v>
      </c>
      <c r="F1374" s="2">
        <v>0.71899999999999997</v>
      </c>
      <c r="G1374" s="2">
        <v>0.65</v>
      </c>
      <c r="H1374" s="2">
        <v>0.23200000000000001</v>
      </c>
      <c r="I1374" s="2">
        <v>0.38100000000000001</v>
      </c>
      <c r="J1374" s="2">
        <v>0.16700000000000001</v>
      </c>
      <c r="K1374" s="2">
        <v>0.48799999999999999</v>
      </c>
      <c r="L1374" s="2">
        <v>-7.274</v>
      </c>
    </row>
    <row r="1375" spans="1:12" x14ac:dyDescent="0.25">
      <c r="A1375">
        <v>120</v>
      </c>
      <c r="B1375">
        <v>5</v>
      </c>
      <c r="C1375" s="3">
        <v>4730891</v>
      </c>
      <c r="D1375" s="4">
        <v>13312073</v>
      </c>
      <c r="E1375">
        <v>58</v>
      </c>
      <c r="F1375" s="2">
        <v>0.66800000000000004</v>
      </c>
      <c r="G1375" s="2">
        <v>0.68400000000000005</v>
      </c>
      <c r="H1375" s="2">
        <v>5.2699999999999997E-2</v>
      </c>
      <c r="I1375" s="2">
        <v>0.627</v>
      </c>
      <c r="J1375" s="2">
        <v>0.92300000000000004</v>
      </c>
      <c r="K1375" s="2">
        <v>0.7</v>
      </c>
      <c r="L1375" s="2">
        <v>-5.9370000000000003</v>
      </c>
    </row>
    <row r="1376" spans="1:12" x14ac:dyDescent="0.25">
      <c r="A1376">
        <v>180</v>
      </c>
      <c r="B1376">
        <v>1</v>
      </c>
      <c r="C1376" s="3">
        <v>4625985</v>
      </c>
      <c r="D1376" s="4">
        <v>6514102</v>
      </c>
      <c r="E1376">
        <v>58</v>
      </c>
      <c r="F1376" s="2">
        <v>0.84099999999999997</v>
      </c>
      <c r="G1376" s="2">
        <v>0.54100000000000004</v>
      </c>
      <c r="H1376" s="2">
        <v>0.22900000000000001</v>
      </c>
      <c r="I1376" s="2">
        <v>1.8599999999999998E-2</v>
      </c>
      <c r="J1376" s="2">
        <v>0.123</v>
      </c>
      <c r="K1376" s="2">
        <v>0.42</v>
      </c>
      <c r="L1376" s="2">
        <v>-7.1210000000000004</v>
      </c>
    </row>
    <row r="1377" spans="1:12" x14ac:dyDescent="0.25">
      <c r="A1377">
        <v>66</v>
      </c>
      <c r="B1377">
        <v>1</v>
      </c>
      <c r="C1377" s="3">
        <v>8859168</v>
      </c>
      <c r="D1377" s="4">
        <v>6837946</v>
      </c>
      <c r="E1377">
        <v>57</v>
      </c>
      <c r="F1377" s="2">
        <v>0.66200000000000003</v>
      </c>
      <c r="G1377" s="2">
        <v>0.68600000000000005</v>
      </c>
      <c r="H1377" s="2">
        <v>0.33200000000000002</v>
      </c>
      <c r="I1377" s="2">
        <v>0.251</v>
      </c>
      <c r="J1377" s="2">
        <v>0.34899999999999998</v>
      </c>
      <c r="K1377" s="2">
        <v>0.67800000000000005</v>
      </c>
      <c r="L1377" s="2">
        <v>-8.3019999999999996</v>
      </c>
    </row>
    <row r="1378" spans="1:12" x14ac:dyDescent="0.25">
      <c r="A1378">
        <v>93</v>
      </c>
      <c r="B1378">
        <v>1</v>
      </c>
      <c r="C1378" s="3">
        <v>8219307</v>
      </c>
      <c r="D1378" s="4">
        <v>11821805</v>
      </c>
      <c r="E1378">
        <v>57</v>
      </c>
      <c r="F1378" s="2">
        <v>0.70199999999999996</v>
      </c>
      <c r="G1378" s="2">
        <v>0.76800000000000002</v>
      </c>
      <c r="H1378" s="2">
        <v>6.6900000000000001E-2</v>
      </c>
      <c r="I1378" s="2">
        <v>0.54100000000000004</v>
      </c>
      <c r="J1378" s="2">
        <v>0.105</v>
      </c>
      <c r="K1378" s="2">
        <v>0.57399999999999995</v>
      </c>
      <c r="L1378" s="2">
        <v>-4.0549999999999997</v>
      </c>
    </row>
    <row r="1379" spans="1:12" x14ac:dyDescent="0.25">
      <c r="A1379">
        <v>100</v>
      </c>
      <c r="B1379">
        <v>1</v>
      </c>
      <c r="C1379" s="3">
        <v>8030151</v>
      </c>
      <c r="D1379" s="4">
        <v>46814751</v>
      </c>
      <c r="E1379">
        <v>57</v>
      </c>
      <c r="F1379" s="2">
        <v>0.42899999999999999</v>
      </c>
      <c r="G1379" s="2">
        <v>0.23100000000000001</v>
      </c>
      <c r="H1379" s="2">
        <v>0.40200000000000002</v>
      </c>
      <c r="I1379" s="2">
        <v>0.878</v>
      </c>
      <c r="J1379" s="2">
        <v>0.27900000000000003</v>
      </c>
      <c r="K1379" s="2">
        <v>0.91400000000000003</v>
      </c>
      <c r="L1379" s="2">
        <v>-20.43</v>
      </c>
    </row>
    <row r="1380" spans="1:12" x14ac:dyDescent="0.25">
      <c r="A1380">
        <v>102</v>
      </c>
      <c r="B1380">
        <v>1</v>
      </c>
      <c r="C1380" s="3">
        <v>7828045</v>
      </c>
      <c r="D1380" s="4">
        <v>11821805</v>
      </c>
      <c r="E1380">
        <v>57</v>
      </c>
      <c r="F1380" s="2">
        <v>0.73399999999999999</v>
      </c>
      <c r="G1380" s="2">
        <v>0.70299999999999996</v>
      </c>
      <c r="H1380" s="2">
        <v>0.35499999999999998</v>
      </c>
      <c r="I1380" s="2">
        <v>0.23699999999999999</v>
      </c>
      <c r="J1380" s="2">
        <v>0.41299999999999998</v>
      </c>
      <c r="K1380" s="2">
        <v>0.60799999999999998</v>
      </c>
      <c r="L1380" s="2">
        <v>-6.2560000000000002</v>
      </c>
    </row>
    <row r="1381" spans="1:12" x14ac:dyDescent="0.25">
      <c r="A1381">
        <v>122</v>
      </c>
      <c r="B1381">
        <v>1</v>
      </c>
      <c r="C1381" s="3">
        <v>7053947</v>
      </c>
      <c r="D1381" s="4">
        <v>11821805</v>
      </c>
      <c r="E1381">
        <v>57</v>
      </c>
      <c r="F1381" s="2">
        <v>0.80300000000000005</v>
      </c>
      <c r="G1381" s="2">
        <v>0.71899999999999997</v>
      </c>
      <c r="H1381" s="2">
        <v>0.39200000000000002</v>
      </c>
      <c r="I1381" s="2">
        <v>0.34399999999999997</v>
      </c>
      <c r="J1381" s="2">
        <v>0.42499999999999999</v>
      </c>
      <c r="K1381" s="2">
        <v>0.54900000000000004</v>
      </c>
      <c r="L1381" s="2">
        <v>-4.4850000000000003</v>
      </c>
    </row>
    <row r="1382" spans="1:12" x14ac:dyDescent="0.25">
      <c r="A1382">
        <v>89</v>
      </c>
      <c r="B1382">
        <v>1</v>
      </c>
      <c r="C1382" s="3">
        <v>6894756</v>
      </c>
      <c r="D1382" s="4">
        <v>56327031</v>
      </c>
      <c r="E1382">
        <v>57</v>
      </c>
      <c r="F1382" s="2">
        <v>0.55100000000000005</v>
      </c>
      <c r="G1382" s="2">
        <v>0.56999999999999995</v>
      </c>
      <c r="H1382" s="2">
        <v>0.35099999999999998</v>
      </c>
      <c r="I1382" s="2">
        <v>0.28000000000000003</v>
      </c>
      <c r="J1382" s="2">
        <v>0.42399999999999999</v>
      </c>
      <c r="K1382" s="2">
        <v>0.505</v>
      </c>
      <c r="L1382" s="2">
        <v>-7.3849999999999998</v>
      </c>
    </row>
    <row r="1383" spans="1:12" x14ac:dyDescent="0.25">
      <c r="A1383">
        <v>152</v>
      </c>
      <c r="B1383">
        <v>1</v>
      </c>
      <c r="C1383" s="3">
        <v>6763705</v>
      </c>
      <c r="D1383" s="4">
        <v>5002317</v>
      </c>
      <c r="E1383">
        <v>57</v>
      </c>
      <c r="F1383" s="2">
        <v>0.625</v>
      </c>
      <c r="G1383" s="2">
        <v>0.58099999999999996</v>
      </c>
      <c r="H1383" s="2">
        <v>3.1600000000000003E-2</v>
      </c>
      <c r="I1383" s="2">
        <v>0.55300000000000005</v>
      </c>
      <c r="J1383" s="2">
        <v>0.254</v>
      </c>
      <c r="K1383" s="2">
        <v>0.26700000000000002</v>
      </c>
      <c r="L1383" s="2">
        <v>-7.1</v>
      </c>
    </row>
    <row r="1384" spans="1:12" x14ac:dyDescent="0.25">
      <c r="A1384">
        <v>122</v>
      </c>
      <c r="B1384">
        <v>1</v>
      </c>
      <c r="C1384" s="3">
        <v>6341141</v>
      </c>
      <c r="D1384" s="4">
        <v>942380</v>
      </c>
      <c r="E1384">
        <v>57</v>
      </c>
      <c r="F1384" s="2">
        <v>0.67700000000000005</v>
      </c>
      <c r="G1384" s="2">
        <v>0.63300000000000001</v>
      </c>
      <c r="H1384" s="2">
        <v>4.6699999999999998E-2</v>
      </c>
      <c r="I1384" s="2">
        <v>0.111</v>
      </c>
      <c r="J1384" s="2">
        <v>0.217</v>
      </c>
      <c r="K1384" s="2">
        <v>0.40400000000000003</v>
      </c>
      <c r="L1384" s="2">
        <v>-7.3529999999999998</v>
      </c>
    </row>
    <row r="1385" spans="1:12" x14ac:dyDescent="0.25">
      <c r="A1385">
        <v>138</v>
      </c>
      <c r="B1385">
        <v>1</v>
      </c>
      <c r="C1385" s="3">
        <v>5846760</v>
      </c>
      <c r="D1385" s="4">
        <v>9949044</v>
      </c>
      <c r="E1385">
        <v>57</v>
      </c>
      <c r="F1385" s="2">
        <v>0.82099999999999995</v>
      </c>
      <c r="G1385" s="2">
        <v>0.67100000000000004</v>
      </c>
      <c r="H1385" s="2">
        <v>0.18</v>
      </c>
      <c r="I1385" s="2">
        <v>8.43E-3</v>
      </c>
      <c r="J1385" s="2">
        <v>9.7199999999999995E-2</v>
      </c>
      <c r="K1385" s="2">
        <v>0.49399999999999999</v>
      </c>
      <c r="L1385" s="2">
        <v>-5.8929999999999998</v>
      </c>
    </row>
    <row r="1386" spans="1:12" x14ac:dyDescent="0.25">
      <c r="A1386">
        <v>104</v>
      </c>
      <c r="B1386">
        <v>1</v>
      </c>
      <c r="C1386" s="3">
        <v>5827600</v>
      </c>
      <c r="D1386" s="4">
        <v>4093115</v>
      </c>
      <c r="E1386">
        <v>57</v>
      </c>
      <c r="F1386" s="2">
        <v>0.498</v>
      </c>
      <c r="G1386" s="2">
        <v>0.83599999999999997</v>
      </c>
      <c r="H1386" s="2">
        <v>0.184</v>
      </c>
      <c r="I1386" s="2">
        <v>0.52500000000000002</v>
      </c>
      <c r="J1386" s="2">
        <v>9.9400000000000002E-2</v>
      </c>
      <c r="K1386" s="2">
        <v>0.60899999999999999</v>
      </c>
      <c r="L1386" s="2">
        <v>-3.9049999999999998</v>
      </c>
    </row>
    <row r="1387" spans="1:12" x14ac:dyDescent="0.25">
      <c r="A1387">
        <v>154</v>
      </c>
      <c r="B1387">
        <v>4</v>
      </c>
      <c r="C1387" s="3">
        <v>5510844</v>
      </c>
      <c r="D1387" s="4">
        <v>28017</v>
      </c>
      <c r="E1387">
        <v>57</v>
      </c>
      <c r="F1387" s="2">
        <v>0.81399999999999995</v>
      </c>
      <c r="G1387" s="2">
        <v>0.755</v>
      </c>
      <c r="H1387" s="2">
        <v>9.4200000000000006E-2</v>
      </c>
      <c r="I1387" s="2">
        <v>0.23899999999999999</v>
      </c>
      <c r="J1387" s="2">
        <v>0.30599999999999999</v>
      </c>
      <c r="K1387" s="2">
        <v>0.96299999999999997</v>
      </c>
      <c r="L1387" s="2">
        <v>-6.1639999999999997</v>
      </c>
    </row>
    <row r="1388" spans="1:12" x14ac:dyDescent="0.25">
      <c r="A1388">
        <v>160</v>
      </c>
      <c r="B1388">
        <v>1</v>
      </c>
      <c r="C1388" s="3">
        <v>5503902</v>
      </c>
      <c r="D1388" s="4">
        <v>5865895</v>
      </c>
      <c r="E1388">
        <v>57</v>
      </c>
      <c r="F1388" s="2">
        <v>0.68700000000000006</v>
      </c>
      <c r="G1388" s="2">
        <v>0.59199999999999997</v>
      </c>
      <c r="H1388" s="2">
        <v>0.224</v>
      </c>
      <c r="I1388" s="2">
        <v>0.20300000000000001</v>
      </c>
      <c r="J1388" s="2">
        <v>0.27900000000000003</v>
      </c>
      <c r="K1388" s="2">
        <v>0.246</v>
      </c>
      <c r="L1388" s="2">
        <v>-6.3780000000000001</v>
      </c>
    </row>
    <row r="1389" spans="1:12" x14ac:dyDescent="0.25">
      <c r="A1389">
        <v>153</v>
      </c>
      <c r="B1389">
        <v>1</v>
      </c>
      <c r="C1389" s="3">
        <v>5415044</v>
      </c>
      <c r="D1389" s="4">
        <v>11821805</v>
      </c>
      <c r="E1389">
        <v>57</v>
      </c>
      <c r="F1389" s="2">
        <v>0.76200000000000001</v>
      </c>
      <c r="G1389" s="2">
        <v>0.622</v>
      </c>
      <c r="H1389" s="2">
        <v>0.223</v>
      </c>
      <c r="I1389" s="2">
        <v>0.35199999999999998</v>
      </c>
      <c r="J1389" s="2">
        <v>0.14499999999999999</v>
      </c>
      <c r="K1389" s="2">
        <v>0.626</v>
      </c>
      <c r="L1389" s="2">
        <v>-6.2930000000000001</v>
      </c>
    </row>
    <row r="1390" spans="1:12" x14ac:dyDescent="0.25">
      <c r="A1390">
        <v>164</v>
      </c>
      <c r="B1390">
        <v>1</v>
      </c>
      <c r="C1390" s="3">
        <v>5297101</v>
      </c>
      <c r="D1390" s="4">
        <v>1045091</v>
      </c>
      <c r="E1390">
        <v>57</v>
      </c>
      <c r="F1390" s="2">
        <v>0.70699999999999996</v>
      </c>
      <c r="G1390" s="2">
        <v>0.747</v>
      </c>
      <c r="H1390" s="2">
        <v>0.27900000000000003</v>
      </c>
      <c r="I1390" s="2">
        <v>0.307</v>
      </c>
      <c r="J1390" s="2">
        <v>0.183</v>
      </c>
      <c r="K1390" s="2">
        <v>0.49099999999999999</v>
      </c>
      <c r="L1390" s="2">
        <v>-5.2119999999999997</v>
      </c>
    </row>
    <row r="1391" spans="1:12" x14ac:dyDescent="0.25">
      <c r="A1391">
        <v>128</v>
      </c>
      <c r="B1391">
        <v>1</v>
      </c>
      <c r="C1391" s="3">
        <v>5290730</v>
      </c>
      <c r="D1391" s="4">
        <v>1045091</v>
      </c>
      <c r="E1391">
        <v>57</v>
      </c>
      <c r="F1391" s="2">
        <v>0.628</v>
      </c>
      <c r="G1391" s="2">
        <v>0.71199999999999997</v>
      </c>
      <c r="H1391" s="2">
        <v>0.156</v>
      </c>
      <c r="I1391" s="2">
        <v>0.28199999999999997</v>
      </c>
      <c r="J1391" s="2">
        <v>0.156</v>
      </c>
      <c r="K1391" s="2">
        <v>0.45</v>
      </c>
      <c r="L1391" s="2">
        <v>-4.8639999999999999</v>
      </c>
    </row>
    <row r="1392" spans="1:12" x14ac:dyDescent="0.25">
      <c r="A1392">
        <v>187</v>
      </c>
      <c r="B1392">
        <v>1</v>
      </c>
      <c r="C1392" s="3">
        <v>5037967</v>
      </c>
      <c r="D1392" s="4">
        <v>862965</v>
      </c>
      <c r="E1392">
        <v>57</v>
      </c>
      <c r="F1392" s="2">
        <v>0.93300000000000005</v>
      </c>
      <c r="G1392" s="2">
        <v>0.44800000000000001</v>
      </c>
      <c r="H1392" s="2">
        <v>0.13600000000000001</v>
      </c>
      <c r="I1392" s="2">
        <v>2.53E-2</v>
      </c>
      <c r="J1392" s="2">
        <v>0.104</v>
      </c>
      <c r="K1392" s="2">
        <v>0.73699999999999999</v>
      </c>
      <c r="L1392" s="2">
        <v>-4.4909999999999997</v>
      </c>
    </row>
    <row r="1393" spans="1:12" x14ac:dyDescent="0.25">
      <c r="A1393">
        <v>197</v>
      </c>
      <c r="B1393">
        <v>1</v>
      </c>
      <c r="C1393" s="3">
        <v>4853661</v>
      </c>
      <c r="D1393" s="4">
        <v>9949044</v>
      </c>
      <c r="E1393">
        <v>57</v>
      </c>
      <c r="F1393" s="2">
        <v>0.84899999999999998</v>
      </c>
      <c r="G1393" s="2">
        <v>0.63500000000000001</v>
      </c>
      <c r="H1393" s="2">
        <v>0.254</v>
      </c>
      <c r="I1393" s="2">
        <v>6.0800000000000003E-4</v>
      </c>
      <c r="J1393" s="2">
        <v>6.2E-2</v>
      </c>
      <c r="K1393" s="2">
        <v>0.79800000000000004</v>
      </c>
      <c r="L1393" s="2">
        <v>-4.0679999999999996</v>
      </c>
    </row>
    <row r="1394" spans="1:12" x14ac:dyDescent="0.25">
      <c r="A1394">
        <v>188</v>
      </c>
      <c r="B1394">
        <v>1</v>
      </c>
      <c r="C1394" s="3">
        <v>4831405</v>
      </c>
      <c r="D1394" s="4">
        <v>11821805</v>
      </c>
      <c r="E1394">
        <v>57</v>
      </c>
      <c r="F1394" s="2">
        <v>0.81699999999999995</v>
      </c>
      <c r="G1394" s="2">
        <v>0.65600000000000003</v>
      </c>
      <c r="H1394" s="2">
        <v>0.27700000000000002</v>
      </c>
      <c r="I1394" s="2">
        <v>5.0999999999999997E-2</v>
      </c>
      <c r="J1394" s="2">
        <v>0.115</v>
      </c>
      <c r="K1394" s="2">
        <v>0.314</v>
      </c>
      <c r="L1394" s="2">
        <v>-7.0860000000000003</v>
      </c>
    </row>
    <row r="1395" spans="1:12" x14ac:dyDescent="0.25">
      <c r="A1395">
        <v>180</v>
      </c>
      <c r="B1395">
        <v>1</v>
      </c>
      <c r="C1395" s="3">
        <v>4616034</v>
      </c>
      <c r="D1395" s="4">
        <v>7601122</v>
      </c>
      <c r="E1395">
        <v>57</v>
      </c>
      <c r="F1395" s="2">
        <v>0.875</v>
      </c>
      <c r="G1395" s="2">
        <v>0.68700000000000006</v>
      </c>
      <c r="H1395" s="2">
        <v>0.38700000000000001</v>
      </c>
      <c r="I1395" s="2">
        <v>0.23599999999999999</v>
      </c>
      <c r="J1395" s="2">
        <v>0.14099999999999999</v>
      </c>
      <c r="K1395" s="2">
        <v>0.86399999999999999</v>
      </c>
      <c r="L1395" s="2">
        <v>-5.734</v>
      </c>
    </row>
    <row r="1396" spans="1:12" x14ac:dyDescent="0.25">
      <c r="A1396">
        <v>7</v>
      </c>
      <c r="B1396">
        <v>7</v>
      </c>
      <c r="C1396" s="3">
        <v>16527404</v>
      </c>
      <c r="D1396" s="4">
        <v>20637</v>
      </c>
      <c r="E1396">
        <v>56</v>
      </c>
      <c r="F1396" s="2">
        <v>0.754</v>
      </c>
      <c r="G1396" s="2">
        <v>0.42399999999999999</v>
      </c>
      <c r="H1396" s="2">
        <v>3.6299999999999999E-2</v>
      </c>
      <c r="I1396" s="2">
        <v>0.64300000000000002</v>
      </c>
      <c r="J1396" s="2">
        <v>6.5199999999999994E-2</v>
      </c>
      <c r="K1396" s="2">
        <v>0.80600000000000005</v>
      </c>
      <c r="L1396" s="2">
        <v>-8.4629999999999992</v>
      </c>
    </row>
    <row r="1397" spans="1:12" x14ac:dyDescent="0.25">
      <c r="A1397">
        <v>90</v>
      </c>
      <c r="B1397">
        <v>1</v>
      </c>
      <c r="C1397" s="3">
        <v>7394604</v>
      </c>
      <c r="D1397" s="4">
        <v>28931149</v>
      </c>
      <c r="E1397">
        <v>56</v>
      </c>
      <c r="F1397" s="2">
        <v>0.78400000000000003</v>
      </c>
      <c r="G1397" s="2">
        <v>0.55200000000000005</v>
      </c>
      <c r="H1397" s="2">
        <v>8.7099999999999997E-2</v>
      </c>
      <c r="I1397" s="2">
        <v>4.4699999999999997E-2</v>
      </c>
      <c r="J1397" s="2">
        <v>0.192</v>
      </c>
      <c r="K1397" s="2">
        <v>0.46500000000000002</v>
      </c>
      <c r="L1397" s="2">
        <v>-7.2610000000000001</v>
      </c>
    </row>
    <row r="1398" spans="1:12" x14ac:dyDescent="0.25">
      <c r="A1398">
        <v>87</v>
      </c>
      <c r="B1398">
        <v>1</v>
      </c>
      <c r="C1398" s="3">
        <v>7371935</v>
      </c>
      <c r="D1398" s="4">
        <v>6837946</v>
      </c>
      <c r="E1398">
        <v>56</v>
      </c>
      <c r="F1398" s="2">
        <v>0.56299999999999994</v>
      </c>
      <c r="G1398" s="2">
        <v>0.67200000000000004</v>
      </c>
      <c r="H1398" s="2">
        <v>7.6499999999999999E-2</v>
      </c>
      <c r="I1398" s="2">
        <v>0.35899999999999999</v>
      </c>
      <c r="J1398" s="2">
        <v>9.7199999999999995E-2</v>
      </c>
      <c r="K1398" s="2">
        <v>0.28399999999999997</v>
      </c>
      <c r="L1398" s="2">
        <v>-7.226</v>
      </c>
    </row>
    <row r="1399" spans="1:12" x14ac:dyDescent="0.25">
      <c r="A1399">
        <v>122</v>
      </c>
      <c r="B1399">
        <v>1</v>
      </c>
      <c r="C1399" s="3">
        <v>5995116</v>
      </c>
      <c r="D1399" s="4">
        <v>561372</v>
      </c>
      <c r="E1399">
        <v>56</v>
      </c>
      <c r="F1399" s="2">
        <v>0.82</v>
      </c>
      <c r="G1399" s="2">
        <v>0.78300000000000003</v>
      </c>
      <c r="H1399" s="2">
        <v>6.2100000000000002E-2</v>
      </c>
      <c r="I1399" s="2">
        <v>1.5800000000000002E-2</v>
      </c>
      <c r="J1399" s="2">
        <v>9.3799999999999994E-2</v>
      </c>
      <c r="K1399" s="2">
        <v>0.65300000000000002</v>
      </c>
      <c r="L1399" s="2">
        <v>-6.1459999999999999</v>
      </c>
    </row>
    <row r="1400" spans="1:12" x14ac:dyDescent="0.25">
      <c r="A1400">
        <v>171</v>
      </c>
      <c r="B1400">
        <v>1</v>
      </c>
      <c r="C1400" s="3">
        <v>5842320</v>
      </c>
      <c r="D1400" s="4">
        <v>36177712</v>
      </c>
      <c r="E1400">
        <v>56</v>
      </c>
      <c r="F1400" s="2">
        <v>0.76400000000000001</v>
      </c>
      <c r="G1400" s="2">
        <v>0.52300000000000002</v>
      </c>
      <c r="H1400" s="2">
        <v>4.0599999999999997E-2</v>
      </c>
      <c r="I1400" s="2">
        <v>0.77700000000000002</v>
      </c>
      <c r="J1400" s="2">
        <v>0.35199999999999998</v>
      </c>
      <c r="K1400" s="2">
        <v>0.96199999999999997</v>
      </c>
      <c r="L1400" s="2">
        <v>-7.3710000000000004</v>
      </c>
    </row>
    <row r="1401" spans="1:12" x14ac:dyDescent="0.25">
      <c r="A1401">
        <v>153</v>
      </c>
      <c r="B1401">
        <v>1</v>
      </c>
      <c r="C1401" s="3">
        <v>5445204</v>
      </c>
      <c r="D1401" s="4">
        <v>10491105</v>
      </c>
      <c r="E1401">
        <v>56</v>
      </c>
      <c r="F1401" s="2">
        <v>0.75800000000000001</v>
      </c>
      <c r="G1401" s="2">
        <v>0.57399999999999995</v>
      </c>
      <c r="H1401" s="2">
        <v>0.217</v>
      </c>
      <c r="I1401" s="2">
        <v>0.216</v>
      </c>
      <c r="J1401" s="2">
        <v>0.14399999999999999</v>
      </c>
      <c r="K1401" s="2">
        <v>0.70599999999999996</v>
      </c>
      <c r="L1401" s="2">
        <v>-7.8330000000000002</v>
      </c>
    </row>
    <row r="1402" spans="1:12" x14ac:dyDescent="0.25">
      <c r="A1402">
        <v>145</v>
      </c>
      <c r="B1402">
        <v>1</v>
      </c>
      <c r="C1402" s="3">
        <v>5440253</v>
      </c>
      <c r="D1402" s="4">
        <v>4093115</v>
      </c>
      <c r="E1402">
        <v>56</v>
      </c>
      <c r="F1402" s="2">
        <v>0.74399999999999999</v>
      </c>
      <c r="G1402" s="2">
        <v>0.64400000000000002</v>
      </c>
      <c r="H1402" s="2">
        <v>6.4100000000000004E-2</v>
      </c>
      <c r="I1402" s="2">
        <v>0.22900000000000001</v>
      </c>
      <c r="J1402" s="2">
        <v>0.20399999999999999</v>
      </c>
      <c r="K1402" s="2">
        <v>0.57699999999999996</v>
      </c>
      <c r="L1402" s="2">
        <v>-5.5620000000000003</v>
      </c>
    </row>
    <row r="1403" spans="1:12" x14ac:dyDescent="0.25">
      <c r="A1403">
        <v>143</v>
      </c>
      <c r="B1403">
        <v>1</v>
      </c>
      <c r="C1403" s="3">
        <v>5363493</v>
      </c>
      <c r="D1403" s="4">
        <v>437907</v>
      </c>
      <c r="E1403">
        <v>56</v>
      </c>
      <c r="F1403" s="2">
        <v>0.41299999999999998</v>
      </c>
      <c r="G1403" s="2">
        <v>0.13</v>
      </c>
      <c r="H1403" s="2">
        <v>3.3599999999999998E-2</v>
      </c>
      <c r="I1403" s="2">
        <v>0.9</v>
      </c>
      <c r="J1403" s="2">
        <v>0.111</v>
      </c>
      <c r="K1403" s="2">
        <v>6.7599999999999993E-2</v>
      </c>
      <c r="L1403" s="2">
        <v>-25.166</v>
      </c>
    </row>
    <row r="1404" spans="1:12" x14ac:dyDescent="0.25">
      <c r="A1404">
        <v>175</v>
      </c>
      <c r="B1404">
        <v>1</v>
      </c>
      <c r="C1404" s="3">
        <v>5279739</v>
      </c>
      <c r="D1404" s="4">
        <v>5064200</v>
      </c>
      <c r="E1404">
        <v>56</v>
      </c>
      <c r="F1404" s="2">
        <v>0.60199999999999998</v>
      </c>
      <c r="G1404" s="2">
        <v>0.88</v>
      </c>
      <c r="H1404" s="2">
        <v>3.5400000000000001E-2</v>
      </c>
      <c r="I1404" s="2">
        <v>5.7000000000000002E-2</v>
      </c>
      <c r="J1404" s="2">
        <v>0.28399999999999997</v>
      </c>
      <c r="K1404" s="2">
        <v>0.49299999999999999</v>
      </c>
      <c r="L1404" s="2">
        <v>-5.4139999999999997</v>
      </c>
    </row>
    <row r="1405" spans="1:12" x14ac:dyDescent="0.25">
      <c r="A1405">
        <v>183</v>
      </c>
      <c r="B1405">
        <v>1</v>
      </c>
      <c r="C1405" s="3">
        <v>5029979</v>
      </c>
      <c r="D1405" s="4">
        <v>2010879</v>
      </c>
      <c r="E1405">
        <v>56</v>
      </c>
      <c r="F1405" s="2">
        <v>0.64200000000000002</v>
      </c>
      <c r="G1405" s="2">
        <v>0.66900000000000004</v>
      </c>
      <c r="H1405" s="2">
        <v>4.8599999999999997E-2</v>
      </c>
      <c r="I1405" s="2">
        <v>0.318</v>
      </c>
      <c r="J1405" s="2">
        <v>0.11899999999999999</v>
      </c>
      <c r="K1405" s="2">
        <v>0.22700000000000001</v>
      </c>
      <c r="L1405" s="2">
        <v>-5.774</v>
      </c>
    </row>
    <row r="1406" spans="1:12" x14ac:dyDescent="0.25">
      <c r="A1406">
        <v>192</v>
      </c>
      <c r="B1406">
        <v>1</v>
      </c>
      <c r="C1406" s="3">
        <v>4872077</v>
      </c>
      <c r="D1406" s="4">
        <v>1045091</v>
      </c>
      <c r="E1406">
        <v>56</v>
      </c>
      <c r="F1406" s="2">
        <v>0.6</v>
      </c>
      <c r="G1406" s="2">
        <v>0.52500000000000002</v>
      </c>
      <c r="H1406" s="2">
        <v>0.42299999999999999</v>
      </c>
      <c r="I1406" s="2">
        <v>0.39300000000000002</v>
      </c>
      <c r="J1406" s="2">
        <v>0.111</v>
      </c>
      <c r="K1406" s="2">
        <v>0.436</v>
      </c>
      <c r="L1406" s="2">
        <v>-6.585</v>
      </c>
    </row>
    <row r="1407" spans="1:12" x14ac:dyDescent="0.25">
      <c r="A1407">
        <v>156</v>
      </c>
      <c r="B1407">
        <v>1</v>
      </c>
      <c r="C1407" s="3">
        <v>4861875</v>
      </c>
      <c r="D1407" s="4">
        <v>7601122</v>
      </c>
      <c r="E1407">
        <v>56</v>
      </c>
      <c r="F1407" s="2">
        <v>0.93200000000000005</v>
      </c>
      <c r="G1407" s="2">
        <v>0.57799999999999996</v>
      </c>
      <c r="H1407" s="2">
        <v>0.36599999999999999</v>
      </c>
      <c r="I1407" s="2">
        <v>0.115</v>
      </c>
      <c r="J1407" s="2">
        <v>0.115</v>
      </c>
      <c r="K1407" s="2">
        <v>0.623</v>
      </c>
      <c r="L1407" s="2">
        <v>-4.4779999999999998</v>
      </c>
    </row>
    <row r="1408" spans="1:12" x14ac:dyDescent="0.25">
      <c r="A1408">
        <v>166</v>
      </c>
      <c r="B1408">
        <v>1</v>
      </c>
      <c r="C1408" s="3">
        <v>4701551</v>
      </c>
      <c r="D1408" s="4">
        <v>11821805</v>
      </c>
      <c r="E1408">
        <v>56</v>
      </c>
      <c r="F1408" s="2">
        <v>0.85899999999999999</v>
      </c>
      <c r="G1408" s="2">
        <v>0.47699999999999998</v>
      </c>
      <c r="H1408" s="2">
        <v>0.42799999999999999</v>
      </c>
      <c r="I1408" s="2">
        <v>4.1399999999999996E-3</v>
      </c>
      <c r="J1408" s="2">
        <v>8.1900000000000001E-2</v>
      </c>
      <c r="K1408" s="2">
        <v>0.153</v>
      </c>
      <c r="L1408" s="2">
        <v>-6.1159999999999997</v>
      </c>
    </row>
    <row r="1409" spans="1:12" x14ac:dyDescent="0.25">
      <c r="A1409">
        <v>6</v>
      </c>
      <c r="B1409">
        <v>7</v>
      </c>
      <c r="C1409" s="3">
        <v>15424001</v>
      </c>
      <c r="D1409" s="4">
        <v>4702232</v>
      </c>
      <c r="E1409">
        <v>55</v>
      </c>
      <c r="F1409" s="2">
        <v>0.33900000000000002</v>
      </c>
      <c r="G1409" s="2">
        <v>0.214</v>
      </c>
      <c r="H1409" s="2">
        <v>3.7499999999999999E-2</v>
      </c>
      <c r="I1409" s="2">
        <v>0.90800000000000003</v>
      </c>
      <c r="J1409" s="2">
        <v>0.34100000000000003</v>
      </c>
      <c r="K1409" s="2">
        <v>0.36299999999999999</v>
      </c>
      <c r="L1409" s="2">
        <v>-11.714</v>
      </c>
    </row>
    <row r="1410" spans="1:12" x14ac:dyDescent="0.25">
      <c r="A1410">
        <v>8</v>
      </c>
      <c r="B1410">
        <v>7</v>
      </c>
      <c r="C1410" s="3">
        <v>14582001</v>
      </c>
      <c r="D1410" s="4">
        <v>369548</v>
      </c>
      <c r="E1410">
        <v>55</v>
      </c>
      <c r="F1410" s="2">
        <v>0.24</v>
      </c>
      <c r="G1410" s="2">
        <v>0.59799999999999998</v>
      </c>
      <c r="H1410" s="2">
        <v>3.6900000000000002E-2</v>
      </c>
      <c r="I1410" s="2">
        <v>0.76600000000000001</v>
      </c>
      <c r="J1410" s="2">
        <v>0.11700000000000001</v>
      </c>
      <c r="K1410" s="2">
        <v>0.77600000000000002</v>
      </c>
      <c r="L1410" s="2">
        <v>-8.4350000000000005</v>
      </c>
    </row>
    <row r="1411" spans="1:12" x14ac:dyDescent="0.25">
      <c r="A1411">
        <v>87</v>
      </c>
      <c r="B1411">
        <v>1</v>
      </c>
      <c r="C1411" s="3">
        <v>7531094</v>
      </c>
      <c r="D1411" s="4">
        <v>28931149</v>
      </c>
      <c r="E1411">
        <v>55</v>
      </c>
      <c r="F1411" s="2">
        <v>0.69499999999999995</v>
      </c>
      <c r="G1411" s="2">
        <v>0.57299999999999995</v>
      </c>
      <c r="H1411" s="2">
        <v>0.16700000000000001</v>
      </c>
      <c r="I1411" s="2">
        <v>0.13200000000000001</v>
      </c>
      <c r="J1411" s="2">
        <v>0.156</v>
      </c>
      <c r="K1411" s="2">
        <v>0.38</v>
      </c>
      <c r="L1411" s="2">
        <v>-8.8819999999999997</v>
      </c>
    </row>
    <row r="1412" spans="1:12" x14ac:dyDescent="0.25">
      <c r="A1412">
        <v>107</v>
      </c>
      <c r="B1412">
        <v>1</v>
      </c>
      <c r="C1412" s="3">
        <v>6693229</v>
      </c>
      <c r="D1412" s="4">
        <v>28931149</v>
      </c>
      <c r="E1412">
        <v>55</v>
      </c>
      <c r="F1412" s="2">
        <v>0.873</v>
      </c>
      <c r="G1412" s="2">
        <v>0.51</v>
      </c>
      <c r="H1412" s="2">
        <v>6.6100000000000006E-2</v>
      </c>
      <c r="I1412" s="2">
        <v>0.56499999999999995</v>
      </c>
      <c r="J1412" s="2">
        <v>7.3800000000000004E-2</v>
      </c>
      <c r="K1412" s="2">
        <v>0.871</v>
      </c>
      <c r="L1412" s="2">
        <v>-5.35</v>
      </c>
    </row>
    <row r="1413" spans="1:12" x14ac:dyDescent="0.25">
      <c r="A1413">
        <v>111</v>
      </c>
      <c r="B1413">
        <v>1</v>
      </c>
      <c r="C1413" s="3">
        <v>6483001</v>
      </c>
      <c r="D1413" s="4">
        <v>28931149</v>
      </c>
      <c r="E1413">
        <v>55</v>
      </c>
      <c r="F1413" s="2">
        <v>0.72399999999999998</v>
      </c>
      <c r="G1413" s="2">
        <v>0.41499999999999998</v>
      </c>
      <c r="H1413" s="2">
        <v>5.1799999999999999E-2</v>
      </c>
      <c r="I1413" s="2">
        <v>0.76400000000000001</v>
      </c>
      <c r="J1413" s="2">
        <v>0.10299999999999999</v>
      </c>
      <c r="K1413" s="2">
        <v>0.32800000000000001</v>
      </c>
      <c r="L1413" s="2">
        <v>-8.4079999999999995</v>
      </c>
    </row>
    <row r="1414" spans="1:12" x14ac:dyDescent="0.25">
      <c r="A1414">
        <v>47</v>
      </c>
      <c r="B1414">
        <v>5</v>
      </c>
      <c r="C1414" s="3">
        <v>6404964</v>
      </c>
      <c r="D1414" s="4">
        <v>382997</v>
      </c>
      <c r="E1414">
        <v>55</v>
      </c>
      <c r="F1414" s="2">
        <v>0.27100000000000002</v>
      </c>
      <c r="G1414" s="2">
        <v>0.55100000000000005</v>
      </c>
      <c r="H1414" s="2">
        <v>4.5699999999999998E-2</v>
      </c>
      <c r="I1414" s="2">
        <v>0.58199999999999996</v>
      </c>
      <c r="J1414" s="2">
        <v>0.25600000000000001</v>
      </c>
      <c r="K1414" s="2">
        <v>0.42799999999999999</v>
      </c>
      <c r="L1414" s="2">
        <v>-7.48</v>
      </c>
    </row>
    <row r="1415" spans="1:12" x14ac:dyDescent="0.25">
      <c r="A1415">
        <v>127</v>
      </c>
      <c r="B1415">
        <v>1</v>
      </c>
      <c r="C1415" s="3">
        <v>6238351</v>
      </c>
      <c r="D1415" s="4">
        <v>6837946</v>
      </c>
      <c r="E1415">
        <v>55</v>
      </c>
      <c r="F1415" s="2">
        <v>0.628</v>
      </c>
      <c r="G1415" s="2">
        <v>0.58099999999999996</v>
      </c>
      <c r="H1415" s="2">
        <v>0.188</v>
      </c>
      <c r="I1415" s="2">
        <v>0.46</v>
      </c>
      <c r="J1415" s="2">
        <v>0.152</v>
      </c>
      <c r="K1415" s="2">
        <v>0.25900000000000001</v>
      </c>
      <c r="L1415" s="2">
        <v>-8.3770000000000007</v>
      </c>
    </row>
    <row r="1416" spans="1:12" x14ac:dyDescent="0.25">
      <c r="A1416">
        <v>150</v>
      </c>
      <c r="B1416">
        <v>1</v>
      </c>
      <c r="C1416" s="3">
        <v>5822266</v>
      </c>
      <c r="D1416" s="4">
        <v>6837946</v>
      </c>
      <c r="E1416">
        <v>55</v>
      </c>
      <c r="F1416" s="2">
        <v>0.441</v>
      </c>
      <c r="G1416" s="2">
        <v>0.623</v>
      </c>
      <c r="H1416" s="2">
        <v>4.1399999999999999E-2</v>
      </c>
      <c r="I1416" s="2">
        <v>0.13500000000000001</v>
      </c>
      <c r="J1416" s="2">
        <v>0.14000000000000001</v>
      </c>
      <c r="K1416" s="2">
        <v>0.28499999999999998</v>
      </c>
      <c r="L1416" s="2">
        <v>-7.3310000000000004</v>
      </c>
    </row>
    <row r="1417" spans="1:12" x14ac:dyDescent="0.25">
      <c r="A1417">
        <v>151</v>
      </c>
      <c r="B1417">
        <v>1</v>
      </c>
      <c r="C1417" s="3">
        <v>5724739</v>
      </c>
      <c r="D1417" s="4">
        <v>1674348</v>
      </c>
      <c r="E1417">
        <v>55</v>
      </c>
      <c r="F1417" s="2">
        <v>0.78900000000000003</v>
      </c>
      <c r="G1417" s="2">
        <v>0.50900000000000001</v>
      </c>
      <c r="H1417" s="2">
        <v>0.29099999999999998</v>
      </c>
      <c r="I1417" s="2">
        <v>0.76800000000000002</v>
      </c>
      <c r="J1417" s="2">
        <v>0.27200000000000002</v>
      </c>
      <c r="K1417" s="2">
        <v>0.41799999999999998</v>
      </c>
      <c r="L1417" s="2">
        <v>-8.766</v>
      </c>
    </row>
    <row r="1418" spans="1:12" x14ac:dyDescent="0.25">
      <c r="A1418">
        <v>174</v>
      </c>
      <c r="B1418">
        <v>1</v>
      </c>
      <c r="C1418" s="3">
        <v>5263469</v>
      </c>
      <c r="D1418" s="4">
        <v>4430628</v>
      </c>
      <c r="E1418">
        <v>55</v>
      </c>
      <c r="F1418" s="2">
        <v>0.84599999999999997</v>
      </c>
      <c r="G1418" s="2">
        <v>0.68100000000000005</v>
      </c>
      <c r="H1418" s="2">
        <v>0.17399999999999999</v>
      </c>
      <c r="I1418" s="2">
        <v>4.6100000000000002E-2</v>
      </c>
      <c r="J1418" s="2">
        <v>0.112</v>
      </c>
      <c r="K1418" s="2">
        <v>0.80900000000000005</v>
      </c>
      <c r="L1418" s="2">
        <v>-7.0910000000000002</v>
      </c>
    </row>
    <row r="1419" spans="1:12" x14ac:dyDescent="0.25">
      <c r="A1419">
        <v>139</v>
      </c>
      <c r="B1419">
        <v>1</v>
      </c>
      <c r="C1419" s="3">
        <v>5029858</v>
      </c>
      <c r="D1419" s="4">
        <v>1101597</v>
      </c>
      <c r="E1419">
        <v>55</v>
      </c>
      <c r="F1419" s="2">
        <v>0.76100000000000001</v>
      </c>
      <c r="G1419" s="2">
        <v>0.65700000000000003</v>
      </c>
      <c r="H1419" s="2">
        <v>0.13800000000000001</v>
      </c>
      <c r="I1419" s="2">
        <v>0.114</v>
      </c>
      <c r="J1419" s="2">
        <v>0.35599999999999998</v>
      </c>
      <c r="K1419" s="2">
        <v>0.58899999999999997</v>
      </c>
      <c r="L1419" s="2">
        <v>-7.2460000000000004</v>
      </c>
    </row>
    <row r="1420" spans="1:12" x14ac:dyDescent="0.25">
      <c r="A1420">
        <v>59</v>
      </c>
      <c r="B1420">
        <v>6</v>
      </c>
      <c r="C1420" s="3">
        <v>4737306</v>
      </c>
      <c r="D1420" s="4">
        <v>2203386</v>
      </c>
      <c r="E1420">
        <v>55</v>
      </c>
      <c r="F1420" s="2">
        <v>0.90400000000000003</v>
      </c>
      <c r="G1420" s="2">
        <v>0.26</v>
      </c>
      <c r="H1420" s="2">
        <v>0.10100000000000001</v>
      </c>
      <c r="I1420" s="2">
        <v>0.27700000000000002</v>
      </c>
      <c r="J1420" s="2">
        <v>0.121</v>
      </c>
      <c r="K1420" s="2">
        <v>0.23100000000000001</v>
      </c>
      <c r="L1420" s="2">
        <v>-17.57</v>
      </c>
    </row>
    <row r="1421" spans="1:12" x14ac:dyDescent="0.25">
      <c r="A1421">
        <v>11</v>
      </c>
      <c r="B1421">
        <v>6</v>
      </c>
      <c r="C1421" s="3">
        <v>10884855</v>
      </c>
      <c r="D1421" s="4">
        <v>1139096</v>
      </c>
      <c r="E1421">
        <v>54</v>
      </c>
      <c r="F1421" s="2">
        <v>0.45100000000000001</v>
      </c>
      <c r="G1421" s="2">
        <v>0.24</v>
      </c>
      <c r="H1421" s="2">
        <v>3.5099999999999999E-2</v>
      </c>
      <c r="I1421" s="2">
        <v>0.91200000000000003</v>
      </c>
      <c r="J1421" s="2">
        <v>0.17499999999999999</v>
      </c>
      <c r="K1421" s="2">
        <v>0.70099999999999996</v>
      </c>
      <c r="L1421" s="2">
        <v>-14.013999999999999</v>
      </c>
    </row>
    <row r="1422" spans="1:12" x14ac:dyDescent="0.25">
      <c r="A1422">
        <v>86</v>
      </c>
      <c r="B1422">
        <v>1</v>
      </c>
      <c r="C1422" s="3">
        <v>6375562</v>
      </c>
      <c r="D1422" s="4">
        <v>1674348</v>
      </c>
      <c r="E1422">
        <v>54</v>
      </c>
      <c r="F1422" s="2">
        <v>0.53400000000000003</v>
      </c>
      <c r="G1422" s="2">
        <v>0.56499999999999995</v>
      </c>
      <c r="H1422" s="2">
        <v>0.307</v>
      </c>
      <c r="I1422" s="2">
        <v>6.2700000000000006E-2</v>
      </c>
      <c r="J1422" s="2">
        <v>0.112</v>
      </c>
      <c r="K1422" s="2">
        <v>0.52900000000000003</v>
      </c>
      <c r="L1422" s="2">
        <v>-7.5460000000000003</v>
      </c>
    </row>
    <row r="1423" spans="1:12" x14ac:dyDescent="0.25">
      <c r="A1423">
        <v>119</v>
      </c>
      <c r="B1423">
        <v>1</v>
      </c>
      <c r="C1423" s="3">
        <v>6255954</v>
      </c>
      <c r="D1423" s="4">
        <v>28931149</v>
      </c>
      <c r="E1423">
        <v>54</v>
      </c>
      <c r="F1423" s="2">
        <v>0.69499999999999995</v>
      </c>
      <c r="G1423" s="2">
        <v>0.62</v>
      </c>
      <c r="H1423" s="2">
        <v>5.21E-2</v>
      </c>
      <c r="I1423" s="2">
        <v>8.8099999999999998E-2</v>
      </c>
      <c r="J1423" s="2">
        <v>0.111</v>
      </c>
      <c r="K1423" s="2">
        <v>0.62</v>
      </c>
      <c r="L1423" s="2">
        <v>-8.0820000000000007</v>
      </c>
    </row>
    <row r="1424" spans="1:12" x14ac:dyDescent="0.25">
      <c r="A1424">
        <v>129</v>
      </c>
      <c r="B1424">
        <v>1</v>
      </c>
      <c r="C1424" s="3">
        <v>6161664</v>
      </c>
      <c r="D1424" s="4">
        <v>6837946</v>
      </c>
      <c r="E1424">
        <v>54</v>
      </c>
      <c r="F1424" s="2">
        <v>0.91200000000000003</v>
      </c>
      <c r="G1424" s="2">
        <v>0.58899999999999997</v>
      </c>
      <c r="H1424" s="2">
        <v>0.2</v>
      </c>
      <c r="I1424" s="2">
        <v>3.32E-2</v>
      </c>
      <c r="J1424" s="2">
        <v>7.9500000000000001E-2</v>
      </c>
      <c r="K1424" s="2">
        <v>0.48599999999999999</v>
      </c>
      <c r="L1424" s="2">
        <v>-7.476</v>
      </c>
    </row>
    <row r="1425" spans="1:12" x14ac:dyDescent="0.25">
      <c r="A1425">
        <v>183</v>
      </c>
      <c r="B1425">
        <v>1</v>
      </c>
      <c r="C1425" s="3">
        <v>6108393</v>
      </c>
      <c r="D1425" s="4">
        <v>5002317</v>
      </c>
      <c r="E1425">
        <v>54</v>
      </c>
      <c r="F1425" s="2">
        <v>0.33100000000000002</v>
      </c>
      <c r="G1425" s="2">
        <v>0.51300000000000001</v>
      </c>
      <c r="H1425" s="2">
        <v>0.63200000000000001</v>
      </c>
      <c r="I1425" s="2">
        <v>0.97199999999999998</v>
      </c>
      <c r="J1425" s="2">
        <v>0.88200000000000001</v>
      </c>
      <c r="K1425" s="2">
        <v>0.42</v>
      </c>
      <c r="L1425" s="2">
        <v>-15.391999999999999</v>
      </c>
    </row>
    <row r="1426" spans="1:12" x14ac:dyDescent="0.25">
      <c r="A1426">
        <v>126</v>
      </c>
      <c r="B1426">
        <v>2</v>
      </c>
      <c r="C1426" s="3">
        <v>5895243</v>
      </c>
      <c r="D1426" s="4">
        <v>4764552</v>
      </c>
      <c r="E1426">
        <v>54</v>
      </c>
      <c r="F1426" s="2">
        <v>0.48699999999999999</v>
      </c>
      <c r="G1426" s="2">
        <v>0.39800000000000002</v>
      </c>
      <c r="H1426" s="2">
        <v>6.9699999999999998E-2</v>
      </c>
      <c r="I1426" s="2">
        <v>0.83499999999999996</v>
      </c>
      <c r="J1426" s="2">
        <v>0.12</v>
      </c>
      <c r="K1426" s="2">
        <v>0.90500000000000003</v>
      </c>
      <c r="L1426" s="2">
        <v>-9.9009999999999998</v>
      </c>
    </row>
    <row r="1427" spans="1:12" x14ac:dyDescent="0.25">
      <c r="A1427">
        <v>132</v>
      </c>
      <c r="B1427">
        <v>1</v>
      </c>
      <c r="C1427" s="3">
        <v>5878493</v>
      </c>
      <c r="D1427" s="4">
        <v>900975</v>
      </c>
      <c r="E1427">
        <v>54</v>
      </c>
      <c r="F1427" s="2">
        <v>0.76100000000000001</v>
      </c>
      <c r="G1427" s="2">
        <v>0.55600000000000005</v>
      </c>
      <c r="H1427" s="2">
        <v>0.36399999999999999</v>
      </c>
      <c r="I1427" s="2">
        <v>0.13800000000000001</v>
      </c>
      <c r="J1427" s="2">
        <v>9.7600000000000006E-2</v>
      </c>
      <c r="K1427" s="2">
        <v>0.52100000000000002</v>
      </c>
      <c r="L1427" s="2">
        <v>-6.9429999999999996</v>
      </c>
    </row>
    <row r="1428" spans="1:12" x14ac:dyDescent="0.25">
      <c r="A1428">
        <v>141</v>
      </c>
      <c r="B1428">
        <v>1</v>
      </c>
      <c r="C1428" s="3">
        <v>5858768</v>
      </c>
      <c r="D1428" s="4">
        <v>48544923</v>
      </c>
      <c r="E1428">
        <v>54</v>
      </c>
      <c r="F1428" s="2">
        <v>0.77200000000000002</v>
      </c>
      <c r="G1428" s="2">
        <v>0.61599999999999999</v>
      </c>
      <c r="H1428" s="2">
        <v>0.10199999999999999</v>
      </c>
      <c r="I1428" s="2">
        <v>3.3700000000000002E-3</v>
      </c>
      <c r="J1428" s="2">
        <v>0.104</v>
      </c>
      <c r="K1428" s="2">
        <v>0.27900000000000003</v>
      </c>
      <c r="L1428" s="2">
        <v>-4.673</v>
      </c>
    </row>
    <row r="1429" spans="1:12" x14ac:dyDescent="0.25">
      <c r="A1429">
        <v>180</v>
      </c>
      <c r="B1429">
        <v>1</v>
      </c>
      <c r="C1429" s="3">
        <v>5335271</v>
      </c>
      <c r="D1429" s="4">
        <v>6837946</v>
      </c>
      <c r="E1429">
        <v>54</v>
      </c>
      <c r="F1429" s="2">
        <v>0.65400000000000003</v>
      </c>
      <c r="G1429" s="2">
        <v>0.72399999999999998</v>
      </c>
      <c r="H1429" s="2">
        <v>0.35499999999999998</v>
      </c>
      <c r="I1429" s="2">
        <v>0.106</v>
      </c>
      <c r="J1429" s="2">
        <v>0.65500000000000003</v>
      </c>
      <c r="K1429" s="2">
        <v>0.71699999999999997</v>
      </c>
      <c r="L1429" s="2">
        <v>-6.59</v>
      </c>
    </row>
    <row r="1430" spans="1:12" x14ac:dyDescent="0.25">
      <c r="A1430">
        <v>46</v>
      </c>
      <c r="B1430">
        <v>2</v>
      </c>
      <c r="C1430" s="3">
        <v>5304382</v>
      </c>
      <c r="D1430" s="4">
        <v>23848461</v>
      </c>
      <c r="E1430">
        <v>54</v>
      </c>
      <c r="F1430" s="2">
        <v>0.53500000000000003</v>
      </c>
      <c r="G1430" s="2">
        <v>0.434</v>
      </c>
      <c r="H1430" s="2">
        <v>5.0500000000000003E-2</v>
      </c>
      <c r="I1430" s="2">
        <v>0.40500000000000003</v>
      </c>
      <c r="J1430" s="2">
        <v>0.253</v>
      </c>
      <c r="K1430" s="2">
        <v>0.27100000000000002</v>
      </c>
      <c r="L1430" s="2">
        <v>-5.7679999999999998</v>
      </c>
    </row>
    <row r="1431" spans="1:12" x14ac:dyDescent="0.25">
      <c r="A1431">
        <v>161</v>
      </c>
      <c r="B1431">
        <v>1</v>
      </c>
      <c r="C1431" s="3">
        <v>5119993</v>
      </c>
      <c r="D1431" s="4">
        <v>1700759</v>
      </c>
      <c r="E1431">
        <v>54</v>
      </c>
      <c r="F1431" s="2">
        <v>0.77400000000000002</v>
      </c>
      <c r="G1431" s="2">
        <v>0.58799999999999997</v>
      </c>
      <c r="H1431" s="2">
        <v>0.22500000000000001</v>
      </c>
      <c r="I1431" s="2">
        <v>3.8600000000000002E-2</v>
      </c>
      <c r="J1431" s="2">
        <v>0.25800000000000001</v>
      </c>
      <c r="K1431" s="2">
        <v>0.39200000000000002</v>
      </c>
      <c r="L1431" s="2">
        <v>-8.5289999999999999</v>
      </c>
    </row>
    <row r="1432" spans="1:12" x14ac:dyDescent="0.25">
      <c r="A1432">
        <v>193</v>
      </c>
      <c r="B1432">
        <v>1</v>
      </c>
      <c r="C1432" s="3">
        <v>5033764</v>
      </c>
      <c r="D1432" s="4">
        <v>48544923</v>
      </c>
      <c r="E1432">
        <v>54</v>
      </c>
      <c r="F1432" s="2">
        <v>0.375</v>
      </c>
      <c r="G1432" s="2">
        <v>0.30399999999999999</v>
      </c>
      <c r="H1432" s="2">
        <v>3.2500000000000001E-2</v>
      </c>
      <c r="I1432" s="2">
        <v>0.68300000000000005</v>
      </c>
      <c r="J1432" s="2">
        <v>0.19600000000000001</v>
      </c>
      <c r="K1432" s="2">
        <v>0.29499999999999998</v>
      </c>
      <c r="L1432" s="2">
        <v>-9.8970000000000002</v>
      </c>
    </row>
    <row r="1433" spans="1:12" x14ac:dyDescent="0.25">
      <c r="A1433">
        <v>19</v>
      </c>
      <c r="B1433">
        <v>6</v>
      </c>
      <c r="C1433" s="3">
        <v>10787165</v>
      </c>
      <c r="D1433" s="4">
        <v>4953667</v>
      </c>
      <c r="E1433">
        <v>53</v>
      </c>
      <c r="F1433" s="2">
        <v>0.65200000000000002</v>
      </c>
      <c r="G1433" s="2">
        <v>0.25900000000000001</v>
      </c>
      <c r="H1433" s="2">
        <v>5.9499999999999997E-2</v>
      </c>
      <c r="I1433" s="2">
        <v>0.90300000000000002</v>
      </c>
      <c r="J1433" s="2">
        <v>0.36199999999999999</v>
      </c>
      <c r="K1433" s="2">
        <v>0.83599999999999997</v>
      </c>
      <c r="L1433" s="2">
        <v>-13.336</v>
      </c>
    </row>
    <row r="1434" spans="1:12" x14ac:dyDescent="0.25">
      <c r="A1434">
        <v>74</v>
      </c>
      <c r="B1434">
        <v>3</v>
      </c>
      <c r="C1434" s="3">
        <v>10455065</v>
      </c>
      <c r="D1434" s="4">
        <v>31161671</v>
      </c>
      <c r="E1434">
        <v>53</v>
      </c>
      <c r="F1434" s="2">
        <v>0.29499999999999998</v>
      </c>
      <c r="G1434" s="2">
        <v>0.496</v>
      </c>
      <c r="H1434" s="2">
        <v>3.27E-2</v>
      </c>
      <c r="I1434" s="2">
        <v>0.20699999999999999</v>
      </c>
      <c r="J1434" s="2">
        <v>0.85799999999999998</v>
      </c>
      <c r="K1434" s="2">
        <v>0.224</v>
      </c>
      <c r="L1434" s="2">
        <v>-9.4779999999999998</v>
      </c>
    </row>
    <row r="1435" spans="1:12" x14ac:dyDescent="0.25">
      <c r="A1435">
        <v>24</v>
      </c>
      <c r="B1435">
        <v>5</v>
      </c>
      <c r="C1435" s="3">
        <v>9509781</v>
      </c>
      <c r="D1435" s="4">
        <v>4313100</v>
      </c>
      <c r="E1435">
        <v>53</v>
      </c>
      <c r="F1435" s="2">
        <v>0.32100000000000001</v>
      </c>
      <c r="G1435" s="2">
        <v>0.64</v>
      </c>
      <c r="H1435" s="2">
        <v>3.2399999999999998E-2</v>
      </c>
      <c r="I1435" s="2">
        <v>0.28000000000000003</v>
      </c>
      <c r="J1435" s="2">
        <v>0.71799999999999997</v>
      </c>
      <c r="K1435" s="2">
        <v>0.41399999999999998</v>
      </c>
      <c r="L1435" s="2">
        <v>-10.023</v>
      </c>
    </row>
    <row r="1436" spans="1:12" x14ac:dyDescent="0.25">
      <c r="A1436">
        <v>32</v>
      </c>
      <c r="B1436">
        <v>5</v>
      </c>
      <c r="C1436" s="3">
        <v>8478518</v>
      </c>
      <c r="D1436" s="4">
        <v>1634288</v>
      </c>
      <c r="E1436">
        <v>53</v>
      </c>
      <c r="F1436" s="2">
        <v>0.31900000000000001</v>
      </c>
      <c r="G1436" s="2">
        <v>0.21</v>
      </c>
      <c r="H1436" s="2">
        <v>3.4099999999999998E-2</v>
      </c>
      <c r="I1436" s="2">
        <v>0.92</v>
      </c>
      <c r="J1436" s="2">
        <v>0.13800000000000001</v>
      </c>
      <c r="K1436" s="2">
        <v>0.20899999999999999</v>
      </c>
      <c r="L1436" s="2">
        <v>-15.231</v>
      </c>
    </row>
    <row r="1437" spans="1:12" x14ac:dyDescent="0.25">
      <c r="A1437">
        <v>140</v>
      </c>
      <c r="B1437">
        <v>1</v>
      </c>
      <c r="C1437" s="3">
        <v>6224412</v>
      </c>
      <c r="D1437" s="4">
        <v>11821805</v>
      </c>
      <c r="E1437">
        <v>53</v>
      </c>
      <c r="F1437" s="2">
        <v>0.61899999999999999</v>
      </c>
      <c r="G1437" s="2">
        <v>0.78400000000000003</v>
      </c>
      <c r="H1437" s="2">
        <v>0.123</v>
      </c>
      <c r="I1437" s="2">
        <v>3.2599999999999997E-2</v>
      </c>
      <c r="J1437" s="2">
        <v>0.315</v>
      </c>
      <c r="K1437" s="2">
        <v>0.47099999999999997</v>
      </c>
      <c r="L1437" s="2">
        <v>-6.11</v>
      </c>
    </row>
    <row r="1438" spans="1:12" x14ac:dyDescent="0.25">
      <c r="A1438">
        <v>136</v>
      </c>
      <c r="B1438">
        <v>1</v>
      </c>
      <c r="C1438" s="3">
        <v>5774770</v>
      </c>
      <c r="D1438" s="4">
        <v>1045091</v>
      </c>
      <c r="E1438">
        <v>53</v>
      </c>
      <c r="F1438" s="2">
        <v>0.80100000000000005</v>
      </c>
      <c r="G1438" s="2">
        <v>0.73099999999999998</v>
      </c>
      <c r="H1438" s="2">
        <v>0.38300000000000001</v>
      </c>
      <c r="I1438" s="2">
        <v>0.188</v>
      </c>
      <c r="J1438" s="2">
        <v>0.111</v>
      </c>
      <c r="K1438" s="2">
        <v>0.53700000000000003</v>
      </c>
      <c r="L1438" s="2">
        <v>-3.7229999999999999</v>
      </c>
    </row>
    <row r="1439" spans="1:12" x14ac:dyDescent="0.25">
      <c r="A1439">
        <v>159</v>
      </c>
      <c r="B1439">
        <v>1</v>
      </c>
      <c r="C1439" s="3">
        <v>5702636</v>
      </c>
      <c r="D1439" s="4">
        <v>6837946</v>
      </c>
      <c r="E1439">
        <v>53</v>
      </c>
      <c r="F1439" s="2">
        <v>0.72299999999999998</v>
      </c>
      <c r="G1439" s="2">
        <v>0.66700000000000004</v>
      </c>
      <c r="H1439" s="2">
        <v>0.35099999999999998</v>
      </c>
      <c r="I1439" s="2">
        <v>0.25600000000000001</v>
      </c>
      <c r="J1439" s="2">
        <v>0.26100000000000001</v>
      </c>
      <c r="K1439" s="2">
        <v>0.39600000000000002</v>
      </c>
      <c r="L1439" s="2">
        <v>-7.524</v>
      </c>
    </row>
    <row r="1440" spans="1:12" x14ac:dyDescent="0.25">
      <c r="A1440">
        <v>123</v>
      </c>
      <c r="B1440">
        <v>1</v>
      </c>
      <c r="C1440" s="3">
        <v>5552890</v>
      </c>
      <c r="D1440" s="4">
        <v>4093115</v>
      </c>
      <c r="E1440">
        <v>53</v>
      </c>
      <c r="F1440" s="2">
        <v>0.48499999999999999</v>
      </c>
      <c r="G1440" s="2">
        <v>0.79300000000000004</v>
      </c>
      <c r="H1440" s="2">
        <v>0.42599999999999999</v>
      </c>
      <c r="I1440" s="2">
        <v>0.251</v>
      </c>
      <c r="J1440" s="2">
        <v>0.14599999999999999</v>
      </c>
      <c r="K1440" s="2">
        <v>0.371</v>
      </c>
      <c r="L1440" s="2">
        <v>-3.8359999999999999</v>
      </c>
    </row>
    <row r="1441" spans="1:12" x14ac:dyDescent="0.25">
      <c r="A1441">
        <v>198</v>
      </c>
      <c r="B1441">
        <v>1</v>
      </c>
      <c r="C1441" s="3">
        <v>4752181</v>
      </c>
      <c r="D1441" s="4">
        <v>1700759</v>
      </c>
      <c r="E1441">
        <v>53</v>
      </c>
      <c r="F1441" s="2">
        <v>0.82599999999999996</v>
      </c>
      <c r="G1441" s="2">
        <v>0.36799999999999999</v>
      </c>
      <c r="H1441" s="2">
        <v>0.13300000000000001</v>
      </c>
      <c r="I1441" s="2">
        <v>0.51600000000000001</v>
      </c>
      <c r="J1441" s="2">
        <v>9.1399999999999995E-2</v>
      </c>
      <c r="K1441" s="2">
        <v>0.158</v>
      </c>
      <c r="L1441" s="2">
        <v>-12.760999999999999</v>
      </c>
    </row>
    <row r="1442" spans="1:12" x14ac:dyDescent="0.25">
      <c r="A1442">
        <v>181</v>
      </c>
      <c r="B1442">
        <v>1</v>
      </c>
      <c r="C1442" s="3">
        <v>6657404</v>
      </c>
      <c r="D1442" s="4">
        <v>42227614</v>
      </c>
      <c r="E1442">
        <v>52</v>
      </c>
      <c r="F1442" s="2">
        <v>0.59799999999999998</v>
      </c>
      <c r="G1442" s="2">
        <v>0.68</v>
      </c>
      <c r="H1442" s="2">
        <v>3.3099999999999997E-2</v>
      </c>
      <c r="I1442" s="2">
        <v>0.06</v>
      </c>
      <c r="J1442" s="2">
        <v>0.32400000000000001</v>
      </c>
      <c r="K1442" s="2">
        <v>0.437</v>
      </c>
      <c r="L1442" s="2">
        <v>-4.5049999999999999</v>
      </c>
    </row>
    <row r="1443" spans="1:12" x14ac:dyDescent="0.25">
      <c r="A1443">
        <v>166</v>
      </c>
      <c r="B1443">
        <v>1</v>
      </c>
      <c r="C1443" s="3">
        <v>5291134</v>
      </c>
      <c r="D1443" s="4">
        <v>28931149</v>
      </c>
      <c r="E1443">
        <v>52</v>
      </c>
      <c r="F1443" s="2">
        <v>0.58299999999999996</v>
      </c>
      <c r="G1443" s="2">
        <v>0.77700000000000002</v>
      </c>
      <c r="H1443" s="2">
        <v>0.185</v>
      </c>
      <c r="I1443" s="2">
        <v>0.109</v>
      </c>
      <c r="J1443" s="2">
        <v>0.108</v>
      </c>
      <c r="K1443" s="2">
        <v>0.31</v>
      </c>
      <c r="L1443" s="2">
        <v>-6.9909999999999997</v>
      </c>
    </row>
    <row r="1444" spans="1:12" x14ac:dyDescent="0.25">
      <c r="A1444">
        <v>184</v>
      </c>
      <c r="B1444">
        <v>1</v>
      </c>
      <c r="C1444" s="3">
        <v>5192813</v>
      </c>
      <c r="D1444" s="4">
        <v>4093115</v>
      </c>
      <c r="E1444">
        <v>52</v>
      </c>
      <c r="F1444" s="2">
        <v>0.70099999999999996</v>
      </c>
      <c r="G1444" s="2">
        <v>0.71399999999999997</v>
      </c>
      <c r="H1444" s="2">
        <v>0.52400000000000002</v>
      </c>
      <c r="I1444" s="2">
        <v>0.28899999999999998</v>
      </c>
      <c r="J1444" s="2">
        <v>8.8300000000000003E-2</v>
      </c>
      <c r="K1444" s="2">
        <v>0.60399999999999998</v>
      </c>
      <c r="L1444" s="2">
        <v>-5.9059999999999997</v>
      </c>
    </row>
    <row r="1445" spans="1:12" x14ac:dyDescent="0.25">
      <c r="A1445">
        <v>174</v>
      </c>
      <c r="B1445">
        <v>1</v>
      </c>
      <c r="C1445" s="3">
        <v>4823401</v>
      </c>
      <c r="D1445" s="4">
        <v>1700759</v>
      </c>
      <c r="E1445">
        <v>52</v>
      </c>
      <c r="F1445" s="2">
        <v>0.82399999999999995</v>
      </c>
      <c r="G1445" s="2">
        <v>0.52800000000000002</v>
      </c>
      <c r="H1445" s="2">
        <v>0.17499999999999999</v>
      </c>
      <c r="I1445" s="2">
        <v>0.14399999999999999</v>
      </c>
      <c r="J1445" s="2">
        <v>0.104</v>
      </c>
      <c r="K1445" s="2">
        <v>0.32</v>
      </c>
      <c r="L1445" s="2">
        <v>-9.2360000000000007</v>
      </c>
    </row>
    <row r="1446" spans="1:12" x14ac:dyDescent="0.25">
      <c r="A1446">
        <v>17</v>
      </c>
      <c r="B1446">
        <v>6</v>
      </c>
      <c r="C1446" s="3">
        <v>10476212</v>
      </c>
      <c r="D1446" s="4">
        <v>4883</v>
      </c>
      <c r="E1446">
        <v>51</v>
      </c>
      <c r="F1446" s="2">
        <v>0.59899999999999998</v>
      </c>
      <c r="G1446" s="2">
        <v>0.64200000000000002</v>
      </c>
      <c r="H1446" s="2">
        <v>3.6299999999999999E-2</v>
      </c>
      <c r="I1446" s="2">
        <v>0.16400000000000001</v>
      </c>
      <c r="J1446" s="2">
        <v>9.9199999999999997E-2</v>
      </c>
      <c r="K1446" s="2">
        <v>0.34899999999999998</v>
      </c>
      <c r="L1446" s="2">
        <v>-6.9359999999999999</v>
      </c>
    </row>
    <row r="1447" spans="1:12" x14ac:dyDescent="0.25">
      <c r="A1447">
        <v>23</v>
      </c>
      <c r="B1447">
        <v>4</v>
      </c>
      <c r="C1447" s="3">
        <v>9882989</v>
      </c>
      <c r="D1447" s="4">
        <v>3609658</v>
      </c>
      <c r="E1447">
        <v>51</v>
      </c>
      <c r="F1447" s="2">
        <v>0.77400000000000002</v>
      </c>
      <c r="G1447" s="2">
        <v>0.51100000000000001</v>
      </c>
      <c r="H1447" s="2">
        <v>3.1899999999999998E-2</v>
      </c>
      <c r="I1447" s="2">
        <v>0.32200000000000001</v>
      </c>
      <c r="J1447" s="2">
        <v>6.7199999999999996E-2</v>
      </c>
      <c r="K1447" s="2">
        <v>0.77100000000000002</v>
      </c>
      <c r="L1447" s="2">
        <v>-8.9139999999999997</v>
      </c>
    </row>
    <row r="1448" spans="1:12" x14ac:dyDescent="0.25">
      <c r="A1448">
        <v>83</v>
      </c>
      <c r="B1448">
        <v>2</v>
      </c>
      <c r="C1448" s="3">
        <v>9624871</v>
      </c>
      <c r="D1448" s="4">
        <v>3609658</v>
      </c>
      <c r="E1448">
        <v>51</v>
      </c>
      <c r="F1448" s="2">
        <v>0.77400000000000002</v>
      </c>
      <c r="G1448" s="2">
        <v>0.51100000000000001</v>
      </c>
      <c r="H1448" s="2">
        <v>3.1899999999999998E-2</v>
      </c>
      <c r="I1448" s="2">
        <v>0.32200000000000001</v>
      </c>
      <c r="J1448" s="2">
        <v>6.7199999999999996E-2</v>
      </c>
      <c r="K1448" s="2">
        <v>0.77100000000000002</v>
      </c>
      <c r="L1448" s="2">
        <v>-8.9139999999999997</v>
      </c>
    </row>
    <row r="1449" spans="1:12" x14ac:dyDescent="0.25">
      <c r="A1449">
        <v>127</v>
      </c>
      <c r="B1449">
        <v>1</v>
      </c>
      <c r="C1449" s="3">
        <v>7993078</v>
      </c>
      <c r="D1449" s="4">
        <v>1024868</v>
      </c>
      <c r="E1449">
        <v>51</v>
      </c>
      <c r="F1449" s="2">
        <v>0.41799999999999998</v>
      </c>
      <c r="G1449" s="2">
        <v>0.106</v>
      </c>
      <c r="H1449" s="2">
        <v>4.48E-2</v>
      </c>
      <c r="I1449" s="2">
        <v>0.99399999999999999</v>
      </c>
      <c r="J1449" s="2">
        <v>0.17899999999999999</v>
      </c>
      <c r="K1449" s="2">
        <v>0.8</v>
      </c>
      <c r="L1449" s="2">
        <v>-22.507000000000001</v>
      </c>
    </row>
    <row r="1450" spans="1:12" x14ac:dyDescent="0.25">
      <c r="A1450">
        <v>150</v>
      </c>
      <c r="B1450">
        <v>1</v>
      </c>
      <c r="C1450" s="3">
        <v>7299201</v>
      </c>
      <c r="D1450" s="4">
        <v>8037861</v>
      </c>
      <c r="E1450">
        <v>51</v>
      </c>
      <c r="F1450" s="2">
        <v>0.61899999999999999</v>
      </c>
      <c r="G1450" s="2">
        <v>0.77100000000000002</v>
      </c>
      <c r="H1450" s="2">
        <v>6.0100000000000001E-2</v>
      </c>
      <c r="I1450" s="2">
        <v>3.1800000000000002E-2</v>
      </c>
      <c r="J1450" s="2">
        <v>0.114</v>
      </c>
      <c r="K1450" s="2">
        <v>0.70399999999999996</v>
      </c>
      <c r="L1450" s="2">
        <v>-2.2040000000000002</v>
      </c>
    </row>
    <row r="1451" spans="1:12" x14ac:dyDescent="0.25">
      <c r="A1451">
        <v>39</v>
      </c>
      <c r="B1451">
        <v>5</v>
      </c>
      <c r="C1451" s="3">
        <v>7045348</v>
      </c>
      <c r="D1451" s="4">
        <v>359973</v>
      </c>
      <c r="E1451">
        <v>51</v>
      </c>
      <c r="F1451" s="2">
        <v>0.317</v>
      </c>
      <c r="G1451" s="2">
        <v>0.158</v>
      </c>
      <c r="H1451" s="2">
        <v>3.8100000000000002E-2</v>
      </c>
      <c r="I1451" s="2">
        <v>0.67300000000000004</v>
      </c>
      <c r="J1451" s="2">
        <v>0.33800000000000002</v>
      </c>
      <c r="K1451" s="2">
        <v>0.247</v>
      </c>
      <c r="L1451" s="2">
        <v>-16.484999999999999</v>
      </c>
    </row>
    <row r="1452" spans="1:12" x14ac:dyDescent="0.25">
      <c r="A1452">
        <v>83</v>
      </c>
      <c r="B1452">
        <v>1</v>
      </c>
      <c r="C1452" s="3">
        <v>6883487</v>
      </c>
      <c r="D1452" s="4">
        <v>6298789</v>
      </c>
      <c r="E1452">
        <v>51</v>
      </c>
      <c r="F1452" s="2">
        <v>0.82099999999999995</v>
      </c>
      <c r="G1452" s="2">
        <v>0.61</v>
      </c>
      <c r="H1452" s="2">
        <v>9.5899999999999999E-2</v>
      </c>
      <c r="I1452" s="2">
        <v>2.47E-2</v>
      </c>
      <c r="J1452" s="2">
        <v>0.185</v>
      </c>
      <c r="K1452" s="2">
        <v>0.47</v>
      </c>
      <c r="L1452" s="2">
        <v>-6.22</v>
      </c>
    </row>
    <row r="1453" spans="1:12" x14ac:dyDescent="0.25">
      <c r="A1453">
        <v>161</v>
      </c>
      <c r="B1453">
        <v>1</v>
      </c>
      <c r="C1453" s="3">
        <v>5356671</v>
      </c>
      <c r="D1453" s="4">
        <v>28931149</v>
      </c>
      <c r="E1453">
        <v>51</v>
      </c>
      <c r="F1453" s="2">
        <v>0.82599999999999996</v>
      </c>
      <c r="G1453" s="2">
        <v>0.57099999999999995</v>
      </c>
      <c r="H1453" s="2">
        <v>4.2599999999999999E-2</v>
      </c>
      <c r="I1453" s="2">
        <v>0.249</v>
      </c>
      <c r="J1453" s="2">
        <v>0.215</v>
      </c>
      <c r="K1453" s="2">
        <v>0.47499999999999998</v>
      </c>
      <c r="L1453" s="2">
        <v>-9.2629999999999999</v>
      </c>
    </row>
    <row r="1454" spans="1:12" x14ac:dyDescent="0.25">
      <c r="A1454">
        <v>195</v>
      </c>
      <c r="B1454">
        <v>1</v>
      </c>
      <c r="C1454" s="3">
        <v>4874380</v>
      </c>
      <c r="D1454" s="4">
        <v>28931149</v>
      </c>
      <c r="E1454">
        <v>51</v>
      </c>
      <c r="F1454" s="2">
        <v>0.85499999999999998</v>
      </c>
      <c r="G1454" s="2">
        <v>0.29399999999999998</v>
      </c>
      <c r="H1454" s="2">
        <v>0.28599999999999998</v>
      </c>
      <c r="I1454" s="2">
        <v>0.3</v>
      </c>
      <c r="J1454" s="2">
        <v>9.0999999999999998E-2</v>
      </c>
      <c r="K1454" s="2">
        <v>0.84199999999999997</v>
      </c>
      <c r="L1454" s="2">
        <v>-8.6760000000000002</v>
      </c>
    </row>
    <row r="1455" spans="1:12" x14ac:dyDescent="0.25">
      <c r="A1455">
        <v>16</v>
      </c>
      <c r="B1455">
        <v>6</v>
      </c>
      <c r="C1455" s="3">
        <v>10508459</v>
      </c>
      <c r="D1455" s="4">
        <v>1251372</v>
      </c>
      <c r="E1455">
        <v>50</v>
      </c>
      <c r="F1455" s="2">
        <v>0.52900000000000003</v>
      </c>
      <c r="G1455" s="2">
        <v>0.77200000000000002</v>
      </c>
      <c r="H1455" s="2">
        <v>2.87E-2</v>
      </c>
      <c r="I1455" s="2">
        <v>0.40300000000000002</v>
      </c>
      <c r="J1455" s="2">
        <v>0.316</v>
      </c>
      <c r="K1455" s="2">
        <v>0.85299999999999998</v>
      </c>
      <c r="L1455" s="2">
        <v>-7.0129999999999999</v>
      </c>
    </row>
    <row r="1456" spans="1:12" x14ac:dyDescent="0.25">
      <c r="A1456">
        <v>186</v>
      </c>
      <c r="B1456">
        <v>1</v>
      </c>
      <c r="C1456" s="3">
        <v>4938864</v>
      </c>
      <c r="D1456" s="4">
        <v>1700759</v>
      </c>
      <c r="E1456">
        <v>50</v>
      </c>
      <c r="F1456" s="2">
        <v>0.54800000000000004</v>
      </c>
      <c r="G1456" s="2">
        <v>0.64800000000000002</v>
      </c>
      <c r="H1456" s="2">
        <v>0.29199999999999998</v>
      </c>
      <c r="I1456" s="2">
        <v>8.4199999999999997E-2</v>
      </c>
      <c r="J1456" s="2">
        <v>0.123</v>
      </c>
      <c r="K1456" s="2">
        <v>0.23200000000000001</v>
      </c>
      <c r="L1456" s="2">
        <v>-4.7960000000000003</v>
      </c>
    </row>
    <row r="1457" spans="1:12" x14ac:dyDescent="0.25">
      <c r="A1457">
        <v>9</v>
      </c>
      <c r="B1457">
        <v>7</v>
      </c>
      <c r="C1457" s="3">
        <v>12266990</v>
      </c>
      <c r="D1457" s="4">
        <v>7869617</v>
      </c>
      <c r="E1457">
        <v>49</v>
      </c>
      <c r="F1457" s="2">
        <v>0.50900000000000001</v>
      </c>
      <c r="G1457" s="2">
        <v>0.81200000000000006</v>
      </c>
      <c r="H1457" s="2">
        <v>5.3699999999999998E-2</v>
      </c>
      <c r="I1457" s="2">
        <v>1.2800000000000001E-3</v>
      </c>
      <c r="J1457" s="2">
        <v>0.214</v>
      </c>
      <c r="K1457" s="2">
        <v>0.68899999999999995</v>
      </c>
      <c r="L1457" s="2">
        <v>-5.4390000000000001</v>
      </c>
    </row>
    <row r="1458" spans="1:12" x14ac:dyDescent="0.25">
      <c r="A1458">
        <v>14</v>
      </c>
      <c r="B1458">
        <v>6</v>
      </c>
      <c r="C1458" s="3">
        <v>11664490</v>
      </c>
      <c r="D1458" s="4">
        <v>239129</v>
      </c>
      <c r="E1458">
        <v>49</v>
      </c>
      <c r="F1458" s="2">
        <v>0.51300000000000001</v>
      </c>
      <c r="G1458" s="2">
        <v>0.83099999999999996</v>
      </c>
      <c r="H1458" s="2">
        <v>3.8300000000000001E-2</v>
      </c>
      <c r="I1458" s="2">
        <v>0.55000000000000004</v>
      </c>
      <c r="J1458" s="2">
        <v>0.33600000000000002</v>
      </c>
      <c r="K1458" s="2">
        <v>0.96299999999999997</v>
      </c>
      <c r="L1458" s="2">
        <v>-9.0039999999999996</v>
      </c>
    </row>
    <row r="1459" spans="1:12" x14ac:dyDescent="0.25">
      <c r="A1459">
        <v>40</v>
      </c>
      <c r="B1459">
        <v>14</v>
      </c>
      <c r="C1459" s="3">
        <v>9600707</v>
      </c>
      <c r="D1459" s="4">
        <v>32178</v>
      </c>
      <c r="E1459">
        <v>49</v>
      </c>
      <c r="F1459" s="2">
        <v>0.83</v>
      </c>
      <c r="G1459" s="2">
        <v>0.83899999999999997</v>
      </c>
      <c r="H1459" s="2">
        <v>6.9900000000000004E-2</v>
      </c>
      <c r="I1459" s="2">
        <v>2.0100000000000001E-3</v>
      </c>
      <c r="J1459" s="2">
        <v>3.5299999999999998E-2</v>
      </c>
      <c r="K1459" s="2">
        <v>0.59</v>
      </c>
      <c r="L1459" s="2">
        <v>-6.9850000000000003</v>
      </c>
    </row>
    <row r="1460" spans="1:12" x14ac:dyDescent="0.25">
      <c r="A1460">
        <v>85</v>
      </c>
      <c r="B1460">
        <v>1</v>
      </c>
      <c r="C1460" s="3">
        <v>9474711</v>
      </c>
      <c r="D1460" s="4">
        <v>20528724</v>
      </c>
      <c r="E1460">
        <v>49</v>
      </c>
      <c r="F1460" s="2">
        <v>0.54700000000000004</v>
      </c>
      <c r="G1460" s="2">
        <v>0.81399999999999995</v>
      </c>
      <c r="H1460" s="2">
        <v>0.12</v>
      </c>
      <c r="I1460" s="2">
        <v>2.1499999999999998E-2</v>
      </c>
      <c r="J1460" s="2">
        <v>4.7500000000000001E-2</v>
      </c>
      <c r="K1460" s="2">
        <v>0.72399999999999998</v>
      </c>
      <c r="L1460" s="2">
        <v>-6.1909999999999998</v>
      </c>
    </row>
    <row r="1461" spans="1:12" x14ac:dyDescent="0.25">
      <c r="A1461">
        <v>42</v>
      </c>
      <c r="B1461">
        <v>5</v>
      </c>
      <c r="C1461" s="3">
        <v>6716353</v>
      </c>
      <c r="D1461" s="4">
        <v>58479</v>
      </c>
      <c r="E1461">
        <v>49</v>
      </c>
      <c r="F1461" s="2">
        <v>0.68300000000000005</v>
      </c>
      <c r="G1461" s="2">
        <v>0.375</v>
      </c>
      <c r="H1461" s="2">
        <v>3.0300000000000001E-2</v>
      </c>
      <c r="I1461" s="2">
        <v>0.57899999999999996</v>
      </c>
      <c r="J1461" s="2">
        <v>7.5999999999999998E-2</v>
      </c>
      <c r="K1461" s="2">
        <v>0.88800000000000001</v>
      </c>
      <c r="L1461" s="2">
        <v>-13.055999999999999</v>
      </c>
    </row>
    <row r="1462" spans="1:12" x14ac:dyDescent="0.25">
      <c r="A1462">
        <v>62</v>
      </c>
      <c r="B1462">
        <v>4</v>
      </c>
      <c r="C1462" s="3">
        <v>6007011</v>
      </c>
      <c r="D1462" s="4">
        <v>5698788</v>
      </c>
      <c r="E1462">
        <v>49</v>
      </c>
      <c r="F1462" s="2">
        <v>0.46500000000000002</v>
      </c>
      <c r="G1462" s="2">
        <v>0.27</v>
      </c>
      <c r="H1462" s="2">
        <v>4.2500000000000003E-2</v>
      </c>
      <c r="I1462" s="2">
        <v>0.9</v>
      </c>
      <c r="J1462" s="2">
        <v>0.14499999999999999</v>
      </c>
      <c r="K1462" s="2">
        <v>0.57999999999999996</v>
      </c>
      <c r="L1462" s="2">
        <v>-16.661000000000001</v>
      </c>
    </row>
    <row r="1463" spans="1:12" x14ac:dyDescent="0.25">
      <c r="A1463">
        <v>60</v>
      </c>
      <c r="B1463">
        <v>5</v>
      </c>
      <c r="C1463" s="3">
        <v>5422082</v>
      </c>
      <c r="D1463" s="4">
        <v>336373</v>
      </c>
      <c r="E1463">
        <v>49</v>
      </c>
      <c r="F1463" s="2">
        <v>0.72399999999999998</v>
      </c>
      <c r="G1463" s="2">
        <v>0.27600000000000002</v>
      </c>
      <c r="H1463" s="2">
        <v>5.9900000000000002E-2</v>
      </c>
      <c r="I1463" s="2">
        <v>0.76</v>
      </c>
      <c r="J1463" s="2">
        <v>0.11600000000000001</v>
      </c>
      <c r="K1463" s="2">
        <v>0.71799999999999997</v>
      </c>
      <c r="L1463" s="2">
        <v>-12.25</v>
      </c>
    </row>
    <row r="1464" spans="1:12" x14ac:dyDescent="0.25">
      <c r="A1464">
        <v>196</v>
      </c>
      <c r="B1464">
        <v>1</v>
      </c>
      <c r="C1464" s="3">
        <v>4866777</v>
      </c>
      <c r="D1464" s="4">
        <v>28931149</v>
      </c>
      <c r="E1464">
        <v>49</v>
      </c>
      <c r="F1464" s="2">
        <v>0.69099999999999995</v>
      </c>
      <c r="G1464" s="2">
        <v>0.44600000000000001</v>
      </c>
      <c r="H1464" s="2">
        <v>4.7199999999999999E-2</v>
      </c>
      <c r="I1464" s="2">
        <v>0.48399999999999999</v>
      </c>
      <c r="J1464" s="2">
        <v>0.183</v>
      </c>
      <c r="K1464" s="2">
        <v>0.53400000000000003</v>
      </c>
      <c r="L1464" s="2">
        <v>-10.304</v>
      </c>
    </row>
    <row r="1465" spans="1:12" x14ac:dyDescent="0.25">
      <c r="A1465">
        <v>21</v>
      </c>
      <c r="B1465">
        <v>6</v>
      </c>
      <c r="C1465" s="3">
        <v>9852792</v>
      </c>
      <c r="D1465" s="4">
        <v>4702232</v>
      </c>
      <c r="E1465">
        <v>48</v>
      </c>
      <c r="F1465" s="2">
        <v>0.64700000000000002</v>
      </c>
      <c r="G1465" s="2">
        <v>0.46500000000000002</v>
      </c>
      <c r="H1465" s="2">
        <v>4.2799999999999998E-2</v>
      </c>
      <c r="I1465" s="2">
        <v>0.86499999999999999</v>
      </c>
      <c r="J1465" s="2">
        <v>8.8200000000000001E-2</v>
      </c>
      <c r="K1465" s="2">
        <v>0.69899999999999995</v>
      </c>
      <c r="L1465" s="2">
        <v>-8.3079999999999998</v>
      </c>
    </row>
    <row r="1466" spans="1:12" x14ac:dyDescent="0.25">
      <c r="A1466">
        <v>155</v>
      </c>
      <c r="B1466">
        <v>1</v>
      </c>
      <c r="C1466" s="3">
        <v>6010373</v>
      </c>
      <c r="D1466" s="4">
        <v>1700759</v>
      </c>
      <c r="E1466">
        <v>48</v>
      </c>
      <c r="F1466" s="2">
        <v>0.79100000000000004</v>
      </c>
      <c r="G1466" s="2">
        <v>0.53500000000000003</v>
      </c>
      <c r="H1466" s="2">
        <v>0.311</v>
      </c>
      <c r="I1466" s="2">
        <v>4.48E-2</v>
      </c>
      <c r="J1466" s="2">
        <v>0.129</v>
      </c>
      <c r="K1466" s="2">
        <v>0.443</v>
      </c>
      <c r="L1466" s="2">
        <v>-6.7530000000000001</v>
      </c>
    </row>
    <row r="1467" spans="1:12" x14ac:dyDescent="0.25">
      <c r="A1467">
        <v>92</v>
      </c>
      <c r="B1467">
        <v>2</v>
      </c>
      <c r="C1467" s="3">
        <v>9167304</v>
      </c>
      <c r="D1467" s="4">
        <v>5436999</v>
      </c>
      <c r="E1467">
        <v>47</v>
      </c>
      <c r="F1467" s="2">
        <v>0.72499999999999998</v>
      </c>
      <c r="G1467" s="2">
        <v>0.57099999999999995</v>
      </c>
      <c r="H1467" s="2">
        <v>0.10199999999999999</v>
      </c>
      <c r="I1467" s="2">
        <v>1.83E-2</v>
      </c>
      <c r="J1467" s="2">
        <v>5.1900000000000002E-2</v>
      </c>
      <c r="K1467" s="2">
        <v>0.61</v>
      </c>
      <c r="L1467" s="2">
        <v>-6.0069999999999997</v>
      </c>
    </row>
    <row r="1468" spans="1:12" x14ac:dyDescent="0.25">
      <c r="A1468">
        <v>119</v>
      </c>
      <c r="B1468">
        <v>1</v>
      </c>
      <c r="C1468" s="3">
        <v>8160534</v>
      </c>
      <c r="D1468" s="4">
        <v>353571</v>
      </c>
      <c r="E1468">
        <v>47</v>
      </c>
      <c r="F1468" s="2">
        <v>0.55300000000000005</v>
      </c>
      <c r="G1468" s="2">
        <v>0.47599999999999998</v>
      </c>
      <c r="H1468" s="2">
        <v>6.4899999999999999E-2</v>
      </c>
      <c r="I1468" s="2">
        <v>0.64700000000000002</v>
      </c>
      <c r="J1468" s="2">
        <v>0.28100000000000003</v>
      </c>
      <c r="K1468" s="2">
        <v>0.55800000000000005</v>
      </c>
      <c r="L1468" s="2">
        <v>-8.8689999999999998</v>
      </c>
    </row>
    <row r="1469" spans="1:12" x14ac:dyDescent="0.25">
      <c r="A1469">
        <v>160</v>
      </c>
      <c r="B1469">
        <v>1</v>
      </c>
      <c r="C1469" s="3">
        <v>7170169</v>
      </c>
      <c r="D1469" s="4">
        <v>6931357</v>
      </c>
      <c r="E1469">
        <v>47</v>
      </c>
      <c r="F1469" s="2">
        <v>0.64800000000000002</v>
      </c>
      <c r="G1469" s="2">
        <v>0.93799999999999994</v>
      </c>
      <c r="H1469" s="2">
        <v>0.115</v>
      </c>
      <c r="I1469" s="2">
        <v>3.39E-2</v>
      </c>
      <c r="J1469" s="2">
        <v>5.6399999999999999E-2</v>
      </c>
      <c r="K1469" s="2">
        <v>0.84899999999999998</v>
      </c>
      <c r="L1469" s="2">
        <v>-3.298</v>
      </c>
    </row>
    <row r="1470" spans="1:12" x14ac:dyDescent="0.25">
      <c r="A1470">
        <v>38</v>
      </c>
      <c r="B1470">
        <v>5</v>
      </c>
      <c r="C1470" s="3">
        <v>6052105</v>
      </c>
      <c r="D1470" s="4">
        <v>99249</v>
      </c>
      <c r="E1470">
        <v>47</v>
      </c>
      <c r="F1470" s="2">
        <v>0.53400000000000003</v>
      </c>
      <c r="G1470" s="2">
        <v>0.90400000000000003</v>
      </c>
      <c r="H1470" s="2">
        <v>3.6900000000000002E-2</v>
      </c>
      <c r="I1470" s="2">
        <v>0.129</v>
      </c>
      <c r="J1470" s="2">
        <v>0.128</v>
      </c>
      <c r="K1470" s="2">
        <v>0.96</v>
      </c>
      <c r="L1470" s="2">
        <v>-3.3149999999999999</v>
      </c>
    </row>
    <row r="1471" spans="1:12" x14ac:dyDescent="0.25">
      <c r="A1471">
        <v>129</v>
      </c>
      <c r="B1471">
        <v>4</v>
      </c>
      <c r="C1471" s="3">
        <v>5228433</v>
      </c>
      <c r="D1471" s="4">
        <v>632097</v>
      </c>
      <c r="E1471">
        <v>47</v>
      </c>
      <c r="F1471" s="2">
        <v>0.57499999999999996</v>
      </c>
      <c r="G1471" s="2">
        <v>0.54300000000000004</v>
      </c>
      <c r="H1471" s="2">
        <v>5.2900000000000003E-2</v>
      </c>
      <c r="I1471" s="2">
        <v>0.10199999999999999</v>
      </c>
      <c r="J1471" s="2">
        <v>0.17599999999999999</v>
      </c>
      <c r="K1471" s="2">
        <v>0.28299999999999997</v>
      </c>
      <c r="L1471" s="2">
        <v>-5.0620000000000003</v>
      </c>
    </row>
    <row r="1472" spans="1:12" x14ac:dyDescent="0.25">
      <c r="A1472">
        <v>83</v>
      </c>
      <c r="B1472">
        <v>3</v>
      </c>
      <c r="C1472" s="3">
        <v>9548924</v>
      </c>
      <c r="D1472" s="4">
        <v>17097317</v>
      </c>
      <c r="E1472">
        <v>46</v>
      </c>
      <c r="F1472" s="2">
        <v>0.438</v>
      </c>
      <c r="G1472" s="2">
        <v>0.17799999999999999</v>
      </c>
      <c r="H1472" s="2">
        <v>4.1399999999999999E-2</v>
      </c>
      <c r="I1472" s="2">
        <v>0.95699999999999996</v>
      </c>
      <c r="J1472" s="2">
        <v>0.316</v>
      </c>
      <c r="K1472" s="2">
        <v>0.34399999999999997</v>
      </c>
      <c r="L1472" s="2">
        <v>-9.4019999999999992</v>
      </c>
    </row>
    <row r="1473" spans="1:12" x14ac:dyDescent="0.25">
      <c r="A1473">
        <v>102</v>
      </c>
      <c r="B1473">
        <v>1</v>
      </c>
      <c r="C1473" s="3">
        <v>8813922</v>
      </c>
      <c r="D1473" s="4">
        <v>3916979</v>
      </c>
      <c r="E1473">
        <v>45</v>
      </c>
      <c r="F1473" s="2">
        <v>0.65400000000000003</v>
      </c>
      <c r="G1473" s="2">
        <v>0.59599999999999997</v>
      </c>
      <c r="H1473" s="2">
        <v>4.58E-2</v>
      </c>
      <c r="I1473" s="2">
        <v>0.42399999999999999</v>
      </c>
      <c r="J1473" s="2">
        <v>0.11</v>
      </c>
      <c r="K1473" s="2">
        <v>0.38200000000000001</v>
      </c>
      <c r="L1473" s="2">
        <v>-4.68</v>
      </c>
    </row>
    <row r="1474" spans="1:12" x14ac:dyDescent="0.25">
      <c r="A1474">
        <v>152</v>
      </c>
      <c r="B1474">
        <v>1</v>
      </c>
      <c r="C1474" s="3">
        <v>7281773</v>
      </c>
      <c r="D1474" s="4">
        <v>10606572</v>
      </c>
      <c r="E1474">
        <v>45</v>
      </c>
      <c r="F1474" s="2">
        <v>0.54200000000000004</v>
      </c>
      <c r="G1474" s="2">
        <v>0.37</v>
      </c>
      <c r="H1474" s="2">
        <v>2.5700000000000001E-2</v>
      </c>
      <c r="I1474" s="2">
        <v>0.318</v>
      </c>
      <c r="J1474" s="2">
        <v>0.108</v>
      </c>
      <c r="K1474" s="2">
        <v>0.28899999999999998</v>
      </c>
      <c r="L1474" s="2">
        <v>-7.7789999999999999</v>
      </c>
    </row>
    <row r="1475" spans="1:12" x14ac:dyDescent="0.25">
      <c r="A1475">
        <v>69</v>
      </c>
      <c r="B1475">
        <v>6</v>
      </c>
      <c r="C1475" s="3">
        <v>5394054</v>
      </c>
      <c r="D1475" s="4">
        <v>1251372</v>
      </c>
      <c r="E1475">
        <v>45</v>
      </c>
      <c r="F1475" s="2">
        <v>0.32500000000000001</v>
      </c>
      <c r="G1475" s="2">
        <v>0.75900000000000001</v>
      </c>
      <c r="H1475" s="2">
        <v>5.2999999999999999E-2</v>
      </c>
      <c r="I1475" s="2">
        <v>0.39500000000000002</v>
      </c>
      <c r="J1475" s="2">
        <v>7.7299999999999994E-2</v>
      </c>
      <c r="K1475" s="2">
        <v>0.36</v>
      </c>
      <c r="L1475" s="2">
        <v>-7.1459999999999999</v>
      </c>
    </row>
    <row r="1476" spans="1:12" x14ac:dyDescent="0.25">
      <c r="A1476">
        <v>89</v>
      </c>
      <c r="B1476">
        <v>3</v>
      </c>
      <c r="C1476" s="3">
        <v>9270017</v>
      </c>
      <c r="D1476" s="4">
        <v>1298537</v>
      </c>
      <c r="E1476">
        <v>44</v>
      </c>
      <c r="F1476" s="2">
        <v>0.58299999999999996</v>
      </c>
      <c r="G1476" s="2">
        <v>0.57199999999999995</v>
      </c>
      <c r="H1476" s="2">
        <v>3.6600000000000001E-2</v>
      </c>
      <c r="I1476" s="2">
        <v>0.73799999999999999</v>
      </c>
      <c r="J1476" s="2">
        <v>0.26600000000000001</v>
      </c>
      <c r="K1476" s="2">
        <v>0.68400000000000005</v>
      </c>
      <c r="L1476" s="2">
        <v>-4.7759999999999998</v>
      </c>
    </row>
    <row r="1477" spans="1:12" x14ac:dyDescent="0.25">
      <c r="A1477">
        <v>104</v>
      </c>
      <c r="B1477">
        <v>1</v>
      </c>
      <c r="C1477" s="3">
        <v>8696354</v>
      </c>
      <c r="D1477" s="4">
        <v>4805333</v>
      </c>
      <c r="E1477">
        <v>44</v>
      </c>
      <c r="F1477" s="2">
        <v>0.63500000000000001</v>
      </c>
      <c r="G1477" s="2">
        <v>0.87</v>
      </c>
      <c r="H1477" s="2">
        <v>0.04</v>
      </c>
      <c r="I1477" s="2">
        <v>1.5599999999999999E-2</v>
      </c>
      <c r="J1477" s="2">
        <v>0.11799999999999999</v>
      </c>
      <c r="K1477" s="2">
        <v>0.91200000000000003</v>
      </c>
      <c r="L1477" s="2">
        <v>-4.2910000000000004</v>
      </c>
    </row>
    <row r="1478" spans="1:12" x14ac:dyDescent="0.25">
      <c r="A1478">
        <v>117</v>
      </c>
      <c r="B1478">
        <v>1</v>
      </c>
      <c r="C1478" s="3">
        <v>8177832</v>
      </c>
      <c r="D1478" s="4">
        <v>4702232</v>
      </c>
      <c r="E1478">
        <v>44</v>
      </c>
      <c r="F1478" s="2">
        <v>0.59399999999999997</v>
      </c>
      <c r="G1478" s="2">
        <v>0.38900000000000001</v>
      </c>
      <c r="H1478" s="2">
        <v>5.1700000000000003E-2</v>
      </c>
      <c r="I1478" s="2">
        <v>0.78500000000000003</v>
      </c>
      <c r="J1478" s="2">
        <v>3.1300000000000001E-2</v>
      </c>
      <c r="K1478" s="2">
        <v>0.39600000000000002</v>
      </c>
      <c r="L1478" s="2">
        <v>-7.109</v>
      </c>
    </row>
    <row r="1479" spans="1:12" x14ac:dyDescent="0.25">
      <c r="A1479">
        <v>123</v>
      </c>
      <c r="B1479">
        <v>1</v>
      </c>
      <c r="C1479" s="3">
        <v>8064361</v>
      </c>
      <c r="D1479" s="4">
        <v>1151360</v>
      </c>
      <c r="E1479">
        <v>44</v>
      </c>
      <c r="F1479" s="2">
        <v>0.58299999999999996</v>
      </c>
      <c r="G1479" s="2">
        <v>0.71199999999999997</v>
      </c>
      <c r="H1479" s="2">
        <v>5.3800000000000001E-2</v>
      </c>
      <c r="I1479" s="2">
        <v>0.26300000000000001</v>
      </c>
      <c r="J1479" s="2">
        <v>0.81699999999999995</v>
      </c>
      <c r="K1479" s="2">
        <v>0.61399999999999999</v>
      </c>
      <c r="L1479" s="2">
        <v>-8.2219999999999995</v>
      </c>
    </row>
    <row r="1480" spans="1:12" x14ac:dyDescent="0.25">
      <c r="A1480">
        <v>144</v>
      </c>
      <c r="B1480">
        <v>1</v>
      </c>
      <c r="C1480" s="3">
        <v>7367482</v>
      </c>
      <c r="D1480" s="4">
        <v>1139096</v>
      </c>
      <c r="E1480">
        <v>44</v>
      </c>
      <c r="F1480" s="2">
        <v>0.46899999999999997</v>
      </c>
      <c r="G1480" s="2">
        <v>0.19600000000000001</v>
      </c>
      <c r="H1480" s="2">
        <v>5.7099999999999998E-2</v>
      </c>
      <c r="I1480" s="2">
        <v>0.88200000000000001</v>
      </c>
      <c r="J1480" s="2">
        <v>5.1299999999999998E-2</v>
      </c>
      <c r="K1480" s="2">
        <v>0.53700000000000003</v>
      </c>
      <c r="L1480" s="2">
        <v>-16.093</v>
      </c>
    </row>
    <row r="1481" spans="1:12" x14ac:dyDescent="0.25">
      <c r="A1481">
        <v>145</v>
      </c>
      <c r="B1481">
        <v>1</v>
      </c>
      <c r="C1481" s="3">
        <v>7363913</v>
      </c>
      <c r="D1481" s="4">
        <v>4224071</v>
      </c>
      <c r="E1481">
        <v>44</v>
      </c>
      <c r="F1481" s="2">
        <v>0.35699999999999998</v>
      </c>
      <c r="G1481" s="2">
        <v>0.66800000000000004</v>
      </c>
      <c r="H1481" s="2">
        <v>4.7899999999999998E-2</v>
      </c>
      <c r="I1481" s="2">
        <v>0.36199999999999999</v>
      </c>
      <c r="J1481" s="2">
        <v>0.72699999999999998</v>
      </c>
      <c r="K1481" s="2">
        <v>0.40699999999999997</v>
      </c>
      <c r="L1481" s="2">
        <v>-8.4440000000000008</v>
      </c>
    </row>
    <row r="1482" spans="1:12" x14ac:dyDescent="0.25">
      <c r="A1482">
        <v>161</v>
      </c>
      <c r="B1482">
        <v>1</v>
      </c>
      <c r="C1482" s="3">
        <v>7149158</v>
      </c>
      <c r="D1482" s="4">
        <v>359973</v>
      </c>
      <c r="E1482">
        <v>44</v>
      </c>
      <c r="F1482" s="2">
        <v>0.56599999999999995</v>
      </c>
      <c r="G1482" s="2">
        <v>0.246</v>
      </c>
      <c r="H1482" s="2">
        <v>2.76E-2</v>
      </c>
      <c r="I1482" s="2">
        <v>0.81299999999999994</v>
      </c>
      <c r="J1482" s="2">
        <v>0.19500000000000001</v>
      </c>
      <c r="K1482" s="2">
        <v>0.41199999999999998</v>
      </c>
      <c r="L1482" s="2">
        <v>-15.499000000000001</v>
      </c>
    </row>
    <row r="1483" spans="1:12" x14ac:dyDescent="0.25">
      <c r="A1483">
        <v>192</v>
      </c>
      <c r="B1483">
        <v>1</v>
      </c>
      <c r="C1483" s="3">
        <v>6400108</v>
      </c>
      <c r="D1483" s="4">
        <v>6896776</v>
      </c>
      <c r="E1483">
        <v>44</v>
      </c>
      <c r="F1483" s="2">
        <v>0.61199999999999999</v>
      </c>
      <c r="G1483" s="2">
        <v>0.28899999999999998</v>
      </c>
      <c r="H1483" s="2">
        <v>4.2099999999999999E-2</v>
      </c>
      <c r="I1483" s="2">
        <v>0.59899999999999998</v>
      </c>
      <c r="J1483" s="2">
        <v>5.6099999999999997E-2</v>
      </c>
      <c r="K1483" s="2">
        <v>0.46600000000000003</v>
      </c>
      <c r="L1483" s="2">
        <v>-11.568</v>
      </c>
    </row>
    <row r="1484" spans="1:12" x14ac:dyDescent="0.25">
      <c r="A1484">
        <v>71</v>
      </c>
      <c r="B1484">
        <v>3</v>
      </c>
      <c r="C1484" s="3">
        <v>10522305</v>
      </c>
      <c r="D1484" s="4">
        <v>1549216</v>
      </c>
      <c r="E1484">
        <v>43</v>
      </c>
      <c r="F1484" s="2">
        <v>0.66600000000000004</v>
      </c>
      <c r="G1484" s="2">
        <v>0.84099999999999997</v>
      </c>
      <c r="H1484" s="2">
        <v>3.1199999999999999E-2</v>
      </c>
      <c r="I1484" s="2">
        <v>0.61299999999999999</v>
      </c>
      <c r="J1484" s="2">
        <v>0.113</v>
      </c>
      <c r="K1484" s="2">
        <v>0.84</v>
      </c>
      <c r="L1484" s="2">
        <v>-3.5920000000000001</v>
      </c>
    </row>
    <row r="1485" spans="1:12" x14ac:dyDescent="0.25">
      <c r="A1485">
        <v>86</v>
      </c>
      <c r="B1485">
        <v>2</v>
      </c>
      <c r="C1485" s="3">
        <v>9457199</v>
      </c>
      <c r="D1485" s="4">
        <v>9470311</v>
      </c>
      <c r="E1485">
        <v>43</v>
      </c>
      <c r="F1485" s="2">
        <v>0.66900000000000004</v>
      </c>
      <c r="G1485" s="2">
        <v>0.84299999999999997</v>
      </c>
      <c r="H1485" s="2">
        <v>2.6800000000000001E-2</v>
      </c>
      <c r="I1485" s="2">
        <v>0.16900000000000001</v>
      </c>
      <c r="J1485" s="2">
        <v>0.19500000000000001</v>
      </c>
      <c r="K1485" s="2">
        <v>0.70199999999999996</v>
      </c>
      <c r="L1485" s="2">
        <v>-3.766</v>
      </c>
    </row>
    <row r="1486" spans="1:12" x14ac:dyDescent="0.25">
      <c r="A1486">
        <v>66</v>
      </c>
      <c r="B1486">
        <v>4</v>
      </c>
      <c r="C1486" s="3">
        <v>5353591</v>
      </c>
      <c r="D1486" s="4">
        <v>7504724</v>
      </c>
      <c r="E1486">
        <v>43</v>
      </c>
      <c r="F1486" s="2">
        <v>0.52600000000000002</v>
      </c>
      <c r="G1486" s="2">
        <v>0.92500000000000004</v>
      </c>
      <c r="H1486" s="2">
        <v>3.6299999999999999E-2</v>
      </c>
      <c r="I1486" s="2">
        <v>0.10199999999999999</v>
      </c>
      <c r="J1486" s="2">
        <v>0.30499999999999999</v>
      </c>
      <c r="K1486" s="2">
        <v>0.81899999999999995</v>
      </c>
      <c r="L1486" s="2">
        <v>-5.5839999999999996</v>
      </c>
    </row>
    <row r="1487" spans="1:12" x14ac:dyDescent="0.25">
      <c r="A1487">
        <v>140</v>
      </c>
      <c r="B1487">
        <v>1</v>
      </c>
      <c r="C1487" s="3">
        <v>7536851</v>
      </c>
      <c r="D1487" s="4">
        <v>33893352</v>
      </c>
      <c r="E1487">
        <v>42</v>
      </c>
      <c r="F1487" s="2">
        <v>0.34100000000000003</v>
      </c>
      <c r="G1487" s="2">
        <v>0.18099999999999999</v>
      </c>
      <c r="H1487" s="2">
        <v>3.6600000000000001E-2</v>
      </c>
      <c r="I1487" s="2">
        <v>0.88800000000000001</v>
      </c>
      <c r="J1487" s="2">
        <v>0.13700000000000001</v>
      </c>
      <c r="K1487" s="2">
        <v>0.21199999999999999</v>
      </c>
      <c r="L1487" s="2">
        <v>-12.073</v>
      </c>
    </row>
    <row r="1488" spans="1:12" x14ac:dyDescent="0.25">
      <c r="A1488">
        <v>147</v>
      </c>
      <c r="B1488">
        <v>1</v>
      </c>
      <c r="C1488" s="3">
        <v>7350024</v>
      </c>
      <c r="D1488" s="4">
        <v>2877234</v>
      </c>
      <c r="E1488">
        <v>42</v>
      </c>
      <c r="F1488" s="2">
        <v>0.63800000000000001</v>
      </c>
      <c r="G1488" s="2">
        <v>0.81299999999999994</v>
      </c>
      <c r="H1488" s="2">
        <v>3.6200000000000003E-2</v>
      </c>
      <c r="I1488" s="2">
        <v>0.46400000000000002</v>
      </c>
      <c r="J1488" s="2">
        <v>0.34399999999999997</v>
      </c>
      <c r="K1488" s="2">
        <v>0.754</v>
      </c>
      <c r="L1488" s="2">
        <v>-3.8490000000000002</v>
      </c>
    </row>
    <row r="1489" spans="1:12" x14ac:dyDescent="0.25">
      <c r="A1489">
        <v>175</v>
      </c>
      <c r="B1489">
        <v>1</v>
      </c>
      <c r="C1489" s="3">
        <v>6809438</v>
      </c>
      <c r="D1489" s="4">
        <v>424935</v>
      </c>
      <c r="E1489">
        <v>42</v>
      </c>
      <c r="F1489" s="2">
        <v>0.63400000000000001</v>
      </c>
      <c r="G1489" s="2">
        <v>0.64500000000000002</v>
      </c>
      <c r="H1489" s="2">
        <v>3.7600000000000001E-2</v>
      </c>
      <c r="I1489" s="2">
        <v>0.29199999999999998</v>
      </c>
      <c r="J1489" s="2">
        <v>0.246</v>
      </c>
      <c r="K1489" s="2">
        <v>0.67700000000000005</v>
      </c>
      <c r="L1489" s="2">
        <v>-9.1999999999999993</v>
      </c>
    </row>
    <row r="1490" spans="1:12" x14ac:dyDescent="0.25">
      <c r="A1490">
        <v>52</v>
      </c>
      <c r="B1490">
        <v>5</v>
      </c>
      <c r="C1490" s="3">
        <v>5687085</v>
      </c>
      <c r="D1490" s="4">
        <v>1324920</v>
      </c>
      <c r="E1490">
        <v>42</v>
      </c>
      <c r="F1490" s="2">
        <v>0.68500000000000005</v>
      </c>
      <c r="G1490" s="2">
        <v>0.39100000000000001</v>
      </c>
      <c r="H1490" s="2">
        <v>4.3499999999999997E-2</v>
      </c>
      <c r="I1490" s="2">
        <v>0.74399999999999999</v>
      </c>
      <c r="J1490" s="2">
        <v>0.14199999999999999</v>
      </c>
      <c r="K1490" s="2">
        <v>0.443</v>
      </c>
      <c r="L1490" s="2">
        <v>-7.1829999999999998</v>
      </c>
    </row>
    <row r="1491" spans="1:12" x14ac:dyDescent="0.25">
      <c r="A1491">
        <v>126</v>
      </c>
      <c r="B1491">
        <v>1</v>
      </c>
      <c r="C1491" s="3">
        <v>8022773</v>
      </c>
      <c r="D1491" s="4">
        <v>127251</v>
      </c>
      <c r="E1491">
        <v>41</v>
      </c>
      <c r="F1491" s="2">
        <v>0.7</v>
      </c>
      <c r="G1491" s="2">
        <v>0.13900000000000001</v>
      </c>
      <c r="H1491" s="2">
        <v>6.0699999999999997E-2</v>
      </c>
      <c r="I1491" s="2">
        <v>0.90200000000000002</v>
      </c>
      <c r="J1491" s="2">
        <v>0.185</v>
      </c>
      <c r="K1491" s="2">
        <v>0.49</v>
      </c>
      <c r="L1491" s="2">
        <v>-12.346</v>
      </c>
    </row>
    <row r="1492" spans="1:12" x14ac:dyDescent="0.25">
      <c r="A1492">
        <v>156</v>
      </c>
      <c r="B1492">
        <v>1</v>
      </c>
      <c r="C1492" s="3">
        <v>7227612</v>
      </c>
      <c r="D1492" s="4">
        <v>1139096</v>
      </c>
      <c r="E1492">
        <v>41</v>
      </c>
      <c r="F1492" s="2">
        <v>0.47799999999999998</v>
      </c>
      <c r="G1492" s="2">
        <v>0.20100000000000001</v>
      </c>
      <c r="H1492" s="2">
        <v>3.32E-2</v>
      </c>
      <c r="I1492" s="2">
        <v>0.91900000000000004</v>
      </c>
      <c r="J1492" s="2">
        <v>8.5400000000000004E-2</v>
      </c>
      <c r="K1492" s="2">
        <v>0.85699999999999998</v>
      </c>
      <c r="L1492" s="2">
        <v>-16.768000000000001</v>
      </c>
    </row>
    <row r="1493" spans="1:12" x14ac:dyDescent="0.25">
      <c r="A1493">
        <v>182</v>
      </c>
      <c r="B1493">
        <v>1</v>
      </c>
      <c r="C1493" s="3">
        <v>6652130</v>
      </c>
      <c r="D1493" s="4">
        <v>18936929</v>
      </c>
      <c r="E1493">
        <v>41</v>
      </c>
      <c r="F1493" s="2">
        <v>0.77400000000000002</v>
      </c>
      <c r="G1493" s="2">
        <v>0.60799999999999998</v>
      </c>
      <c r="H1493" s="2">
        <v>0.128</v>
      </c>
      <c r="I1493" s="2">
        <v>0.128</v>
      </c>
      <c r="J1493" s="2">
        <v>8.9499999999999996E-2</v>
      </c>
      <c r="K1493" s="2">
        <v>0.56000000000000005</v>
      </c>
      <c r="L1493" s="2">
        <v>-6.2640000000000002</v>
      </c>
    </row>
    <row r="1494" spans="1:12" x14ac:dyDescent="0.25">
      <c r="A1494">
        <v>184</v>
      </c>
      <c r="B1494">
        <v>1</v>
      </c>
      <c r="C1494" s="3">
        <v>6635128</v>
      </c>
      <c r="D1494" s="4">
        <v>1564750</v>
      </c>
      <c r="E1494">
        <v>41</v>
      </c>
      <c r="F1494" s="2">
        <v>0.64300000000000002</v>
      </c>
      <c r="G1494" s="2">
        <v>0.93899999999999995</v>
      </c>
      <c r="H1494" s="2">
        <v>4.6300000000000001E-2</v>
      </c>
      <c r="I1494" s="2">
        <v>0.104</v>
      </c>
      <c r="J1494" s="2">
        <v>0.88100000000000001</v>
      </c>
      <c r="K1494" s="2">
        <v>0.75600000000000001</v>
      </c>
      <c r="L1494" s="2">
        <v>-3.9670000000000001</v>
      </c>
    </row>
    <row r="1495" spans="1:12" x14ac:dyDescent="0.25">
      <c r="A1495">
        <v>197</v>
      </c>
      <c r="B1495">
        <v>1</v>
      </c>
      <c r="C1495" s="3">
        <v>6278993</v>
      </c>
      <c r="D1495" s="4">
        <v>10606572</v>
      </c>
      <c r="E1495">
        <v>41</v>
      </c>
      <c r="F1495" s="2">
        <v>0.48499999999999999</v>
      </c>
      <c r="G1495" s="2">
        <v>0.44400000000000001</v>
      </c>
      <c r="H1495" s="2">
        <v>0.19500000000000001</v>
      </c>
      <c r="I1495" s="2">
        <v>0.373</v>
      </c>
      <c r="J1495" s="2">
        <v>9.69E-2</v>
      </c>
      <c r="K1495" s="2">
        <v>0.77700000000000002</v>
      </c>
      <c r="L1495" s="2">
        <v>-6.2320000000000002</v>
      </c>
    </row>
    <row r="1496" spans="1:12" x14ac:dyDescent="0.25">
      <c r="A1496">
        <v>105</v>
      </c>
      <c r="B1496">
        <v>9</v>
      </c>
      <c r="C1496" s="3">
        <v>4244510</v>
      </c>
      <c r="D1496" s="4">
        <v>4849204</v>
      </c>
      <c r="E1496">
        <v>41</v>
      </c>
      <c r="F1496" s="2">
        <v>0.92200000000000004</v>
      </c>
      <c r="G1496" s="2">
        <v>0.81299999999999994</v>
      </c>
      <c r="H1496" s="2">
        <v>0.251</v>
      </c>
      <c r="I1496" s="2">
        <v>1.9800000000000002E-2</v>
      </c>
      <c r="J1496" s="2">
        <v>5.3900000000000003E-2</v>
      </c>
      <c r="K1496" s="2">
        <v>0.72399999999999998</v>
      </c>
      <c r="L1496" s="2">
        <v>-3.2679999999999998</v>
      </c>
    </row>
    <row r="1497" spans="1:12" x14ac:dyDescent="0.25">
      <c r="A1497">
        <v>157</v>
      </c>
      <c r="B1497">
        <v>1</v>
      </c>
      <c r="C1497" s="3">
        <v>7225080</v>
      </c>
      <c r="D1497" s="4">
        <v>4953667</v>
      </c>
      <c r="E1497">
        <v>38</v>
      </c>
      <c r="F1497" s="2">
        <v>0.60699999999999998</v>
      </c>
      <c r="G1497" s="2">
        <v>0.10299999999999999</v>
      </c>
      <c r="H1497" s="2">
        <v>4.0399999999999998E-2</v>
      </c>
      <c r="I1497" s="2">
        <v>0.80400000000000005</v>
      </c>
      <c r="J1497" s="2">
        <v>7.5999999999999998E-2</v>
      </c>
      <c r="K1497" s="2">
        <v>0.34100000000000003</v>
      </c>
      <c r="L1497" s="2">
        <v>-14.404999999999999</v>
      </c>
    </row>
    <row r="1498" spans="1:12" x14ac:dyDescent="0.25">
      <c r="A1498">
        <v>159</v>
      </c>
      <c r="B1498">
        <v>1</v>
      </c>
      <c r="C1498" s="3">
        <v>7182262</v>
      </c>
      <c r="D1498" s="4">
        <v>4953667</v>
      </c>
      <c r="E1498">
        <v>36</v>
      </c>
      <c r="F1498" s="2">
        <v>0.51200000000000001</v>
      </c>
      <c r="G1498" s="2">
        <v>0.33900000000000002</v>
      </c>
      <c r="H1498" s="2">
        <v>4.9799999999999997E-2</v>
      </c>
      <c r="I1498" s="2">
        <v>0.72699999999999998</v>
      </c>
      <c r="J1498" s="2">
        <v>9.7699999999999995E-2</v>
      </c>
      <c r="K1498" s="2">
        <v>0.95099999999999996</v>
      </c>
      <c r="L1498" s="2">
        <v>-13.119</v>
      </c>
    </row>
    <row r="1499" spans="1:12" x14ac:dyDescent="0.25">
      <c r="A1499">
        <v>183</v>
      </c>
      <c r="B1499">
        <v>1</v>
      </c>
      <c r="C1499" s="3">
        <v>4701388</v>
      </c>
      <c r="D1499" s="4">
        <v>861082</v>
      </c>
      <c r="E1499">
        <v>34</v>
      </c>
      <c r="F1499" s="2">
        <v>0.72599999999999998</v>
      </c>
      <c r="G1499" s="2">
        <v>0.64600000000000002</v>
      </c>
      <c r="H1499" s="2">
        <v>9.7699999999999995E-2</v>
      </c>
      <c r="I1499" s="2">
        <v>4.9500000000000002E-2</v>
      </c>
      <c r="J1499" s="2">
        <v>0.112</v>
      </c>
      <c r="K1499" s="2">
        <v>0.57999999999999996</v>
      </c>
      <c r="L1499" s="2">
        <v>-6.9</v>
      </c>
    </row>
    <row r="1500" spans="1:12" x14ac:dyDescent="0.25">
      <c r="A1500">
        <v>180</v>
      </c>
      <c r="B1500">
        <v>1</v>
      </c>
      <c r="C1500" s="3">
        <v>6680928</v>
      </c>
      <c r="D1500" s="4">
        <v>659472</v>
      </c>
      <c r="E1500">
        <v>29</v>
      </c>
      <c r="F1500" s="2">
        <v>0.60399999999999998</v>
      </c>
      <c r="G1500" s="2">
        <v>0.497</v>
      </c>
      <c r="H1500" s="2">
        <v>3.1899999999999998E-2</v>
      </c>
      <c r="I1500" s="2">
        <v>0.72699999999999998</v>
      </c>
      <c r="J1500" s="2">
        <v>0.10199999999999999</v>
      </c>
      <c r="K1500" s="2">
        <v>0.72</v>
      </c>
      <c r="L1500" s="2">
        <v>-6.6760000000000002</v>
      </c>
    </row>
    <row r="1501" spans="1:12" x14ac:dyDescent="0.25">
      <c r="A1501">
        <v>121</v>
      </c>
      <c r="B1501">
        <v>8</v>
      </c>
      <c r="C1501" s="3">
        <v>4950254</v>
      </c>
      <c r="D1501" s="4">
        <v>6223652</v>
      </c>
      <c r="E1501">
        <v>29</v>
      </c>
      <c r="F1501" s="2">
        <v>0.873</v>
      </c>
      <c r="G1501" s="2">
        <v>0.65600000000000003</v>
      </c>
      <c r="H1501" s="2">
        <v>6.8000000000000005E-2</v>
      </c>
      <c r="I1501" s="2">
        <v>4.7699999999999999E-3</v>
      </c>
      <c r="J1501" s="2">
        <v>7.2599999999999998E-2</v>
      </c>
      <c r="K1501" s="2">
        <v>0.54600000000000004</v>
      </c>
      <c r="L1501" s="2">
        <v>-6.0430000000000001</v>
      </c>
    </row>
    <row r="1502" spans="1:12" x14ac:dyDescent="0.25">
      <c r="A1502">
        <v>80</v>
      </c>
      <c r="B1502">
        <v>4</v>
      </c>
      <c r="C1502" s="3">
        <v>5421905</v>
      </c>
      <c r="D1502" s="4">
        <v>1251372</v>
      </c>
      <c r="E1502">
        <v>15</v>
      </c>
      <c r="F1502" s="2">
        <v>0.53</v>
      </c>
      <c r="G1502" s="2">
        <v>0.61199999999999999</v>
      </c>
      <c r="H1502" s="2">
        <v>5.1799999999999999E-2</v>
      </c>
      <c r="I1502" s="2">
        <v>0.253</v>
      </c>
      <c r="J1502" s="2">
        <v>0.246</v>
      </c>
      <c r="K1502" s="2">
        <v>0.433</v>
      </c>
      <c r="L1502" s="2">
        <v>-8.7940000000000005</v>
      </c>
    </row>
    <row r="1503" spans="1:12" x14ac:dyDescent="0.25">
      <c r="A1503">
        <v>105</v>
      </c>
      <c r="B1503">
        <v>7</v>
      </c>
      <c r="C1503" s="3">
        <v>4861378</v>
      </c>
      <c r="D1503" s="4">
        <v>1251372</v>
      </c>
      <c r="E1503">
        <v>3</v>
      </c>
      <c r="F1503" s="2">
        <v>0.73699999999999999</v>
      </c>
      <c r="G1503" s="2">
        <v>0.86</v>
      </c>
      <c r="H1503" s="2">
        <v>5.9400000000000001E-2</v>
      </c>
      <c r="I1503" s="2">
        <v>0.11</v>
      </c>
      <c r="J1503" s="2">
        <v>5.74E-2</v>
      </c>
      <c r="K1503" s="2">
        <v>0.65600000000000003</v>
      </c>
      <c r="L1503" s="2">
        <v>-2.6520000000000001</v>
      </c>
    </row>
    <row r="1504" spans="1:12" x14ac:dyDescent="0.25">
      <c r="A1504">
        <v>96</v>
      </c>
      <c r="B1504">
        <v>4</v>
      </c>
      <c r="C1504" s="3">
        <v>6984262</v>
      </c>
      <c r="D1504" s="4">
        <v>1250353</v>
      </c>
      <c r="E1504">
        <v>2</v>
      </c>
      <c r="F1504" s="2">
        <v>0.91500000000000004</v>
      </c>
      <c r="G1504" s="2">
        <v>0.72</v>
      </c>
      <c r="H1504" s="2">
        <v>4.5900000000000003E-2</v>
      </c>
      <c r="I1504" s="2">
        <v>2.5000000000000001E-2</v>
      </c>
      <c r="J1504" s="2">
        <v>9.4200000000000006E-2</v>
      </c>
      <c r="K1504" s="2">
        <v>0.63100000000000001</v>
      </c>
      <c r="L1504" s="2">
        <v>-3.1259999999999999</v>
      </c>
    </row>
    <row r="1505" spans="1:12" x14ac:dyDescent="0.25">
      <c r="A1505">
        <v>148</v>
      </c>
      <c r="B1505">
        <v>6</v>
      </c>
      <c r="C1505" s="3">
        <v>4863910</v>
      </c>
      <c r="D1505" s="4">
        <v>1251372</v>
      </c>
      <c r="E1505">
        <v>2</v>
      </c>
      <c r="F1505" s="2">
        <v>0.42</v>
      </c>
      <c r="G1505" s="2">
        <v>0.13100000000000001</v>
      </c>
      <c r="H1505" s="2">
        <v>3.8199999999999998E-2</v>
      </c>
      <c r="I1505" s="2">
        <v>0.95299999999999996</v>
      </c>
      <c r="J1505" s="2">
        <v>0.109</v>
      </c>
      <c r="K1505" s="2">
        <v>0.12</v>
      </c>
      <c r="L1505" s="2">
        <v>-18.434999999999999</v>
      </c>
    </row>
    <row r="1506" spans="1:12" x14ac:dyDescent="0.25">
      <c r="A1506">
        <v>91</v>
      </c>
      <c r="B1506">
        <v>10</v>
      </c>
      <c r="C1506" s="3">
        <v>5020303</v>
      </c>
      <c r="D1506" s="4">
        <v>1251372</v>
      </c>
      <c r="E1506">
        <v>1</v>
      </c>
      <c r="F1506" s="2">
        <v>0.88700000000000001</v>
      </c>
      <c r="G1506" s="2">
        <v>0.38800000000000001</v>
      </c>
      <c r="H1506" s="2">
        <v>0.34899999999999998</v>
      </c>
      <c r="I1506" s="2">
        <v>0.73899999999999999</v>
      </c>
      <c r="J1506" s="2">
        <v>0.106</v>
      </c>
      <c r="K1506" s="2">
        <v>0.20499999999999999</v>
      </c>
      <c r="L1506" s="2">
        <v>-14.505000000000001</v>
      </c>
    </row>
    <row r="1507" spans="1:12" x14ac:dyDescent="0.25">
      <c r="A1507">
        <v>108</v>
      </c>
      <c r="B1507">
        <v>4</v>
      </c>
      <c r="C1507" s="3">
        <v>4983557</v>
      </c>
      <c r="D1507" s="4">
        <v>1251372</v>
      </c>
      <c r="E1507">
        <v>1</v>
      </c>
      <c r="F1507" s="2">
        <v>0.65500000000000003</v>
      </c>
      <c r="G1507" s="2">
        <v>0.72599999999999998</v>
      </c>
      <c r="H1507" s="2">
        <v>7.9600000000000004E-2</v>
      </c>
      <c r="I1507" s="2">
        <v>0.33400000000000002</v>
      </c>
      <c r="J1507" s="2">
        <v>0.23200000000000001</v>
      </c>
      <c r="K1507" s="2">
        <v>0.76600000000000001</v>
      </c>
      <c r="L1507" s="2">
        <v>-7.6280000000000001</v>
      </c>
    </row>
    <row r="1508" spans="1:12" x14ac:dyDescent="0.25">
      <c r="A1508">
        <v>70</v>
      </c>
      <c r="B1508">
        <v>14</v>
      </c>
      <c r="C1508" s="3">
        <v>4874960</v>
      </c>
      <c r="D1508" s="4">
        <v>1251372</v>
      </c>
      <c r="E1508">
        <v>1</v>
      </c>
      <c r="F1508" s="2">
        <v>0.69299999999999995</v>
      </c>
      <c r="G1508" s="2">
        <v>0.83499999999999996</v>
      </c>
      <c r="H1508" s="2">
        <v>6.2399999999999997E-2</v>
      </c>
      <c r="I1508" s="2">
        <v>0.13100000000000001</v>
      </c>
      <c r="J1508" s="2">
        <v>7.2999999999999995E-2</v>
      </c>
      <c r="K1508" s="2">
        <v>0.74399999999999999</v>
      </c>
      <c r="L1508" s="2">
        <v>-3.242</v>
      </c>
    </row>
    <row r="1509" spans="1:12" x14ac:dyDescent="0.25">
      <c r="A1509">
        <v>101</v>
      </c>
      <c r="B1509">
        <v>22</v>
      </c>
      <c r="C1509" s="3">
        <v>4476954</v>
      </c>
      <c r="D1509" s="4">
        <v>1251372</v>
      </c>
      <c r="E1509">
        <v>1</v>
      </c>
      <c r="F1509" s="2">
        <v>0.35799999999999998</v>
      </c>
      <c r="G1509" s="2">
        <v>0.372</v>
      </c>
      <c r="H1509" s="2">
        <v>4.6399999999999997E-2</v>
      </c>
      <c r="I1509" s="2">
        <v>0.81</v>
      </c>
      <c r="J1509" s="2">
        <v>8.77E-2</v>
      </c>
      <c r="K1509" s="2">
        <v>0.16</v>
      </c>
      <c r="L1509" s="2">
        <v>-7.6639999999999997</v>
      </c>
    </row>
    <row r="1510" spans="1:12" x14ac:dyDescent="0.25">
      <c r="A1510">
        <v>32</v>
      </c>
      <c r="B1510">
        <v>3</v>
      </c>
      <c r="C1510" s="3">
        <v>4420187</v>
      </c>
      <c r="D1510" s="4">
        <v>1251372</v>
      </c>
      <c r="E1510">
        <v>1</v>
      </c>
      <c r="F1510" s="2">
        <v>0.877</v>
      </c>
      <c r="G1510" s="2">
        <v>0.49199999999999999</v>
      </c>
      <c r="H1510" s="2">
        <v>0.153</v>
      </c>
      <c r="I1510" s="2">
        <v>1.3599999999999999E-2</v>
      </c>
      <c r="J1510" s="2">
        <v>6.7799999999999999E-2</v>
      </c>
      <c r="K1510" s="2">
        <v>0.4</v>
      </c>
      <c r="L1510" s="2">
        <v>-8.11</v>
      </c>
    </row>
    <row r="1511" spans="1:12" x14ac:dyDescent="0.25">
      <c r="A1511">
        <v>2</v>
      </c>
      <c r="B1511">
        <v>83</v>
      </c>
      <c r="C1511" s="3">
        <v>8821971</v>
      </c>
      <c r="D1511" s="4">
        <v>1250353</v>
      </c>
      <c r="E1511">
        <v>0</v>
      </c>
      <c r="F1511" s="2">
        <v>0.79300000000000004</v>
      </c>
      <c r="G1511" s="2">
        <v>0.79300000000000004</v>
      </c>
      <c r="H1511" s="2">
        <v>8.3000000000000004E-2</v>
      </c>
      <c r="I1511" s="2">
        <v>1.23E-2</v>
      </c>
      <c r="J1511" s="2">
        <v>9.5100000000000004E-2</v>
      </c>
      <c r="K1511" s="2">
        <v>0.67900000000000005</v>
      </c>
      <c r="L1511" s="2">
        <v>-4.5209999999999999</v>
      </c>
    </row>
    <row r="1512" spans="1:12" x14ac:dyDescent="0.25">
      <c r="A1512">
        <v>111</v>
      </c>
      <c r="B1512">
        <v>1</v>
      </c>
      <c r="C1512" s="3">
        <v>8387899</v>
      </c>
      <c r="D1512" s="4">
        <v>1251372</v>
      </c>
      <c r="E1512">
        <v>0</v>
      </c>
      <c r="F1512" s="2">
        <v>0.59</v>
      </c>
      <c r="G1512" s="2">
        <v>0.30499999999999999</v>
      </c>
      <c r="H1512" s="2">
        <v>3.2000000000000001E-2</v>
      </c>
      <c r="I1512" s="2">
        <v>0.89400000000000002</v>
      </c>
      <c r="J1512" s="2">
        <v>0.14000000000000001</v>
      </c>
      <c r="K1512" s="2">
        <v>0.54500000000000004</v>
      </c>
      <c r="L1512" s="2">
        <v>-12.955</v>
      </c>
    </row>
    <row r="1513" spans="1:12" x14ac:dyDescent="0.25">
      <c r="A1513">
        <v>133</v>
      </c>
      <c r="B1513">
        <v>1</v>
      </c>
      <c r="C1513" s="3">
        <v>7792643</v>
      </c>
      <c r="D1513" s="4">
        <v>1251372</v>
      </c>
      <c r="E1513">
        <v>0</v>
      </c>
      <c r="F1513" s="2">
        <v>0.54500000000000004</v>
      </c>
      <c r="G1513" s="2">
        <v>0.7</v>
      </c>
      <c r="H1513" s="2">
        <v>3.2300000000000002E-2</v>
      </c>
      <c r="I1513" s="2">
        <v>9.8199999999999996E-2</v>
      </c>
      <c r="J1513" s="2">
        <v>0.1</v>
      </c>
      <c r="K1513" s="2">
        <v>0.79900000000000004</v>
      </c>
      <c r="L1513" s="2">
        <v>-6.9610000000000003</v>
      </c>
    </row>
    <row r="1514" spans="1:12" x14ac:dyDescent="0.25">
      <c r="A1514">
        <v>76</v>
      </c>
      <c r="B1514">
        <v>3</v>
      </c>
      <c r="C1514" s="3">
        <v>7465445</v>
      </c>
      <c r="D1514" s="4">
        <v>1250353</v>
      </c>
      <c r="E1514">
        <v>0</v>
      </c>
      <c r="F1514" s="2">
        <v>0.65900000000000003</v>
      </c>
      <c r="G1514" s="2">
        <v>0.66700000000000004</v>
      </c>
      <c r="H1514" s="2">
        <v>3.39E-2</v>
      </c>
      <c r="I1514" s="2">
        <v>1.73E-3</v>
      </c>
      <c r="J1514" s="2">
        <v>0.1</v>
      </c>
      <c r="K1514" s="2">
        <v>0.46800000000000003</v>
      </c>
      <c r="L1514" s="2">
        <v>-4.6680000000000001</v>
      </c>
    </row>
    <row r="1515" spans="1:12" x14ac:dyDescent="0.25">
      <c r="A1515">
        <v>149</v>
      </c>
      <c r="B1515">
        <v>1</v>
      </c>
      <c r="C1515" s="3">
        <v>7301381</v>
      </c>
      <c r="D1515" s="4">
        <v>1251372</v>
      </c>
      <c r="E1515">
        <v>0</v>
      </c>
      <c r="F1515" s="2">
        <v>0.60199999999999998</v>
      </c>
      <c r="G1515" s="2">
        <v>0.55300000000000005</v>
      </c>
      <c r="H1515" s="2">
        <v>3.2800000000000003E-2</v>
      </c>
      <c r="I1515" s="2">
        <v>0.108</v>
      </c>
      <c r="J1515" s="2">
        <v>5.1200000000000002E-2</v>
      </c>
      <c r="K1515" s="2">
        <v>0.97099999999999997</v>
      </c>
      <c r="L1515" s="2">
        <v>-9.3360000000000003</v>
      </c>
    </row>
    <row r="1516" spans="1:12" x14ac:dyDescent="0.25">
      <c r="A1516">
        <v>5</v>
      </c>
      <c r="B1516">
        <v>21</v>
      </c>
      <c r="C1516" s="3">
        <v>6300416</v>
      </c>
      <c r="D1516" s="4">
        <v>1250353</v>
      </c>
      <c r="E1516">
        <v>0</v>
      </c>
      <c r="F1516" s="2">
        <v>0.65800000000000003</v>
      </c>
      <c r="G1516" s="2">
        <v>0.63400000000000001</v>
      </c>
      <c r="H1516" s="2">
        <v>4.1300000000000003E-2</v>
      </c>
      <c r="I1516" s="2">
        <v>1.06E-2</v>
      </c>
      <c r="J1516" s="2">
        <v>0.13200000000000001</v>
      </c>
      <c r="K1516" s="2">
        <v>0.28999999999999998</v>
      </c>
      <c r="L1516" s="2">
        <v>-5.7969999999999997</v>
      </c>
    </row>
    <row r="1517" spans="1:12" x14ac:dyDescent="0.25">
      <c r="A1517">
        <v>128</v>
      </c>
      <c r="B1517">
        <v>1</v>
      </c>
      <c r="C1517" s="3">
        <v>5922748</v>
      </c>
      <c r="D1517" s="4">
        <v>1251372</v>
      </c>
      <c r="E1517">
        <v>0</v>
      </c>
      <c r="F1517" s="2">
        <v>0.67900000000000005</v>
      </c>
      <c r="G1517" s="2">
        <v>0.67900000000000005</v>
      </c>
      <c r="H1517" s="2">
        <v>0.16700000000000001</v>
      </c>
      <c r="I1517" s="2">
        <v>0.443</v>
      </c>
      <c r="J1517" s="2">
        <v>0.153</v>
      </c>
      <c r="K1517" s="2">
        <v>0.245</v>
      </c>
      <c r="L1517" s="2">
        <v>-6.7469999999999999</v>
      </c>
    </row>
    <row r="1518" spans="1:12" x14ac:dyDescent="0.25">
      <c r="A1518">
        <v>65</v>
      </c>
      <c r="B1518">
        <v>4</v>
      </c>
      <c r="C1518" s="3">
        <v>5802508</v>
      </c>
      <c r="D1518" s="4">
        <v>1251372</v>
      </c>
      <c r="E1518">
        <v>0</v>
      </c>
      <c r="F1518" s="2">
        <v>0.64700000000000002</v>
      </c>
      <c r="G1518" s="2">
        <v>0.876</v>
      </c>
      <c r="H1518" s="2">
        <v>0.185</v>
      </c>
      <c r="I1518" s="2">
        <v>0.88100000000000001</v>
      </c>
      <c r="J1518" s="2">
        <v>0.26</v>
      </c>
      <c r="K1518" s="2">
        <v>0.94899999999999995</v>
      </c>
      <c r="L1518" s="2">
        <v>-5.6619999999999999</v>
      </c>
    </row>
    <row r="1519" spans="1:12" x14ac:dyDescent="0.25">
      <c r="A1519">
        <v>59</v>
      </c>
      <c r="B1519">
        <v>4</v>
      </c>
      <c r="C1519" s="3">
        <v>5801639</v>
      </c>
      <c r="D1519" s="4">
        <v>1251372</v>
      </c>
      <c r="E1519">
        <v>0</v>
      </c>
      <c r="F1519" s="2">
        <v>0.69099999999999995</v>
      </c>
      <c r="G1519" s="2">
        <v>0.77600000000000002</v>
      </c>
      <c r="H1519" s="2">
        <v>3.4099999999999998E-2</v>
      </c>
      <c r="I1519" s="2">
        <v>0.45800000000000002</v>
      </c>
      <c r="J1519" s="2">
        <v>0.33</v>
      </c>
      <c r="K1519" s="2">
        <v>0.96099999999999997</v>
      </c>
      <c r="L1519" s="2">
        <v>-4.1769999999999996</v>
      </c>
    </row>
    <row r="1520" spans="1:12" x14ac:dyDescent="0.25">
      <c r="A1520">
        <v>68</v>
      </c>
      <c r="B1520">
        <v>6</v>
      </c>
      <c r="C1520" s="3">
        <v>5576844</v>
      </c>
      <c r="D1520" s="4">
        <v>1250353</v>
      </c>
      <c r="E1520">
        <v>0</v>
      </c>
      <c r="F1520" s="2">
        <v>0.80800000000000005</v>
      </c>
      <c r="G1520" s="2">
        <v>0.66</v>
      </c>
      <c r="H1520" s="2">
        <v>3.95E-2</v>
      </c>
      <c r="I1520" s="2">
        <v>3.5799999999999998E-2</v>
      </c>
      <c r="J1520" s="2">
        <v>0.13800000000000001</v>
      </c>
      <c r="K1520" s="2">
        <v>0.80400000000000005</v>
      </c>
      <c r="L1520" s="2">
        <v>-6.2370000000000001</v>
      </c>
    </row>
    <row r="1521" spans="1:12" x14ac:dyDescent="0.25">
      <c r="A1521">
        <v>12</v>
      </c>
      <c r="B1521">
        <v>21</v>
      </c>
      <c r="C1521" s="3">
        <v>5535339</v>
      </c>
      <c r="D1521" s="4">
        <v>1251372</v>
      </c>
      <c r="E1521">
        <v>0</v>
      </c>
      <c r="F1521" s="2">
        <v>0.33300000000000002</v>
      </c>
      <c r="G1521" s="2">
        <v>0.63700000000000001</v>
      </c>
      <c r="H1521" s="2">
        <v>5.8099999999999999E-2</v>
      </c>
      <c r="I1521" s="2">
        <v>0.13100000000000001</v>
      </c>
      <c r="J1521" s="2">
        <v>0.14899999999999999</v>
      </c>
      <c r="K1521" s="2">
        <v>0.13200000000000001</v>
      </c>
      <c r="L1521" s="2">
        <v>-4.9039999999999999</v>
      </c>
    </row>
    <row r="1522" spans="1:12" x14ac:dyDescent="0.25">
      <c r="A1522">
        <v>158</v>
      </c>
      <c r="B1522">
        <v>1</v>
      </c>
      <c r="C1522" s="3">
        <v>5510906</v>
      </c>
      <c r="D1522" s="4">
        <v>1251372</v>
      </c>
      <c r="E1522">
        <v>0</v>
      </c>
      <c r="F1522" s="2">
        <v>0.61499999999999999</v>
      </c>
      <c r="G1522" s="2">
        <v>0.83399999999999996</v>
      </c>
      <c r="H1522" s="2">
        <v>6.6699999999999995E-2</v>
      </c>
      <c r="I1522" s="2">
        <v>0.105</v>
      </c>
      <c r="J1522" s="2">
        <v>0.157</v>
      </c>
      <c r="K1522" s="2">
        <v>0.34100000000000003</v>
      </c>
      <c r="L1522" s="2">
        <v>-5.4710000000000001</v>
      </c>
    </row>
    <row r="1523" spans="1:12" x14ac:dyDescent="0.25">
      <c r="A1523">
        <v>42</v>
      </c>
      <c r="B1523">
        <v>60</v>
      </c>
      <c r="C1523" s="3">
        <v>5467596</v>
      </c>
      <c r="D1523" s="4">
        <v>1250353</v>
      </c>
      <c r="E1523">
        <v>0</v>
      </c>
      <c r="F1523" s="2">
        <v>0.48399999999999999</v>
      </c>
      <c r="G1523" s="2">
        <v>0.10299999999999999</v>
      </c>
      <c r="H1523" s="2">
        <v>6.2700000000000006E-2</v>
      </c>
      <c r="I1523" s="2">
        <v>0.97899999999999998</v>
      </c>
      <c r="J1523" s="2">
        <v>8.9499999999999996E-2</v>
      </c>
      <c r="K1523" s="2">
        <v>0.19400000000000001</v>
      </c>
      <c r="L1523" s="2">
        <v>-14.074999999999999</v>
      </c>
    </row>
    <row r="1524" spans="1:12" x14ac:dyDescent="0.25">
      <c r="A1524">
        <v>10</v>
      </c>
      <c r="B1524">
        <v>69</v>
      </c>
      <c r="C1524" s="3">
        <v>5448680</v>
      </c>
      <c r="D1524" s="4">
        <v>1250353</v>
      </c>
      <c r="E1524">
        <v>0</v>
      </c>
      <c r="F1524" s="2">
        <v>0.70399999999999996</v>
      </c>
      <c r="G1524" s="2">
        <v>0.22500000000000001</v>
      </c>
      <c r="H1524" s="2">
        <v>9.9400000000000002E-2</v>
      </c>
      <c r="I1524" s="2">
        <v>0.90100000000000002</v>
      </c>
      <c r="J1524" s="2">
        <v>0.106</v>
      </c>
      <c r="K1524" s="2">
        <v>0.24299999999999999</v>
      </c>
      <c r="L1524" s="2">
        <v>-14.454000000000001</v>
      </c>
    </row>
    <row r="1525" spans="1:12" x14ac:dyDescent="0.25">
      <c r="A1525">
        <v>13</v>
      </c>
      <c r="B1525">
        <v>83</v>
      </c>
      <c r="C1525" s="3">
        <v>5436286</v>
      </c>
      <c r="D1525" s="4">
        <v>1250353</v>
      </c>
      <c r="E1525">
        <v>0</v>
      </c>
      <c r="F1525" s="2">
        <v>0.70099999999999996</v>
      </c>
      <c r="G1525" s="2">
        <v>0.42499999999999999</v>
      </c>
      <c r="H1525" s="2">
        <v>0.375</v>
      </c>
      <c r="I1525" s="2">
        <v>0.32800000000000001</v>
      </c>
      <c r="J1525" s="2">
        <v>0.1</v>
      </c>
      <c r="K1525" s="2">
        <v>0.56200000000000006</v>
      </c>
      <c r="L1525" s="2">
        <v>-10.965</v>
      </c>
    </row>
    <row r="1526" spans="1:12" x14ac:dyDescent="0.25">
      <c r="A1526">
        <v>14</v>
      </c>
      <c r="B1526">
        <v>32</v>
      </c>
      <c r="C1526" s="3">
        <v>5344862</v>
      </c>
      <c r="D1526" s="4">
        <v>1251372</v>
      </c>
      <c r="E1526">
        <v>0</v>
      </c>
      <c r="F1526" s="2">
        <v>0.71499999999999997</v>
      </c>
      <c r="G1526" s="2">
        <v>0.70599999999999996</v>
      </c>
      <c r="H1526" s="2">
        <v>0.19500000000000001</v>
      </c>
      <c r="I1526" s="2">
        <v>0.496</v>
      </c>
      <c r="J1526" s="2">
        <v>0.106</v>
      </c>
      <c r="K1526" s="2">
        <v>0.52200000000000002</v>
      </c>
      <c r="L1526" s="2">
        <v>-4.423</v>
      </c>
    </row>
    <row r="1527" spans="1:12" x14ac:dyDescent="0.25">
      <c r="A1527">
        <v>2</v>
      </c>
      <c r="B1527">
        <v>31</v>
      </c>
      <c r="C1527" s="3">
        <v>5265630</v>
      </c>
      <c r="D1527" s="4">
        <v>1250353</v>
      </c>
      <c r="E1527">
        <v>0</v>
      </c>
      <c r="F1527" s="2">
        <v>0.88900000000000001</v>
      </c>
      <c r="G1527" s="2">
        <v>0.34</v>
      </c>
      <c r="H1527" s="2">
        <v>6.9699999999999998E-2</v>
      </c>
      <c r="I1527" s="2">
        <v>0.218</v>
      </c>
      <c r="J1527" s="2">
        <v>5.5E-2</v>
      </c>
      <c r="K1527" s="2">
        <v>0.71599999999999997</v>
      </c>
      <c r="L1527" s="2">
        <v>-7.7729999999999997</v>
      </c>
    </row>
    <row r="1528" spans="1:12" x14ac:dyDescent="0.25">
      <c r="A1528">
        <v>40</v>
      </c>
      <c r="B1528">
        <v>25</v>
      </c>
      <c r="C1528" s="3">
        <v>5217052</v>
      </c>
      <c r="D1528" s="4">
        <v>1250353</v>
      </c>
      <c r="E1528">
        <v>0</v>
      </c>
      <c r="F1528" s="2">
        <v>0.57399999999999995</v>
      </c>
      <c r="G1528" s="2">
        <v>0.89100000000000001</v>
      </c>
      <c r="H1528" s="2">
        <v>0.157</v>
      </c>
      <c r="I1528" s="2">
        <v>8.4699999999999998E-2</v>
      </c>
      <c r="J1528" s="2">
        <v>0.16</v>
      </c>
      <c r="K1528" s="2">
        <v>0.70699999999999996</v>
      </c>
      <c r="L1528" s="2">
        <v>-3.665</v>
      </c>
    </row>
    <row r="1529" spans="1:12" x14ac:dyDescent="0.25">
      <c r="A1529">
        <v>110</v>
      </c>
      <c r="B1529">
        <v>10</v>
      </c>
      <c r="C1529" s="3">
        <v>5215973</v>
      </c>
      <c r="D1529" s="4">
        <v>1250353</v>
      </c>
      <c r="E1529">
        <v>0</v>
      </c>
      <c r="F1529" s="2">
        <v>0.77300000000000002</v>
      </c>
      <c r="G1529" s="2">
        <v>0.8</v>
      </c>
      <c r="H1529" s="2">
        <v>9.8699999999999996E-2</v>
      </c>
      <c r="I1529" s="2">
        <v>6.13E-2</v>
      </c>
      <c r="J1529" s="2">
        <v>3.27E-2</v>
      </c>
      <c r="K1529" s="2">
        <v>0.84199999999999997</v>
      </c>
      <c r="L1529" s="2">
        <v>-3.17</v>
      </c>
    </row>
    <row r="1530" spans="1:12" x14ac:dyDescent="0.25">
      <c r="A1530">
        <v>15</v>
      </c>
      <c r="B1530">
        <v>7</v>
      </c>
      <c r="C1530" s="3">
        <v>5203319</v>
      </c>
      <c r="D1530" s="4">
        <v>1250353</v>
      </c>
      <c r="E1530">
        <v>0</v>
      </c>
      <c r="F1530" s="2">
        <v>0.67100000000000004</v>
      </c>
      <c r="G1530" s="2">
        <v>0.33600000000000002</v>
      </c>
      <c r="H1530" s="2">
        <v>0.24099999999999999</v>
      </c>
      <c r="I1530" s="2">
        <v>0.70499999999999996</v>
      </c>
      <c r="J1530" s="2">
        <v>5.7700000000000001E-2</v>
      </c>
      <c r="K1530" s="2">
        <v>0.51800000000000002</v>
      </c>
      <c r="L1530" s="2">
        <v>-8.4939999999999998</v>
      </c>
    </row>
    <row r="1531" spans="1:12" x14ac:dyDescent="0.25">
      <c r="A1531">
        <v>3</v>
      </c>
      <c r="B1531">
        <v>33</v>
      </c>
      <c r="C1531" s="3">
        <v>5201714</v>
      </c>
      <c r="D1531" s="4">
        <v>1250353</v>
      </c>
      <c r="E1531">
        <v>0</v>
      </c>
      <c r="F1531" s="2">
        <v>0.86299999999999999</v>
      </c>
      <c r="G1531" s="2">
        <v>0.66600000000000004</v>
      </c>
      <c r="H1531" s="2">
        <v>0.152</v>
      </c>
      <c r="I1531" s="2">
        <v>0.21199999999999999</v>
      </c>
      <c r="J1531" s="2">
        <v>0.10299999999999999</v>
      </c>
      <c r="K1531" s="2">
        <v>0.83799999999999997</v>
      </c>
      <c r="L1531" s="2">
        <v>-4.1580000000000004</v>
      </c>
    </row>
    <row r="1532" spans="1:12" x14ac:dyDescent="0.25">
      <c r="A1532">
        <v>39</v>
      </c>
      <c r="B1532">
        <v>6</v>
      </c>
      <c r="C1532" s="3">
        <v>5142982</v>
      </c>
      <c r="D1532" s="4">
        <v>1250353</v>
      </c>
      <c r="E1532">
        <v>0</v>
      </c>
      <c r="F1532" s="2">
        <v>0.50700000000000001</v>
      </c>
      <c r="G1532" s="2">
        <v>0.82799999999999996</v>
      </c>
      <c r="H1532" s="2">
        <v>4.4900000000000002E-2</v>
      </c>
      <c r="I1532" s="2">
        <v>7.11E-3</v>
      </c>
      <c r="J1532" s="2">
        <v>0.26100000000000001</v>
      </c>
      <c r="K1532" s="2">
        <v>0.48899999999999999</v>
      </c>
      <c r="L1532" s="2">
        <v>-6.0229999999999997</v>
      </c>
    </row>
    <row r="1533" spans="1:12" x14ac:dyDescent="0.25">
      <c r="A1533">
        <v>6</v>
      </c>
      <c r="B1533">
        <v>26</v>
      </c>
      <c r="C1533" s="3">
        <v>5079587</v>
      </c>
      <c r="D1533" s="4">
        <v>1250353</v>
      </c>
      <c r="E1533">
        <v>0</v>
      </c>
      <c r="F1533" s="2">
        <v>0.68600000000000005</v>
      </c>
      <c r="G1533" s="2">
        <v>0.53800000000000003</v>
      </c>
      <c r="H1533" s="2">
        <v>3.4500000000000003E-2</v>
      </c>
      <c r="I1533" s="2">
        <v>0.18099999999999999</v>
      </c>
      <c r="J1533" s="2">
        <v>0.113</v>
      </c>
      <c r="K1533" s="2">
        <v>0.58399999999999996</v>
      </c>
      <c r="L1533" s="2">
        <v>-8.0259999999999998</v>
      </c>
    </row>
    <row r="1534" spans="1:12" x14ac:dyDescent="0.25">
      <c r="A1534">
        <v>56</v>
      </c>
      <c r="B1534">
        <v>5</v>
      </c>
      <c r="C1534" s="3">
        <v>5066377</v>
      </c>
      <c r="D1534" s="4">
        <v>1251372</v>
      </c>
      <c r="E1534">
        <v>0</v>
      </c>
      <c r="F1534" s="2">
        <v>0.753</v>
      </c>
      <c r="G1534" s="2">
        <v>0.56399999999999995</v>
      </c>
      <c r="H1534" s="2">
        <v>0.251</v>
      </c>
      <c r="I1534" s="2">
        <v>0.114</v>
      </c>
      <c r="J1534" s="2">
        <v>0.35899999999999999</v>
      </c>
      <c r="K1534" s="2">
        <v>0.55000000000000004</v>
      </c>
      <c r="L1534" s="2">
        <v>-7.9080000000000004</v>
      </c>
    </row>
    <row r="1535" spans="1:12" x14ac:dyDescent="0.25">
      <c r="A1535">
        <v>167</v>
      </c>
      <c r="B1535">
        <v>4</v>
      </c>
      <c r="C1535" s="3">
        <v>4988054</v>
      </c>
      <c r="D1535" s="4">
        <v>1251372</v>
      </c>
      <c r="E1535">
        <v>0</v>
      </c>
      <c r="F1535" s="2">
        <v>0.68300000000000005</v>
      </c>
      <c r="G1535" s="2">
        <v>0.53400000000000003</v>
      </c>
      <c r="H1535" s="2">
        <v>0.189</v>
      </c>
      <c r="I1535" s="2">
        <v>0.51900000000000002</v>
      </c>
      <c r="J1535" s="2">
        <v>0.14799999999999999</v>
      </c>
      <c r="K1535" s="2">
        <v>0.28399999999999997</v>
      </c>
      <c r="L1535" s="2">
        <v>-10.348000000000001</v>
      </c>
    </row>
    <row r="1536" spans="1:12" x14ac:dyDescent="0.25">
      <c r="A1536">
        <v>56</v>
      </c>
      <c r="B1536">
        <v>7</v>
      </c>
      <c r="C1536" s="3">
        <v>4980744</v>
      </c>
      <c r="D1536" s="4">
        <v>1251372</v>
      </c>
      <c r="E1536">
        <v>0</v>
      </c>
      <c r="F1536" s="2">
        <v>0.74299999999999999</v>
      </c>
      <c r="G1536" s="2">
        <v>0.83699999999999997</v>
      </c>
      <c r="H1536" s="2">
        <v>6.4899999999999999E-2</v>
      </c>
      <c r="I1536" s="2">
        <v>1.72E-2</v>
      </c>
      <c r="J1536" s="2">
        <v>7.4300000000000005E-2</v>
      </c>
      <c r="K1536" s="2">
        <v>0.26300000000000001</v>
      </c>
      <c r="L1536" s="2">
        <v>-5.0250000000000004</v>
      </c>
    </row>
    <row r="1537" spans="1:12" x14ac:dyDescent="0.25">
      <c r="A1537">
        <v>18</v>
      </c>
      <c r="B1537">
        <v>18</v>
      </c>
      <c r="C1537" s="3">
        <v>4965330</v>
      </c>
      <c r="D1537" s="4">
        <v>1250353</v>
      </c>
      <c r="E1537">
        <v>0</v>
      </c>
      <c r="F1537" s="2">
        <v>0.64100000000000001</v>
      </c>
      <c r="G1537" s="2">
        <v>0.32400000000000001</v>
      </c>
      <c r="H1537" s="2">
        <v>2.9899999999999999E-2</v>
      </c>
      <c r="I1537" s="2">
        <v>0.69799999999999995</v>
      </c>
      <c r="J1537" s="2">
        <v>0.32800000000000001</v>
      </c>
      <c r="K1537" s="2">
        <v>0.27300000000000002</v>
      </c>
      <c r="L1537" s="2">
        <v>-5.851</v>
      </c>
    </row>
    <row r="1538" spans="1:12" x14ac:dyDescent="0.25">
      <c r="A1538">
        <v>73</v>
      </c>
      <c r="B1538">
        <v>11</v>
      </c>
      <c r="C1538" s="3">
        <v>4940701</v>
      </c>
      <c r="D1538" s="4">
        <v>1250353</v>
      </c>
      <c r="E1538">
        <v>0</v>
      </c>
      <c r="F1538" s="2">
        <v>0.77200000000000002</v>
      </c>
      <c r="G1538" s="2">
        <v>0.75800000000000001</v>
      </c>
      <c r="H1538" s="2">
        <v>4.82E-2</v>
      </c>
      <c r="I1538" s="2">
        <v>4.3299999999999998E-2</v>
      </c>
      <c r="J1538" s="2">
        <v>0.29499999999999998</v>
      </c>
      <c r="K1538" s="2">
        <v>0.65400000000000003</v>
      </c>
      <c r="L1538" s="2">
        <v>-3.891</v>
      </c>
    </row>
    <row r="1539" spans="1:12" x14ac:dyDescent="0.25">
      <c r="A1539">
        <v>86</v>
      </c>
      <c r="B1539">
        <v>9</v>
      </c>
      <c r="C1539" s="3">
        <v>4897374</v>
      </c>
      <c r="D1539" s="4">
        <v>1251372</v>
      </c>
      <c r="E1539">
        <v>0</v>
      </c>
      <c r="F1539" s="2">
        <v>0.73799999999999999</v>
      </c>
      <c r="G1539" s="2">
        <v>0.748</v>
      </c>
      <c r="H1539" s="2">
        <v>4.53E-2</v>
      </c>
      <c r="I1539" s="2">
        <v>0.182</v>
      </c>
      <c r="J1539" s="2">
        <v>0.109</v>
      </c>
      <c r="K1539" s="2">
        <v>0.89600000000000002</v>
      </c>
      <c r="L1539" s="2">
        <v>-4.9020000000000001</v>
      </c>
    </row>
    <row r="1540" spans="1:12" x14ac:dyDescent="0.25">
      <c r="A1540">
        <v>192</v>
      </c>
      <c r="B1540">
        <v>1</v>
      </c>
      <c r="C1540" s="3">
        <v>4787180</v>
      </c>
      <c r="D1540" s="4">
        <v>1251372</v>
      </c>
      <c r="E1540">
        <v>0</v>
      </c>
      <c r="F1540" s="2">
        <v>0.75600000000000001</v>
      </c>
      <c r="G1540" s="2">
        <v>0.55300000000000005</v>
      </c>
      <c r="H1540" s="2">
        <v>3.4299999999999997E-2</v>
      </c>
      <c r="I1540" s="2">
        <v>0.40400000000000003</v>
      </c>
      <c r="J1540" s="2">
        <v>0.158</v>
      </c>
      <c r="K1540" s="2">
        <v>0.59699999999999998</v>
      </c>
      <c r="L1540" s="2">
        <v>-4.24</v>
      </c>
    </row>
    <row r="1541" spans="1:12" x14ac:dyDescent="0.25">
      <c r="A1541">
        <v>14</v>
      </c>
      <c r="B1541">
        <v>37</v>
      </c>
      <c r="C1541" s="3">
        <v>4773792</v>
      </c>
      <c r="D1541" s="4">
        <v>1251372</v>
      </c>
      <c r="E1541">
        <v>0</v>
      </c>
      <c r="F1541" s="2">
        <v>0.65200000000000002</v>
      </c>
      <c r="G1541" s="2">
        <v>0.59499999999999997</v>
      </c>
      <c r="H1541" s="2">
        <v>0.11700000000000001</v>
      </c>
      <c r="I1541" s="2">
        <v>0.15</v>
      </c>
      <c r="J1541" s="2">
        <v>8.3599999999999994E-2</v>
      </c>
      <c r="K1541" s="2">
        <v>0.42099999999999999</v>
      </c>
      <c r="L1541" s="2">
        <v>-4.04</v>
      </c>
    </row>
    <row r="1542" spans="1:12" x14ac:dyDescent="0.25">
      <c r="A1542">
        <v>56</v>
      </c>
      <c r="B1542">
        <v>21</v>
      </c>
      <c r="C1542" s="3">
        <v>4702117</v>
      </c>
      <c r="D1542" s="4">
        <v>1251372</v>
      </c>
      <c r="E1542">
        <v>0</v>
      </c>
      <c r="F1542" s="2">
        <v>0.84299999999999997</v>
      </c>
      <c r="G1542" s="2">
        <v>0.54900000000000004</v>
      </c>
      <c r="H1542" s="2">
        <v>0.16400000000000001</v>
      </c>
      <c r="I1542" s="2">
        <v>9.4799999999999995E-2</v>
      </c>
      <c r="J1542" s="2">
        <v>0.155</v>
      </c>
      <c r="K1542" s="2">
        <v>0.54200000000000004</v>
      </c>
      <c r="L1542" s="2">
        <v>-8.0180000000000007</v>
      </c>
    </row>
    <row r="1543" spans="1:12" x14ac:dyDescent="0.25">
      <c r="A1543">
        <v>13</v>
      </c>
      <c r="B1543">
        <v>14</v>
      </c>
      <c r="C1543" s="3">
        <v>4609858</v>
      </c>
      <c r="D1543" s="4">
        <v>1251372</v>
      </c>
      <c r="E1543">
        <v>0</v>
      </c>
      <c r="F1543" s="2">
        <v>0.68</v>
      </c>
      <c r="G1543" s="2">
        <v>0.82499999999999996</v>
      </c>
      <c r="H1543" s="2">
        <v>7.0199999999999999E-2</v>
      </c>
      <c r="I1543" s="2">
        <v>1.73E-3</v>
      </c>
      <c r="J1543" s="2">
        <v>0.27</v>
      </c>
      <c r="K1543" s="2">
        <v>0.78400000000000003</v>
      </c>
      <c r="L1543" s="2">
        <v>-4.2960000000000003</v>
      </c>
    </row>
    <row r="1544" spans="1:12" x14ac:dyDescent="0.25">
      <c r="A1544">
        <v>74</v>
      </c>
      <c r="B1544">
        <v>22</v>
      </c>
      <c r="C1544" s="3">
        <v>4473968</v>
      </c>
      <c r="D1544" s="4">
        <v>1251372</v>
      </c>
      <c r="E1544">
        <v>0</v>
      </c>
      <c r="F1544" s="2">
        <v>0.74199999999999999</v>
      </c>
      <c r="G1544" s="2">
        <v>0.46400000000000002</v>
      </c>
      <c r="H1544" s="2">
        <v>3.1800000000000002E-2</v>
      </c>
      <c r="I1544" s="2">
        <v>0.42499999999999999</v>
      </c>
      <c r="J1544" s="2">
        <v>0.28399999999999997</v>
      </c>
      <c r="K1544" s="2">
        <v>0.28100000000000003</v>
      </c>
      <c r="L1544" s="2">
        <v>-5.6239999999999997</v>
      </c>
    </row>
    <row r="1545" spans="1:12" x14ac:dyDescent="0.25">
      <c r="A1545">
        <v>191</v>
      </c>
      <c r="B1545">
        <v>2</v>
      </c>
      <c r="C1545" s="3">
        <v>4452819</v>
      </c>
      <c r="D1545" s="4">
        <v>1251372</v>
      </c>
      <c r="E1545">
        <v>0</v>
      </c>
      <c r="F1545" s="2">
        <v>0.81200000000000006</v>
      </c>
      <c r="G1545" s="2">
        <v>0.68899999999999995</v>
      </c>
      <c r="H1545" s="2">
        <v>6.1899999999999997E-2</v>
      </c>
      <c r="I1545" s="2">
        <v>0.18099999999999999</v>
      </c>
      <c r="J1545" s="2">
        <v>7.8399999999999997E-2</v>
      </c>
      <c r="K1545" s="2">
        <v>0.66300000000000003</v>
      </c>
      <c r="L1545" s="2">
        <v>-5.1130000000000004</v>
      </c>
    </row>
    <row r="1546" spans="1:12" x14ac:dyDescent="0.25">
      <c r="A1546">
        <v>189</v>
      </c>
      <c r="B1546">
        <v>1</v>
      </c>
      <c r="C1546" s="3">
        <v>4374448</v>
      </c>
      <c r="D1546" s="4">
        <v>1251372</v>
      </c>
      <c r="E1546">
        <v>0</v>
      </c>
      <c r="F1546" s="2">
        <v>0.92900000000000005</v>
      </c>
      <c r="G1546" s="2">
        <v>0.625</v>
      </c>
      <c r="H1546" s="2">
        <v>0.14000000000000001</v>
      </c>
      <c r="I1546" s="2">
        <v>0.28899999999999998</v>
      </c>
      <c r="J1546" s="2">
        <v>0.38600000000000001</v>
      </c>
      <c r="K1546" s="2">
        <v>0.57799999999999996</v>
      </c>
      <c r="L1546" s="2">
        <v>-5.7279999999999998</v>
      </c>
    </row>
    <row r="1547" spans="1:12" x14ac:dyDescent="0.25">
      <c r="A1547">
        <v>36</v>
      </c>
      <c r="B1547">
        <v>1</v>
      </c>
      <c r="C1547" s="3">
        <v>11869336</v>
      </c>
    </row>
    <row r="1548" spans="1:12" x14ac:dyDescent="0.25">
      <c r="A1548">
        <v>73</v>
      </c>
      <c r="B1548">
        <v>1</v>
      </c>
      <c r="C1548" s="3">
        <v>10509961</v>
      </c>
    </row>
    <row r="1549" spans="1:12" x14ac:dyDescent="0.25">
      <c r="A1549">
        <v>22</v>
      </c>
      <c r="B1549">
        <v>6</v>
      </c>
      <c r="C1549" s="3">
        <v>8804531</v>
      </c>
    </row>
    <row r="1550" spans="1:12" x14ac:dyDescent="0.25">
      <c r="A1550">
        <v>118</v>
      </c>
      <c r="B1550">
        <v>1</v>
      </c>
      <c r="C1550" s="3">
        <v>6292362</v>
      </c>
    </row>
    <row r="1551" spans="1:12" x14ac:dyDescent="0.25">
      <c r="A1551">
        <v>20</v>
      </c>
      <c r="B1551">
        <v>5</v>
      </c>
      <c r="C1551" s="3">
        <v>6162453</v>
      </c>
    </row>
    <row r="1552" spans="1:12" x14ac:dyDescent="0.25">
      <c r="A1552">
        <v>131</v>
      </c>
      <c r="B1552">
        <v>1</v>
      </c>
      <c r="C1552" s="3">
        <v>5494500</v>
      </c>
    </row>
    <row r="1553" spans="1:3" x14ac:dyDescent="0.25">
      <c r="A1553">
        <v>5</v>
      </c>
      <c r="B1553">
        <v>39</v>
      </c>
      <c r="C1553" s="3">
        <v>5453159</v>
      </c>
    </row>
    <row r="1554" spans="1:3" x14ac:dyDescent="0.25">
      <c r="A1554">
        <v>19</v>
      </c>
      <c r="B1554">
        <v>20</v>
      </c>
      <c r="C1554" s="3">
        <v>5358940</v>
      </c>
    </row>
    <row r="1555" spans="1:3" x14ac:dyDescent="0.25">
      <c r="A1555">
        <v>164</v>
      </c>
      <c r="B1555">
        <v>4</v>
      </c>
      <c r="C1555" s="3">
        <v>4964708</v>
      </c>
    </row>
    <row r="1556" spans="1:3" x14ac:dyDescent="0.25">
      <c r="A1556">
        <v>176</v>
      </c>
      <c r="B1556">
        <v>1</v>
      </c>
      <c r="C1556" s="3">
        <v>4856458</v>
      </c>
    </row>
    <row r="1557" spans="1:3" x14ac:dyDescent="0.25">
      <c r="A1557">
        <v>76</v>
      </c>
      <c r="B1557">
        <v>14</v>
      </c>
      <c r="C1557" s="3">
        <v>4739241</v>
      </c>
    </row>
  </sheetData>
  <conditionalFormatting sqref="C1:C1048576">
    <cfRule type="dataBar" priority="4">
      <dataBar>
        <cfvo type="min"/>
        <cfvo type="max"/>
        <color rgb="FF63C384"/>
      </dataBar>
      <extLst>
        <ext xmlns:x14="http://schemas.microsoft.com/office/spreadsheetml/2009/9/main" uri="{B025F937-C7B1-47D3-B67F-A62EFF666E3E}">
          <x14:id>{67040162-E7A3-43F3-877C-D64EE39F2838}</x14:id>
        </ext>
      </extLst>
    </cfRule>
  </conditionalFormatting>
  <conditionalFormatting sqref="D1:D1048576">
    <cfRule type="dataBar" priority="3">
      <dataBar>
        <cfvo type="min"/>
        <cfvo type="max"/>
        <color rgb="FFFFB628"/>
      </dataBar>
      <extLst>
        <ext xmlns:x14="http://schemas.microsoft.com/office/spreadsheetml/2009/9/main" uri="{B025F937-C7B1-47D3-B67F-A62EFF666E3E}">
          <x14:id>{A56319C2-7C84-46B8-B5F1-FA19A56C878D}</x14:id>
        </ext>
      </extLst>
    </cfRule>
  </conditionalFormatting>
  <conditionalFormatting sqref="E1:E1048576">
    <cfRule type="colorScale" priority="2">
      <colorScale>
        <cfvo type="num" val="70"/>
        <cfvo type="num" val="90"/>
        <cfvo type="num" val="100"/>
        <color rgb="FFFF7128"/>
        <color rgb="FFFFEB84"/>
        <color rgb="FF00B050"/>
      </colorScale>
    </cfRule>
  </conditionalFormatting>
  <conditionalFormatting sqref="F1:K1048576">
    <cfRule type="iconSet" priority="1">
      <iconSet>
        <cfvo type="percent" val="0"/>
        <cfvo type="num" val="0.6"/>
        <cfvo type="num" val="0.8"/>
      </iconSe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67040162-E7A3-43F3-877C-D64EE39F2838}">
            <x14:dataBar minLength="0" maxLength="100" gradient="0">
              <x14:cfvo type="autoMin"/>
              <x14:cfvo type="autoMax"/>
              <x14:negativeFillColor rgb="FFFF0000"/>
              <x14:axisColor rgb="FF000000"/>
            </x14:dataBar>
          </x14:cfRule>
          <xm:sqref>C1:C1048576</xm:sqref>
        </x14:conditionalFormatting>
        <x14:conditionalFormatting xmlns:xm="http://schemas.microsoft.com/office/excel/2006/main">
          <x14:cfRule type="dataBar" id="{A56319C2-7C84-46B8-B5F1-FA19A56C878D}">
            <x14:dataBar minLength="0" maxLength="100" gradient="0">
              <x14:cfvo type="autoMin"/>
              <x14:cfvo type="autoMax"/>
              <x14:negativeFillColor rgb="FFFF0000"/>
              <x14:axisColor rgb="FF000000"/>
            </x14:dataBar>
          </x14:cfRule>
          <xm:sqref>D1:D1048576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97698-83B1-4262-8E40-36155A8DBD2C}">
  <dimension ref="B2:Q199"/>
  <sheetViews>
    <sheetView showGridLines="0" topLeftCell="A74" zoomScale="104" zoomScaleNormal="104" workbookViewId="0">
      <selection activeCell="D204" sqref="D204"/>
    </sheetView>
  </sheetViews>
  <sheetFormatPr baseColWidth="10" defaultRowHeight="15" x14ac:dyDescent="0.25"/>
  <cols>
    <col min="1" max="1" width="6.140625" customWidth="1"/>
    <col min="2" max="2" width="76.140625" bestFit="1" customWidth="1"/>
    <col min="3" max="3" width="15.140625" bestFit="1" customWidth="1"/>
    <col min="4" max="4" width="19.42578125" customWidth="1"/>
    <col min="7" max="7" width="13.5703125" customWidth="1"/>
    <col min="8" max="8" width="10.5703125" customWidth="1"/>
    <col min="12" max="12" width="20.140625" customWidth="1"/>
  </cols>
  <sheetData>
    <row r="2" spans="2:17" x14ac:dyDescent="0.25">
      <c r="B2" s="8" t="s">
        <v>2503</v>
      </c>
      <c r="C2" s="10"/>
      <c r="D2" s="10"/>
      <c r="E2" s="10"/>
      <c r="F2" s="10"/>
      <c r="G2" s="10"/>
      <c r="H2" s="10"/>
      <c r="I2" s="10"/>
      <c r="J2" s="10"/>
      <c r="K2" s="10"/>
      <c r="L2" s="10"/>
      <c r="M2" s="10"/>
      <c r="N2" s="10"/>
      <c r="O2" s="10"/>
      <c r="P2" s="10"/>
      <c r="Q2" s="10"/>
    </row>
    <row r="4" spans="2:17" x14ac:dyDescent="0.25">
      <c r="B4" t="s">
        <v>2502</v>
      </c>
      <c r="I4" t="s">
        <v>2486</v>
      </c>
    </row>
    <row r="5" spans="2:17" x14ac:dyDescent="0.25">
      <c r="B5" s="16" t="s">
        <v>2465</v>
      </c>
      <c r="C5" s="17">
        <f>MAX(Spotify[Ecoutes])</f>
        <v>48633449</v>
      </c>
      <c r="I5" s="66" t="s">
        <v>2504</v>
      </c>
      <c r="J5" s="68"/>
      <c r="K5" s="68"/>
      <c r="L5" s="68"/>
      <c r="M5" s="68"/>
      <c r="N5" s="68"/>
    </row>
    <row r="6" spans="2:17" x14ac:dyDescent="0.25">
      <c r="B6" s="16" t="s">
        <v>2466</v>
      </c>
      <c r="C6" s="17">
        <f>MIN(Spotify[Ecoutes])</f>
        <v>4176083</v>
      </c>
      <c r="I6" s="68"/>
      <c r="J6" s="68"/>
      <c r="K6" s="68"/>
      <c r="L6" s="68"/>
      <c r="M6" s="68"/>
      <c r="N6" s="68"/>
    </row>
    <row r="7" spans="2:17" x14ac:dyDescent="0.25">
      <c r="B7" s="16" t="s">
        <v>2478</v>
      </c>
      <c r="C7" s="17">
        <f>C5-C6</f>
        <v>44457366</v>
      </c>
      <c r="I7" s="68"/>
      <c r="J7" s="68"/>
      <c r="K7" s="68"/>
      <c r="L7" s="68"/>
      <c r="M7" s="68"/>
      <c r="N7" s="68"/>
    </row>
    <row r="8" spans="2:17" x14ac:dyDescent="0.25">
      <c r="I8" s="68"/>
      <c r="J8" s="68"/>
      <c r="K8" s="68"/>
      <c r="L8" s="68"/>
      <c r="M8" s="68"/>
      <c r="N8" s="68"/>
    </row>
    <row r="9" spans="2:17" x14ac:dyDescent="0.25">
      <c r="I9" s="68"/>
      <c r="J9" s="68"/>
      <c r="K9" s="68"/>
      <c r="L9" s="68"/>
      <c r="M9" s="68"/>
      <c r="N9" s="68"/>
    </row>
    <row r="13" spans="2:17" x14ac:dyDescent="0.25">
      <c r="B13" t="s">
        <v>2501</v>
      </c>
      <c r="I13" t="s">
        <v>2486</v>
      </c>
    </row>
    <row r="14" spans="2:17" x14ac:dyDescent="0.25">
      <c r="B14" s="16" t="s">
        <v>2465</v>
      </c>
      <c r="C14" s="19">
        <f>MAX(Spotify[Semaine du plus haut classement])</f>
        <v>44400</v>
      </c>
      <c r="I14" s="66" t="s">
        <v>2505</v>
      </c>
      <c r="J14" s="68"/>
      <c r="K14" s="68"/>
      <c r="L14" s="68"/>
      <c r="M14" s="68"/>
      <c r="N14" s="68"/>
    </row>
    <row r="15" spans="2:17" x14ac:dyDescent="0.25">
      <c r="B15" s="16" t="s">
        <v>2466</v>
      </c>
      <c r="C15" s="19">
        <f>MIN(Spotify[Semaine du plus haut classement])</f>
        <v>43826</v>
      </c>
      <c r="I15" s="68"/>
      <c r="J15" s="68"/>
      <c r="K15" s="68"/>
      <c r="L15" s="68"/>
      <c r="M15" s="68"/>
      <c r="N15" s="68"/>
    </row>
    <row r="16" spans="2:17" x14ac:dyDescent="0.25">
      <c r="I16" s="68"/>
      <c r="J16" s="68"/>
      <c r="K16" s="68"/>
      <c r="L16" s="68"/>
      <c r="M16" s="68"/>
      <c r="N16" s="68"/>
    </row>
    <row r="17" spans="2:17" x14ac:dyDescent="0.25">
      <c r="I17" s="68"/>
      <c r="J17" s="68"/>
      <c r="K17" s="68"/>
      <c r="L17" s="68"/>
      <c r="M17" s="68"/>
      <c r="N17" s="68"/>
    </row>
    <row r="18" spans="2:17" x14ac:dyDescent="0.25">
      <c r="I18" s="68"/>
      <c r="J18" s="68"/>
      <c r="K18" s="68"/>
      <c r="L18" s="68"/>
      <c r="M18" s="68"/>
      <c r="N18" s="68"/>
    </row>
    <row r="21" spans="2:17" x14ac:dyDescent="0.25">
      <c r="B21" s="8" t="s">
        <v>2500</v>
      </c>
      <c r="C21" s="10"/>
      <c r="D21" s="10"/>
      <c r="E21" s="10"/>
      <c r="F21" s="10"/>
      <c r="G21" s="10"/>
      <c r="H21" s="10"/>
      <c r="I21" s="10"/>
      <c r="J21" s="10"/>
      <c r="K21" s="10"/>
      <c r="L21" s="10"/>
      <c r="M21" s="10"/>
      <c r="N21" s="10"/>
      <c r="O21" s="10"/>
      <c r="P21" s="10"/>
      <c r="Q21" s="10"/>
    </row>
    <row r="23" spans="2:17" ht="29.25" customHeight="1" x14ac:dyDescent="0.25">
      <c r="B23" s="67" t="s">
        <v>2499</v>
      </c>
      <c r="C23" s="67"/>
      <c r="D23" s="67"/>
      <c r="E23" s="67"/>
      <c r="F23" s="67"/>
      <c r="G23" s="67"/>
      <c r="H23" s="67"/>
      <c r="I23" t="s">
        <v>2486</v>
      </c>
    </row>
    <row r="24" spans="2:17" x14ac:dyDescent="0.25">
      <c r="B24" s="16" t="s">
        <v>2482</v>
      </c>
      <c r="C24" s="27">
        <f>COUNTBLANK(Spotify[Followers])</f>
        <v>11</v>
      </c>
      <c r="D24" s="28"/>
      <c r="I24" s="66" t="s">
        <v>2506</v>
      </c>
      <c r="J24" s="68"/>
      <c r="K24" s="68"/>
      <c r="L24" s="68"/>
      <c r="M24" s="68"/>
      <c r="N24" s="68"/>
    </row>
    <row r="25" spans="2:17" x14ac:dyDescent="0.25">
      <c r="B25" s="16" t="s">
        <v>2480</v>
      </c>
      <c r="C25" s="26">
        <f>C24/ROWS(Spotify[Followers])</f>
        <v>7.0694087403598968E-3</v>
      </c>
      <c r="D25" s="29"/>
      <c r="I25" s="68"/>
      <c r="J25" s="68"/>
      <c r="K25" s="68"/>
      <c r="L25" s="68"/>
      <c r="M25" s="68"/>
      <c r="N25" s="68"/>
    </row>
    <row r="26" spans="2:17" x14ac:dyDescent="0.25">
      <c r="D26" s="25"/>
      <c r="I26" s="68"/>
      <c r="J26" s="68"/>
      <c r="K26" s="68"/>
      <c r="L26" s="68"/>
      <c r="M26" s="68"/>
      <c r="N26" s="68"/>
    </row>
    <row r="27" spans="2:17" x14ac:dyDescent="0.25">
      <c r="I27" s="68"/>
      <c r="J27" s="68"/>
      <c r="K27" s="68"/>
      <c r="L27" s="68"/>
      <c r="M27" s="68"/>
      <c r="N27" s="68"/>
    </row>
    <row r="28" spans="2:17" x14ac:dyDescent="0.25">
      <c r="I28" s="68"/>
      <c r="J28" s="68"/>
      <c r="K28" s="68"/>
      <c r="L28" s="68"/>
      <c r="M28" s="68"/>
      <c r="N28" s="68"/>
    </row>
    <row r="32" spans="2:17" x14ac:dyDescent="0.25">
      <c r="B32" s="8" t="s">
        <v>2498</v>
      </c>
      <c r="C32" s="10"/>
      <c r="D32" s="10"/>
      <c r="E32" s="10"/>
      <c r="F32" s="10"/>
      <c r="G32" s="10"/>
      <c r="H32" s="10"/>
      <c r="I32" s="10"/>
      <c r="J32" s="10"/>
      <c r="K32" s="10"/>
      <c r="L32" s="10"/>
      <c r="M32" s="10"/>
      <c r="N32" s="10"/>
      <c r="O32" s="10"/>
      <c r="P32" s="10"/>
      <c r="Q32" s="10"/>
    </row>
    <row r="34" spans="2:14" ht="27" customHeight="1" x14ac:dyDescent="0.25">
      <c r="B34" s="67" t="s">
        <v>2497</v>
      </c>
      <c r="C34" s="67"/>
      <c r="D34" s="67"/>
      <c r="E34" s="67"/>
      <c r="F34" s="67"/>
      <c r="G34" s="67"/>
      <c r="H34" s="67"/>
      <c r="I34" t="s">
        <v>2486</v>
      </c>
    </row>
    <row r="35" spans="2:14" ht="14.25" customHeight="1" x14ac:dyDescent="0.25">
      <c r="B35" s="16" t="s">
        <v>2496</v>
      </c>
      <c r="C35" s="16">
        <f>MODE(Spotify[Position la plus élevée dans les charts])</f>
        <v>1</v>
      </c>
      <c r="D35" s="30"/>
      <c r="I35" s="66" t="s">
        <v>2507</v>
      </c>
      <c r="J35" s="66"/>
      <c r="K35" s="66"/>
      <c r="L35" s="66"/>
      <c r="M35" s="66"/>
      <c r="N35" s="66"/>
    </row>
    <row r="36" spans="2:14" x14ac:dyDescent="0.25">
      <c r="I36" s="66"/>
      <c r="J36" s="66"/>
      <c r="K36" s="66"/>
      <c r="L36" s="66"/>
      <c r="M36" s="66"/>
      <c r="N36" s="66"/>
    </row>
    <row r="37" spans="2:14" x14ac:dyDescent="0.25">
      <c r="I37" s="66"/>
      <c r="J37" s="66"/>
      <c r="K37" s="66"/>
      <c r="L37" s="66"/>
      <c r="M37" s="66"/>
      <c r="N37" s="66"/>
    </row>
    <row r="38" spans="2:14" x14ac:dyDescent="0.25">
      <c r="I38" s="66"/>
      <c r="J38" s="66"/>
      <c r="K38" s="66"/>
      <c r="L38" s="66"/>
      <c r="M38" s="66"/>
      <c r="N38" s="66"/>
    </row>
    <row r="39" spans="2:14" x14ac:dyDescent="0.25">
      <c r="I39" s="66"/>
      <c r="J39" s="66"/>
      <c r="K39" s="66"/>
      <c r="L39" s="66"/>
      <c r="M39" s="66"/>
      <c r="N39" s="66"/>
    </row>
    <row r="40" spans="2:14" ht="30.6" customHeight="1" x14ac:dyDescent="0.25">
      <c r="I40" s="66"/>
      <c r="J40" s="66"/>
      <c r="K40" s="66"/>
      <c r="L40" s="66"/>
      <c r="M40" s="66"/>
      <c r="N40" s="66"/>
    </row>
    <row r="52" spans="2:17" x14ac:dyDescent="0.25">
      <c r="B52" s="8" t="s">
        <v>2495</v>
      </c>
      <c r="C52" s="10"/>
      <c r="D52" s="10"/>
      <c r="E52" s="10"/>
      <c r="F52" s="10"/>
      <c r="G52" s="10"/>
      <c r="H52" s="10"/>
      <c r="I52" s="10"/>
      <c r="J52" s="10"/>
      <c r="K52" s="10"/>
      <c r="L52" s="10"/>
      <c r="M52" s="10"/>
      <c r="N52" s="10"/>
      <c r="O52" s="10"/>
      <c r="P52" s="10"/>
      <c r="Q52" s="10"/>
    </row>
    <row r="53" spans="2:17" ht="37.35" customHeight="1" x14ac:dyDescent="0.25">
      <c r="B53" s="67" t="s">
        <v>2494</v>
      </c>
      <c r="C53" s="67"/>
      <c r="D53" s="67"/>
      <c r="E53" s="67"/>
      <c r="F53" s="67"/>
      <c r="G53" s="67"/>
      <c r="H53" s="67"/>
      <c r="I53" t="s">
        <v>2486</v>
      </c>
    </row>
    <row r="54" spans="2:17" ht="12.6" customHeight="1" x14ac:dyDescent="0.25">
      <c r="E54" s="24"/>
      <c r="F54" s="24"/>
      <c r="G54" s="24"/>
      <c r="H54" s="24"/>
    </row>
    <row r="55" spans="2:17" x14ac:dyDescent="0.25">
      <c r="B55" s="64" t="s">
        <v>2475</v>
      </c>
      <c r="C55" s="65"/>
      <c r="D55" s="17">
        <f>AVERAGE(Spotify[Followers])</f>
        <v>14716902.866666667</v>
      </c>
      <c r="I55" s="66" t="s">
        <v>2508</v>
      </c>
      <c r="J55" s="66"/>
      <c r="K55" s="66"/>
      <c r="L55" s="66"/>
      <c r="M55" s="66"/>
      <c r="N55" s="66"/>
    </row>
    <row r="56" spans="2:17" x14ac:dyDescent="0.25">
      <c r="B56" s="16" t="s">
        <v>2493</v>
      </c>
      <c r="C56" s="16"/>
      <c r="D56" s="17">
        <f>MEDIAN(Spotify[Followers])</f>
        <v>6852509</v>
      </c>
      <c r="I56" s="66"/>
      <c r="J56" s="66"/>
      <c r="K56" s="66"/>
      <c r="L56" s="66"/>
      <c r="M56" s="66"/>
      <c r="N56" s="66"/>
    </row>
    <row r="57" spans="2:17" x14ac:dyDescent="0.25">
      <c r="B57" s="64" t="s">
        <v>2465</v>
      </c>
      <c r="C57" s="65"/>
      <c r="D57" s="17">
        <f>MAX(Spotify[Followers])</f>
        <v>83337783</v>
      </c>
      <c r="I57" s="66"/>
      <c r="J57" s="66"/>
      <c r="K57" s="66"/>
      <c r="L57" s="66"/>
      <c r="M57" s="66"/>
      <c r="N57" s="66"/>
    </row>
    <row r="58" spans="2:17" x14ac:dyDescent="0.25">
      <c r="B58" s="64" t="s">
        <v>2466</v>
      </c>
      <c r="C58" s="65"/>
      <c r="D58" s="23">
        <f>MIN(Spotify[Followers])</f>
        <v>4883</v>
      </c>
      <c r="I58" s="66"/>
      <c r="J58" s="66"/>
      <c r="K58" s="66"/>
      <c r="L58" s="66"/>
      <c r="M58" s="66"/>
      <c r="N58" s="66"/>
    </row>
    <row r="59" spans="2:17" x14ac:dyDescent="0.25">
      <c r="I59" s="66"/>
      <c r="J59" s="66"/>
      <c r="K59" s="66"/>
      <c r="L59" s="66"/>
      <c r="M59" s="66"/>
      <c r="N59" s="66"/>
    </row>
    <row r="60" spans="2:17" x14ac:dyDescent="0.25">
      <c r="I60" s="66"/>
      <c r="J60" s="66"/>
      <c r="K60" s="66"/>
      <c r="L60" s="66"/>
      <c r="M60" s="66"/>
      <c r="N60" s="66"/>
    </row>
    <row r="61" spans="2:17" x14ac:dyDescent="0.25">
      <c r="I61" s="66"/>
      <c r="J61" s="66"/>
      <c r="K61" s="66"/>
      <c r="L61" s="66"/>
      <c r="M61" s="66"/>
      <c r="N61" s="66"/>
    </row>
    <row r="75" spans="2:17" x14ac:dyDescent="0.25">
      <c r="B75" s="8" t="s">
        <v>2492</v>
      </c>
      <c r="C75" s="10"/>
      <c r="D75" s="10"/>
      <c r="E75" s="10"/>
      <c r="F75" s="10"/>
      <c r="G75" s="10"/>
      <c r="H75" s="10"/>
      <c r="I75" s="10"/>
      <c r="J75" s="10"/>
      <c r="K75" s="10"/>
      <c r="L75" s="10"/>
      <c r="M75" s="10"/>
      <c r="N75" s="10"/>
      <c r="O75" s="10"/>
      <c r="P75" s="10"/>
      <c r="Q75" s="10"/>
    </row>
    <row r="77" spans="2:17" x14ac:dyDescent="0.25">
      <c r="B77" t="s">
        <v>2491</v>
      </c>
      <c r="I77" t="s">
        <v>2486</v>
      </c>
    </row>
    <row r="78" spans="2:17" x14ac:dyDescent="0.25">
      <c r="B78" s="64" t="s">
        <v>2473</v>
      </c>
      <c r="C78" s="65"/>
      <c r="D78" s="13">
        <f>MEDIAN(Spotify[Energie])</f>
        <v>0.64200000000000002</v>
      </c>
      <c r="I78" s="66" t="s">
        <v>2509</v>
      </c>
      <c r="J78" s="66"/>
      <c r="K78" s="66"/>
      <c r="L78" s="66"/>
      <c r="M78" s="66"/>
      <c r="N78" s="66"/>
    </row>
    <row r="79" spans="2:17" x14ac:dyDescent="0.25">
      <c r="B79" s="64" t="s">
        <v>2475</v>
      </c>
      <c r="C79" s="65"/>
      <c r="D79" s="13">
        <f>AVERAGE(Spotify[Energie])</f>
        <v>0.63349514563106779</v>
      </c>
      <c r="I79" s="66"/>
      <c r="J79" s="66"/>
      <c r="K79" s="66"/>
      <c r="L79" s="66"/>
      <c r="M79" s="66"/>
      <c r="N79" s="66"/>
    </row>
    <row r="80" spans="2:17" x14ac:dyDescent="0.25">
      <c r="B80" s="22"/>
      <c r="C80" s="22"/>
      <c r="D80" s="21"/>
      <c r="I80" s="66"/>
      <c r="J80" s="66"/>
      <c r="K80" s="66"/>
      <c r="L80" s="66"/>
      <c r="M80" s="66"/>
      <c r="N80" s="66"/>
    </row>
    <row r="81" spans="2:14" x14ac:dyDescent="0.25">
      <c r="B81" s="64" t="s">
        <v>2490</v>
      </c>
      <c r="C81" s="65"/>
      <c r="D81" s="13">
        <f>_xlfn.QUARTILE.EXC(Spotify[Energie],1)</f>
        <v>0.53200000000000003</v>
      </c>
      <c r="I81" s="66"/>
      <c r="J81" s="66"/>
      <c r="K81" s="66"/>
      <c r="L81" s="66"/>
      <c r="M81" s="66"/>
      <c r="N81" s="66"/>
    </row>
    <row r="82" spans="2:14" x14ac:dyDescent="0.25">
      <c r="B82" s="64" t="s">
        <v>2489</v>
      </c>
      <c r="C82" s="65"/>
      <c r="D82" s="13">
        <f>_xlfn.QUARTILE.EXC(Spotify[Energie],3)</f>
        <v>0.752</v>
      </c>
      <c r="I82" s="66"/>
      <c r="J82" s="66"/>
      <c r="K82" s="66"/>
      <c r="L82" s="66"/>
      <c r="M82" s="66"/>
      <c r="N82" s="66"/>
    </row>
    <row r="114" spans="2:17" x14ac:dyDescent="0.25">
      <c r="B114" s="8" t="s">
        <v>2488</v>
      </c>
      <c r="C114" s="10"/>
      <c r="D114" s="10"/>
      <c r="E114" s="10"/>
      <c r="F114" s="10"/>
      <c r="G114" s="10"/>
      <c r="H114" s="10"/>
      <c r="I114" s="10"/>
      <c r="J114" s="10"/>
      <c r="K114" s="10"/>
      <c r="L114" s="10"/>
      <c r="M114" s="10"/>
      <c r="N114" s="10"/>
      <c r="O114" s="10"/>
      <c r="P114" s="10"/>
      <c r="Q114" s="10"/>
    </row>
    <row r="116" spans="2:17" x14ac:dyDescent="0.25">
      <c r="B116" t="s">
        <v>2487</v>
      </c>
    </row>
    <row r="118" spans="2:17" x14ac:dyDescent="0.25">
      <c r="I118" t="s">
        <v>2486</v>
      </c>
    </row>
    <row r="119" spans="2:17" ht="14.25" customHeight="1" x14ac:dyDescent="0.25">
      <c r="I119" s="66" t="s">
        <v>2510</v>
      </c>
      <c r="J119" s="66"/>
      <c r="K119" s="66"/>
      <c r="L119" s="66"/>
      <c r="M119" s="66"/>
      <c r="N119" s="66"/>
    </row>
    <row r="120" spans="2:17" x14ac:dyDescent="0.25">
      <c r="I120" s="66"/>
      <c r="J120" s="66"/>
      <c r="K120" s="66"/>
      <c r="L120" s="66"/>
      <c r="M120" s="66"/>
      <c r="N120" s="66"/>
    </row>
    <row r="121" spans="2:17" x14ac:dyDescent="0.25">
      <c r="I121" s="66"/>
      <c r="J121" s="66"/>
      <c r="K121" s="66"/>
      <c r="L121" s="66"/>
      <c r="M121" s="66"/>
      <c r="N121" s="66"/>
    </row>
    <row r="122" spans="2:17" x14ac:dyDescent="0.25">
      <c r="I122" s="66"/>
      <c r="J122" s="66"/>
      <c r="K122" s="66"/>
      <c r="L122" s="66"/>
      <c r="M122" s="66"/>
      <c r="N122" s="66"/>
    </row>
    <row r="123" spans="2:17" x14ac:dyDescent="0.25">
      <c r="I123" s="66"/>
      <c r="J123" s="66"/>
      <c r="K123" s="66"/>
      <c r="L123" s="66"/>
      <c r="M123" s="66"/>
      <c r="N123" s="66"/>
    </row>
    <row r="124" spans="2:17" x14ac:dyDescent="0.25">
      <c r="I124" s="66"/>
      <c r="J124" s="66"/>
      <c r="K124" s="66"/>
      <c r="L124" s="66"/>
      <c r="M124" s="66"/>
      <c r="N124" s="66"/>
    </row>
    <row r="125" spans="2:17" ht="42.75" customHeight="1" x14ac:dyDescent="0.25">
      <c r="I125" s="66"/>
      <c r="J125" s="66"/>
      <c r="K125" s="66"/>
      <c r="L125" s="66"/>
      <c r="M125" s="66"/>
      <c r="N125" s="66"/>
    </row>
    <row r="126" spans="2:17" x14ac:dyDescent="0.25">
      <c r="I126" s="66"/>
      <c r="J126" s="66"/>
      <c r="K126" s="66"/>
      <c r="L126" s="66"/>
      <c r="M126" s="66"/>
      <c r="N126" s="66"/>
    </row>
    <row r="127" spans="2:17" x14ac:dyDescent="0.25">
      <c r="I127" s="66"/>
      <c r="J127" s="66"/>
      <c r="K127" s="66"/>
      <c r="L127" s="66"/>
      <c r="M127" s="66"/>
      <c r="N127" s="66"/>
    </row>
    <row r="128" spans="2:17" x14ac:dyDescent="0.25">
      <c r="I128" s="66"/>
      <c r="J128" s="66"/>
      <c r="K128" s="66"/>
      <c r="L128" s="66"/>
      <c r="M128" s="66"/>
      <c r="N128" s="66"/>
    </row>
    <row r="129" spans="2:17" x14ac:dyDescent="0.25">
      <c r="I129" s="66"/>
      <c r="J129" s="66"/>
      <c r="K129" s="66"/>
      <c r="L129" s="66"/>
      <c r="M129" s="66"/>
      <c r="N129" s="66"/>
    </row>
    <row r="130" spans="2:17" x14ac:dyDescent="0.25">
      <c r="I130" s="66"/>
      <c r="J130" s="66"/>
      <c r="K130" s="66"/>
      <c r="L130" s="66"/>
      <c r="M130" s="66"/>
      <c r="N130" s="66"/>
    </row>
    <row r="131" spans="2:17" ht="34.5" customHeight="1" x14ac:dyDescent="0.25">
      <c r="I131" s="66"/>
      <c r="J131" s="66"/>
      <c r="K131" s="66"/>
      <c r="L131" s="66"/>
      <c r="M131" s="66"/>
      <c r="N131" s="66"/>
    </row>
    <row r="134" spans="2:17" x14ac:dyDescent="0.25">
      <c r="B134" t="s">
        <v>2485</v>
      </c>
      <c r="F134" t="s">
        <v>2484</v>
      </c>
    </row>
    <row r="136" spans="2:17" x14ac:dyDescent="0.25">
      <c r="B136" s="64" t="s">
        <v>2481</v>
      </c>
      <c r="C136" s="65"/>
      <c r="D136" s="13">
        <f>_xlfn.STDEV.P(Spotify[Dansabilité])</f>
        <v>0.14239791775099156</v>
      </c>
      <c r="F136" s="64" t="s">
        <v>2481</v>
      </c>
      <c r="G136" s="65"/>
      <c r="H136" s="13">
        <f>_xlfn.STDEV.P(Spotify[Acousticité])</f>
        <v>0.25024487052192429</v>
      </c>
    </row>
    <row r="137" spans="2:17" x14ac:dyDescent="0.25">
      <c r="B137" s="64" t="s">
        <v>2479</v>
      </c>
      <c r="C137" s="65"/>
      <c r="D137" s="13">
        <f>KURT(Spotify[Dansabilité])</f>
        <v>0.1123154663359025</v>
      </c>
      <c r="F137" s="64" t="s">
        <v>2479</v>
      </c>
      <c r="G137" s="65"/>
      <c r="H137" s="13">
        <f>KURT(Spotify[Acousticité])</f>
        <v>0.38428946094020411</v>
      </c>
    </row>
    <row r="138" spans="2:17" x14ac:dyDescent="0.25">
      <c r="B138" s="64" t="s">
        <v>2477</v>
      </c>
      <c r="C138" s="65"/>
      <c r="D138" s="20">
        <f>_xlfn.SKEW.P(Spotify[Dansabilité])</f>
        <v>-0.60079259610503299</v>
      </c>
      <c r="F138" s="64" t="s">
        <v>2477</v>
      </c>
      <c r="G138" s="65"/>
      <c r="H138" s="20">
        <f>_xlfn.SKEW.P(Spotify[Acousticité])</f>
        <v>1.1492840806534059</v>
      </c>
    </row>
    <row r="140" spans="2:17" x14ac:dyDescent="0.25">
      <c r="B140" s="8" t="s">
        <v>2483</v>
      </c>
      <c r="C140" s="10"/>
      <c r="D140" s="10"/>
      <c r="E140" s="10"/>
      <c r="F140" s="10"/>
      <c r="G140" s="10"/>
      <c r="H140" s="10"/>
      <c r="I140" s="10"/>
      <c r="J140" s="10"/>
      <c r="K140" s="10"/>
      <c r="L140" s="10"/>
      <c r="M140" s="10"/>
      <c r="N140" s="10"/>
      <c r="O140" s="10"/>
      <c r="P140" s="10"/>
      <c r="Q140" s="10"/>
    </row>
    <row r="144" spans="2:17" x14ac:dyDescent="0.25">
      <c r="B144" s="16" t="s">
        <v>2465</v>
      </c>
      <c r="C144" s="15">
        <f>MAX(Spotify[Position la plus élevée dans les charts])</f>
        <v>200</v>
      </c>
      <c r="E144" s="16" t="s">
        <v>2482</v>
      </c>
      <c r="F144" s="19"/>
      <c r="G144" s="15">
        <f>COUNTBLANK(Spotify[Position la plus élevée dans les charts])</f>
        <v>0</v>
      </c>
      <c r="I144" s="16" t="s">
        <v>2472</v>
      </c>
      <c r="J144" s="15">
        <f>_xlfn.MODE.SNGL(Spotify[Position la plus élevée dans les charts])</f>
        <v>1</v>
      </c>
      <c r="L144" s="12" t="s">
        <v>2481</v>
      </c>
      <c r="M144" s="11">
        <f>_xlfn.STDEV.P(Spotify[Position la plus élevée dans les charts])</f>
        <v>58.128537418651085</v>
      </c>
    </row>
    <row r="145" spans="2:13" x14ac:dyDescent="0.25">
      <c r="B145" s="16" t="s">
        <v>2466</v>
      </c>
      <c r="C145" s="15">
        <f>MIN(Spotify[Position la plus élevée dans les charts])</f>
        <v>1</v>
      </c>
      <c r="E145" s="16" t="s">
        <v>2480</v>
      </c>
      <c r="F145" s="19"/>
      <c r="G145" s="18">
        <f>G144/ROWS(Spotify[Position la plus élevée dans les charts])</f>
        <v>0</v>
      </c>
      <c r="I145" s="14" t="s">
        <v>2473</v>
      </c>
      <c r="J145" s="17">
        <f>MEDIAN(Spotify[Position la plus élevée dans les charts])</f>
        <v>80</v>
      </c>
      <c r="L145" s="12" t="s">
        <v>2479</v>
      </c>
      <c r="M145" s="11">
        <f>KURT(Spotify[Position la plus élevée dans les charts])</f>
        <v>-1.1171794924925746</v>
      </c>
    </row>
    <row r="146" spans="2:13" x14ac:dyDescent="0.25">
      <c r="B146" s="16" t="s">
        <v>2478</v>
      </c>
      <c r="C146" s="15">
        <f>C144-C145</f>
        <v>199</v>
      </c>
      <c r="I146" s="14" t="s">
        <v>2475</v>
      </c>
      <c r="J146" s="13">
        <f>AVERAGE(Spotify[Position la plus élevée dans les charts])</f>
        <v>87.744215938303341</v>
      </c>
      <c r="L146" s="12" t="s">
        <v>2477</v>
      </c>
      <c r="M146" s="11">
        <f>_xlfn.SKEW.P(Spotify[Position la plus élevée dans les charts])</f>
        <v>0.26144572698696805</v>
      </c>
    </row>
    <row r="165" spans="2:17" ht="15.75" thickBot="1" x14ac:dyDescent="0.3">
      <c r="B165" s="8" t="s">
        <v>2476</v>
      </c>
      <c r="C165" s="10"/>
      <c r="D165" s="10"/>
      <c r="E165" s="10"/>
      <c r="F165" s="10"/>
      <c r="G165" s="10"/>
      <c r="H165" s="10"/>
      <c r="I165" s="10"/>
      <c r="J165" s="10"/>
      <c r="K165" s="10"/>
      <c r="L165" s="10"/>
      <c r="M165" s="10"/>
      <c r="N165" s="10"/>
      <c r="O165" s="10"/>
      <c r="P165" s="10"/>
      <c r="Q165" s="10"/>
    </row>
    <row r="166" spans="2:17" ht="15.75" thickBot="1" x14ac:dyDescent="0.3">
      <c r="B166" s="9"/>
      <c r="C166" s="9"/>
    </row>
    <row r="167" spans="2:17" x14ac:dyDescent="0.25">
      <c r="B167" s="9" t="s">
        <v>2445</v>
      </c>
      <c r="C167" s="9"/>
    </row>
    <row r="169" spans="2:17" x14ac:dyDescent="0.25">
      <c r="B169" t="s">
        <v>2475</v>
      </c>
      <c r="C169">
        <v>87.744215938303341</v>
      </c>
    </row>
    <row r="170" spans="2:17" x14ac:dyDescent="0.25">
      <c r="B170" t="s">
        <v>2474</v>
      </c>
      <c r="C170">
        <v>1.4740906756002672</v>
      </c>
    </row>
    <row r="171" spans="2:17" x14ac:dyDescent="0.25">
      <c r="B171" t="s">
        <v>2473</v>
      </c>
      <c r="C171">
        <v>80</v>
      </c>
    </row>
    <row r="172" spans="2:17" x14ac:dyDescent="0.25">
      <c r="B172" t="s">
        <v>2472</v>
      </c>
      <c r="C172">
        <v>2</v>
      </c>
    </row>
    <row r="173" spans="2:17" x14ac:dyDescent="0.25">
      <c r="B173" t="s">
        <v>2471</v>
      </c>
      <c r="C173">
        <v>58.147225262702015</v>
      </c>
    </row>
    <row r="174" spans="2:17" x14ac:dyDescent="0.25">
      <c r="B174" t="s">
        <v>2470</v>
      </c>
      <c r="C174">
        <v>3381.0998057514116</v>
      </c>
    </row>
    <row r="175" spans="2:17" x14ac:dyDescent="0.25">
      <c r="B175" t="s">
        <v>2469</v>
      </c>
      <c r="C175">
        <v>-1.1171794924925771</v>
      </c>
    </row>
    <row r="176" spans="2:17" x14ac:dyDescent="0.25">
      <c r="B176" t="s">
        <v>2468</v>
      </c>
      <c r="C176">
        <v>0.26169807420749025</v>
      </c>
    </row>
    <row r="177" spans="2:17" x14ac:dyDescent="0.25">
      <c r="B177" t="s">
        <v>2467</v>
      </c>
      <c r="C177">
        <v>199</v>
      </c>
    </row>
    <row r="178" spans="2:17" x14ac:dyDescent="0.25">
      <c r="B178" t="s">
        <v>2466</v>
      </c>
      <c r="C178">
        <v>1</v>
      </c>
    </row>
    <row r="179" spans="2:17" x14ac:dyDescent="0.25">
      <c r="B179" t="s">
        <v>2465</v>
      </c>
      <c r="C179">
        <v>200</v>
      </c>
    </row>
    <row r="180" spans="2:17" x14ac:dyDescent="0.25">
      <c r="B180" t="s">
        <v>2464</v>
      </c>
      <c r="C180">
        <v>136530</v>
      </c>
    </row>
    <row r="181" spans="2:17" ht="15.75" thickBot="1" x14ac:dyDescent="0.3">
      <c r="B181" s="31" t="s">
        <v>2463</v>
      </c>
      <c r="C181" s="31">
        <v>1556</v>
      </c>
    </row>
    <row r="184" spans="2:17" ht="15.75" thickBot="1" x14ac:dyDescent="0.3">
      <c r="B184" s="8" t="s">
        <v>2462</v>
      </c>
      <c r="C184" s="8"/>
      <c r="D184" s="8"/>
      <c r="E184" s="8"/>
      <c r="F184" s="8"/>
      <c r="G184" s="8"/>
      <c r="H184" s="8"/>
      <c r="I184" s="8"/>
      <c r="J184" s="8"/>
      <c r="K184" s="8"/>
      <c r="L184" s="8"/>
      <c r="M184" s="8"/>
      <c r="N184" s="8"/>
      <c r="O184" s="8"/>
      <c r="P184" s="8"/>
      <c r="Q184" s="8"/>
    </row>
    <row r="185" spans="2:17" x14ac:dyDescent="0.25">
      <c r="B185" s="32" t="s">
        <v>2454</v>
      </c>
      <c r="C185" s="32"/>
      <c r="D185" s="32" t="s">
        <v>2455</v>
      </c>
      <c r="E185" s="32"/>
      <c r="F185" s="32" t="s">
        <v>2456</v>
      </c>
      <c r="G185" s="32"/>
      <c r="H185" s="32" t="s">
        <v>2457</v>
      </c>
      <c r="I185" s="32"/>
      <c r="J185" s="32" t="s">
        <v>2458</v>
      </c>
      <c r="K185" s="32"/>
      <c r="L185" s="32" t="s">
        <v>2459</v>
      </c>
      <c r="M185" s="32"/>
      <c r="N185" s="32" t="s">
        <v>1</v>
      </c>
      <c r="O185" s="32"/>
      <c r="P185" s="32" t="s">
        <v>2460</v>
      </c>
      <c r="Q185" s="32"/>
    </row>
    <row r="187" spans="2:17" x14ac:dyDescent="0.25">
      <c r="B187" t="s">
        <v>2475</v>
      </c>
      <c r="C187">
        <v>70.08932038834952</v>
      </c>
      <c r="D187" t="s">
        <v>2475</v>
      </c>
      <c r="E187">
        <v>0.68999676375404506</v>
      </c>
      <c r="F187" t="s">
        <v>2475</v>
      </c>
      <c r="G187">
        <v>0.63349514563106779</v>
      </c>
      <c r="H187" t="s">
        <v>2475</v>
      </c>
      <c r="I187">
        <v>0.12365572815533986</v>
      </c>
      <c r="J187" t="s">
        <v>2475</v>
      </c>
      <c r="K187">
        <v>0.24869450349514571</v>
      </c>
      <c r="L187" t="s">
        <v>2475</v>
      </c>
      <c r="M187">
        <v>0.18120239482200642</v>
      </c>
      <c r="N187" t="s">
        <v>2475</v>
      </c>
      <c r="O187">
        <v>0.51470381877022708</v>
      </c>
      <c r="P187" t="s">
        <v>2475</v>
      </c>
      <c r="Q187">
        <v>-6.3484737864077561</v>
      </c>
    </row>
    <row r="188" spans="2:17" x14ac:dyDescent="0.25">
      <c r="B188" t="s">
        <v>2474</v>
      </c>
      <c r="C188">
        <v>0.40258071034573306</v>
      </c>
      <c r="D188" t="s">
        <v>2474</v>
      </c>
      <c r="E188">
        <v>3.6239315899002636E-3</v>
      </c>
      <c r="F188" t="s">
        <v>2474</v>
      </c>
      <c r="G188">
        <v>4.1106954254880148E-3</v>
      </c>
      <c r="H188" t="s">
        <v>2474</v>
      </c>
      <c r="I188">
        <v>2.8082573767417699E-3</v>
      </c>
      <c r="J188" t="s">
        <v>2474</v>
      </c>
      <c r="K188">
        <v>6.3685642726931651E-3</v>
      </c>
      <c r="L188" t="s">
        <v>2474</v>
      </c>
      <c r="M188">
        <v>3.6653235284275646E-3</v>
      </c>
      <c r="N188" t="s">
        <v>2474</v>
      </c>
      <c r="O188">
        <v>5.7834122335646459E-3</v>
      </c>
      <c r="P188" t="s">
        <v>2474</v>
      </c>
      <c r="Q188">
        <v>6.3838847264840112E-2</v>
      </c>
    </row>
    <row r="189" spans="2:17" x14ac:dyDescent="0.25">
      <c r="B189" t="s">
        <v>2473</v>
      </c>
      <c r="C189">
        <v>73</v>
      </c>
      <c r="D189" t="s">
        <v>2473</v>
      </c>
      <c r="E189">
        <v>0.70699999999999996</v>
      </c>
      <c r="F189" t="s">
        <v>2473</v>
      </c>
      <c r="G189">
        <v>0.64200000000000002</v>
      </c>
      <c r="H189" t="s">
        <v>2473</v>
      </c>
      <c r="I189">
        <v>7.6499999999999999E-2</v>
      </c>
      <c r="J189" t="s">
        <v>2473</v>
      </c>
      <c r="K189">
        <v>0.161</v>
      </c>
      <c r="L189" t="s">
        <v>2473</v>
      </c>
      <c r="M189">
        <v>0.124</v>
      </c>
      <c r="N189" t="s">
        <v>2473</v>
      </c>
      <c r="O189">
        <v>0.51200000000000001</v>
      </c>
      <c r="P189" t="s">
        <v>2473</v>
      </c>
      <c r="Q189">
        <v>-5.99</v>
      </c>
    </row>
    <row r="190" spans="2:17" x14ac:dyDescent="0.25">
      <c r="B190" t="s">
        <v>2472</v>
      </c>
      <c r="C190">
        <v>75</v>
      </c>
      <c r="D190" t="s">
        <v>2472</v>
      </c>
      <c r="E190">
        <v>0.66800000000000004</v>
      </c>
      <c r="F190" t="s">
        <v>2472</v>
      </c>
      <c r="G190">
        <v>0.621</v>
      </c>
      <c r="H190" t="s">
        <v>2472</v>
      </c>
      <c r="I190">
        <v>0.10199999999999999</v>
      </c>
      <c r="J190" t="s">
        <v>2472</v>
      </c>
      <c r="K190">
        <v>0.114</v>
      </c>
      <c r="L190" t="s">
        <v>2472</v>
      </c>
      <c r="M190">
        <v>0.10299999999999999</v>
      </c>
      <c r="N190" t="s">
        <v>2472</v>
      </c>
      <c r="O190">
        <v>0.40500000000000003</v>
      </c>
      <c r="P190" t="s">
        <v>2472</v>
      </c>
      <c r="Q190">
        <v>-5.3819999999999997</v>
      </c>
    </row>
    <row r="191" spans="2:17" x14ac:dyDescent="0.25">
      <c r="B191" t="s">
        <v>2471</v>
      </c>
      <c r="C191">
        <v>15.824033865899173</v>
      </c>
      <c r="D191" t="s">
        <v>2471</v>
      </c>
      <c r="E191">
        <v>0.14244402360221381</v>
      </c>
      <c r="F191" t="s">
        <v>2471</v>
      </c>
      <c r="G191">
        <v>0.16157700047142509</v>
      </c>
      <c r="H191" t="s">
        <v>2471</v>
      </c>
      <c r="I191">
        <v>0.11038273491931587</v>
      </c>
      <c r="J191" t="s">
        <v>2471</v>
      </c>
      <c r="K191">
        <v>0.25032589525142979</v>
      </c>
      <c r="L191" t="s">
        <v>2471</v>
      </c>
      <c r="M191">
        <v>0.14407099533781617</v>
      </c>
      <c r="N191" t="s">
        <v>2471</v>
      </c>
      <c r="O191">
        <v>0.22732562363901773</v>
      </c>
      <c r="P191" t="s">
        <v>2471</v>
      </c>
      <c r="Q191">
        <v>2.5092808848472976</v>
      </c>
    </row>
    <row r="192" spans="2:17" x14ac:dyDescent="0.25">
      <c r="B192" t="s">
        <v>2470</v>
      </c>
      <c r="C192">
        <v>250.40004778912393</v>
      </c>
      <c r="D192" t="s">
        <v>2470</v>
      </c>
      <c r="E192">
        <v>2.0290299859988047E-2</v>
      </c>
      <c r="F192" t="s">
        <v>2470</v>
      </c>
      <c r="G192">
        <v>2.6107127081342902E-2</v>
      </c>
      <c r="H192" t="s">
        <v>2470</v>
      </c>
      <c r="I192">
        <v>1.2184348168267954E-2</v>
      </c>
      <c r="J192" t="s">
        <v>2470</v>
      </c>
      <c r="K192">
        <v>6.2663053833429808E-2</v>
      </c>
      <c r="L192" t="s">
        <v>2470</v>
      </c>
      <c r="M192">
        <v>2.0756451697629047E-2</v>
      </c>
      <c r="N192" t="s">
        <v>2470</v>
      </c>
      <c r="O192">
        <v>5.1676939162868335E-2</v>
      </c>
      <c r="P192" t="s">
        <v>2470</v>
      </c>
      <c r="Q192">
        <v>6.296490559060036</v>
      </c>
    </row>
    <row r="193" spans="2:17" x14ac:dyDescent="0.25">
      <c r="B193" t="s">
        <v>2469</v>
      </c>
      <c r="C193">
        <v>8.5475543940641963</v>
      </c>
      <c r="D193" t="s">
        <v>2469</v>
      </c>
      <c r="E193">
        <v>0.11231546633589096</v>
      </c>
      <c r="F193" t="s">
        <v>2469</v>
      </c>
      <c r="G193">
        <v>9.1549688011605124E-2</v>
      </c>
      <c r="H193" t="s">
        <v>2469</v>
      </c>
      <c r="I193">
        <v>3.1972013189606145</v>
      </c>
      <c r="J193" t="s">
        <v>2469</v>
      </c>
      <c r="K193">
        <v>0.38428946094019478</v>
      </c>
      <c r="L193" t="s">
        <v>2469</v>
      </c>
      <c r="M193">
        <v>6.8946589259976605</v>
      </c>
      <c r="N193" t="s">
        <v>2469</v>
      </c>
      <c r="O193">
        <v>-0.83566959528955831</v>
      </c>
      <c r="P193" t="s">
        <v>2469</v>
      </c>
      <c r="Q193">
        <v>5.7287776405248358</v>
      </c>
    </row>
    <row r="194" spans="2:17" x14ac:dyDescent="0.25">
      <c r="B194" t="s">
        <v>2468</v>
      </c>
      <c r="C194">
        <v>-2.4683378758191741</v>
      </c>
      <c r="D194" t="s">
        <v>2468</v>
      </c>
      <c r="E194">
        <v>-0.60137661442687285</v>
      </c>
      <c r="F194" t="s">
        <v>2468</v>
      </c>
      <c r="G194">
        <v>-0.48210386217365248</v>
      </c>
      <c r="H194" t="s">
        <v>2468</v>
      </c>
      <c r="I194">
        <v>1.6772647475672622</v>
      </c>
      <c r="J194" t="s">
        <v>2468</v>
      </c>
      <c r="K194">
        <v>1.1504012764451859</v>
      </c>
      <c r="L194" t="s">
        <v>2468</v>
      </c>
      <c r="M194">
        <v>2.4111049149013501</v>
      </c>
      <c r="N194" t="s">
        <v>2468</v>
      </c>
      <c r="O194">
        <v>-2.4570744475703239E-2</v>
      </c>
      <c r="P194" t="s">
        <v>2468</v>
      </c>
      <c r="Q194">
        <v>-1.5736395423233447</v>
      </c>
    </row>
    <row r="195" spans="2:17" x14ac:dyDescent="0.25">
      <c r="B195" t="s">
        <v>2467</v>
      </c>
      <c r="C195">
        <v>100</v>
      </c>
      <c r="D195" t="s">
        <v>2467</v>
      </c>
      <c r="E195">
        <v>0.83</v>
      </c>
      <c r="F195" t="s">
        <v>2467</v>
      </c>
      <c r="G195">
        <v>0.91599999999999993</v>
      </c>
      <c r="H195" t="s">
        <v>2467</v>
      </c>
      <c r="I195">
        <v>0.86080000000000001</v>
      </c>
      <c r="J195" t="s">
        <v>2467</v>
      </c>
      <c r="K195">
        <v>0.99397449999999998</v>
      </c>
      <c r="L195" t="s">
        <v>2467</v>
      </c>
      <c r="M195">
        <v>0.94229999999999992</v>
      </c>
      <c r="N195" t="s">
        <v>2467</v>
      </c>
      <c r="O195">
        <v>0.94699999999999995</v>
      </c>
      <c r="P195" t="s">
        <v>2467</v>
      </c>
      <c r="Q195">
        <v>26.675000000000001</v>
      </c>
    </row>
    <row r="196" spans="2:17" x14ac:dyDescent="0.25">
      <c r="B196" t="s">
        <v>2466</v>
      </c>
      <c r="C196">
        <v>0</v>
      </c>
      <c r="D196" t="s">
        <v>2466</v>
      </c>
      <c r="E196">
        <v>0.15</v>
      </c>
      <c r="F196" t="s">
        <v>2466</v>
      </c>
      <c r="G196">
        <v>5.3999999999999999E-2</v>
      </c>
      <c r="H196" t="s">
        <v>2466</v>
      </c>
      <c r="I196">
        <v>2.3199999999999998E-2</v>
      </c>
      <c r="J196" t="s">
        <v>2466</v>
      </c>
      <c r="K196">
        <v>2.55E-5</v>
      </c>
      <c r="L196" t="s">
        <v>2466</v>
      </c>
      <c r="M196">
        <v>1.9699999999999999E-2</v>
      </c>
      <c r="N196" t="s">
        <v>2466</v>
      </c>
      <c r="O196">
        <v>3.2000000000000001E-2</v>
      </c>
      <c r="P196" t="s">
        <v>2466</v>
      </c>
      <c r="Q196">
        <v>-25.166</v>
      </c>
    </row>
    <row r="197" spans="2:17" x14ac:dyDescent="0.25">
      <c r="B197" t="s">
        <v>2465</v>
      </c>
      <c r="C197">
        <v>100</v>
      </c>
      <c r="D197" t="s">
        <v>2465</v>
      </c>
      <c r="E197">
        <v>0.98</v>
      </c>
      <c r="F197" t="s">
        <v>2465</v>
      </c>
      <c r="G197">
        <v>0.97</v>
      </c>
      <c r="H197" t="s">
        <v>2465</v>
      </c>
      <c r="I197">
        <v>0.88400000000000001</v>
      </c>
      <c r="J197" t="s">
        <v>2465</v>
      </c>
      <c r="K197">
        <v>0.99399999999999999</v>
      </c>
      <c r="L197" t="s">
        <v>2465</v>
      </c>
      <c r="M197">
        <v>0.96199999999999997</v>
      </c>
      <c r="N197" t="s">
        <v>2465</v>
      </c>
      <c r="O197">
        <v>0.97899999999999998</v>
      </c>
      <c r="P197" t="s">
        <v>2465</v>
      </c>
      <c r="Q197">
        <v>1.5089999999999999</v>
      </c>
    </row>
    <row r="198" spans="2:17" x14ac:dyDescent="0.25">
      <c r="B198" t="s">
        <v>2464</v>
      </c>
      <c r="C198">
        <v>108288</v>
      </c>
      <c r="D198" t="s">
        <v>2464</v>
      </c>
      <c r="E198">
        <v>1066.0449999999996</v>
      </c>
      <c r="F198" t="s">
        <v>2464</v>
      </c>
      <c r="G198">
        <v>978.74999999999977</v>
      </c>
      <c r="H198" t="s">
        <v>2464</v>
      </c>
      <c r="I198">
        <v>191.04810000000009</v>
      </c>
      <c r="J198" t="s">
        <v>2464</v>
      </c>
      <c r="K198">
        <v>384.23300790000013</v>
      </c>
      <c r="L198" t="s">
        <v>2464</v>
      </c>
      <c r="M198">
        <v>279.95769999999993</v>
      </c>
      <c r="N198" t="s">
        <v>2464</v>
      </c>
      <c r="O198">
        <v>795.21740000000091</v>
      </c>
      <c r="P198" t="s">
        <v>2464</v>
      </c>
      <c r="Q198">
        <v>-9808.3919999999835</v>
      </c>
    </row>
    <row r="199" spans="2:17" ht="15.75" thickBot="1" x14ac:dyDescent="0.3">
      <c r="B199" s="31" t="s">
        <v>2463</v>
      </c>
      <c r="C199" s="31">
        <v>1545</v>
      </c>
      <c r="D199" s="31" t="s">
        <v>2463</v>
      </c>
      <c r="E199" s="31">
        <v>1545</v>
      </c>
      <c r="F199" s="31" t="s">
        <v>2463</v>
      </c>
      <c r="G199" s="31">
        <v>1545</v>
      </c>
      <c r="H199" s="31" t="s">
        <v>2463</v>
      </c>
      <c r="I199" s="31">
        <v>1545</v>
      </c>
      <c r="J199" s="31" t="s">
        <v>2463</v>
      </c>
      <c r="K199" s="31">
        <v>1545</v>
      </c>
      <c r="L199" s="31" t="s">
        <v>2463</v>
      </c>
      <c r="M199" s="31">
        <v>1545</v>
      </c>
      <c r="N199" s="31" t="s">
        <v>2463</v>
      </c>
      <c r="O199" s="31">
        <v>1545</v>
      </c>
      <c r="P199" s="31" t="s">
        <v>2463</v>
      </c>
      <c r="Q199" s="31">
        <v>1545</v>
      </c>
    </row>
  </sheetData>
  <mergeCells count="23">
    <mergeCell ref="I35:N40"/>
    <mergeCell ref="I5:N9"/>
    <mergeCell ref="I14:N18"/>
    <mergeCell ref="B23:H23"/>
    <mergeCell ref="I24:N28"/>
    <mergeCell ref="B34:H34"/>
    <mergeCell ref="B53:H53"/>
    <mergeCell ref="B55:C55"/>
    <mergeCell ref="I55:N61"/>
    <mergeCell ref="B57:C57"/>
    <mergeCell ref="B78:C78"/>
    <mergeCell ref="I78:N82"/>
    <mergeCell ref="B79:C79"/>
    <mergeCell ref="B58:C58"/>
    <mergeCell ref="B138:C138"/>
    <mergeCell ref="F138:G138"/>
    <mergeCell ref="B81:C81"/>
    <mergeCell ref="B82:C82"/>
    <mergeCell ref="I119:N131"/>
    <mergeCell ref="B136:C136"/>
    <mergeCell ref="F136:G136"/>
    <mergeCell ref="B137:C137"/>
    <mergeCell ref="F137:G137"/>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911C8-B5BC-4EFC-AB5C-A7B7A0A157B6}">
  <dimension ref="B2:Q35"/>
  <sheetViews>
    <sheetView showGridLines="0" topLeftCell="A20" workbookViewId="0">
      <selection activeCell="D23" sqref="D23"/>
    </sheetView>
  </sheetViews>
  <sheetFormatPr baseColWidth="10" defaultRowHeight="15" x14ac:dyDescent="0.25"/>
  <cols>
    <col min="2" max="2" width="19.5703125" bestFit="1" customWidth="1"/>
    <col min="3" max="3" width="23.85546875" bestFit="1" customWidth="1"/>
    <col min="4" max="4" width="14.85546875" bestFit="1" customWidth="1"/>
  </cols>
  <sheetData>
    <row r="2" spans="2:17" x14ac:dyDescent="0.25">
      <c r="B2" s="8" t="s">
        <v>2500</v>
      </c>
      <c r="C2" s="10"/>
      <c r="D2" s="10"/>
      <c r="E2" s="10"/>
      <c r="F2" s="10"/>
      <c r="G2" s="10"/>
      <c r="H2" s="10"/>
      <c r="I2" s="10"/>
      <c r="J2" s="10"/>
      <c r="K2" s="10"/>
      <c r="L2" s="10"/>
      <c r="M2" s="10"/>
      <c r="N2" s="10"/>
      <c r="O2" s="10"/>
      <c r="P2" s="10"/>
      <c r="Q2" s="10"/>
    </row>
    <row r="4" spans="2:17" ht="36" customHeight="1" x14ac:dyDescent="0.25">
      <c r="B4" s="67" t="s">
        <v>2524</v>
      </c>
      <c r="C4" s="67"/>
      <c r="D4" s="67"/>
      <c r="E4" s="67"/>
      <c r="F4" s="67"/>
      <c r="G4" s="67"/>
      <c r="H4" s="67"/>
      <c r="I4" t="s">
        <v>2486</v>
      </c>
    </row>
    <row r="5" spans="2:17" x14ac:dyDescent="0.25">
      <c r="B5" s="64" t="s">
        <v>2482</v>
      </c>
      <c r="C5" s="65"/>
      <c r="D5" s="15">
        <f>COUNTBLANK(Spotify[Genre principal])</f>
        <v>75</v>
      </c>
      <c r="I5" s="66" t="s">
        <v>2523</v>
      </c>
      <c r="J5" s="68"/>
      <c r="K5" s="68"/>
      <c r="L5" s="68"/>
      <c r="M5" s="68"/>
      <c r="N5" s="68"/>
    </row>
    <row r="6" spans="2:17" x14ac:dyDescent="0.25">
      <c r="B6" s="64" t="s">
        <v>2480</v>
      </c>
      <c r="C6" s="65"/>
      <c r="D6" s="18">
        <f>D5/ROWS(Spotify[Genre principal])</f>
        <v>4.8200514138817478E-2</v>
      </c>
      <c r="I6" s="68"/>
      <c r="J6" s="68"/>
      <c r="K6" s="68"/>
      <c r="L6" s="68"/>
      <c r="M6" s="68"/>
      <c r="N6" s="68"/>
    </row>
    <row r="7" spans="2:17" x14ac:dyDescent="0.25">
      <c r="D7" s="25"/>
      <c r="I7" s="68"/>
      <c r="J7" s="68"/>
      <c r="K7" s="68"/>
      <c r="L7" s="68"/>
      <c r="M7" s="68"/>
      <c r="N7" s="68"/>
    </row>
    <row r="8" spans="2:17" x14ac:dyDescent="0.25">
      <c r="I8" s="68"/>
      <c r="J8" s="68"/>
      <c r="K8" s="68"/>
      <c r="L8" s="68"/>
      <c r="M8" s="68"/>
      <c r="N8" s="68"/>
    </row>
    <row r="9" spans="2:17" x14ac:dyDescent="0.25">
      <c r="I9" s="68"/>
      <c r="J9" s="68"/>
      <c r="K9" s="68"/>
      <c r="L9" s="68"/>
      <c r="M9" s="68"/>
      <c r="N9" s="68"/>
    </row>
    <row r="11" spans="2:17" x14ac:dyDescent="0.25">
      <c r="B11" s="8" t="s">
        <v>2522</v>
      </c>
      <c r="C11" s="10"/>
      <c r="D11" s="10"/>
      <c r="E11" s="10"/>
      <c r="F11" s="10"/>
      <c r="G11" s="10"/>
      <c r="H11" s="10"/>
      <c r="I11" s="10"/>
      <c r="J11" s="10"/>
      <c r="K11" s="10"/>
      <c r="L11" s="10"/>
      <c r="M11" s="10"/>
      <c r="N11" s="10"/>
      <c r="O11" s="10"/>
      <c r="P11" s="10"/>
      <c r="Q11" s="10"/>
    </row>
    <row r="12" spans="2:17" x14ac:dyDescent="0.25">
      <c r="B12" s="38"/>
      <c r="C12" s="37"/>
      <c r="D12" s="37"/>
      <c r="E12" s="37"/>
      <c r="F12" s="37"/>
      <c r="G12" s="37"/>
      <c r="H12" s="37"/>
      <c r="I12" s="37"/>
      <c r="J12" s="37"/>
      <c r="K12" s="37"/>
      <c r="L12" s="37"/>
      <c r="M12" s="37"/>
      <c r="N12" s="37"/>
      <c r="O12" s="37"/>
      <c r="P12" s="37"/>
      <c r="Q12" s="37"/>
    </row>
    <row r="13" spans="2:17" x14ac:dyDescent="0.25">
      <c r="B13" s="73" t="s">
        <v>2521</v>
      </c>
      <c r="C13" s="73"/>
      <c r="D13" s="73"/>
      <c r="E13" s="73"/>
      <c r="F13" s="73"/>
      <c r="G13" s="73"/>
      <c r="H13" s="73"/>
    </row>
    <row r="14" spans="2:17" ht="30" customHeight="1" x14ac:dyDescent="0.25">
      <c r="B14" s="69" t="s">
        <v>2520</v>
      </c>
      <c r="C14" s="70"/>
      <c r="D14" s="36">
        <f>COUNTA(_xlfn.UNIQUE(Spotify[Genre principal]))</f>
        <v>171</v>
      </c>
      <c r="I14" t="s">
        <v>2486</v>
      </c>
    </row>
    <row r="15" spans="2:17" ht="30" customHeight="1" x14ac:dyDescent="0.25">
      <c r="B15" s="64" t="s">
        <v>2519</v>
      </c>
      <c r="C15" s="65"/>
      <c r="D15" s="36">
        <f>COUNTA(Spotify[Genre principal])</f>
        <v>1481</v>
      </c>
      <c r="I15" s="74" t="s">
        <v>2518</v>
      </c>
      <c r="J15" s="68"/>
      <c r="K15" s="68"/>
      <c r="L15" s="68"/>
      <c r="M15" s="68"/>
      <c r="N15" s="68"/>
    </row>
    <row r="16" spans="2:17" ht="30" customHeight="1" x14ac:dyDescent="0.25">
      <c r="B16" s="69" t="s">
        <v>2517</v>
      </c>
      <c r="C16" s="70"/>
      <c r="D16" s="35">
        <f>ROWS(Spotify[Chanson])/D14</f>
        <v>9.0994152046783618</v>
      </c>
      <c r="I16" s="68"/>
      <c r="J16" s="68"/>
      <c r="K16" s="68"/>
      <c r="L16" s="68"/>
      <c r="M16" s="68"/>
      <c r="N16" s="68"/>
    </row>
    <row r="18" spans="2:17" x14ac:dyDescent="0.25">
      <c r="I18" s="67"/>
      <c r="J18" s="67"/>
      <c r="K18" s="67"/>
      <c r="L18" s="67"/>
      <c r="M18" s="67"/>
      <c r="N18" s="67"/>
      <c r="O18" s="67"/>
    </row>
    <row r="19" spans="2:17" x14ac:dyDescent="0.25">
      <c r="B19" s="8" t="s">
        <v>2516</v>
      </c>
      <c r="C19" s="10"/>
      <c r="D19" s="10"/>
      <c r="E19" s="10"/>
      <c r="F19" s="10"/>
      <c r="G19" s="10"/>
      <c r="H19" s="10"/>
      <c r="I19" s="10"/>
      <c r="J19" s="10"/>
      <c r="K19" s="10"/>
      <c r="L19" s="10"/>
      <c r="M19" s="10"/>
      <c r="N19" s="10"/>
      <c r="O19" s="10"/>
      <c r="P19" s="10"/>
      <c r="Q19" s="10"/>
    </row>
    <row r="22" spans="2:17" x14ac:dyDescent="0.25">
      <c r="B22" t="s">
        <v>2515</v>
      </c>
    </row>
    <row r="24" spans="2:17" x14ac:dyDescent="0.25">
      <c r="B24" s="34" t="s">
        <v>2514</v>
      </c>
      <c r="C24" t="s">
        <v>2513</v>
      </c>
      <c r="I24" t="s">
        <v>2486</v>
      </c>
    </row>
    <row r="25" spans="2:17" ht="14.25" customHeight="1" x14ac:dyDescent="0.25">
      <c r="B25" s="33" t="s">
        <v>19</v>
      </c>
      <c r="C25">
        <v>215</v>
      </c>
      <c r="I25" s="71" t="s">
        <v>2512</v>
      </c>
      <c r="J25" s="71"/>
      <c r="K25" s="71"/>
      <c r="L25" s="71"/>
      <c r="M25" s="71"/>
      <c r="N25" s="71"/>
    </row>
    <row r="26" spans="2:17" x14ac:dyDescent="0.25">
      <c r="B26" s="33" t="s">
        <v>25</v>
      </c>
      <c r="C26">
        <v>144</v>
      </c>
      <c r="I26" s="72"/>
      <c r="J26" s="72"/>
      <c r="K26" s="72"/>
      <c r="L26" s="72"/>
      <c r="M26" s="72"/>
      <c r="N26" s="72"/>
    </row>
    <row r="27" spans="2:17" ht="14.1" customHeight="1" x14ac:dyDescent="0.25">
      <c r="B27" s="33" t="s">
        <v>10</v>
      </c>
      <c r="C27">
        <v>100</v>
      </c>
      <c r="I27" s="72"/>
      <c r="J27" s="72"/>
      <c r="K27" s="72"/>
      <c r="L27" s="72"/>
      <c r="M27" s="72"/>
      <c r="N27" s="72"/>
    </row>
    <row r="28" spans="2:17" ht="16.7" customHeight="1" x14ac:dyDescent="0.25">
      <c r="B28" s="33" t="s">
        <v>235</v>
      </c>
      <c r="C28">
        <v>58</v>
      </c>
      <c r="I28" s="72"/>
      <c r="J28" s="72"/>
      <c r="K28" s="72"/>
      <c r="L28" s="72"/>
      <c r="M28" s="72"/>
      <c r="N28" s="72"/>
    </row>
    <row r="29" spans="2:17" ht="16.7" customHeight="1" x14ac:dyDescent="0.25">
      <c r="B29" s="33" t="s">
        <v>531</v>
      </c>
      <c r="C29">
        <v>53</v>
      </c>
      <c r="I29" s="72"/>
      <c r="J29" s="72"/>
      <c r="K29" s="72"/>
      <c r="L29" s="72"/>
      <c r="M29" s="72"/>
      <c r="N29" s="72"/>
    </row>
    <row r="30" spans="2:17" x14ac:dyDescent="0.25">
      <c r="B30" s="33" t="s">
        <v>426</v>
      </c>
      <c r="C30">
        <v>53</v>
      </c>
    </row>
    <row r="31" spans="2:17" x14ac:dyDescent="0.25">
      <c r="B31" s="33" t="s">
        <v>79</v>
      </c>
      <c r="C31">
        <v>46</v>
      </c>
    </row>
    <row r="32" spans="2:17" x14ac:dyDescent="0.25">
      <c r="B32" s="33" t="s">
        <v>33</v>
      </c>
      <c r="C32">
        <v>45</v>
      </c>
    </row>
    <row r="33" spans="2:3" x14ac:dyDescent="0.25">
      <c r="B33" s="33" t="s">
        <v>158</v>
      </c>
      <c r="C33">
        <v>37</v>
      </c>
    </row>
    <row r="34" spans="2:3" x14ac:dyDescent="0.25">
      <c r="B34" s="33" t="s">
        <v>36</v>
      </c>
      <c r="C34">
        <v>37</v>
      </c>
    </row>
    <row r="35" spans="2:3" x14ac:dyDescent="0.25">
      <c r="B35" s="33" t="s">
        <v>2511</v>
      </c>
      <c r="C35">
        <v>788</v>
      </c>
    </row>
  </sheetData>
  <mergeCells count="11">
    <mergeCell ref="I18:O18"/>
    <mergeCell ref="B14:C14"/>
    <mergeCell ref="I25:N29"/>
    <mergeCell ref="B4:H4"/>
    <mergeCell ref="B5:C5"/>
    <mergeCell ref="I5:N9"/>
    <mergeCell ref="B6:C6"/>
    <mergeCell ref="B13:H13"/>
    <mergeCell ref="B15:C15"/>
    <mergeCell ref="I15:N16"/>
    <mergeCell ref="B16:C16"/>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FD3CC-D112-4A4F-B053-320C4F273C8A}">
  <dimension ref="B2:C10"/>
  <sheetViews>
    <sheetView topLeftCell="K1" workbookViewId="0">
      <selection activeCell="G6" sqref="G6"/>
    </sheetView>
  </sheetViews>
  <sheetFormatPr baseColWidth="10" defaultRowHeight="15" x14ac:dyDescent="0.25"/>
  <cols>
    <col min="1" max="1" width="3.140625" customWidth="1"/>
    <col min="2" max="2" width="56.5703125" customWidth="1"/>
    <col min="3" max="3" width="63" customWidth="1"/>
  </cols>
  <sheetData>
    <row r="2" spans="2:3" x14ac:dyDescent="0.25">
      <c r="B2" s="45" t="s">
        <v>2534</v>
      </c>
      <c r="C2" s="44" t="s">
        <v>2533</v>
      </c>
    </row>
    <row r="3" spans="2:3" ht="30" x14ac:dyDescent="0.25">
      <c r="B3" s="42" t="s">
        <v>2532</v>
      </c>
      <c r="C3" s="41" t="s">
        <v>2535</v>
      </c>
    </row>
    <row r="4" spans="2:3" x14ac:dyDescent="0.25">
      <c r="B4" s="42" t="s">
        <v>2531</v>
      </c>
      <c r="C4" s="43" t="s">
        <v>2536</v>
      </c>
    </row>
    <row r="5" spans="2:3" ht="30" x14ac:dyDescent="0.25">
      <c r="B5" s="42" t="s">
        <v>2530</v>
      </c>
      <c r="C5" s="41" t="s">
        <v>2537</v>
      </c>
    </row>
    <row r="6" spans="2:3" ht="30" x14ac:dyDescent="0.25">
      <c r="B6" s="42" t="s">
        <v>2529</v>
      </c>
      <c r="C6" s="41" t="s">
        <v>2538</v>
      </c>
    </row>
    <row r="7" spans="2:3" ht="45" x14ac:dyDescent="0.25">
      <c r="B7" s="42" t="s">
        <v>2528</v>
      </c>
      <c r="C7" s="41" t="s">
        <v>2539</v>
      </c>
    </row>
    <row r="8" spans="2:3" ht="45" x14ac:dyDescent="0.25">
      <c r="B8" s="42" t="s">
        <v>2527</v>
      </c>
      <c r="C8" s="41" t="s">
        <v>2540</v>
      </c>
    </row>
    <row r="9" spans="2:3" ht="30" x14ac:dyDescent="0.25">
      <c r="B9" s="42" t="s">
        <v>2526</v>
      </c>
      <c r="C9" s="41" t="s">
        <v>2541</v>
      </c>
    </row>
    <row r="10" spans="2:3" ht="30" x14ac:dyDescent="0.25">
      <c r="B10" s="40" t="s">
        <v>2525</v>
      </c>
      <c r="C10" s="39" t="s">
        <v>2542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D908F-BB18-478E-BF97-F01A6F9CF2B9}">
  <dimension ref="A2:Q107"/>
  <sheetViews>
    <sheetView showGridLines="0" topLeftCell="A62" workbookViewId="0">
      <selection activeCell="F79" sqref="F79"/>
    </sheetView>
  </sheetViews>
  <sheetFormatPr baseColWidth="10" defaultRowHeight="15" x14ac:dyDescent="0.25"/>
  <cols>
    <col min="1" max="1" width="6.42578125" customWidth="1"/>
    <col min="3" max="4" width="34.42578125" customWidth="1"/>
    <col min="7" max="7" width="12" customWidth="1"/>
    <col min="8" max="8" width="12.5703125" customWidth="1"/>
    <col min="11" max="11" width="12.140625" customWidth="1"/>
    <col min="12" max="12" width="16.140625" customWidth="1"/>
  </cols>
  <sheetData>
    <row r="2" spans="1:17" s="54" customFormat="1" ht="21" customHeight="1" x14ac:dyDescent="0.25">
      <c r="A2" s="51"/>
      <c r="B2" s="53" t="s">
        <v>2549</v>
      </c>
      <c r="C2" s="52"/>
      <c r="D2" s="52"/>
      <c r="E2" s="52"/>
      <c r="F2" s="52"/>
      <c r="G2" s="52"/>
      <c r="H2" s="52"/>
      <c r="I2" s="52"/>
      <c r="J2" s="52"/>
      <c r="K2" s="52"/>
      <c r="L2" s="52"/>
      <c r="M2" s="52"/>
      <c r="N2" s="52"/>
      <c r="O2" s="52"/>
      <c r="P2" s="52"/>
      <c r="Q2" s="52"/>
    </row>
    <row r="5" spans="1:17" x14ac:dyDescent="0.25">
      <c r="L5" t="s">
        <v>2486</v>
      </c>
    </row>
    <row r="6" spans="1:17" x14ac:dyDescent="0.25">
      <c r="L6" s="66" t="s">
        <v>2551</v>
      </c>
      <c r="M6" s="68"/>
      <c r="N6" s="68"/>
      <c r="O6" s="68"/>
      <c r="P6" s="68"/>
      <c r="Q6" s="68"/>
    </row>
    <row r="7" spans="1:17" x14ac:dyDescent="0.25">
      <c r="L7" s="68"/>
      <c r="M7" s="68"/>
      <c r="N7" s="68"/>
      <c r="O7" s="68"/>
      <c r="P7" s="68"/>
      <c r="Q7" s="68"/>
    </row>
    <row r="8" spans="1:17" x14ac:dyDescent="0.25">
      <c r="L8" s="68"/>
      <c r="M8" s="68"/>
      <c r="N8" s="68"/>
      <c r="O8" s="68"/>
      <c r="P8" s="68"/>
      <c r="Q8" s="68"/>
    </row>
    <row r="9" spans="1:17" x14ac:dyDescent="0.25">
      <c r="L9" s="68"/>
      <c r="M9" s="68"/>
      <c r="N9" s="68"/>
      <c r="O9" s="68"/>
      <c r="P9" s="68"/>
      <c r="Q9" s="68"/>
    </row>
    <row r="10" spans="1:17" x14ac:dyDescent="0.25">
      <c r="L10" s="68"/>
      <c r="M10" s="68"/>
      <c r="N10" s="68"/>
      <c r="O10" s="68"/>
      <c r="P10" s="68"/>
      <c r="Q10" s="68"/>
    </row>
    <row r="13" spans="1:17" x14ac:dyDescent="0.25">
      <c r="L13" s="50" t="s">
        <v>2545</v>
      </c>
      <c r="M13" s="23">
        <f>_xlfn.COVARIANCE.P(Spotify[Ecoutes],Spotify[Popularité])</f>
        <v>6575298.391480187</v>
      </c>
    </row>
    <row r="14" spans="1:17" x14ac:dyDescent="0.25">
      <c r="L14" s="50" t="s">
        <v>2544</v>
      </c>
      <c r="M14" s="23">
        <f>CORREL(Spotify[Ecoutes], Spotify[Popularité])</f>
        <v>0.1231838925286802</v>
      </c>
    </row>
    <row r="22" spans="2:17" s="51" customFormat="1" ht="21" customHeight="1" x14ac:dyDescent="0.25">
      <c r="B22" s="53" t="s">
        <v>2548</v>
      </c>
      <c r="C22" s="52"/>
      <c r="D22" s="52"/>
      <c r="E22" s="52"/>
      <c r="F22" s="52"/>
      <c r="G22" s="52"/>
      <c r="H22" s="52"/>
      <c r="I22" s="52"/>
      <c r="J22" s="52"/>
      <c r="K22" s="52"/>
      <c r="L22" s="52"/>
      <c r="M22" s="52"/>
      <c r="N22" s="52"/>
      <c r="O22" s="52"/>
      <c r="P22" s="52"/>
      <c r="Q22" s="52"/>
    </row>
    <row r="25" spans="2:17" x14ac:dyDescent="0.25">
      <c r="L25" t="s">
        <v>2486</v>
      </c>
    </row>
    <row r="26" spans="2:17" x14ac:dyDescent="0.25">
      <c r="L26" s="66" t="s">
        <v>2552</v>
      </c>
      <c r="M26" s="68"/>
      <c r="N26" s="68"/>
      <c r="O26" s="68"/>
      <c r="P26" s="68"/>
      <c r="Q26" s="68"/>
    </row>
    <row r="27" spans="2:17" x14ac:dyDescent="0.25">
      <c r="L27" s="68"/>
      <c r="M27" s="68"/>
      <c r="N27" s="68"/>
      <c r="O27" s="68"/>
      <c r="P27" s="68"/>
      <c r="Q27" s="68"/>
    </row>
    <row r="28" spans="2:17" x14ac:dyDescent="0.25">
      <c r="L28" s="68"/>
      <c r="M28" s="68"/>
      <c r="N28" s="68"/>
      <c r="O28" s="68"/>
      <c r="P28" s="68"/>
      <c r="Q28" s="68"/>
    </row>
    <row r="29" spans="2:17" x14ac:dyDescent="0.25">
      <c r="L29" s="68"/>
      <c r="M29" s="68"/>
      <c r="N29" s="68"/>
      <c r="O29" s="68"/>
      <c r="P29" s="68"/>
      <c r="Q29" s="68"/>
    </row>
    <row r="30" spans="2:17" ht="28.5" customHeight="1" x14ac:dyDescent="0.25">
      <c r="L30" s="68"/>
      <c r="M30" s="68"/>
      <c r="N30" s="68"/>
      <c r="O30" s="68"/>
      <c r="P30" s="68"/>
      <c r="Q30" s="68"/>
    </row>
    <row r="32" spans="2:17" x14ac:dyDescent="0.25">
      <c r="L32" s="50" t="s">
        <v>2545</v>
      </c>
      <c r="M32" s="23">
        <f>_xlfn.COVARIANCE.P(Spotify[Dansabilité], Spotify[Positivité])</f>
        <v>1.1702332633717703E-2</v>
      </c>
    </row>
    <row r="33" spans="2:17" x14ac:dyDescent="0.25">
      <c r="L33" s="50" t="s">
        <v>2544</v>
      </c>
      <c r="M33" s="23">
        <f>CORREL(Spotify[Dansabilité], Spotify[Positivité])</f>
        <v>0.36162712818823783</v>
      </c>
    </row>
    <row r="41" spans="2:17" s="51" customFormat="1" ht="21" customHeight="1" x14ac:dyDescent="0.25">
      <c r="B41" s="53" t="s">
        <v>2547</v>
      </c>
      <c r="C41" s="52"/>
      <c r="D41" s="52"/>
      <c r="E41" s="52"/>
      <c r="F41" s="52"/>
      <c r="G41" s="52"/>
      <c r="H41" s="52"/>
      <c r="I41" s="52"/>
      <c r="J41" s="52"/>
      <c r="K41" s="52"/>
      <c r="L41" s="52"/>
      <c r="M41" s="52"/>
      <c r="N41" s="52"/>
      <c r="O41" s="52"/>
      <c r="P41" s="52"/>
      <c r="Q41" s="52"/>
    </row>
    <row r="45" spans="2:17" x14ac:dyDescent="0.25">
      <c r="L45" t="s">
        <v>2486</v>
      </c>
    </row>
    <row r="46" spans="2:17" x14ac:dyDescent="0.25">
      <c r="L46" s="66" t="s">
        <v>2553</v>
      </c>
      <c r="M46" s="68"/>
      <c r="N46" s="68"/>
      <c r="O46" s="68"/>
      <c r="P46" s="68"/>
      <c r="Q46" s="68"/>
    </row>
    <row r="47" spans="2:17" x14ac:dyDescent="0.25">
      <c r="L47" s="68"/>
      <c r="M47" s="68"/>
      <c r="N47" s="68"/>
      <c r="O47" s="68"/>
      <c r="P47" s="68"/>
      <c r="Q47" s="68"/>
    </row>
    <row r="48" spans="2:17" x14ac:dyDescent="0.25">
      <c r="L48" s="68"/>
      <c r="M48" s="68"/>
      <c r="N48" s="68"/>
      <c r="O48" s="68"/>
      <c r="P48" s="68"/>
      <c r="Q48" s="68"/>
    </row>
    <row r="49" spans="2:17" x14ac:dyDescent="0.25">
      <c r="L49" s="68"/>
      <c r="M49" s="68"/>
      <c r="N49" s="68"/>
      <c r="O49" s="68"/>
      <c r="P49" s="68"/>
      <c r="Q49" s="68"/>
    </row>
    <row r="50" spans="2:17" x14ac:dyDescent="0.25">
      <c r="L50" s="68"/>
      <c r="M50" s="68"/>
      <c r="N50" s="68"/>
      <c r="O50" s="68"/>
      <c r="P50" s="68"/>
      <c r="Q50" s="68"/>
    </row>
    <row r="52" spans="2:17" x14ac:dyDescent="0.25">
      <c r="L52" s="50" t="s">
        <v>2545</v>
      </c>
      <c r="M52" s="23">
        <f>_xlfn.COVARIANCE.P(Spotify[Intensité], Spotify[Energie])</f>
        <v>0.29684125077449974</v>
      </c>
    </row>
    <row r="53" spans="2:17" x14ac:dyDescent="0.25">
      <c r="L53" s="50" t="s">
        <v>2544</v>
      </c>
      <c r="M53" s="23">
        <f>CORREL(Spotify[Intensité], Spotify[Energie])</f>
        <v>0.73261637374398314</v>
      </c>
    </row>
    <row r="60" spans="2:17" s="51" customFormat="1" ht="21" customHeight="1" thickBot="1" x14ac:dyDescent="0.3">
      <c r="B60" s="53" t="s">
        <v>2546</v>
      </c>
      <c r="C60" s="52"/>
      <c r="D60" s="52"/>
      <c r="E60" s="52"/>
      <c r="F60" s="52"/>
      <c r="G60" s="52"/>
      <c r="H60" s="52"/>
      <c r="I60" s="52"/>
      <c r="J60" s="52"/>
      <c r="K60" s="52"/>
      <c r="L60" s="52"/>
      <c r="M60" s="52"/>
      <c r="N60" s="52"/>
      <c r="O60" s="52"/>
      <c r="P60" s="52"/>
      <c r="Q60" s="52"/>
    </row>
    <row r="61" spans="2:17" x14ac:dyDescent="0.25">
      <c r="B61" s="32"/>
      <c r="C61" s="32"/>
      <c r="D61" s="32"/>
      <c r="E61" s="32"/>
      <c r="F61" s="32"/>
      <c r="G61" s="32"/>
      <c r="H61" s="32"/>
      <c r="I61" s="32"/>
      <c r="J61" s="32"/>
      <c r="K61" s="32"/>
      <c r="L61" s="32"/>
      <c r="M61" s="32"/>
    </row>
    <row r="63" spans="2:17" x14ac:dyDescent="0.25">
      <c r="B63" s="55" t="s">
        <v>2550</v>
      </c>
      <c r="C63" s="55" t="s">
        <v>2445</v>
      </c>
      <c r="D63" s="55" t="s">
        <v>2446</v>
      </c>
      <c r="E63" s="55" t="s">
        <v>2449</v>
      </c>
      <c r="F63" s="55" t="s">
        <v>2451</v>
      </c>
      <c r="G63" s="55" t="s">
        <v>2454</v>
      </c>
      <c r="H63" s="55" t="s">
        <v>2455</v>
      </c>
      <c r="I63" s="55" t="s">
        <v>2456</v>
      </c>
      <c r="J63" s="55" t="s">
        <v>2457</v>
      </c>
      <c r="K63" s="55" t="s">
        <v>2458</v>
      </c>
      <c r="L63" s="55" t="s">
        <v>2459</v>
      </c>
      <c r="M63" s="55" t="s">
        <v>1</v>
      </c>
      <c r="N63" s="55" t="s">
        <v>2460</v>
      </c>
    </row>
    <row r="64" spans="2:17" x14ac:dyDescent="0.25">
      <c r="B64" t="s">
        <v>2445</v>
      </c>
    </row>
    <row r="65" spans="2:17" x14ac:dyDescent="0.25">
      <c r="B65" t="s">
        <v>2446</v>
      </c>
      <c r="C65">
        <v>-0.41796774563311045</v>
      </c>
    </row>
    <row r="66" spans="2:17" x14ac:dyDescent="0.25">
      <c r="B66" t="s">
        <v>2449</v>
      </c>
      <c r="C66">
        <v>-0.29580060713362055</v>
      </c>
      <c r="D66">
        <v>-6.1631442187006988E-2</v>
      </c>
    </row>
    <row r="67" spans="2:17" x14ac:dyDescent="0.25">
      <c r="B67" t="s">
        <v>2451</v>
      </c>
      <c r="C67">
        <v>-0.23372324433856409</v>
      </c>
      <c r="D67">
        <v>2.7458260381946407E-2</v>
      </c>
      <c r="E67">
        <v>0.10325112188366632</v>
      </c>
    </row>
    <row r="68" spans="2:17" x14ac:dyDescent="0.25">
      <c r="B68" t="s">
        <v>2454</v>
      </c>
      <c r="C68">
        <v>-0.16416734051636273</v>
      </c>
      <c r="D68">
        <v>0.23279557540838822</v>
      </c>
      <c r="E68">
        <v>0.1231838925286802</v>
      </c>
      <c r="F68">
        <v>0.1043577212316507</v>
      </c>
    </row>
    <row r="69" spans="2:17" x14ac:dyDescent="0.25">
      <c r="B69" t="s">
        <v>2455</v>
      </c>
      <c r="C69">
        <v>1.7149307331723564E-2</v>
      </c>
      <c r="D69">
        <v>2.7025976572385989E-2</v>
      </c>
      <c r="E69">
        <v>-8.129107688993277E-2</v>
      </c>
      <c r="F69">
        <v>-9.7575776135306616E-2</v>
      </c>
      <c r="G69">
        <v>2.8434691817529244E-2</v>
      </c>
    </row>
    <row r="70" spans="2:17" x14ac:dyDescent="0.25">
      <c r="B70" t="s">
        <v>2456</v>
      </c>
      <c r="C70">
        <v>6.3025588449285908E-2</v>
      </c>
      <c r="D70">
        <v>-6.1139283829006533E-2</v>
      </c>
      <c r="E70">
        <v>4.1445617357119477E-3</v>
      </c>
      <c r="F70">
        <v>-6.5613356235561929E-2</v>
      </c>
      <c r="G70">
        <v>9.4690517584444717E-2</v>
      </c>
      <c r="H70">
        <v>0.1421295605500135</v>
      </c>
    </row>
    <row r="71" spans="2:17" x14ac:dyDescent="0.25">
      <c r="B71" t="s">
        <v>2457</v>
      </c>
      <c r="C71">
        <v>4.1248324413218594E-2</v>
      </c>
      <c r="D71">
        <v>-6.0215857830650144E-2</v>
      </c>
      <c r="E71">
        <v>-6.2619705864743053E-2</v>
      </c>
      <c r="F71">
        <v>-7.2968277189701225E-2</v>
      </c>
      <c r="G71">
        <v>-3.2090633591527903E-2</v>
      </c>
      <c r="H71">
        <v>0.23739440719570998</v>
      </c>
      <c r="I71">
        <v>2.3989079549481505E-2</v>
      </c>
    </row>
    <row r="72" spans="2:17" x14ac:dyDescent="0.25">
      <c r="B72" t="s">
        <v>2458</v>
      </c>
      <c r="C72">
        <v>-1.2923750164320704E-2</v>
      </c>
      <c r="D72">
        <v>4.6651090507425226E-2</v>
      </c>
      <c r="E72">
        <v>3.4054119984967816E-2</v>
      </c>
      <c r="F72">
        <v>2.383032401367215E-2</v>
      </c>
      <c r="G72">
        <v>-9.1244610724976541E-2</v>
      </c>
      <c r="H72">
        <v>-0.31679836952103313</v>
      </c>
      <c r="I72">
        <v>-0.54239920919936446</v>
      </c>
      <c r="J72">
        <v>-0.13143646985372989</v>
      </c>
    </row>
    <row r="73" spans="2:17" x14ac:dyDescent="0.25">
      <c r="B73" t="s">
        <v>2459</v>
      </c>
      <c r="C73">
        <v>1.2717838119461224E-2</v>
      </c>
      <c r="D73">
        <v>-5.8436461273199611E-2</v>
      </c>
      <c r="E73">
        <v>4.2105457022545534E-2</v>
      </c>
      <c r="F73">
        <v>-1.2491097013475838E-2</v>
      </c>
      <c r="G73">
        <v>-2.945963472691538E-2</v>
      </c>
      <c r="H73">
        <v>-0.11451841545592691</v>
      </c>
      <c r="I73">
        <v>0.12469306259894095</v>
      </c>
      <c r="J73">
        <v>7.2774355441448724E-2</v>
      </c>
      <c r="K73">
        <v>-5.4692752646338764E-3</v>
      </c>
    </row>
    <row r="74" spans="2:17" x14ac:dyDescent="0.25">
      <c r="B74" t="s">
        <v>1</v>
      </c>
      <c r="C74">
        <v>4.5361767446354083E-2</v>
      </c>
      <c r="D74">
        <v>2.1569617916924504E-2</v>
      </c>
      <c r="E74">
        <v>3.8381046068067387E-2</v>
      </c>
      <c r="F74">
        <v>-0.10880360656644317</v>
      </c>
      <c r="G74">
        <v>-9.5339241144023785E-4</v>
      </c>
      <c r="H74">
        <v>0.36162712818823783</v>
      </c>
      <c r="I74">
        <v>0.35632454555646992</v>
      </c>
      <c r="J74">
        <v>3.8031744782497774E-2</v>
      </c>
      <c r="K74">
        <v>-9.6997476351312381E-2</v>
      </c>
      <c r="L74">
        <v>7.8815248497914291E-3</v>
      </c>
    </row>
    <row r="75" spans="2:17" x14ac:dyDescent="0.25">
      <c r="B75" t="s">
        <v>2460</v>
      </c>
      <c r="C75">
        <v>3.21659884061163E-2</v>
      </c>
      <c r="D75">
        <v>3.1225472241886858E-2</v>
      </c>
      <c r="E75">
        <v>-3.1154976931381227E-2</v>
      </c>
      <c r="F75">
        <v>-3.3264482519874058E-2</v>
      </c>
      <c r="G75">
        <v>0.15876746803181341</v>
      </c>
      <c r="H75">
        <v>0.2349277390021835</v>
      </c>
      <c r="I75">
        <v>0.73261637374398314</v>
      </c>
      <c r="J75">
        <v>-1.8822649582534615E-2</v>
      </c>
      <c r="K75">
        <v>-0.47743098854717536</v>
      </c>
      <c r="L75">
        <v>4.3140645473445115E-2</v>
      </c>
      <c r="M75">
        <v>0.29876225168502479</v>
      </c>
    </row>
    <row r="77" spans="2:17" s="51" customFormat="1" ht="21" customHeight="1" x14ac:dyDescent="0.25">
      <c r="B77" s="53"/>
      <c r="C77" s="52"/>
      <c r="D77" s="52"/>
      <c r="E77" s="52"/>
      <c r="F77" s="52"/>
      <c r="G77" s="52"/>
      <c r="H77" s="52"/>
      <c r="I77" s="52"/>
      <c r="J77" s="52"/>
      <c r="K77" s="52"/>
      <c r="L77" s="52"/>
      <c r="M77" s="52"/>
      <c r="N77" s="52"/>
      <c r="O77" s="52"/>
      <c r="P77" s="52"/>
      <c r="Q77" s="52"/>
    </row>
    <row r="83" spans="12:17" x14ac:dyDescent="0.25">
      <c r="L83" s="75"/>
      <c r="M83" s="76"/>
      <c r="N83" s="76"/>
      <c r="O83" s="76"/>
      <c r="P83" s="76"/>
      <c r="Q83" s="76"/>
    </row>
    <row r="84" spans="12:17" x14ac:dyDescent="0.25">
      <c r="L84" s="76"/>
      <c r="M84" s="76"/>
      <c r="N84" s="76"/>
      <c r="O84" s="76"/>
      <c r="P84" s="76"/>
      <c r="Q84" s="76"/>
    </row>
    <row r="85" spans="12:17" x14ac:dyDescent="0.25">
      <c r="L85" s="76"/>
      <c r="M85" s="76"/>
      <c r="N85" s="76"/>
      <c r="O85" s="76"/>
      <c r="P85" s="76"/>
      <c r="Q85" s="76"/>
    </row>
    <row r="86" spans="12:17" x14ac:dyDescent="0.25">
      <c r="L86" s="76"/>
      <c r="M86" s="76"/>
      <c r="N86" s="76"/>
      <c r="O86" s="76"/>
      <c r="P86" s="76"/>
      <c r="Q86" s="76"/>
    </row>
    <row r="87" spans="12:17" x14ac:dyDescent="0.25">
      <c r="L87" s="76"/>
      <c r="M87" s="76"/>
      <c r="N87" s="76"/>
      <c r="O87" s="76"/>
      <c r="P87" s="76"/>
      <c r="Q87" s="76"/>
    </row>
    <row r="89" spans="12:17" x14ac:dyDescent="0.25">
      <c r="L89" s="10"/>
    </row>
    <row r="90" spans="12:17" x14ac:dyDescent="0.25">
      <c r="L90" s="10"/>
    </row>
    <row r="100" spans="12:17" x14ac:dyDescent="0.25">
      <c r="L100" s="75"/>
      <c r="M100" s="76"/>
      <c r="N100" s="76"/>
      <c r="O100" s="76"/>
      <c r="P100" s="76"/>
      <c r="Q100" s="76"/>
    </row>
    <row r="101" spans="12:17" x14ac:dyDescent="0.25">
      <c r="L101" s="76"/>
      <c r="M101" s="76"/>
      <c r="N101" s="76"/>
      <c r="O101" s="76"/>
      <c r="P101" s="76"/>
      <c r="Q101" s="76"/>
    </row>
    <row r="102" spans="12:17" x14ac:dyDescent="0.25">
      <c r="L102" s="76"/>
      <c r="M102" s="76"/>
      <c r="N102" s="76"/>
      <c r="O102" s="76"/>
      <c r="P102" s="76"/>
      <c r="Q102" s="76"/>
    </row>
    <row r="103" spans="12:17" x14ac:dyDescent="0.25">
      <c r="L103" s="76"/>
      <c r="M103" s="76"/>
      <c r="N103" s="76"/>
      <c r="O103" s="76"/>
      <c r="P103" s="76"/>
      <c r="Q103" s="76"/>
    </row>
    <row r="104" spans="12:17" ht="28.35" customHeight="1" x14ac:dyDescent="0.25">
      <c r="L104" s="76"/>
      <c r="M104" s="76"/>
      <c r="N104" s="76"/>
      <c r="O104" s="76"/>
      <c r="P104" s="76"/>
      <c r="Q104" s="76"/>
    </row>
    <row r="106" spans="12:17" x14ac:dyDescent="0.25">
      <c r="L106" s="10"/>
    </row>
    <row r="107" spans="12:17" x14ac:dyDescent="0.25">
      <c r="L107" s="10"/>
    </row>
  </sheetData>
  <mergeCells count="5">
    <mergeCell ref="L6:Q10"/>
    <mergeCell ref="L26:Q30"/>
    <mergeCell ref="L46:Q50"/>
    <mergeCell ref="L83:Q87"/>
    <mergeCell ref="L100:Q104"/>
  </mergeCells>
  <conditionalFormatting sqref="B62:M62">
    <cfRule type="colorScale" priority="2">
      <colorScale>
        <cfvo type="num" val="-1"/>
        <cfvo type="num" val="0"/>
        <cfvo type="num" val="1"/>
        <color rgb="FFFF0000"/>
        <color rgb="FFFFEB84"/>
        <color rgb="FFFF0000"/>
      </colorScale>
    </cfRule>
  </conditionalFormatting>
  <conditionalFormatting sqref="C64:N75">
    <cfRule type="colorScale" priority="1">
      <colorScale>
        <cfvo type="num" val="-1"/>
        <cfvo type="num" val="0"/>
        <cfvo type="num" val="1"/>
        <color rgb="FFC00000"/>
        <color rgb="FFFFEB84"/>
        <color rgb="FFC00000"/>
      </colorScale>
    </cfRule>
  </conditionalFormatting>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889B8-6E76-4A9E-A9CC-F9EB27811E8F}">
  <dimension ref="B2:T82"/>
  <sheetViews>
    <sheetView showGridLines="0" topLeftCell="A68" workbookViewId="0">
      <selection activeCell="J100" sqref="J100"/>
    </sheetView>
  </sheetViews>
  <sheetFormatPr baseColWidth="10" defaultRowHeight="15" x14ac:dyDescent="0.25"/>
  <cols>
    <col min="1" max="1" width="6.85546875" customWidth="1"/>
    <col min="10" max="10" width="13.140625" bestFit="1" customWidth="1"/>
    <col min="11" max="11" width="16.140625" customWidth="1"/>
    <col min="12" max="12" width="23.140625" customWidth="1"/>
    <col min="13" max="13" width="27.85546875" customWidth="1"/>
    <col min="16" max="16" width="11.5703125" bestFit="1" customWidth="1"/>
  </cols>
  <sheetData>
    <row r="2" spans="2:20" ht="21" customHeight="1" x14ac:dyDescent="0.25">
      <c r="B2" s="52" t="s">
        <v>2566</v>
      </c>
      <c r="C2" s="58"/>
      <c r="D2" s="58"/>
      <c r="E2" s="58"/>
      <c r="F2" s="58"/>
      <c r="G2" s="58"/>
      <c r="H2" s="58"/>
      <c r="I2" s="58"/>
      <c r="J2" s="58"/>
      <c r="K2" s="58"/>
      <c r="L2" s="58"/>
      <c r="M2" s="58"/>
      <c r="N2" s="58"/>
      <c r="O2" s="52"/>
      <c r="P2" s="52"/>
      <c r="Q2" s="52"/>
      <c r="R2" s="52"/>
      <c r="S2" s="52"/>
      <c r="T2" s="52"/>
    </row>
    <row r="4" spans="2:20" x14ac:dyDescent="0.25">
      <c r="O4" t="s">
        <v>2486</v>
      </c>
    </row>
    <row r="5" spans="2:20" x14ac:dyDescent="0.25">
      <c r="J5" s="61"/>
      <c r="K5" s="60" t="s">
        <v>2567</v>
      </c>
      <c r="L5" s="50" t="s">
        <v>2554</v>
      </c>
      <c r="M5" s="50" t="s">
        <v>2561</v>
      </c>
      <c r="O5" s="66" t="s">
        <v>2572</v>
      </c>
      <c r="P5" s="68"/>
      <c r="Q5" s="68"/>
      <c r="R5" s="68"/>
      <c r="S5" s="68"/>
      <c r="T5" s="68"/>
    </row>
    <row r="6" spans="2:20" x14ac:dyDescent="0.25">
      <c r="K6">
        <f>AVERAGE(Spotify[Paroles])</f>
        <v>0.12365572815533975</v>
      </c>
      <c r="L6" s="23" t="str" cm="1">
        <f t="array" ref="L6:L11">_xlfn.UNIQUE(Spotify[Genre])</f>
        <v>ROCK</v>
      </c>
      <c r="M6" s="23" cm="1">
        <f t="array" ref="M6">DEVSQ(_xlfn._xlws.FILTER(Spotify[Paroles],Spotify[Genre]=L6))</f>
        <v>5.6285473750000023E-2</v>
      </c>
      <c r="O6" s="68"/>
      <c r="P6" s="68"/>
      <c r="Q6" s="68"/>
      <c r="R6" s="68"/>
      <c r="S6" s="68"/>
      <c r="T6" s="68"/>
    </row>
    <row r="7" spans="2:20" x14ac:dyDescent="0.25">
      <c r="L7" s="23" t="str">
        <v>HIP HOP</v>
      </c>
      <c r="M7" s="23" cm="1">
        <f t="array" ref="M7">DEVSQ(_xlfn._xlws.FILTER(Spotify[Paroles],Spotify[Genre]=L7))</f>
        <v>4.7195977688737187</v>
      </c>
      <c r="O7" s="68"/>
      <c r="P7" s="68"/>
      <c r="Q7" s="68"/>
      <c r="R7" s="68"/>
      <c r="S7" s="68"/>
      <c r="T7" s="68"/>
    </row>
    <row r="8" spans="2:20" x14ac:dyDescent="0.25">
      <c r="L8" s="23" t="str">
        <v>POP</v>
      </c>
      <c r="M8" s="23" cm="1">
        <f t="array" ref="M8">DEVSQ(_xlfn._xlws.FILTER(Spotify[Paroles],Spotify[Genre]=L8))</f>
        <v>2.9881685781312122</v>
      </c>
      <c r="O8" s="68"/>
      <c r="P8" s="68"/>
      <c r="Q8" s="68"/>
      <c r="R8" s="68"/>
      <c r="S8" s="68"/>
      <c r="T8" s="68"/>
    </row>
    <row r="9" spans="2:20" x14ac:dyDescent="0.25">
      <c r="L9" s="23" t="str">
        <v>AUTRE</v>
      </c>
      <c r="M9" s="23" cm="1">
        <f t="array" ref="M9">DEVSQ(_xlfn._xlws.FILTER(Spotify[Paroles],Spotify[Genre]=L9))</f>
        <v>4.3241938513469362</v>
      </c>
      <c r="O9" s="68"/>
      <c r="P9" s="68"/>
      <c r="Q9" s="68"/>
      <c r="R9" s="68"/>
      <c r="S9" s="68"/>
      <c r="T9" s="68"/>
    </row>
    <row r="10" spans="2:20" x14ac:dyDescent="0.25">
      <c r="L10" s="23" t="str">
        <v>RAP</v>
      </c>
      <c r="M10" s="23" cm="1">
        <f t="array" ref="M10">DEVSQ(_xlfn._xlws.FILTER(Spotify[Paroles],Spotify[Genre]=L10))</f>
        <v>3.463219456504854</v>
      </c>
      <c r="O10" s="68"/>
      <c r="P10" s="68"/>
      <c r="Q10" s="68"/>
      <c r="R10" s="68"/>
      <c r="S10" s="68"/>
      <c r="T10" s="68"/>
    </row>
    <row r="11" spans="2:20" x14ac:dyDescent="0.25">
      <c r="L11" s="23" t="str">
        <v>COUNTRY</v>
      </c>
      <c r="M11" s="23" cm="1">
        <f t="array" ref="M11">DEVSQ(_xlfn._xlws.FILTER(Spotify[Paroles],Spotify[Genre]=L11))</f>
        <v>2.5659723076923071E-3</v>
      </c>
    </row>
    <row r="12" spans="2:20" x14ac:dyDescent="0.25">
      <c r="L12" s="50" t="s">
        <v>2563</v>
      </c>
      <c r="M12" s="57">
        <f>SUM(M6:M11)</f>
        <v>15.554031100914413</v>
      </c>
    </row>
    <row r="13" spans="2:20" x14ac:dyDescent="0.25">
      <c r="L13" s="50" t="s">
        <v>2560</v>
      </c>
      <c r="M13" s="57">
        <f>DEVSQ(Spotify[Paroles])</f>
        <v>18.812633571805879</v>
      </c>
    </row>
    <row r="14" spans="2:20" x14ac:dyDescent="0.25">
      <c r="L14" s="50" t="s">
        <v>2559</v>
      </c>
      <c r="M14" s="57">
        <f>M13-M12</f>
        <v>3.258602470891466</v>
      </c>
    </row>
    <row r="18" spans="2:20" x14ac:dyDescent="0.25">
      <c r="L18" s="50" t="s">
        <v>2558</v>
      </c>
      <c r="M18" s="23">
        <f>M14/M13</f>
        <v>0.1732135194391427</v>
      </c>
    </row>
    <row r="19" spans="2:20" x14ac:dyDescent="0.25">
      <c r="L19" s="50" t="s">
        <v>2569</v>
      </c>
      <c r="M19" s="23">
        <f>M14/5</f>
        <v>0.65172049417829325</v>
      </c>
    </row>
    <row r="20" spans="2:20" x14ac:dyDescent="0.25">
      <c r="L20" s="50" t="s">
        <v>2570</v>
      </c>
      <c r="M20" s="23">
        <f>M12/(ROWS(Spotify[Genre])-6)</f>
        <v>1.0034858774783492E-2</v>
      </c>
    </row>
    <row r="21" spans="2:20" x14ac:dyDescent="0.25">
      <c r="L21" s="50" t="s">
        <v>2571</v>
      </c>
      <c r="M21" s="23">
        <f>M19/M20</f>
        <v>64.945656815419866</v>
      </c>
    </row>
    <row r="23" spans="2:20" ht="21" customHeight="1" x14ac:dyDescent="0.25">
      <c r="B23" s="52" t="s">
        <v>2565</v>
      </c>
      <c r="C23" s="52"/>
      <c r="D23" s="52"/>
      <c r="E23" s="52"/>
      <c r="F23" s="52"/>
      <c r="G23" s="52"/>
      <c r="H23" s="52"/>
      <c r="I23" s="52"/>
      <c r="J23" s="52"/>
      <c r="K23" s="52"/>
      <c r="L23" s="52"/>
      <c r="M23" s="52"/>
      <c r="N23" s="52"/>
      <c r="O23" s="52"/>
      <c r="P23" s="52"/>
      <c r="Q23" s="52"/>
      <c r="R23" s="52"/>
      <c r="S23" s="52"/>
      <c r="T23" s="52"/>
    </row>
    <row r="25" spans="2:20" x14ac:dyDescent="0.25">
      <c r="L25" s="50" t="s">
        <v>2554</v>
      </c>
      <c r="M25" s="50" t="s">
        <v>2561</v>
      </c>
      <c r="O25" t="s">
        <v>2486</v>
      </c>
    </row>
    <row r="26" spans="2:20" x14ac:dyDescent="0.25">
      <c r="L26" s="23" t="str" cm="1">
        <f t="array" ref="L26:L31">_xlfn.UNIQUE(Spotify[Genre])</f>
        <v>ROCK</v>
      </c>
      <c r="M26" s="23" cm="1">
        <f t="array" ref="M26">DEVSQ(_xlfn._xlws.FILTER(Spotify[Followers],Spotify[Genre]=L26))</f>
        <v>5989222718166510</v>
      </c>
      <c r="O26" s="66" t="s">
        <v>2575</v>
      </c>
      <c r="P26" s="68"/>
      <c r="Q26" s="68"/>
      <c r="R26" s="68"/>
      <c r="S26" s="68"/>
      <c r="T26" s="68"/>
    </row>
    <row r="27" spans="2:20" x14ac:dyDescent="0.25">
      <c r="L27" s="23" t="str">
        <v>HIP HOP</v>
      </c>
      <c r="M27" s="23" cm="1">
        <f t="array" ref="M27">DEVSQ(_xlfn._xlws.FILTER(Spotify[Followers],Spotify[Genre]=L27))</f>
        <v>8.1981860829311632E+16</v>
      </c>
      <c r="O27" s="68"/>
      <c r="P27" s="68"/>
      <c r="Q27" s="68"/>
      <c r="R27" s="68"/>
      <c r="S27" s="68"/>
      <c r="T27" s="68"/>
    </row>
    <row r="28" spans="2:20" x14ac:dyDescent="0.25">
      <c r="L28" s="23" t="str">
        <v>POP</v>
      </c>
      <c r="M28" s="23" cm="1">
        <f t="array" ref="M28">DEVSQ(_xlfn._xlws.FILTER(Spotify[Followers],Spotify[Genre]=L28))</f>
        <v>1.9435249785577898E+17</v>
      </c>
      <c r="O28" s="68"/>
      <c r="P28" s="68"/>
      <c r="Q28" s="68"/>
      <c r="R28" s="68"/>
      <c r="S28" s="68"/>
      <c r="T28" s="68"/>
    </row>
    <row r="29" spans="2:20" x14ac:dyDescent="0.25">
      <c r="L29" s="23" t="str">
        <v>AUTRE</v>
      </c>
      <c r="M29" s="23" cm="1">
        <f t="array" ref="M29">DEVSQ(_xlfn._xlws.FILTER(Spotify[Followers],Spotify[Genre]=L29))</f>
        <v>8.388664714201248E+16</v>
      </c>
      <c r="O29" s="68"/>
      <c r="P29" s="68"/>
      <c r="Q29" s="68"/>
      <c r="R29" s="68"/>
      <c r="S29" s="68"/>
      <c r="T29" s="68"/>
    </row>
    <row r="30" spans="2:20" x14ac:dyDescent="0.25">
      <c r="L30" s="23" t="str">
        <v>RAP</v>
      </c>
      <c r="M30" s="23" cm="1">
        <f t="array" ref="M30">DEVSQ(_xlfn._xlws.FILTER(Spotify[Followers],Spotify[Genre]=L30))</f>
        <v>1.7909419592328554E+16</v>
      </c>
      <c r="O30" s="68"/>
      <c r="P30" s="68"/>
      <c r="Q30" s="68"/>
      <c r="R30" s="68"/>
      <c r="S30" s="68"/>
      <c r="T30" s="68"/>
    </row>
    <row r="31" spans="2:20" x14ac:dyDescent="0.25">
      <c r="L31" s="23" t="str">
        <v>COUNTRY</v>
      </c>
      <c r="M31" s="23" cm="1">
        <f t="array" ref="M31">DEVSQ(_xlfn._xlws.FILTER(Spotify[Followers],Spotify[Genre]=L31))</f>
        <v>17334500778424.764</v>
      </c>
      <c r="O31" s="68"/>
      <c r="P31" s="68"/>
      <c r="Q31" s="68"/>
      <c r="R31" s="68"/>
      <c r="S31" s="68"/>
      <c r="T31" s="68"/>
    </row>
    <row r="32" spans="2:20" x14ac:dyDescent="0.25">
      <c r="L32" s="50" t="s">
        <v>2563</v>
      </c>
      <c r="M32" s="57">
        <f>SUM(M26:M31)</f>
        <v>3.8413698263837664E+17</v>
      </c>
    </row>
    <row r="33" spans="2:20" x14ac:dyDescent="0.25">
      <c r="L33" s="50" t="s">
        <v>2560</v>
      </c>
      <c r="M33" s="23">
        <f>DEVSQ(Spotify[Followers])</f>
        <v>4.2935848827734157E+17</v>
      </c>
    </row>
    <row r="34" spans="2:20" x14ac:dyDescent="0.25">
      <c r="L34" s="50" t="s">
        <v>2559</v>
      </c>
      <c r="M34" s="23">
        <f>M33-M32</f>
        <v>4.5221505638964928E+16</v>
      </c>
    </row>
    <row r="38" spans="2:20" x14ac:dyDescent="0.25">
      <c r="L38" s="50" t="s">
        <v>2558</v>
      </c>
      <c r="M38" s="23">
        <f>M34/M33</f>
        <v>0.10532342290564981</v>
      </c>
    </row>
    <row r="39" spans="2:20" x14ac:dyDescent="0.25">
      <c r="L39" s="50" t="s">
        <v>2569</v>
      </c>
      <c r="M39" s="23">
        <f>M34/5</f>
        <v>9044301127792986</v>
      </c>
    </row>
    <row r="40" spans="2:20" x14ac:dyDescent="0.25">
      <c r="L40" s="50" t="s">
        <v>2570</v>
      </c>
      <c r="M40" s="23">
        <f xml:space="preserve"> M32/(ROWS(Spotify[Genre])-6)</f>
        <v>247830311379597.84</v>
      </c>
    </row>
    <row r="41" spans="2:20" x14ac:dyDescent="0.25">
      <c r="L41" s="50" t="s">
        <v>2568</v>
      </c>
      <c r="M41" s="23">
        <f>M39/M40</f>
        <v>36.493926337928741</v>
      </c>
    </row>
    <row r="43" spans="2:20" ht="21" customHeight="1" x14ac:dyDescent="0.25">
      <c r="B43" s="52" t="s">
        <v>2564</v>
      </c>
      <c r="C43" s="58"/>
      <c r="D43" s="58"/>
      <c r="E43" s="58"/>
      <c r="F43" s="58"/>
      <c r="G43" s="58"/>
      <c r="H43" s="58"/>
      <c r="I43" s="58"/>
      <c r="J43" s="58"/>
      <c r="K43" s="58"/>
      <c r="L43" s="58"/>
      <c r="M43" s="58"/>
      <c r="N43" s="58"/>
      <c r="O43" s="52"/>
      <c r="P43" s="52"/>
      <c r="Q43" s="52"/>
      <c r="R43" s="52"/>
      <c r="S43" s="52"/>
      <c r="T43" s="52"/>
    </row>
    <row r="45" spans="2:20" x14ac:dyDescent="0.25">
      <c r="O45" t="s">
        <v>2486</v>
      </c>
    </row>
    <row r="46" spans="2:20" x14ac:dyDescent="0.25">
      <c r="L46" s="50" t="s">
        <v>2554</v>
      </c>
      <c r="M46" s="50" t="s">
        <v>2561</v>
      </c>
      <c r="O46" s="66" t="s">
        <v>2576</v>
      </c>
      <c r="P46" s="68"/>
      <c r="Q46" s="68"/>
      <c r="R46" s="68"/>
      <c r="S46" s="68"/>
      <c r="T46" s="68"/>
    </row>
    <row r="47" spans="2:20" x14ac:dyDescent="0.25">
      <c r="L47" s="62" t="str" cm="1">
        <f t="array" ref="L47:L52">_xlfn.UNIQUE(Spotify[Genre])</f>
        <v>ROCK</v>
      </c>
      <c r="M47" s="62" cm="1">
        <f t="array" ref="M47">DEVSQ(_xlfn._xlws.FILTER(Spotify[Ecoutes],Spotify[Genre]=L47))</f>
        <v>2179359203757241.3</v>
      </c>
      <c r="O47" s="66"/>
      <c r="P47" s="68"/>
      <c r="Q47" s="68"/>
      <c r="R47" s="68"/>
      <c r="S47" s="68"/>
      <c r="T47" s="68"/>
    </row>
    <row r="48" spans="2:20" x14ac:dyDescent="0.25">
      <c r="L48" s="23" t="str">
        <v>HIP HOP</v>
      </c>
      <c r="M48" s="62" cm="1">
        <f t="array" ref="M48">DEVSQ(_xlfn._xlws.FILTER(Spotify[Ecoutes],Spotify[Genre]=L48))</f>
        <v>4049266279808475</v>
      </c>
      <c r="O48" s="68"/>
      <c r="P48" s="68"/>
      <c r="Q48" s="68"/>
      <c r="R48" s="68"/>
      <c r="S48" s="68"/>
      <c r="T48" s="68"/>
    </row>
    <row r="49" spans="2:20" x14ac:dyDescent="0.25">
      <c r="L49" s="23" t="str">
        <v>POP</v>
      </c>
      <c r="M49" s="62" cm="1">
        <f t="array" ref="M49">DEVSQ(_xlfn._xlws.FILTER(Spotify[Ecoutes],Spotify[Genre]=L49))</f>
        <v>7573168586834308</v>
      </c>
      <c r="O49" s="68"/>
      <c r="P49" s="68"/>
      <c r="Q49" s="68"/>
      <c r="R49" s="68"/>
      <c r="S49" s="68"/>
      <c r="T49" s="68"/>
    </row>
    <row r="50" spans="2:20" x14ac:dyDescent="0.25">
      <c r="L50" s="23" t="str">
        <v>AUTRE</v>
      </c>
      <c r="M50" s="62" cm="1">
        <f t="array" ref="M50">DEVSQ(_xlfn._xlws.FILTER(Spotify[Ecoutes],Spotify[Genre]=L50))</f>
        <v>3002941575633833.5</v>
      </c>
      <c r="O50" s="68"/>
      <c r="P50" s="68"/>
      <c r="Q50" s="68"/>
      <c r="R50" s="68"/>
      <c r="S50" s="68"/>
      <c r="T50" s="68"/>
    </row>
    <row r="51" spans="2:20" x14ac:dyDescent="0.25">
      <c r="L51" s="23" t="str">
        <v>RAP</v>
      </c>
      <c r="M51" s="62" cm="1">
        <f t="array" ref="M51">DEVSQ(_xlfn._xlws.FILTER(Spotify[Ecoutes],Spotify[Genre]=L51))</f>
        <v>578625533275732.25</v>
      </c>
      <c r="O51" s="68"/>
      <c r="P51" s="68"/>
      <c r="Q51" s="68"/>
      <c r="R51" s="68"/>
      <c r="S51" s="68"/>
      <c r="T51" s="68"/>
    </row>
    <row r="52" spans="2:20" x14ac:dyDescent="0.25">
      <c r="L52" s="23" t="str">
        <v>COUNTRY</v>
      </c>
      <c r="M52" s="62" cm="1">
        <f t="array" ref="M52">DEVSQ(_xlfn._xlws.FILTER(Spotify[Ecoutes],Spotify[Genre]=L52))</f>
        <v>16946239759723.693</v>
      </c>
    </row>
    <row r="53" spans="2:20" x14ac:dyDescent="0.25">
      <c r="L53" s="50" t="s">
        <v>2563</v>
      </c>
      <c r="M53" s="57">
        <f>SUM(M47:M52)</f>
        <v>1.7400307419069314E+16</v>
      </c>
    </row>
    <row r="54" spans="2:20" x14ac:dyDescent="0.25">
      <c r="L54" s="50" t="s">
        <v>2560</v>
      </c>
      <c r="M54" s="23">
        <f>DEVSQ(Spotify[Ecoutes])</f>
        <v>1.7654517815927282E+16</v>
      </c>
    </row>
    <row r="55" spans="2:20" x14ac:dyDescent="0.25">
      <c r="L55" s="50" t="s">
        <v>2559</v>
      </c>
      <c r="M55" s="23">
        <f>M54-M53</f>
        <v>254210396857968</v>
      </c>
    </row>
    <row r="59" spans="2:20" x14ac:dyDescent="0.25">
      <c r="L59" s="50" t="s">
        <v>2558</v>
      </c>
      <c r="M59" s="23">
        <f>M55/M54</f>
        <v>1.4399169635130356E-2</v>
      </c>
    </row>
    <row r="60" spans="2:20" x14ac:dyDescent="0.25">
      <c r="L60" s="50" t="s">
        <v>2569</v>
      </c>
      <c r="M60" s="23">
        <f>M55/5</f>
        <v>50842079371593.602</v>
      </c>
    </row>
    <row r="61" spans="2:20" x14ac:dyDescent="0.25">
      <c r="L61" s="50" t="s">
        <v>2570</v>
      </c>
      <c r="M61" s="63">
        <f>M53/ROWS(Spotify[Genre])-6</f>
        <v>11182716850295.615</v>
      </c>
    </row>
    <row r="62" spans="2:20" x14ac:dyDescent="0.25">
      <c r="L62" s="50" t="s">
        <v>2568</v>
      </c>
      <c r="M62" s="63">
        <f>M60/M61</f>
        <v>4.5464872313430336</v>
      </c>
    </row>
    <row r="64" spans="2:20" ht="21" customHeight="1" x14ac:dyDescent="0.25">
      <c r="B64" s="52" t="s">
        <v>2562</v>
      </c>
      <c r="C64" s="58"/>
      <c r="D64" s="58"/>
      <c r="E64" s="58"/>
      <c r="F64" s="58"/>
      <c r="G64" s="58"/>
      <c r="H64" s="58"/>
      <c r="I64" s="58"/>
      <c r="J64" s="58"/>
      <c r="K64" s="58"/>
      <c r="L64" s="58"/>
      <c r="M64" s="58"/>
      <c r="N64" s="58"/>
      <c r="O64" s="58"/>
      <c r="P64" s="58"/>
      <c r="Q64" s="58"/>
      <c r="R64" s="58"/>
      <c r="S64" s="58"/>
      <c r="T64" s="58"/>
    </row>
    <row r="67" spans="12:20" x14ac:dyDescent="0.25">
      <c r="L67" s="50" t="s">
        <v>2554</v>
      </c>
      <c r="M67" s="50" t="s">
        <v>2561</v>
      </c>
      <c r="O67" t="s">
        <v>2486</v>
      </c>
    </row>
    <row r="68" spans="12:20" x14ac:dyDescent="0.25">
      <c r="L68" s="23" t="s">
        <v>2573</v>
      </c>
      <c r="M68" s="23" cm="1">
        <f t="array" ref="M68">DEVSQ(_xlfn._xlws.FILTER(Spotify[Acousticité],Spotify[Energie Forte]=L68))</f>
        <v>22.561126126611864</v>
      </c>
      <c r="O68" s="66" t="s">
        <v>2577</v>
      </c>
      <c r="P68" s="68"/>
      <c r="Q68" s="68"/>
      <c r="R68" s="68"/>
      <c r="S68" s="68"/>
      <c r="T68" s="68"/>
    </row>
    <row r="69" spans="12:20" x14ac:dyDescent="0.25">
      <c r="L69" s="23" t="s">
        <v>2574</v>
      </c>
      <c r="M69" s="23" cm="1">
        <f t="array" ref="M69">DEVSQ(_xlfn._xlws.FILTER(Spotify[Acousticité],Spotify[Energie Forte]=L69))</f>
        <v>61.321240455627816</v>
      </c>
      <c r="O69" s="68"/>
      <c r="P69" s="68"/>
      <c r="Q69" s="68"/>
      <c r="R69" s="68"/>
      <c r="S69" s="68"/>
      <c r="T69" s="68"/>
    </row>
    <row r="70" spans="12:20" x14ac:dyDescent="0.25">
      <c r="L70" s="50" t="s">
        <v>2563</v>
      </c>
      <c r="M70" s="57">
        <f>SUM(M68:M69)</f>
        <v>83.882366582239683</v>
      </c>
      <c r="O70" s="68"/>
      <c r="P70" s="68"/>
      <c r="Q70" s="68"/>
      <c r="R70" s="68"/>
      <c r="S70" s="68"/>
      <c r="T70" s="68"/>
    </row>
    <row r="71" spans="12:20" x14ac:dyDescent="0.25">
      <c r="L71" s="50" t="s">
        <v>2560</v>
      </c>
      <c r="M71" s="23">
        <f>DEVSQ(Spotify[Acousticité])</f>
        <v>96.75175511881595</v>
      </c>
      <c r="O71" s="68"/>
      <c r="P71" s="68"/>
      <c r="Q71" s="68"/>
      <c r="R71" s="68"/>
      <c r="S71" s="68"/>
      <c r="T71" s="68"/>
    </row>
    <row r="72" spans="12:20" x14ac:dyDescent="0.25">
      <c r="L72" s="50" t="s">
        <v>2559</v>
      </c>
      <c r="M72" s="23">
        <f>M71-M70</f>
        <v>12.869388536576267</v>
      </c>
      <c r="O72" s="68"/>
      <c r="P72" s="68"/>
      <c r="Q72" s="68"/>
      <c r="R72" s="68"/>
      <c r="S72" s="68"/>
      <c r="T72" s="68"/>
    </row>
    <row r="79" spans="12:20" x14ac:dyDescent="0.25">
      <c r="L79" s="50" t="s">
        <v>2558</v>
      </c>
      <c r="M79" s="23">
        <f>M72/M71</f>
        <v>0.13301452279363843</v>
      </c>
    </row>
    <row r="80" spans="12:20" x14ac:dyDescent="0.25">
      <c r="L80" s="50" t="s">
        <v>2569</v>
      </c>
      <c r="M80" s="23">
        <f>M72/(2-1)</f>
        <v>12.869388536576267</v>
      </c>
    </row>
    <row r="81" spans="12:13" x14ac:dyDescent="0.25">
      <c r="L81" s="50" t="s">
        <v>2570</v>
      </c>
      <c r="M81" s="23">
        <f>M70/(ROWS(Spotify[Energie Forte])-2)</f>
        <v>5.3978356874028112E-2</v>
      </c>
    </row>
    <row r="82" spans="12:13" x14ac:dyDescent="0.25">
      <c r="L82" s="50" t="s">
        <v>2568</v>
      </c>
      <c r="M82" s="23">
        <f>M80/M81</f>
        <v>238.41756737075525</v>
      </c>
    </row>
  </sheetData>
  <mergeCells count="4">
    <mergeCell ref="O5:T10"/>
    <mergeCell ref="O26:T31"/>
    <mergeCell ref="O46:T51"/>
    <mergeCell ref="O68:T72"/>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A0D89-6F42-402B-9977-EE124DE4FE92}">
  <dimension ref="B1:N61"/>
  <sheetViews>
    <sheetView tabSelected="1" topLeftCell="A30" workbookViewId="0">
      <selection activeCell="B56" sqref="B56:G60"/>
    </sheetView>
  </sheetViews>
  <sheetFormatPr baseColWidth="10" defaultRowHeight="15" outlineLevelRow="1" x14ac:dyDescent="0.25"/>
  <cols>
    <col min="2" max="2" width="21" bestFit="1" customWidth="1"/>
    <col min="3" max="3" width="23.85546875" bestFit="1" customWidth="1"/>
    <col min="4" max="4" width="6.5703125" bestFit="1" customWidth="1"/>
    <col min="5" max="5" width="12.5703125" bestFit="1" customWidth="1"/>
    <col min="8" max="8" width="22.5703125" bestFit="1" customWidth="1"/>
  </cols>
  <sheetData>
    <row r="1" spans="2:14" ht="20.100000000000001" customHeight="1" x14ac:dyDescent="0.25">
      <c r="B1" s="52" t="s">
        <v>2578</v>
      </c>
      <c r="C1" s="58"/>
      <c r="D1" s="58"/>
      <c r="E1" s="58"/>
      <c r="F1" s="58"/>
      <c r="G1" s="58"/>
      <c r="H1" s="58"/>
      <c r="I1" s="58"/>
      <c r="J1" s="58"/>
      <c r="K1" s="58"/>
      <c r="L1" s="58"/>
      <c r="M1" s="58"/>
      <c r="N1" s="58"/>
    </row>
    <row r="2" spans="2:14" outlineLevel="1" x14ac:dyDescent="0.25">
      <c r="B2" s="34" t="s">
        <v>2586</v>
      </c>
      <c r="C2" s="34" t="s">
        <v>2585</v>
      </c>
    </row>
    <row r="3" spans="2:14" outlineLevel="1" x14ac:dyDescent="0.25">
      <c r="B3" s="34" t="s">
        <v>2514</v>
      </c>
      <c r="C3" t="s">
        <v>2574</v>
      </c>
      <c r="D3" t="s">
        <v>2573</v>
      </c>
      <c r="E3" t="s">
        <v>2511</v>
      </c>
    </row>
    <row r="4" spans="2:14" outlineLevel="1" x14ac:dyDescent="0.25">
      <c r="B4" s="33" t="s">
        <v>2580</v>
      </c>
      <c r="C4" s="78">
        <v>208</v>
      </c>
      <c r="D4" s="78">
        <v>293</v>
      </c>
      <c r="E4" s="78">
        <v>501</v>
      </c>
    </row>
    <row r="5" spans="2:14" outlineLevel="1" x14ac:dyDescent="0.25">
      <c r="B5" s="33" t="s">
        <v>2581</v>
      </c>
      <c r="C5" s="78">
        <v>2</v>
      </c>
      <c r="D5" s="78">
        <v>11</v>
      </c>
      <c r="E5" s="78">
        <v>13</v>
      </c>
    </row>
    <row r="6" spans="2:14" outlineLevel="1" x14ac:dyDescent="0.25">
      <c r="B6" s="33" t="s">
        <v>2582</v>
      </c>
      <c r="C6" s="78">
        <v>149</v>
      </c>
      <c r="D6" s="78">
        <v>144</v>
      </c>
      <c r="E6" s="78">
        <v>293</v>
      </c>
    </row>
    <row r="7" spans="2:14" outlineLevel="1" x14ac:dyDescent="0.25">
      <c r="B7" s="33" t="s">
        <v>2142</v>
      </c>
      <c r="C7" s="78">
        <v>158</v>
      </c>
      <c r="D7" s="78">
        <v>345</v>
      </c>
      <c r="E7" s="78">
        <v>503</v>
      </c>
    </row>
    <row r="8" spans="2:14" outlineLevel="1" x14ac:dyDescent="0.25">
      <c r="B8" s="33" t="s">
        <v>2583</v>
      </c>
      <c r="C8" s="78">
        <v>75</v>
      </c>
      <c r="D8" s="78">
        <v>131</v>
      </c>
      <c r="E8" s="78">
        <v>206</v>
      </c>
    </row>
    <row r="9" spans="2:14" outlineLevel="1" x14ac:dyDescent="0.25">
      <c r="B9" s="33" t="s">
        <v>2584</v>
      </c>
      <c r="C9" s="78">
        <v>9</v>
      </c>
      <c r="D9" s="78">
        <v>31</v>
      </c>
      <c r="E9" s="78">
        <v>40</v>
      </c>
    </row>
    <row r="10" spans="2:14" outlineLevel="1" x14ac:dyDescent="0.25">
      <c r="B10" s="33" t="s">
        <v>2511</v>
      </c>
      <c r="C10" s="78">
        <v>601</v>
      </c>
      <c r="D10" s="78">
        <v>955</v>
      </c>
      <c r="E10" s="78">
        <v>1556</v>
      </c>
      <c r="G10" s="79" t="s">
        <v>2587</v>
      </c>
      <c r="H10">
        <f>((GETPIVOTDATA("Chanson",$B$2,"Genre","AUTRE","popularité forte","FAIBLE")-C15)^2/C15)+((GETPIVOTDATA("Chanson",$B$2,"Genre","COUNTRY","popularité forte","FAIBLE")-C16)^2/C16)+((GETPIVOTDATA("Chanson",$B$2,"Genre","HIP HOP","popularité forte","FAIBLE")-C17)^2/C17)+((GETPIVOTDATA("Chanson",$B$2,"Genre","POP","popularité forte","FAIBLE")-C18)^2/C18)+((GETPIVOTDATA("Chanson",$B$2,"Genre","RAP","popularité forte","FAIBLE")-C19)^2/C19)+((GETPIVOTDATA("Chanson",$B$2,"Genre","ROCK","popularité forte","FAIBLE")-C20)^2/C20)+((GETPIVOTDATA("Chanson",$B$2,"Genre","AUTRE","popularité forte","FORTE")-D15)^2/D15)+((GETPIVOTDATA("Chanson",$B$2,"Genre","COUNTRY","popularité forte","FORTE")-D16)^2/D16)+((GETPIVOTDATA("Chanson",$B$2,"Genre","HIP HOP","popularité forte","FORTE")-D17)^2/D17)+((GETPIVOTDATA("Chanson",$B$2,"Genre","POP","popularité forte","FORTE")-D18)^2/D18)+((GETPIVOTDATA("Chanson",$B$2,"Genre","RAP","popularité forte","FORTE")-D19)^2/D19)+((GETPIVOTDATA("Chanson",$B$2,"Genre","ROCK","popularité forte","FORTE")-D20)^2/D20)</f>
        <v>39.066185295865182</v>
      </c>
    </row>
    <row r="11" spans="2:14" outlineLevel="1" x14ac:dyDescent="0.25">
      <c r="C11">
        <f>GETPIVOTDATA("Chanson",$B$2,"popularité forte","FAIBLE")/GETPIVOTDATA("Chanson",$B$2)</f>
        <v>0.38624678663239076</v>
      </c>
      <c r="D11">
        <f>GETPIVOTDATA("Chanson",$B$2,"popularité forte","FORTE")/GETPIVOTDATA("Chanson",$B$2)</f>
        <v>0.61375321336760924</v>
      </c>
      <c r="G11" s="79" t="s">
        <v>2588</v>
      </c>
      <c r="H11" s="80">
        <f>_xlfn.CHISQ.TEST(C4:D9,C15:D20)</f>
        <v>2.3030921136377699E-7</v>
      </c>
    </row>
    <row r="12" spans="2:14" outlineLevel="1" x14ac:dyDescent="0.25"/>
    <row r="13" spans="2:14" outlineLevel="1" x14ac:dyDescent="0.25"/>
    <row r="14" spans="2:14" outlineLevel="1" x14ac:dyDescent="0.25">
      <c r="B14" s="77" t="s">
        <v>2514</v>
      </c>
      <c r="C14" s="77" t="s">
        <v>2574</v>
      </c>
      <c r="D14" s="77" t="s">
        <v>2573</v>
      </c>
      <c r="E14" s="77" t="s">
        <v>2511</v>
      </c>
    </row>
    <row r="15" spans="2:14" outlineLevel="1" x14ac:dyDescent="0.25">
      <c r="B15" s="33" t="s">
        <v>2580</v>
      </c>
      <c r="C15" s="78">
        <f>GETPIVOTDATA("Chanson",$B$2,"Genre","AUTRE")*$C$11</f>
        <v>193.50964010282777</v>
      </c>
      <c r="D15" s="78">
        <f>GETPIVOTDATA("Chanson",$B$2,"Genre","AUTRE")*D11</f>
        <v>307.49035989717225</v>
      </c>
      <c r="E15" s="78">
        <v>501</v>
      </c>
    </row>
    <row r="16" spans="2:14" outlineLevel="1" x14ac:dyDescent="0.25">
      <c r="B16" s="33" t="s">
        <v>2581</v>
      </c>
      <c r="C16" s="78">
        <f>GETPIVOTDATA("Chanson",$B$2,"Genre","COUNTRY")*C11</f>
        <v>5.0212082262210798</v>
      </c>
      <c r="D16" s="78">
        <f>GETPIVOTDATA("Chanson",$B$2,"Genre","COUNTRY")*D11</f>
        <v>7.9787917737789202</v>
      </c>
      <c r="E16" s="78">
        <v>13</v>
      </c>
    </row>
    <row r="17" spans="2:14" outlineLevel="1" x14ac:dyDescent="0.25">
      <c r="B17" s="33" t="s">
        <v>2582</v>
      </c>
      <c r="C17" s="78">
        <f>GETPIVOTDATA("Chanson",$B$2,"Genre","HIP HOP")*C11</f>
        <v>113.1703084832905</v>
      </c>
      <c r="D17" s="78">
        <f>GETPIVOTDATA("Chanson",$B$2,"Genre","HIP HOP")*D11</f>
        <v>179.82969151670952</v>
      </c>
      <c r="E17" s="78">
        <v>293</v>
      </c>
    </row>
    <row r="18" spans="2:14" outlineLevel="1" x14ac:dyDescent="0.25">
      <c r="B18" s="33" t="s">
        <v>2142</v>
      </c>
      <c r="C18" s="78">
        <f>GETPIVOTDATA("Chanson",$B$2,"Genre","POP")*C11</f>
        <v>194.28213367609254</v>
      </c>
      <c r="D18" s="78">
        <f>GETPIVOTDATA("Chanson",$B$2,"Genre","POP")*D11</f>
        <v>308.71786632390746</v>
      </c>
      <c r="E18" s="78">
        <v>503</v>
      </c>
    </row>
    <row r="19" spans="2:14" outlineLevel="1" x14ac:dyDescent="0.25">
      <c r="B19" s="33" t="s">
        <v>2583</v>
      </c>
      <c r="C19" s="78">
        <f>GETPIVOTDATA("Chanson",$B$2,"Genre","RAP")*C11</f>
        <v>79.566838046272494</v>
      </c>
      <c r="D19" s="78">
        <f>GETPIVOTDATA("Chanson",$B$2,"Genre","RAP")*D11</f>
        <v>126.43316195372751</v>
      </c>
      <c r="E19" s="78">
        <v>206</v>
      </c>
    </row>
    <row r="20" spans="2:14" outlineLevel="1" x14ac:dyDescent="0.25">
      <c r="B20" s="33" t="s">
        <v>2584</v>
      </c>
      <c r="C20" s="78">
        <f>GETPIVOTDATA("Chanson",$B$2,"Genre","ROCK")*C11</f>
        <v>15.449871465295629</v>
      </c>
      <c r="D20" s="78">
        <f>GETPIVOTDATA("Chanson",$B$2,"Genre","ROCK")*D11</f>
        <v>24.550128534704371</v>
      </c>
      <c r="E20" s="78">
        <v>40</v>
      </c>
    </row>
    <row r="21" spans="2:14" outlineLevel="1" x14ac:dyDescent="0.25">
      <c r="B21" s="33" t="s">
        <v>2589</v>
      </c>
      <c r="C21">
        <f>SUM(C15:C20)</f>
        <v>601</v>
      </c>
      <c r="D21">
        <f t="shared" ref="D21:E21" si="0">SUM(D15:D20)</f>
        <v>955.00000000000011</v>
      </c>
      <c r="E21">
        <f t="shared" si="0"/>
        <v>1556</v>
      </c>
    </row>
    <row r="22" spans="2:14" outlineLevel="1" x14ac:dyDescent="0.25"/>
    <row r="23" spans="2:14" outlineLevel="1" x14ac:dyDescent="0.25"/>
    <row r="24" spans="2:14" outlineLevel="1" x14ac:dyDescent="0.25"/>
    <row r="25" spans="2:14" outlineLevel="1" x14ac:dyDescent="0.25">
      <c r="B25" t="s">
        <v>2486</v>
      </c>
    </row>
    <row r="26" spans="2:14" outlineLevel="1" x14ac:dyDescent="0.25">
      <c r="B26" s="66" t="s">
        <v>2590</v>
      </c>
      <c r="C26" s="68"/>
      <c r="D26" s="68"/>
      <c r="E26" s="68"/>
      <c r="F26" s="68"/>
      <c r="G26" s="68"/>
    </row>
    <row r="27" spans="2:14" outlineLevel="1" x14ac:dyDescent="0.25">
      <c r="B27" s="68"/>
      <c r="C27" s="68"/>
      <c r="D27" s="68"/>
      <c r="E27" s="68"/>
      <c r="F27" s="68"/>
      <c r="G27" s="68"/>
    </row>
    <row r="28" spans="2:14" outlineLevel="1" x14ac:dyDescent="0.25">
      <c r="B28" s="68"/>
      <c r="C28" s="68"/>
      <c r="D28" s="68"/>
      <c r="E28" s="68"/>
      <c r="F28" s="68"/>
      <c r="G28" s="68"/>
    </row>
    <row r="29" spans="2:14" outlineLevel="1" x14ac:dyDescent="0.25">
      <c r="B29" s="68"/>
      <c r="C29" s="68"/>
      <c r="D29" s="68"/>
      <c r="E29" s="68"/>
      <c r="F29" s="68"/>
      <c r="G29" s="68"/>
    </row>
    <row r="30" spans="2:14" ht="28.5" customHeight="1" outlineLevel="1" x14ac:dyDescent="0.25">
      <c r="B30" s="68"/>
      <c r="C30" s="68"/>
      <c r="D30" s="68"/>
      <c r="E30" s="68"/>
      <c r="F30" s="68"/>
      <c r="G30" s="68"/>
    </row>
    <row r="32" spans="2:14" ht="20.100000000000001" customHeight="1" x14ac:dyDescent="0.25">
      <c r="B32" s="52" t="s">
        <v>2579</v>
      </c>
      <c r="C32" s="58"/>
      <c r="D32" s="58"/>
      <c r="E32" s="58"/>
      <c r="F32" s="58"/>
      <c r="G32" s="58"/>
      <c r="H32" s="58"/>
      <c r="I32" s="58"/>
      <c r="J32" s="58"/>
      <c r="K32" s="58"/>
      <c r="L32" s="58"/>
      <c r="M32" s="58"/>
      <c r="N32" s="58"/>
    </row>
    <row r="33" spans="2:5" outlineLevel="1" x14ac:dyDescent="0.25"/>
    <row r="34" spans="2:5" outlineLevel="1" x14ac:dyDescent="0.25"/>
    <row r="35" spans="2:5" outlineLevel="1" x14ac:dyDescent="0.25">
      <c r="B35" s="34" t="s">
        <v>2586</v>
      </c>
      <c r="C35" s="34" t="s">
        <v>2585</v>
      </c>
    </row>
    <row r="36" spans="2:5" outlineLevel="1" x14ac:dyDescent="0.25">
      <c r="B36" s="34" t="s">
        <v>2514</v>
      </c>
      <c r="C36" t="s">
        <v>2574</v>
      </c>
      <c r="D36" t="s">
        <v>2573</v>
      </c>
      <c r="E36" t="s">
        <v>2511</v>
      </c>
    </row>
    <row r="37" spans="2:5" outlineLevel="1" x14ac:dyDescent="0.25">
      <c r="B37" s="33" t="s">
        <v>2580</v>
      </c>
      <c r="C37" s="78">
        <v>203</v>
      </c>
      <c r="D37" s="78">
        <v>298</v>
      </c>
      <c r="E37" s="78">
        <v>501</v>
      </c>
    </row>
    <row r="38" spans="2:5" outlineLevel="1" x14ac:dyDescent="0.25">
      <c r="B38" s="33" t="s">
        <v>2581</v>
      </c>
      <c r="C38" s="78">
        <v>6</v>
      </c>
      <c r="D38" s="78">
        <v>7</v>
      </c>
      <c r="E38" s="78">
        <v>13</v>
      </c>
    </row>
    <row r="39" spans="2:5" outlineLevel="1" x14ac:dyDescent="0.25">
      <c r="B39" s="33" t="s">
        <v>2582</v>
      </c>
      <c r="C39" s="78">
        <v>142</v>
      </c>
      <c r="D39" s="78">
        <v>151</v>
      </c>
      <c r="E39" s="78">
        <v>293</v>
      </c>
    </row>
    <row r="40" spans="2:5" outlineLevel="1" x14ac:dyDescent="0.25">
      <c r="B40" s="33" t="s">
        <v>2142</v>
      </c>
      <c r="C40" s="78">
        <v>256</v>
      </c>
      <c r="D40" s="78">
        <v>247</v>
      </c>
      <c r="E40" s="78">
        <v>503</v>
      </c>
    </row>
    <row r="41" spans="2:5" outlineLevel="1" x14ac:dyDescent="0.25">
      <c r="B41" s="33" t="s">
        <v>2583</v>
      </c>
      <c r="C41" s="78">
        <v>121</v>
      </c>
      <c r="D41" s="78">
        <v>85</v>
      </c>
      <c r="E41" s="78">
        <v>206</v>
      </c>
    </row>
    <row r="42" spans="2:5" outlineLevel="1" x14ac:dyDescent="0.25">
      <c r="B42" s="33" t="s">
        <v>2584</v>
      </c>
      <c r="C42" s="78">
        <v>15</v>
      </c>
      <c r="D42" s="78">
        <v>25</v>
      </c>
      <c r="E42" s="78">
        <v>40</v>
      </c>
    </row>
    <row r="43" spans="2:5" outlineLevel="1" x14ac:dyDescent="0.25">
      <c r="B43" s="33" t="s">
        <v>2511</v>
      </c>
      <c r="C43" s="78">
        <v>743</v>
      </c>
      <c r="D43" s="78">
        <v>813</v>
      </c>
      <c r="E43" s="78">
        <v>1556</v>
      </c>
    </row>
    <row r="44" spans="2:5" outlineLevel="1" x14ac:dyDescent="0.25">
      <c r="C44">
        <f>GETPIVOTDATA("Chanson",$B$35,"Energie Forte","FAIBLE")/GETPIVOTDATA("Chanson",$B$35)</f>
        <v>0.47750642673521854</v>
      </c>
      <c r="D44">
        <f>GETPIVOTDATA("Chanson",$B$35,"Energie Forte","FORTE")/GETPIVOTDATA("Chanson",$B$35)</f>
        <v>0.52249357326478152</v>
      </c>
    </row>
    <row r="45" spans="2:5" outlineLevel="1" x14ac:dyDescent="0.25">
      <c r="B45" s="77" t="s">
        <v>2514</v>
      </c>
      <c r="C45" s="77" t="s">
        <v>2574</v>
      </c>
      <c r="D45" s="77" t="s">
        <v>2573</v>
      </c>
      <c r="E45" s="77" t="s">
        <v>2511</v>
      </c>
    </row>
    <row r="46" spans="2:5" outlineLevel="1" x14ac:dyDescent="0.25">
      <c r="B46" s="33" t="s">
        <v>2580</v>
      </c>
      <c r="C46" s="78">
        <f>GETPIVOTDATA("Chanson",$B$35,"Genre","AUTRE")*C44</f>
        <v>239.23071979434448</v>
      </c>
      <c r="D46" s="78">
        <f>GETPIVOTDATA("Chanson",$B$35,"Genre","AUTRE")*D44</f>
        <v>261.76928020565555</v>
      </c>
      <c r="E46" s="78">
        <f>SUM(C46:D46)</f>
        <v>501</v>
      </c>
    </row>
    <row r="47" spans="2:5" outlineLevel="1" x14ac:dyDescent="0.25">
      <c r="B47" s="33" t="s">
        <v>2581</v>
      </c>
      <c r="C47" s="78">
        <f>GETPIVOTDATA("Chanson",$B$35,"Genre","COUNTRY")*C44</f>
        <v>6.2075835475578414</v>
      </c>
      <c r="D47" s="78">
        <f>GETPIVOTDATA("Chanson",$B$35,"Genre","COUNTRY")*D44</f>
        <v>6.7924164524421595</v>
      </c>
      <c r="E47" s="78">
        <f t="shared" ref="E47:E51" si="1">SUM(C47:D47)</f>
        <v>13</v>
      </c>
    </row>
    <row r="48" spans="2:5" outlineLevel="1" x14ac:dyDescent="0.25">
      <c r="B48" s="33" t="s">
        <v>2582</v>
      </c>
      <c r="C48" s="78">
        <f>GETPIVOTDATA("Chanson",$B$35,"Genre","HIP HOP")*C44</f>
        <v>139.90938303341903</v>
      </c>
      <c r="D48" s="78">
        <f>GETPIVOTDATA("Chanson",$B$35,"Genre","HIP HOP")*D44</f>
        <v>153.090616966581</v>
      </c>
      <c r="E48" s="78">
        <f t="shared" si="1"/>
        <v>293</v>
      </c>
    </row>
    <row r="49" spans="2:9" outlineLevel="1" x14ac:dyDescent="0.25">
      <c r="B49" s="33" t="s">
        <v>2142</v>
      </c>
      <c r="C49" s="78">
        <f>GETPIVOTDATA("Chanson",$B$35,"Genre","POP")*C44</f>
        <v>240.18573264781492</v>
      </c>
      <c r="D49" s="78">
        <f>GETPIVOTDATA("Chanson",$B$35,"Genre","POP")*D44</f>
        <v>262.81426735218508</v>
      </c>
      <c r="E49" s="78">
        <f t="shared" si="1"/>
        <v>503</v>
      </c>
    </row>
    <row r="50" spans="2:9" outlineLevel="1" x14ac:dyDescent="0.25">
      <c r="B50" s="33" t="s">
        <v>2583</v>
      </c>
      <c r="C50" s="78">
        <f>GETPIVOTDATA("Chanson",$B$35,"Genre","RAP")*C44</f>
        <v>98.366323907455012</v>
      </c>
      <c r="D50" s="78">
        <f>GETPIVOTDATA("Chanson",$B$35,"Genre","RAP")*D44</f>
        <v>107.63367609254499</v>
      </c>
      <c r="E50" s="78">
        <f t="shared" si="1"/>
        <v>206</v>
      </c>
    </row>
    <row r="51" spans="2:9" outlineLevel="1" x14ac:dyDescent="0.25">
      <c r="B51" s="33" t="s">
        <v>2584</v>
      </c>
      <c r="C51" s="78">
        <f>GETPIVOTDATA("Chanson",$B$35,"Genre","ROCK")*C44</f>
        <v>19.100257069408741</v>
      </c>
      <c r="D51" s="78">
        <f>GETPIVOTDATA("Chanson",$B$35,"Genre","ROCK")*D44</f>
        <v>20.899742930591259</v>
      </c>
      <c r="E51" s="78">
        <f t="shared" si="1"/>
        <v>40</v>
      </c>
      <c r="H51" s="79"/>
    </row>
    <row r="52" spans="2:9" outlineLevel="1" x14ac:dyDescent="0.25">
      <c r="B52" s="33" t="s">
        <v>2589</v>
      </c>
      <c r="C52">
        <f>SUM(C46:C51)</f>
        <v>743</v>
      </c>
      <c r="D52">
        <f t="shared" ref="D52:E52" si="2">SUM(D46:D51)</f>
        <v>813.00000000000011</v>
      </c>
      <c r="E52">
        <f t="shared" si="2"/>
        <v>1556</v>
      </c>
      <c r="H52" s="79" t="s">
        <v>2588</v>
      </c>
      <c r="I52">
        <f>_xlfn.CHISQ.TEST(C37:D42,C46:D51)</f>
        <v>1.9700254458998487E-4</v>
      </c>
    </row>
    <row r="53" spans="2:9" outlineLevel="1" x14ac:dyDescent="0.25"/>
    <row r="54" spans="2:9" outlineLevel="1" x14ac:dyDescent="0.25"/>
    <row r="55" spans="2:9" outlineLevel="1" x14ac:dyDescent="0.25">
      <c r="B55" t="s">
        <v>2486</v>
      </c>
    </row>
    <row r="56" spans="2:9" outlineLevel="1" x14ac:dyDescent="0.25">
      <c r="B56" s="66" t="s">
        <v>2591</v>
      </c>
      <c r="C56" s="68"/>
      <c r="D56" s="68"/>
      <c r="E56" s="68"/>
      <c r="F56" s="68"/>
      <c r="G56" s="68"/>
    </row>
    <row r="57" spans="2:9" outlineLevel="1" x14ac:dyDescent="0.25">
      <c r="B57" s="68"/>
      <c r="C57" s="68"/>
      <c r="D57" s="68"/>
      <c r="E57" s="68"/>
      <c r="F57" s="68"/>
      <c r="G57" s="68"/>
    </row>
    <row r="58" spans="2:9" outlineLevel="1" x14ac:dyDescent="0.25">
      <c r="B58" s="68"/>
      <c r="C58" s="68"/>
      <c r="D58" s="68"/>
      <c r="E58" s="68"/>
      <c r="F58" s="68"/>
      <c r="G58" s="68"/>
    </row>
    <row r="59" spans="2:9" outlineLevel="1" x14ac:dyDescent="0.25">
      <c r="B59" s="68"/>
      <c r="C59" s="68"/>
      <c r="D59" s="68"/>
      <c r="E59" s="68"/>
      <c r="F59" s="68"/>
      <c r="G59" s="68"/>
    </row>
    <row r="60" spans="2:9" outlineLevel="1" x14ac:dyDescent="0.25">
      <c r="B60" s="68"/>
      <c r="C60" s="68"/>
      <c r="D60" s="68"/>
      <c r="E60" s="68"/>
      <c r="F60" s="68"/>
      <c r="G60" s="68"/>
    </row>
    <row r="61" spans="2:9" outlineLevel="1" x14ac:dyDescent="0.25"/>
  </sheetData>
  <mergeCells count="2">
    <mergeCell ref="B26:G30"/>
    <mergeCell ref="B56:G60"/>
  </mergeCell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B59A5-1CE4-4375-A500-C1E18D5CB872}">
  <dimension ref="B2:N38"/>
  <sheetViews>
    <sheetView showGridLines="0" zoomScale="99" zoomScaleNormal="99" workbookViewId="0"/>
  </sheetViews>
  <sheetFormatPr baseColWidth="10" defaultRowHeight="15" x14ac:dyDescent="0.25"/>
  <cols>
    <col min="1" max="1" width="3.5703125" customWidth="1"/>
  </cols>
  <sheetData>
    <row r="2" spans="2:14" x14ac:dyDescent="0.25">
      <c r="B2" s="72" t="s">
        <v>2443</v>
      </c>
      <c r="C2" s="76"/>
      <c r="D2" s="76"/>
      <c r="E2" s="76"/>
      <c r="F2" s="76"/>
      <c r="G2" s="76"/>
      <c r="H2" s="76"/>
      <c r="I2" s="76"/>
      <c r="J2" s="76"/>
      <c r="K2" s="76"/>
      <c r="L2" s="76"/>
      <c r="M2" s="76"/>
      <c r="N2" s="76"/>
    </row>
    <row r="3" spans="2:14" x14ac:dyDescent="0.25">
      <c r="B3" s="76"/>
      <c r="C3" s="76"/>
      <c r="D3" s="76"/>
      <c r="E3" s="76"/>
      <c r="F3" s="76"/>
      <c r="G3" s="76"/>
      <c r="H3" s="76"/>
      <c r="I3" s="76"/>
      <c r="J3" s="76"/>
      <c r="K3" s="76"/>
      <c r="L3" s="76"/>
      <c r="M3" s="76"/>
      <c r="N3" s="76"/>
    </row>
    <row r="4" spans="2:14" x14ac:dyDescent="0.25">
      <c r="B4" s="76"/>
      <c r="C4" s="76"/>
      <c r="D4" s="76"/>
      <c r="E4" s="76"/>
      <c r="F4" s="76"/>
      <c r="G4" s="76"/>
      <c r="H4" s="76"/>
      <c r="I4" s="76"/>
      <c r="J4" s="76"/>
      <c r="K4" s="76"/>
      <c r="L4" s="76"/>
      <c r="M4" s="76"/>
      <c r="N4" s="76"/>
    </row>
    <row r="5" spans="2:14" x14ac:dyDescent="0.25">
      <c r="B5" s="76"/>
      <c r="C5" s="76"/>
      <c r="D5" s="76"/>
      <c r="E5" s="76"/>
      <c r="F5" s="76"/>
      <c r="G5" s="76"/>
      <c r="H5" s="76"/>
      <c r="I5" s="76"/>
      <c r="J5" s="76"/>
      <c r="K5" s="76"/>
      <c r="L5" s="76"/>
      <c r="M5" s="76"/>
      <c r="N5" s="76"/>
    </row>
    <row r="6" spans="2:14" x14ac:dyDescent="0.25">
      <c r="B6" s="76"/>
      <c r="C6" s="76"/>
      <c r="D6" s="76"/>
      <c r="E6" s="76"/>
      <c r="F6" s="76"/>
      <c r="G6" s="76"/>
      <c r="H6" s="76"/>
      <c r="I6" s="76"/>
      <c r="J6" s="76"/>
      <c r="K6" s="76"/>
      <c r="L6" s="76"/>
      <c r="M6" s="76"/>
      <c r="N6" s="76"/>
    </row>
    <row r="7" spans="2:14" x14ac:dyDescent="0.25">
      <c r="B7" s="76"/>
      <c r="C7" s="76"/>
      <c r="D7" s="76"/>
      <c r="E7" s="76"/>
      <c r="F7" s="76"/>
      <c r="G7" s="76"/>
      <c r="H7" s="76"/>
      <c r="I7" s="76"/>
      <c r="J7" s="76"/>
      <c r="K7" s="76"/>
      <c r="L7" s="76"/>
      <c r="M7" s="76"/>
      <c r="N7" s="76"/>
    </row>
    <row r="8" spans="2:14" x14ac:dyDescent="0.25">
      <c r="B8" s="76"/>
      <c r="C8" s="76"/>
      <c r="D8" s="76"/>
      <c r="E8" s="76"/>
      <c r="F8" s="76"/>
      <c r="G8" s="76"/>
      <c r="H8" s="76"/>
      <c r="I8" s="76"/>
      <c r="J8" s="76"/>
      <c r="K8" s="76"/>
      <c r="L8" s="76"/>
      <c r="M8" s="76"/>
      <c r="N8" s="76"/>
    </row>
    <row r="9" spans="2:14" x14ac:dyDescent="0.25">
      <c r="B9" s="76"/>
      <c r="C9" s="76"/>
      <c r="D9" s="76"/>
      <c r="E9" s="76"/>
      <c r="F9" s="76"/>
      <c r="G9" s="76"/>
      <c r="H9" s="76"/>
      <c r="I9" s="76"/>
      <c r="J9" s="76"/>
      <c r="K9" s="76"/>
      <c r="L9" s="76"/>
      <c r="M9" s="76"/>
      <c r="N9" s="76"/>
    </row>
    <row r="10" spans="2:14" x14ac:dyDescent="0.25">
      <c r="B10" s="76"/>
      <c r="C10" s="76"/>
      <c r="D10" s="76"/>
      <c r="E10" s="76"/>
      <c r="F10" s="76"/>
      <c r="G10" s="76"/>
      <c r="H10" s="76"/>
      <c r="I10" s="76"/>
      <c r="J10" s="76"/>
      <c r="K10" s="76"/>
      <c r="L10" s="76"/>
      <c r="M10" s="76"/>
      <c r="N10" s="76"/>
    </row>
    <row r="11" spans="2:14" x14ac:dyDescent="0.25">
      <c r="B11" s="76"/>
      <c r="C11" s="76"/>
      <c r="D11" s="76"/>
      <c r="E11" s="76"/>
      <c r="F11" s="76"/>
      <c r="G11" s="76"/>
      <c r="H11" s="76"/>
      <c r="I11" s="76"/>
      <c r="J11" s="76"/>
      <c r="K11" s="76"/>
      <c r="L11" s="76"/>
      <c r="M11" s="76"/>
      <c r="N11" s="76"/>
    </row>
    <row r="12" spans="2:14" x14ac:dyDescent="0.25">
      <c r="B12" s="76"/>
      <c r="C12" s="76"/>
      <c r="D12" s="76"/>
      <c r="E12" s="76"/>
      <c r="F12" s="76"/>
      <c r="G12" s="76"/>
      <c r="H12" s="76"/>
      <c r="I12" s="76"/>
      <c r="J12" s="76"/>
      <c r="K12" s="76"/>
      <c r="L12" s="76"/>
      <c r="M12" s="76"/>
      <c r="N12" s="76"/>
    </row>
    <row r="13" spans="2:14" x14ac:dyDescent="0.25">
      <c r="B13" s="76"/>
      <c r="C13" s="76"/>
      <c r="D13" s="76"/>
      <c r="E13" s="76"/>
      <c r="F13" s="76"/>
      <c r="G13" s="76"/>
      <c r="H13" s="76"/>
      <c r="I13" s="76"/>
      <c r="J13" s="76"/>
      <c r="K13" s="76"/>
      <c r="L13" s="76"/>
      <c r="M13" s="76"/>
      <c r="N13" s="76"/>
    </row>
    <row r="14" spans="2:14" x14ac:dyDescent="0.25">
      <c r="B14" s="76"/>
      <c r="C14" s="76"/>
      <c r="D14" s="76"/>
      <c r="E14" s="76"/>
      <c r="F14" s="76"/>
      <c r="G14" s="76"/>
      <c r="H14" s="76"/>
      <c r="I14" s="76"/>
      <c r="J14" s="76"/>
      <c r="K14" s="76"/>
      <c r="L14" s="76"/>
      <c r="M14" s="76"/>
      <c r="N14" s="76"/>
    </row>
    <row r="15" spans="2:14" x14ac:dyDescent="0.25">
      <c r="B15" s="76"/>
      <c r="C15" s="76"/>
      <c r="D15" s="76"/>
      <c r="E15" s="76"/>
      <c r="F15" s="76"/>
      <c r="G15" s="76"/>
      <c r="H15" s="76"/>
      <c r="I15" s="76"/>
      <c r="J15" s="76"/>
      <c r="K15" s="76"/>
      <c r="L15" s="76"/>
      <c r="M15" s="76"/>
      <c r="N15" s="76"/>
    </row>
    <row r="16" spans="2:14" x14ac:dyDescent="0.25">
      <c r="B16" s="76"/>
      <c r="C16" s="76"/>
      <c r="D16" s="76"/>
      <c r="E16" s="76"/>
      <c r="F16" s="76"/>
      <c r="G16" s="76"/>
      <c r="H16" s="76"/>
      <c r="I16" s="76"/>
      <c r="J16" s="76"/>
      <c r="K16" s="76"/>
      <c r="L16" s="76"/>
      <c r="M16" s="76"/>
      <c r="N16" s="76"/>
    </row>
    <row r="17" spans="2:14" x14ac:dyDescent="0.25">
      <c r="B17" s="76"/>
      <c r="C17" s="76"/>
      <c r="D17" s="76"/>
      <c r="E17" s="76"/>
      <c r="F17" s="76"/>
      <c r="G17" s="76"/>
      <c r="H17" s="76"/>
      <c r="I17" s="76"/>
      <c r="J17" s="76"/>
      <c r="K17" s="76"/>
      <c r="L17" s="76"/>
      <c r="M17" s="76"/>
      <c r="N17" s="76"/>
    </row>
    <row r="18" spans="2:14" x14ac:dyDescent="0.25">
      <c r="B18" s="76"/>
      <c r="C18" s="76"/>
      <c r="D18" s="76"/>
      <c r="E18" s="76"/>
      <c r="F18" s="76"/>
      <c r="G18" s="76"/>
      <c r="H18" s="76"/>
      <c r="I18" s="76"/>
      <c r="J18" s="76"/>
      <c r="K18" s="76"/>
      <c r="L18" s="76"/>
      <c r="M18" s="76"/>
      <c r="N18" s="76"/>
    </row>
    <row r="19" spans="2:14" x14ac:dyDescent="0.25">
      <c r="B19" s="76"/>
      <c r="C19" s="76"/>
      <c r="D19" s="76"/>
      <c r="E19" s="76"/>
      <c r="F19" s="76"/>
      <c r="G19" s="76"/>
      <c r="H19" s="76"/>
      <c r="I19" s="76"/>
      <c r="J19" s="76"/>
      <c r="K19" s="76"/>
      <c r="L19" s="76"/>
      <c r="M19" s="76"/>
      <c r="N19" s="76"/>
    </row>
    <row r="20" spans="2:14" x14ac:dyDescent="0.25">
      <c r="B20" s="76"/>
      <c r="C20" s="76"/>
      <c r="D20" s="76"/>
      <c r="E20" s="76"/>
      <c r="F20" s="76"/>
      <c r="G20" s="76"/>
      <c r="H20" s="76"/>
      <c r="I20" s="76"/>
      <c r="J20" s="76"/>
      <c r="K20" s="76"/>
      <c r="L20" s="76"/>
      <c r="M20" s="76"/>
      <c r="N20" s="76"/>
    </row>
    <row r="21" spans="2:14" x14ac:dyDescent="0.25">
      <c r="B21" s="76"/>
      <c r="C21" s="76"/>
      <c r="D21" s="76"/>
      <c r="E21" s="76"/>
      <c r="F21" s="76"/>
      <c r="G21" s="76"/>
      <c r="H21" s="76"/>
      <c r="I21" s="76"/>
      <c r="J21" s="76"/>
      <c r="K21" s="76"/>
      <c r="L21" s="76"/>
      <c r="M21" s="76"/>
      <c r="N21" s="76"/>
    </row>
    <row r="22" spans="2:14" x14ac:dyDescent="0.25">
      <c r="B22" s="76"/>
      <c r="C22" s="76"/>
      <c r="D22" s="76"/>
      <c r="E22" s="76"/>
      <c r="F22" s="76"/>
      <c r="G22" s="76"/>
      <c r="H22" s="76"/>
      <c r="I22" s="76"/>
      <c r="J22" s="76"/>
      <c r="K22" s="76"/>
      <c r="L22" s="76"/>
      <c r="M22" s="76"/>
      <c r="N22" s="76"/>
    </row>
    <row r="23" spans="2:14" x14ac:dyDescent="0.25">
      <c r="B23" s="76"/>
      <c r="C23" s="76"/>
      <c r="D23" s="76"/>
      <c r="E23" s="76"/>
      <c r="F23" s="76"/>
      <c r="G23" s="76"/>
      <c r="H23" s="76"/>
      <c r="I23" s="76"/>
      <c r="J23" s="76"/>
      <c r="K23" s="76"/>
      <c r="L23" s="76"/>
      <c r="M23" s="76"/>
      <c r="N23" s="76"/>
    </row>
    <row r="24" spans="2:14" x14ac:dyDescent="0.25">
      <c r="B24" s="76"/>
      <c r="C24" s="76"/>
      <c r="D24" s="76"/>
      <c r="E24" s="76"/>
      <c r="F24" s="76"/>
      <c r="G24" s="76"/>
      <c r="H24" s="76"/>
      <c r="I24" s="76"/>
      <c r="J24" s="76"/>
      <c r="K24" s="76"/>
      <c r="L24" s="76"/>
      <c r="M24" s="76"/>
      <c r="N24" s="76"/>
    </row>
    <row r="25" spans="2:14" x14ac:dyDescent="0.25">
      <c r="B25" s="76"/>
      <c r="C25" s="76"/>
      <c r="D25" s="76"/>
      <c r="E25" s="76"/>
      <c r="F25" s="76"/>
      <c r="G25" s="76"/>
      <c r="H25" s="76"/>
      <c r="I25" s="76"/>
      <c r="J25" s="76"/>
      <c r="K25" s="76"/>
      <c r="L25" s="76"/>
      <c r="M25" s="76"/>
      <c r="N25" s="76"/>
    </row>
    <row r="26" spans="2:14" x14ac:dyDescent="0.25">
      <c r="B26" s="76"/>
      <c r="C26" s="76"/>
      <c r="D26" s="76"/>
      <c r="E26" s="76"/>
      <c r="F26" s="76"/>
      <c r="G26" s="76"/>
      <c r="H26" s="76"/>
      <c r="I26" s="76"/>
      <c r="J26" s="76"/>
      <c r="K26" s="76"/>
      <c r="L26" s="76"/>
      <c r="M26" s="76"/>
      <c r="N26" s="76"/>
    </row>
    <row r="27" spans="2:14" x14ac:dyDescent="0.25">
      <c r="B27" s="76"/>
      <c r="C27" s="76"/>
      <c r="D27" s="76"/>
      <c r="E27" s="76"/>
      <c r="F27" s="76"/>
      <c r="G27" s="76"/>
      <c r="H27" s="76"/>
      <c r="I27" s="76"/>
      <c r="J27" s="76"/>
      <c r="K27" s="76"/>
      <c r="L27" s="76"/>
      <c r="M27" s="76"/>
      <c r="N27" s="76"/>
    </row>
    <row r="28" spans="2:14" x14ac:dyDescent="0.25">
      <c r="B28" s="76"/>
      <c r="C28" s="76"/>
      <c r="D28" s="76"/>
      <c r="E28" s="76"/>
      <c r="F28" s="76"/>
      <c r="G28" s="76"/>
      <c r="H28" s="76"/>
      <c r="I28" s="76"/>
      <c r="J28" s="76"/>
      <c r="K28" s="76"/>
      <c r="L28" s="76"/>
      <c r="M28" s="76"/>
      <c r="N28" s="76"/>
    </row>
    <row r="29" spans="2:14" x14ac:dyDescent="0.25">
      <c r="B29" s="76"/>
      <c r="C29" s="76"/>
      <c r="D29" s="76"/>
      <c r="E29" s="76"/>
      <c r="F29" s="76"/>
      <c r="G29" s="76"/>
      <c r="H29" s="76"/>
      <c r="I29" s="76"/>
      <c r="J29" s="76"/>
      <c r="K29" s="76"/>
      <c r="L29" s="76"/>
      <c r="M29" s="76"/>
      <c r="N29" s="76"/>
    </row>
    <row r="30" spans="2:14" x14ac:dyDescent="0.25">
      <c r="B30" s="76"/>
      <c r="C30" s="76"/>
      <c r="D30" s="76"/>
      <c r="E30" s="76"/>
      <c r="F30" s="76"/>
      <c r="G30" s="76"/>
      <c r="H30" s="76"/>
      <c r="I30" s="76"/>
      <c r="J30" s="76"/>
      <c r="K30" s="76"/>
      <c r="L30" s="76"/>
      <c r="M30" s="76"/>
      <c r="N30" s="76"/>
    </row>
    <row r="31" spans="2:14" x14ac:dyDescent="0.25">
      <c r="B31" s="76"/>
      <c r="C31" s="76"/>
      <c r="D31" s="76"/>
      <c r="E31" s="76"/>
      <c r="F31" s="76"/>
      <c r="G31" s="76"/>
      <c r="H31" s="76"/>
      <c r="I31" s="76"/>
      <c r="J31" s="76"/>
      <c r="K31" s="76"/>
      <c r="L31" s="76"/>
      <c r="M31" s="76"/>
      <c r="N31" s="76"/>
    </row>
    <row r="32" spans="2:14" x14ac:dyDescent="0.25">
      <c r="B32" s="76"/>
      <c r="C32" s="76"/>
      <c r="D32" s="76"/>
      <c r="E32" s="76"/>
      <c r="F32" s="76"/>
      <c r="G32" s="76"/>
      <c r="H32" s="76"/>
      <c r="I32" s="76"/>
      <c r="J32" s="76"/>
      <c r="K32" s="76"/>
      <c r="L32" s="76"/>
      <c r="M32" s="76"/>
      <c r="N32" s="76"/>
    </row>
    <row r="33" spans="2:14" x14ac:dyDescent="0.25">
      <c r="B33" s="76"/>
      <c r="C33" s="76"/>
      <c r="D33" s="76"/>
      <c r="E33" s="76"/>
      <c r="F33" s="76"/>
      <c r="G33" s="76"/>
      <c r="H33" s="76"/>
      <c r="I33" s="76"/>
      <c r="J33" s="76"/>
      <c r="K33" s="76"/>
      <c r="L33" s="76"/>
      <c r="M33" s="76"/>
      <c r="N33" s="76"/>
    </row>
    <row r="34" spans="2:14" x14ac:dyDescent="0.25">
      <c r="B34" s="76"/>
      <c r="C34" s="76"/>
      <c r="D34" s="76"/>
      <c r="E34" s="76"/>
      <c r="F34" s="76"/>
      <c r="G34" s="76"/>
      <c r="H34" s="76"/>
      <c r="I34" s="76"/>
      <c r="J34" s="76"/>
      <c r="K34" s="76"/>
      <c r="L34" s="76"/>
      <c r="M34" s="76"/>
      <c r="N34" s="76"/>
    </row>
    <row r="35" spans="2:14" ht="37.35" customHeight="1" x14ac:dyDescent="0.25">
      <c r="B35" s="76"/>
      <c r="C35" s="76"/>
      <c r="D35" s="76"/>
      <c r="E35" s="76"/>
      <c r="F35" s="76"/>
      <c r="G35" s="76"/>
      <c r="H35" s="76"/>
      <c r="I35" s="76"/>
      <c r="J35" s="76"/>
      <c r="K35" s="76"/>
      <c r="L35" s="76"/>
      <c r="M35" s="76"/>
      <c r="N35" s="76"/>
    </row>
    <row r="36" spans="2:14" x14ac:dyDescent="0.25">
      <c r="B36" s="76"/>
      <c r="C36" s="76"/>
      <c r="D36" s="76"/>
      <c r="E36" s="76"/>
      <c r="F36" s="76"/>
      <c r="G36" s="76"/>
      <c r="H36" s="76"/>
      <c r="I36" s="76"/>
      <c r="J36" s="76"/>
      <c r="K36" s="76"/>
      <c r="L36" s="76"/>
      <c r="M36" s="76"/>
      <c r="N36" s="76"/>
    </row>
    <row r="37" spans="2:14" x14ac:dyDescent="0.25">
      <c r="B37" s="76"/>
      <c r="C37" s="76"/>
      <c r="D37" s="76"/>
      <c r="E37" s="76"/>
      <c r="F37" s="76"/>
      <c r="G37" s="76"/>
      <c r="H37" s="76"/>
      <c r="I37" s="76"/>
      <c r="J37" s="76"/>
      <c r="K37" s="76"/>
      <c r="L37" s="76"/>
      <c r="M37" s="76"/>
      <c r="N37" s="76"/>
    </row>
    <row r="38" spans="2:14" x14ac:dyDescent="0.25">
      <c r="B38" s="76"/>
      <c r="C38" s="76"/>
      <c r="D38" s="76"/>
      <c r="E38" s="76"/>
      <c r="F38" s="76"/>
      <c r="G38" s="76"/>
      <c r="H38" s="76"/>
      <c r="I38" s="76"/>
      <c r="J38" s="76"/>
      <c r="K38" s="76"/>
      <c r="L38" s="76"/>
      <c r="M38" s="76"/>
      <c r="N38" s="76"/>
    </row>
  </sheetData>
  <mergeCells count="1">
    <mergeCell ref="B2:N3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4743C-98C1-4B07-9CF6-0E301FB49CCB}">
  <dimension ref="B2:J30"/>
  <sheetViews>
    <sheetView showGridLines="0" workbookViewId="0">
      <selection activeCell="B2" sqref="B2:J30"/>
    </sheetView>
  </sheetViews>
  <sheetFormatPr baseColWidth="10" defaultRowHeight="15" x14ac:dyDescent="0.25"/>
  <cols>
    <col min="1" max="1" width="4" customWidth="1"/>
  </cols>
  <sheetData>
    <row r="2" spans="2:10" x14ac:dyDescent="0.25">
      <c r="B2" s="72" t="s">
        <v>2444</v>
      </c>
      <c r="C2" s="76"/>
      <c r="D2" s="76"/>
      <c r="E2" s="76"/>
      <c r="F2" s="76"/>
      <c r="G2" s="76"/>
      <c r="H2" s="76"/>
      <c r="I2" s="76"/>
      <c r="J2" s="76"/>
    </row>
    <row r="3" spans="2:10" x14ac:dyDescent="0.25">
      <c r="B3" s="76"/>
      <c r="C3" s="76"/>
      <c r="D3" s="76"/>
      <c r="E3" s="76"/>
      <c r="F3" s="76"/>
      <c r="G3" s="76"/>
      <c r="H3" s="76"/>
      <c r="I3" s="76"/>
      <c r="J3" s="76"/>
    </row>
    <row r="4" spans="2:10" x14ac:dyDescent="0.25">
      <c r="B4" s="76"/>
      <c r="C4" s="76"/>
      <c r="D4" s="76"/>
      <c r="E4" s="76"/>
      <c r="F4" s="76"/>
      <c r="G4" s="76"/>
      <c r="H4" s="76"/>
      <c r="I4" s="76"/>
      <c r="J4" s="76"/>
    </row>
    <row r="5" spans="2:10" x14ac:dyDescent="0.25">
      <c r="B5" s="76"/>
      <c r="C5" s="76"/>
      <c r="D5" s="76"/>
      <c r="E5" s="76"/>
      <c r="F5" s="76"/>
      <c r="G5" s="76"/>
      <c r="H5" s="76"/>
      <c r="I5" s="76"/>
      <c r="J5" s="76"/>
    </row>
    <row r="6" spans="2:10" x14ac:dyDescent="0.25">
      <c r="B6" s="76"/>
      <c r="C6" s="76"/>
      <c r="D6" s="76"/>
      <c r="E6" s="76"/>
      <c r="F6" s="76"/>
      <c r="G6" s="76"/>
      <c r="H6" s="76"/>
      <c r="I6" s="76"/>
      <c r="J6" s="76"/>
    </row>
    <row r="7" spans="2:10" x14ac:dyDescent="0.25">
      <c r="B7" s="76"/>
      <c r="C7" s="76"/>
      <c r="D7" s="76"/>
      <c r="E7" s="76"/>
      <c r="F7" s="76"/>
      <c r="G7" s="76"/>
      <c r="H7" s="76"/>
      <c r="I7" s="76"/>
      <c r="J7" s="76"/>
    </row>
    <row r="8" spans="2:10" x14ac:dyDescent="0.25">
      <c r="B8" s="76"/>
      <c r="C8" s="76"/>
      <c r="D8" s="76"/>
      <c r="E8" s="76"/>
      <c r="F8" s="76"/>
      <c r="G8" s="76"/>
      <c r="H8" s="76"/>
      <c r="I8" s="76"/>
      <c r="J8" s="76"/>
    </row>
    <row r="9" spans="2:10" x14ac:dyDescent="0.25">
      <c r="B9" s="76"/>
      <c r="C9" s="76"/>
      <c r="D9" s="76"/>
      <c r="E9" s="76"/>
      <c r="F9" s="76"/>
      <c r="G9" s="76"/>
      <c r="H9" s="76"/>
      <c r="I9" s="76"/>
      <c r="J9" s="76"/>
    </row>
    <row r="10" spans="2:10" x14ac:dyDescent="0.25">
      <c r="B10" s="76"/>
      <c r="C10" s="76"/>
      <c r="D10" s="76"/>
      <c r="E10" s="76"/>
      <c r="F10" s="76"/>
      <c r="G10" s="76"/>
      <c r="H10" s="76"/>
      <c r="I10" s="76"/>
      <c r="J10" s="76"/>
    </row>
    <row r="11" spans="2:10" x14ac:dyDescent="0.25">
      <c r="B11" s="76"/>
      <c r="C11" s="76"/>
      <c r="D11" s="76"/>
      <c r="E11" s="76"/>
      <c r="F11" s="76"/>
      <c r="G11" s="76"/>
      <c r="H11" s="76"/>
      <c r="I11" s="76"/>
      <c r="J11" s="76"/>
    </row>
    <row r="12" spans="2:10" x14ac:dyDescent="0.25">
      <c r="B12" s="76"/>
      <c r="C12" s="76"/>
      <c r="D12" s="76"/>
      <c r="E12" s="76"/>
      <c r="F12" s="76"/>
      <c r="G12" s="76"/>
      <c r="H12" s="76"/>
      <c r="I12" s="76"/>
      <c r="J12" s="76"/>
    </row>
    <row r="13" spans="2:10" x14ac:dyDescent="0.25">
      <c r="B13" s="76"/>
      <c r="C13" s="76"/>
      <c r="D13" s="76"/>
      <c r="E13" s="76"/>
      <c r="F13" s="76"/>
      <c r="G13" s="76"/>
      <c r="H13" s="76"/>
      <c r="I13" s="76"/>
      <c r="J13" s="76"/>
    </row>
    <row r="14" spans="2:10" x14ac:dyDescent="0.25">
      <c r="B14" s="76"/>
      <c r="C14" s="76"/>
      <c r="D14" s="76"/>
      <c r="E14" s="76"/>
      <c r="F14" s="76"/>
      <c r="G14" s="76"/>
      <c r="H14" s="76"/>
      <c r="I14" s="76"/>
      <c r="J14" s="76"/>
    </row>
    <row r="15" spans="2:10" x14ac:dyDescent="0.25">
      <c r="B15" s="76"/>
      <c r="C15" s="76"/>
      <c r="D15" s="76"/>
      <c r="E15" s="76"/>
      <c r="F15" s="76"/>
      <c r="G15" s="76"/>
      <c r="H15" s="76"/>
      <c r="I15" s="76"/>
      <c r="J15" s="76"/>
    </row>
    <row r="16" spans="2:10" x14ac:dyDescent="0.25">
      <c r="B16" s="76"/>
      <c r="C16" s="76"/>
      <c r="D16" s="76"/>
      <c r="E16" s="76"/>
      <c r="F16" s="76"/>
      <c r="G16" s="76"/>
      <c r="H16" s="76"/>
      <c r="I16" s="76"/>
      <c r="J16" s="76"/>
    </row>
    <row r="17" spans="2:10" x14ac:dyDescent="0.25">
      <c r="B17" s="76"/>
      <c r="C17" s="76"/>
      <c r="D17" s="76"/>
      <c r="E17" s="76"/>
      <c r="F17" s="76"/>
      <c r="G17" s="76"/>
      <c r="H17" s="76"/>
      <c r="I17" s="76"/>
      <c r="J17" s="76"/>
    </row>
    <row r="18" spans="2:10" x14ac:dyDescent="0.25">
      <c r="B18" s="76"/>
      <c r="C18" s="76"/>
      <c r="D18" s="76"/>
      <c r="E18" s="76"/>
      <c r="F18" s="76"/>
      <c r="G18" s="76"/>
      <c r="H18" s="76"/>
      <c r="I18" s="76"/>
      <c r="J18" s="76"/>
    </row>
    <row r="19" spans="2:10" x14ac:dyDescent="0.25">
      <c r="B19" s="76"/>
      <c r="C19" s="76"/>
      <c r="D19" s="76"/>
      <c r="E19" s="76"/>
      <c r="F19" s="76"/>
      <c r="G19" s="76"/>
      <c r="H19" s="76"/>
      <c r="I19" s="76"/>
      <c r="J19" s="76"/>
    </row>
    <row r="20" spans="2:10" x14ac:dyDescent="0.25">
      <c r="B20" s="76"/>
      <c r="C20" s="76"/>
      <c r="D20" s="76"/>
      <c r="E20" s="76"/>
      <c r="F20" s="76"/>
      <c r="G20" s="76"/>
      <c r="H20" s="76"/>
      <c r="I20" s="76"/>
      <c r="J20" s="76"/>
    </row>
    <row r="21" spans="2:10" x14ac:dyDescent="0.25">
      <c r="B21" s="76"/>
      <c r="C21" s="76"/>
      <c r="D21" s="76"/>
      <c r="E21" s="76"/>
      <c r="F21" s="76"/>
      <c r="G21" s="76"/>
      <c r="H21" s="76"/>
      <c r="I21" s="76"/>
      <c r="J21" s="76"/>
    </row>
    <row r="22" spans="2:10" x14ac:dyDescent="0.25">
      <c r="B22" s="76"/>
      <c r="C22" s="76"/>
      <c r="D22" s="76"/>
      <c r="E22" s="76"/>
      <c r="F22" s="76"/>
      <c r="G22" s="76"/>
      <c r="H22" s="76"/>
      <c r="I22" s="76"/>
      <c r="J22" s="76"/>
    </row>
    <row r="23" spans="2:10" x14ac:dyDescent="0.25">
      <c r="B23" s="76"/>
      <c r="C23" s="76"/>
      <c r="D23" s="76"/>
      <c r="E23" s="76"/>
      <c r="F23" s="76"/>
      <c r="G23" s="76"/>
      <c r="H23" s="76"/>
      <c r="I23" s="76"/>
      <c r="J23" s="76"/>
    </row>
    <row r="24" spans="2:10" x14ac:dyDescent="0.25">
      <c r="B24" s="76"/>
      <c r="C24" s="76"/>
      <c r="D24" s="76"/>
      <c r="E24" s="76"/>
      <c r="F24" s="76"/>
      <c r="G24" s="76"/>
      <c r="H24" s="76"/>
      <c r="I24" s="76"/>
      <c r="J24" s="76"/>
    </row>
    <row r="25" spans="2:10" x14ac:dyDescent="0.25">
      <c r="B25" s="76"/>
      <c r="C25" s="76"/>
      <c r="D25" s="76"/>
      <c r="E25" s="76"/>
      <c r="F25" s="76"/>
      <c r="G25" s="76"/>
      <c r="H25" s="76"/>
      <c r="I25" s="76"/>
      <c r="J25" s="76"/>
    </row>
    <row r="26" spans="2:10" x14ac:dyDescent="0.25">
      <c r="B26" s="76"/>
      <c r="C26" s="76"/>
      <c r="D26" s="76"/>
      <c r="E26" s="76"/>
      <c r="F26" s="76"/>
      <c r="G26" s="76"/>
      <c r="H26" s="76"/>
      <c r="I26" s="76"/>
      <c r="J26" s="76"/>
    </row>
    <row r="27" spans="2:10" x14ac:dyDescent="0.25">
      <c r="B27" s="76"/>
      <c r="C27" s="76"/>
      <c r="D27" s="76"/>
      <c r="E27" s="76"/>
      <c r="F27" s="76"/>
      <c r="G27" s="76"/>
      <c r="H27" s="76"/>
      <c r="I27" s="76"/>
      <c r="J27" s="76"/>
    </row>
    <row r="28" spans="2:10" x14ac:dyDescent="0.25">
      <c r="B28" s="76"/>
      <c r="C28" s="76"/>
      <c r="D28" s="76"/>
      <c r="E28" s="76"/>
      <c r="F28" s="76"/>
      <c r="G28" s="76"/>
      <c r="H28" s="76"/>
      <c r="I28" s="76"/>
      <c r="J28" s="76"/>
    </row>
    <row r="29" spans="2:10" x14ac:dyDescent="0.25">
      <c r="B29" s="76"/>
      <c r="C29" s="76"/>
      <c r="D29" s="76"/>
      <c r="E29" s="76"/>
      <c r="F29" s="76"/>
      <c r="G29" s="76"/>
      <c r="H29" s="76"/>
      <c r="I29" s="76"/>
      <c r="J29" s="76"/>
    </row>
    <row r="30" spans="2:10" x14ac:dyDescent="0.25">
      <c r="B30" s="76"/>
      <c r="C30" s="76"/>
      <c r="D30" s="76"/>
      <c r="E30" s="76"/>
      <c r="F30" s="76"/>
      <c r="G30" s="76"/>
      <c r="H30" s="76"/>
      <c r="I30" s="76"/>
      <c r="J30" s="76"/>
    </row>
  </sheetData>
  <mergeCells count="1">
    <mergeCell ref="B2:J3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10</vt:i4>
      </vt:variant>
      <vt:variant>
        <vt:lpstr>Plages nommées</vt:lpstr>
      </vt:variant>
      <vt:variant>
        <vt:i4>2</vt:i4>
      </vt:variant>
    </vt:vector>
  </HeadingPairs>
  <TitlesOfParts>
    <vt:vector size="12" baseType="lpstr">
      <vt:lpstr>Données</vt:lpstr>
      <vt:lpstr>correlation matrice</vt:lpstr>
      <vt:lpstr>Analyse des données numériques</vt:lpstr>
      <vt:lpstr>Analyse données catégorielles</vt:lpstr>
      <vt:lpstr>Questions EDA</vt:lpstr>
      <vt:lpstr>Analyse liaisons variables quan</vt:lpstr>
      <vt:lpstr>Analyse liaisons quali vs quant</vt:lpstr>
      <vt:lpstr>Analyse khi2</vt:lpstr>
      <vt:lpstr>Définition des colonnes</vt:lpstr>
      <vt:lpstr>Questions sur les données</vt:lpstr>
      <vt:lpstr>Données!Criteres</vt:lpstr>
      <vt:lpstr>Données!Extraire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Sebastien Daviot | AT Internet</dc:creator>
  <cp:lastModifiedBy>Lee-Roy MANNIER</cp:lastModifiedBy>
  <dcterms:created xsi:type="dcterms:W3CDTF">2021-10-22T15:42:48Z</dcterms:created>
  <dcterms:modified xsi:type="dcterms:W3CDTF">2025-11-19T14:08:31Z</dcterms:modified>
</cp:coreProperties>
</file>